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1680" windowHeight="1626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T19" i="20"/>
  <c r="S14" i="20"/>
  <c r="H40" i="20"/>
  <c r="H39" i="20"/>
  <c r="S39" i="20"/>
  <c r="H38" i="20"/>
  <c r="H35" i="20"/>
  <c r="S42" i="20"/>
  <c r="H34" i="20"/>
  <c r="H33" i="20"/>
  <c r="H30" i="20"/>
  <c r="H29" i="20"/>
  <c r="H28" i="20"/>
  <c r="S40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260" i="14"/>
  <c r="AY177" i="14"/>
  <c r="AY175" i="14"/>
  <c r="AX259" i="14"/>
  <c r="AY14" i="14"/>
  <c r="AX181" i="14"/>
  <c r="AX179" i="14"/>
  <c r="AX177" i="14"/>
  <c r="AX175" i="14"/>
  <c r="AX14" i="14"/>
  <c r="AW259" i="14"/>
  <c r="AW181" i="14"/>
  <c r="AW179" i="14"/>
  <c r="AW260" i="14"/>
  <c r="AW177" i="14"/>
  <c r="AW175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U260" i="14"/>
  <c r="AT259" i="14"/>
  <c r="AU14" i="14"/>
  <c r="AT181" i="14"/>
  <c r="AT179" i="14"/>
  <c r="AT177" i="14"/>
  <c r="AT260" i="14"/>
  <c r="AT175" i="14"/>
  <c r="AT14" i="14"/>
  <c r="AS259" i="14"/>
  <c r="AS181" i="14"/>
  <c r="AS179" i="14"/>
  <c r="AS260" i="14"/>
  <c r="AS177" i="14"/>
  <c r="AS175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260" i="14"/>
  <c r="AQ177" i="14"/>
  <c r="AQ175" i="14"/>
  <c r="AP259" i="14"/>
  <c r="AQ14" i="14"/>
  <c r="AP181" i="14"/>
  <c r="AP179" i="14"/>
  <c r="AP177" i="14"/>
  <c r="AP175" i="14"/>
  <c r="AP14" i="14"/>
  <c r="AO259" i="14"/>
  <c r="AO181" i="14"/>
  <c r="AO179" i="14"/>
  <c r="AO260" i="14"/>
  <c r="AO177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M260" i="14"/>
  <c r="AL259" i="14"/>
  <c r="AM14" i="14"/>
  <c r="AL181" i="14"/>
  <c r="AL179" i="14"/>
  <c r="AL177" i="14"/>
  <c r="AL260" i="14"/>
  <c r="AL175" i="14"/>
  <c r="AK260" i="14"/>
  <c r="AL14" i="14"/>
  <c r="AK259" i="14"/>
  <c r="AK181" i="14"/>
  <c r="AK179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260" i="14"/>
  <c r="AI177" i="14"/>
  <c r="AI175" i="14"/>
  <c r="AH259" i="14"/>
  <c r="AI14" i="14"/>
  <c r="AH181" i="14"/>
  <c r="AH179" i="14"/>
  <c r="AH177" i="14"/>
  <c r="AH175" i="14"/>
  <c r="AH14" i="14"/>
  <c r="AG259" i="14"/>
  <c r="AG181" i="14"/>
  <c r="AG179" i="14"/>
  <c r="AG260" i="14"/>
  <c r="AG177" i="14"/>
  <c r="AG175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177" i="14"/>
  <c r="AD175" i="14"/>
  <c r="AD14" i="14"/>
  <c r="AC259" i="14"/>
  <c r="AC181" i="14"/>
  <c r="AC179" i="14"/>
  <c r="AC260" i="14"/>
  <c r="AC177" i="14"/>
  <c r="AC175" i="14"/>
  <c r="AC14" i="14"/>
  <c r="AB259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175" i="14"/>
  <c r="Y260" i="14"/>
  <c r="Z14" i="14"/>
  <c r="Y259" i="14"/>
  <c r="Y181" i="14"/>
  <c r="Y179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W260" i="14"/>
  <c r="V259" i="14"/>
  <c r="W14" i="14"/>
  <c r="V181" i="14"/>
  <c r="V179" i="14"/>
  <c r="V177" i="14"/>
  <c r="V260" i="14"/>
  <c r="V175" i="14"/>
  <c r="U260" i="14"/>
  <c r="V14" i="14"/>
  <c r="U259" i="14"/>
  <c r="U181" i="14"/>
  <c r="U179" i="14"/>
  <c r="U177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260" i="14"/>
  <c r="S177" i="14"/>
  <c r="S175" i="14"/>
  <c r="R259" i="14"/>
  <c r="S14" i="14"/>
  <c r="R181" i="14"/>
  <c r="R179" i="14"/>
  <c r="R177" i="14"/>
  <c r="R175" i="14"/>
  <c r="R14" i="14"/>
  <c r="Q259" i="14"/>
  <c r="Q181" i="14"/>
  <c r="Q179" i="14"/>
  <c r="Q260" i="14"/>
  <c r="Q177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177" i="14"/>
  <c r="O175" i="14"/>
  <c r="O260" i="14"/>
  <c r="N259" i="14"/>
  <c r="O14" i="14"/>
  <c r="N181" i="14"/>
  <c r="N179" i="14"/>
  <c r="N177" i="14"/>
  <c r="N260" i="14"/>
  <c r="N175" i="14"/>
  <c r="N14" i="14"/>
  <c r="M259" i="14"/>
  <c r="M181" i="14"/>
  <c r="M179" i="14"/>
  <c r="M260" i="14"/>
  <c r="M177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260" i="14"/>
  <c r="K177" i="14"/>
  <c r="K175" i="14"/>
  <c r="J259" i="14"/>
  <c r="K14" i="14"/>
  <c r="J181" i="14"/>
  <c r="J179" i="14"/>
  <c r="J177" i="14"/>
  <c r="J175" i="14"/>
  <c r="J14" i="14"/>
  <c r="I259" i="14"/>
  <c r="I181" i="14"/>
  <c r="I179" i="14"/>
  <c r="I260" i="14"/>
  <c r="I177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G260" i="14"/>
  <c r="F259" i="14"/>
  <c r="G14" i="14"/>
  <c r="F181" i="14"/>
  <c r="F179" i="14"/>
  <c r="F260" i="14"/>
  <c r="F177" i="14"/>
  <c r="F175" i="14"/>
  <c r="E260" i="14"/>
  <c r="F14" i="14"/>
  <c r="E259" i="14"/>
  <c r="E181" i="14"/>
  <c r="E179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260" i="15"/>
  <c r="AY177" i="15"/>
  <c r="AY175" i="15"/>
  <c r="AX259" i="15"/>
  <c r="AY14" i="15"/>
  <c r="AX181" i="15"/>
  <c r="AX179" i="15"/>
  <c r="AX177" i="15"/>
  <c r="AX175" i="15"/>
  <c r="AX14" i="15"/>
  <c r="AW259" i="15"/>
  <c r="AW181" i="15"/>
  <c r="AW179" i="15"/>
  <c r="AW260" i="15"/>
  <c r="AW177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177" i="15"/>
  <c r="AT175" i="15"/>
  <c r="AS259" i="15"/>
  <c r="AT14" i="15"/>
  <c r="AS181" i="15"/>
  <c r="AS179" i="15"/>
  <c r="AS260" i="15"/>
  <c r="AS177" i="15"/>
  <c r="AS175" i="15"/>
  <c r="AS14" i="15"/>
  <c r="AR259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175" i="15"/>
  <c r="AO260" i="15"/>
  <c r="AP14" i="15"/>
  <c r="AO259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260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260" i="15"/>
  <c r="AI177" i="15"/>
  <c r="AI175" i="15"/>
  <c r="AH259" i="15"/>
  <c r="AI14" i="15"/>
  <c r="AH181" i="15"/>
  <c r="AH179" i="15"/>
  <c r="AH177" i="15"/>
  <c r="AH175" i="15"/>
  <c r="AH14" i="15"/>
  <c r="AG259" i="15"/>
  <c r="AG181" i="15"/>
  <c r="AG179" i="15"/>
  <c r="AG260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E260" i="15"/>
  <c r="AD259" i="15"/>
  <c r="AE14" i="15"/>
  <c r="AD181" i="15"/>
  <c r="AD179" i="15"/>
  <c r="AD260" i="15"/>
  <c r="AD177" i="15"/>
  <c r="AD175" i="15"/>
  <c r="AC259" i="15"/>
  <c r="AD14" i="15"/>
  <c r="AC181" i="15"/>
  <c r="AC179" i="15"/>
  <c r="AC260" i="15"/>
  <c r="AC177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260" i="15"/>
  <c r="AA177" i="15"/>
  <c r="AA175" i="15"/>
  <c r="Z259" i="15"/>
  <c r="AA14" i="15"/>
  <c r="Z181" i="15"/>
  <c r="Z179" i="15"/>
  <c r="Z177" i="15"/>
  <c r="Z175" i="15"/>
  <c r="Z14" i="15"/>
  <c r="Y259" i="15"/>
  <c r="Y181" i="15"/>
  <c r="Y179" i="15"/>
  <c r="Y260" i="15"/>
  <c r="Y177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W260" i="15"/>
  <c r="V259" i="15"/>
  <c r="W14" i="15"/>
  <c r="V181" i="15"/>
  <c r="V179" i="15"/>
  <c r="V260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260" i="15"/>
  <c r="S177" i="15"/>
  <c r="S175" i="15"/>
  <c r="R259" i="15"/>
  <c r="S14" i="15"/>
  <c r="R181" i="15"/>
  <c r="R179" i="15"/>
  <c r="R177" i="15"/>
  <c r="R175" i="15"/>
  <c r="R14" i="15"/>
  <c r="Q259" i="15"/>
  <c r="Q181" i="15"/>
  <c r="Q179" i="15"/>
  <c r="Q260" i="15"/>
  <c r="Q177" i="15"/>
  <c r="Q175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O260" i="15"/>
  <c r="N259" i="15"/>
  <c r="O14" i="15"/>
  <c r="N181" i="15"/>
  <c r="N179" i="15"/>
  <c r="N177" i="15"/>
  <c r="N175" i="15"/>
  <c r="M259" i="15"/>
  <c r="N14" i="15"/>
  <c r="M181" i="15"/>
  <c r="M179" i="15"/>
  <c r="M260" i="15"/>
  <c r="M177" i="15"/>
  <c r="M175" i="15"/>
  <c r="M14" i="15"/>
  <c r="L259" i="15"/>
  <c r="L181" i="15"/>
  <c r="L179" i="15"/>
  <c r="L177" i="15"/>
  <c r="L175" i="15"/>
  <c r="K260" i="15"/>
  <c r="L14" i="15"/>
  <c r="K259" i="15"/>
  <c r="K181" i="15"/>
  <c r="K179" i="15"/>
  <c r="K177" i="15"/>
  <c r="K175" i="15"/>
  <c r="J259" i="15"/>
  <c r="K14" i="15"/>
  <c r="J181" i="15"/>
  <c r="J179" i="15"/>
  <c r="J177" i="15"/>
  <c r="J175" i="15"/>
  <c r="I260" i="15"/>
  <c r="J14" i="15"/>
  <c r="I259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F259" i="15"/>
  <c r="G14" i="15"/>
  <c r="F181" i="15"/>
  <c r="F179" i="15"/>
  <c r="F260" i="15"/>
  <c r="F177" i="15"/>
  <c r="F175" i="15"/>
  <c r="E259" i="15"/>
  <c r="F14" i="15"/>
  <c r="E181" i="15"/>
  <c r="E179" i="15"/>
  <c r="E260" i="15"/>
  <c r="E177" i="15"/>
  <c r="E175" i="15"/>
  <c r="E14" i="15"/>
  <c r="D181" i="15"/>
  <c r="D179" i="15"/>
  <c r="D177" i="15"/>
  <c r="D175" i="15"/>
  <c r="D260" i="15"/>
  <c r="AZ14" i="16"/>
  <c r="AY259" i="16"/>
  <c r="AY181" i="16"/>
  <c r="AY179" i="16"/>
  <c r="AY260" i="16"/>
  <c r="AY177" i="16"/>
  <c r="AY175" i="16"/>
  <c r="AX259" i="16"/>
  <c r="AY14" i="16"/>
  <c r="AX181" i="16"/>
  <c r="AX179" i="16"/>
  <c r="AX177" i="16"/>
  <c r="AX175" i="16"/>
  <c r="AX14" i="16"/>
  <c r="AW259" i="16"/>
  <c r="AW181" i="16"/>
  <c r="AW179" i="16"/>
  <c r="AW260" i="16"/>
  <c r="AW177" i="16"/>
  <c r="AW175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U260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260" i="16"/>
  <c r="AS177" i="16"/>
  <c r="AS175" i="16"/>
  <c r="AS14" i="16"/>
  <c r="AR259" i="16"/>
  <c r="AR181" i="16"/>
  <c r="AR179" i="16"/>
  <c r="AR177" i="16"/>
  <c r="AR175" i="16"/>
  <c r="AR260" i="16"/>
  <c r="AR14" i="16"/>
  <c r="AQ259" i="16"/>
  <c r="AQ181" i="16"/>
  <c r="AQ179" i="16"/>
  <c r="AQ260" i="16"/>
  <c r="AQ177" i="16"/>
  <c r="AQ175" i="16"/>
  <c r="AP259" i="16"/>
  <c r="AQ14" i="16"/>
  <c r="AP181" i="16"/>
  <c r="AP179" i="16"/>
  <c r="AP177" i="16"/>
  <c r="AP175" i="16"/>
  <c r="AP14" i="16"/>
  <c r="AO259" i="16"/>
  <c r="AO181" i="16"/>
  <c r="AO179" i="16"/>
  <c r="AO260" i="16"/>
  <c r="AO177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M260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260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260" i="16"/>
  <c r="AI177" i="16"/>
  <c r="AI175" i="16"/>
  <c r="AH259" i="16"/>
  <c r="AI14" i="16"/>
  <c r="AH181" i="16"/>
  <c r="AH179" i="16"/>
  <c r="AH177" i="16"/>
  <c r="AH175" i="16"/>
  <c r="AH14" i="16"/>
  <c r="AG259" i="16"/>
  <c r="AG181" i="16"/>
  <c r="AG179" i="16"/>
  <c r="AG260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260" i="16"/>
  <c r="AC177" i="16"/>
  <c r="AC175" i="16"/>
  <c r="AC14" i="16"/>
  <c r="AB259" i="16"/>
  <c r="AB181" i="16"/>
  <c r="AB179" i="16"/>
  <c r="AB177" i="16"/>
  <c r="AB175" i="16"/>
  <c r="AA260" i="16"/>
  <c r="AB14" i="16"/>
  <c r="AA259" i="16"/>
  <c r="AA181" i="16"/>
  <c r="AA179" i="16"/>
  <c r="AA177" i="16"/>
  <c r="AA175" i="16"/>
  <c r="Z259" i="16"/>
  <c r="AA14" i="16"/>
  <c r="Z181" i="16"/>
  <c r="Z179" i="16"/>
  <c r="Z177" i="16"/>
  <c r="Z175" i="16"/>
  <c r="Y260" i="16"/>
  <c r="Z14" i="16"/>
  <c r="Y259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W260" i="16"/>
  <c r="V259" i="16"/>
  <c r="W14" i="16"/>
  <c r="V181" i="16"/>
  <c r="V179" i="16"/>
  <c r="V260" i="16"/>
  <c r="V177" i="16"/>
  <c r="V175" i="16"/>
  <c r="U259" i="16"/>
  <c r="V14" i="16"/>
  <c r="U181" i="16"/>
  <c r="U179" i="16"/>
  <c r="U260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260" i="16"/>
  <c r="S177" i="16"/>
  <c r="S175" i="16"/>
  <c r="R259" i="16"/>
  <c r="S14" i="16"/>
  <c r="R181" i="16"/>
  <c r="R179" i="16"/>
  <c r="R177" i="16"/>
  <c r="R175" i="16"/>
  <c r="R14" i="16"/>
  <c r="Q259" i="16"/>
  <c r="Q181" i="16"/>
  <c r="Q179" i="16"/>
  <c r="Q260" i="16"/>
  <c r="Q177" i="16"/>
  <c r="Q175" i="16"/>
  <c r="Q14" i="16"/>
  <c r="P259" i="16"/>
  <c r="P181" i="16"/>
  <c r="P179" i="16"/>
  <c r="P177" i="16"/>
  <c r="P175" i="16"/>
  <c r="P260" i="16"/>
  <c r="P14" i="16"/>
  <c r="O259" i="16"/>
  <c r="O181" i="16"/>
  <c r="O179" i="16"/>
  <c r="O177" i="16"/>
  <c r="O175" i="16"/>
  <c r="O260" i="16"/>
  <c r="N259" i="16"/>
  <c r="O14" i="16"/>
  <c r="N181" i="16"/>
  <c r="N179" i="16"/>
  <c r="N260" i="16"/>
  <c r="N177" i="16"/>
  <c r="N175" i="16"/>
  <c r="M259" i="16"/>
  <c r="N14" i="16"/>
  <c r="M181" i="16"/>
  <c r="M179" i="16"/>
  <c r="M260" i="16"/>
  <c r="M177" i="16"/>
  <c r="M175" i="16"/>
  <c r="M14" i="16"/>
  <c r="L259" i="16"/>
  <c r="L181" i="16"/>
  <c r="L179" i="16"/>
  <c r="L177" i="16"/>
  <c r="L175" i="16"/>
  <c r="K260" i="16"/>
  <c r="L14" i="16"/>
  <c r="K259" i="16"/>
  <c r="K181" i="16"/>
  <c r="K179" i="16"/>
  <c r="K177" i="16"/>
  <c r="K175" i="16"/>
  <c r="J259" i="16"/>
  <c r="K14" i="16"/>
  <c r="J181" i="16"/>
  <c r="J179" i="16"/>
  <c r="J177" i="16"/>
  <c r="J175" i="16"/>
  <c r="I260" i="16"/>
  <c r="J14" i="16"/>
  <c r="I259" i="16"/>
  <c r="I181" i="16"/>
  <c r="I179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G260" i="16"/>
  <c r="F259" i="16"/>
  <c r="G14" i="16"/>
  <c r="F181" i="16"/>
  <c r="F179" i="16"/>
  <c r="F260" i="16"/>
  <c r="F177" i="16"/>
  <c r="F175" i="16"/>
  <c r="E259" i="16"/>
  <c r="F14" i="16"/>
  <c r="E181" i="16"/>
  <c r="E179" i="16"/>
  <c r="E260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5" i="17"/>
  <c r="AS16" i="17"/>
  <c r="AS17" i="17"/>
  <c r="AS29" i="17"/>
  <c r="AR14" i="17"/>
  <c r="AR15" i="17"/>
  <c r="AR16" i="17"/>
  <c r="AR17" i="17"/>
  <c r="AR29" i="17"/>
  <c r="AQ14" i="17"/>
  <c r="AQ15" i="17"/>
  <c r="AQ16" i="17"/>
  <c r="AQ17" i="17"/>
  <c r="AQ29" i="17"/>
  <c r="AP14" i="17"/>
  <c r="AP15" i="17"/>
  <c r="AP10" i="17"/>
  <c r="AP13" i="17"/>
  <c r="AP16" i="17"/>
  <c r="AP17" i="17"/>
  <c r="AP29" i="17"/>
  <c r="AO14" i="17"/>
  <c r="AO15" i="17"/>
  <c r="AO16" i="17"/>
  <c r="AO17" i="17"/>
  <c r="AO29" i="17"/>
  <c r="AN14" i="17"/>
  <c r="AN10" i="17"/>
  <c r="AN13" i="17"/>
  <c r="AN15" i="17"/>
  <c r="AN16" i="17"/>
  <c r="AN17" i="17"/>
  <c r="AN29" i="17"/>
  <c r="AM14" i="17"/>
  <c r="AM15" i="17"/>
  <c r="AM16" i="17"/>
  <c r="AM17" i="17"/>
  <c r="AM29" i="17"/>
  <c r="AL14" i="17"/>
  <c r="AL10" i="17"/>
  <c r="AL13" i="17"/>
  <c r="AL15" i="17"/>
  <c r="AL16" i="17"/>
  <c r="AL17" i="17"/>
  <c r="AL29" i="17"/>
  <c r="AK14" i="17"/>
  <c r="AK15" i="17"/>
  <c r="AK16" i="17"/>
  <c r="AK17" i="17"/>
  <c r="AK29" i="17"/>
  <c r="AJ14" i="17"/>
  <c r="AJ15" i="17"/>
  <c r="AJ16" i="17"/>
  <c r="AJ17" i="17"/>
  <c r="AJ29" i="17"/>
  <c r="AI14" i="17"/>
  <c r="AI10" i="17"/>
  <c r="AI13" i="17"/>
  <c r="AI15" i="17"/>
  <c r="AI16" i="17"/>
  <c r="AI17" i="17"/>
  <c r="AI29" i="17"/>
  <c r="AH16" i="17"/>
  <c r="AH21" i="17"/>
  <c r="AH55" i="17"/>
  <c r="AH22" i="17"/>
  <c r="AH23" i="17"/>
  <c r="AH24" i="17"/>
  <c r="AH29" i="17"/>
  <c r="AH33" i="17"/>
  <c r="AH34" i="17"/>
  <c r="AH40" i="17"/>
  <c r="AH44" i="17"/>
  <c r="AH45" i="17"/>
  <c r="AH51" i="17"/>
  <c r="AH56" i="17"/>
  <c r="AH62" i="17"/>
  <c r="AH57" i="17"/>
  <c r="AH61" i="17"/>
  <c r="AG14" i="17"/>
  <c r="AG15" i="17"/>
  <c r="AG16" i="17"/>
  <c r="AH17" i="17"/>
  <c r="AG17" i="17"/>
  <c r="AG29" i="17"/>
  <c r="AF14" i="17"/>
  <c r="AF10" i="17"/>
  <c r="AF13" i="17"/>
  <c r="AF15" i="17"/>
  <c r="AF16" i="17"/>
  <c r="AF17" i="17"/>
  <c r="AF29" i="17"/>
  <c r="AE14" i="17"/>
  <c r="AE15" i="17"/>
  <c r="AE16" i="17"/>
  <c r="AE17" i="17"/>
  <c r="AE29" i="17"/>
  <c r="AD14" i="17"/>
  <c r="AD15" i="17"/>
  <c r="AD16" i="17"/>
  <c r="AD17" i="17"/>
  <c r="AD29" i="17"/>
  <c r="AC14" i="17"/>
  <c r="AC15" i="17"/>
  <c r="AC16" i="17"/>
  <c r="AC17" i="17"/>
  <c r="AC29" i="17"/>
  <c r="AB14" i="17"/>
  <c r="AB15" i="17"/>
  <c r="AB16" i="17"/>
  <c r="AB17" i="17"/>
  <c r="AB29" i="17"/>
  <c r="AA14" i="17"/>
  <c r="AA10" i="17"/>
  <c r="AA15" i="17"/>
  <c r="AA16" i="17"/>
  <c r="AA13" i="17"/>
  <c r="AA17" i="17"/>
  <c r="AA29" i="17"/>
  <c r="Z14" i="17"/>
  <c r="Z15" i="17"/>
  <c r="Z16" i="17"/>
  <c r="Z17" i="17"/>
  <c r="Z29" i="17"/>
  <c r="Y14" i="17"/>
  <c r="Y15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7" i="17"/>
  <c r="V29" i="17"/>
  <c r="U14" i="17"/>
  <c r="U10" i="17"/>
  <c r="U15" i="17"/>
  <c r="U16" i="17"/>
  <c r="U13" i="17"/>
  <c r="U17" i="17"/>
  <c r="U29" i="17"/>
  <c r="T14" i="17"/>
  <c r="T15" i="17"/>
  <c r="T16" i="17"/>
  <c r="T17" i="17"/>
  <c r="T29" i="17"/>
  <c r="S14" i="17"/>
  <c r="S15" i="17"/>
  <c r="S16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0" i="17"/>
  <c r="O13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0" i="17"/>
  <c r="L13" i="17"/>
  <c r="L15" i="17"/>
  <c r="L16" i="17"/>
  <c r="L17" i="17"/>
  <c r="L29" i="17"/>
  <c r="K14" i="17"/>
  <c r="K15" i="17"/>
  <c r="K16" i="17"/>
  <c r="K10" i="17"/>
  <c r="K13" i="17"/>
  <c r="K17" i="17"/>
  <c r="K29" i="17"/>
  <c r="J14" i="17"/>
  <c r="J10" i="17"/>
  <c r="J13" i="17"/>
  <c r="J15" i="17"/>
  <c r="J16" i="17"/>
  <c r="J17" i="17"/>
  <c r="J29" i="17"/>
  <c r="I14" i="17"/>
  <c r="I10" i="17"/>
  <c r="I13" i="17"/>
  <c r="I15" i="17"/>
  <c r="I16" i="17"/>
  <c r="I17" i="17"/>
  <c r="I29" i="17"/>
  <c r="H14" i="17"/>
  <c r="H15" i="17"/>
  <c r="H16" i="17"/>
  <c r="H17" i="17"/>
  <c r="H29" i="17"/>
  <c r="G14" i="17"/>
  <c r="G15" i="17"/>
  <c r="G16" i="17"/>
  <c r="G10" i="17"/>
  <c r="G13" i="17"/>
  <c r="G17" i="17"/>
  <c r="G29" i="17"/>
  <c r="F14" i="17"/>
  <c r="F15" i="17"/>
  <c r="F16" i="17"/>
  <c r="F10" i="17"/>
  <c r="F13" i="17"/>
  <c r="F17" i="17"/>
  <c r="F29" i="17"/>
  <c r="E14" i="17"/>
  <c r="E15" i="17"/>
  <c r="E16" i="17"/>
  <c r="E10" i="17"/>
  <c r="E13" i="17"/>
  <c r="E17" i="17"/>
  <c r="E29" i="17"/>
  <c r="D14" i="17"/>
  <c r="D10" i="17"/>
  <c r="D15" i="17"/>
  <c r="D16" i="17"/>
  <c r="D17" i="17"/>
  <c r="D27" i="17"/>
  <c r="D30" i="17"/>
  <c r="D29" i="17"/>
  <c r="AY14" i="18"/>
  <c r="AY15" i="18"/>
  <c r="AY16" i="18"/>
  <c r="AY10" i="18"/>
  <c r="AY13" i="18"/>
  <c r="AY17" i="18"/>
  <c r="AY29" i="18"/>
  <c r="AX14" i="18"/>
  <c r="AX10" i="18"/>
  <c r="AX13" i="18"/>
  <c r="AX15" i="18"/>
  <c r="AX16" i="18"/>
  <c r="AX17" i="18"/>
  <c r="AX29" i="18"/>
  <c r="AW14" i="18"/>
  <c r="AW10" i="18"/>
  <c r="AW13" i="18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6" i="18"/>
  <c r="AT10" i="18"/>
  <c r="AT13" i="18"/>
  <c r="AT17" i="18"/>
  <c r="AT29" i="18"/>
  <c r="AS14" i="18"/>
  <c r="AS15" i="18"/>
  <c r="AS16" i="18"/>
  <c r="AS10" i="18"/>
  <c r="AS13" i="18"/>
  <c r="AS17" i="18"/>
  <c r="AS29" i="18"/>
  <c r="AR14" i="18"/>
  <c r="AR10" i="18"/>
  <c r="AR13" i="18"/>
  <c r="AR15" i="18"/>
  <c r="AR16" i="18"/>
  <c r="AR17" i="18"/>
  <c r="AR29" i="18"/>
  <c r="AQ14" i="18"/>
  <c r="AQ15" i="18"/>
  <c r="AQ16" i="18"/>
  <c r="AQ10" i="18"/>
  <c r="AQ13" i="18"/>
  <c r="AQ17" i="18"/>
  <c r="AQ29" i="18"/>
  <c r="AP16" i="18"/>
  <c r="AP21" i="18"/>
  <c r="AP22" i="18"/>
  <c r="AP24" i="18"/>
  <c r="AP29" i="18"/>
  <c r="AP34" i="18"/>
  <c r="AP40" i="18"/>
  <c r="AP45" i="18"/>
  <c r="AP51" i="18"/>
  <c r="AP56" i="18"/>
  <c r="AP62" i="18"/>
  <c r="AO14" i="18"/>
  <c r="AP15" i="18"/>
  <c r="AO15" i="18"/>
  <c r="AO16" i="18"/>
  <c r="AP17" i="18"/>
  <c r="AO17" i="18"/>
  <c r="AO29" i="18"/>
  <c r="AN14" i="18"/>
  <c r="AN10" i="18"/>
  <c r="AN13" i="18"/>
  <c r="AN15" i="18"/>
  <c r="AN16" i="18"/>
  <c r="AN17" i="18"/>
  <c r="AN29" i="18"/>
  <c r="AM14" i="18"/>
  <c r="AM10" i="18"/>
  <c r="AM13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0" i="18"/>
  <c r="AK13" i="18"/>
  <c r="AL21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0" i="18"/>
  <c r="AH13" i="18"/>
  <c r="AH15" i="18"/>
  <c r="AH16" i="18"/>
  <c r="AH17" i="18"/>
  <c r="AH29" i="18"/>
  <c r="AG14" i="18"/>
  <c r="AG15" i="18"/>
  <c r="AG16" i="18"/>
  <c r="AG10" i="18"/>
  <c r="AG13" i="18"/>
  <c r="AG17" i="18"/>
  <c r="AG29" i="18"/>
  <c r="AF14" i="18"/>
  <c r="AF10" i="18"/>
  <c r="AF13" i="18"/>
  <c r="AF15" i="18"/>
  <c r="AF16" i="18"/>
  <c r="AF17" i="18"/>
  <c r="AF29" i="18"/>
  <c r="AE14" i="18"/>
  <c r="AE10" i="18"/>
  <c r="AE13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0" i="18"/>
  <c r="AC13" i="18"/>
  <c r="AD21" i="18"/>
  <c r="AC17" i="18"/>
  <c r="AC29" i="18"/>
  <c r="AB14" i="18"/>
  <c r="AB15" i="18"/>
  <c r="AB16" i="18"/>
  <c r="AB10" i="18"/>
  <c r="AB13" i="18"/>
  <c r="AB17" i="18"/>
  <c r="AB29" i="18"/>
  <c r="AA14" i="18"/>
  <c r="AA15" i="18"/>
  <c r="AA16" i="18"/>
  <c r="AA10" i="18"/>
  <c r="AA13" i="18"/>
  <c r="AA17" i="18"/>
  <c r="AA29" i="18"/>
  <c r="Z14" i="18"/>
  <c r="Z10" i="18"/>
  <c r="Z13" i="18"/>
  <c r="Z15" i="18"/>
  <c r="Z16" i="18"/>
  <c r="Z17" i="18"/>
  <c r="Z29" i="18"/>
  <c r="Y14" i="18"/>
  <c r="Y15" i="18"/>
  <c r="Y16" i="18"/>
  <c r="Y10" i="18"/>
  <c r="Y13" i="18"/>
  <c r="Y17" i="18"/>
  <c r="Y29" i="18"/>
  <c r="X14" i="18"/>
  <c r="X10" i="18"/>
  <c r="X13" i="18"/>
  <c r="X15" i="18"/>
  <c r="X16" i="18"/>
  <c r="X17" i="18"/>
  <c r="X29" i="18"/>
  <c r="W14" i="18"/>
  <c r="W10" i="18"/>
  <c r="W13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0" i="18"/>
  <c r="U13" i="18"/>
  <c r="V21" i="18"/>
  <c r="U17" i="18"/>
  <c r="U29" i="18"/>
  <c r="T14" i="18"/>
  <c r="T15" i="18"/>
  <c r="T16" i="18"/>
  <c r="T10" i="18"/>
  <c r="T13" i="18"/>
  <c r="T17" i="18"/>
  <c r="T29" i="18"/>
  <c r="S14" i="18"/>
  <c r="S15" i="18"/>
  <c r="S16" i="18"/>
  <c r="S10" i="18"/>
  <c r="S13" i="18"/>
  <c r="S17" i="18"/>
  <c r="S29" i="18"/>
  <c r="R14" i="18"/>
  <c r="R10" i="18"/>
  <c r="R13" i="18"/>
  <c r="R15" i="18"/>
  <c r="R16" i="18"/>
  <c r="R17" i="18"/>
  <c r="R29" i="18"/>
  <c r="Q14" i="18"/>
  <c r="Q15" i="18"/>
  <c r="Q16" i="18"/>
  <c r="Q17" i="18"/>
  <c r="Q29" i="18"/>
  <c r="P14" i="18"/>
  <c r="P10" i="18"/>
  <c r="P13" i="18"/>
  <c r="P15" i="18"/>
  <c r="P16" i="18"/>
  <c r="P17" i="18"/>
  <c r="P29" i="18"/>
  <c r="O14" i="18"/>
  <c r="O15" i="18"/>
  <c r="O16" i="18"/>
  <c r="O17" i="18"/>
  <c r="O29" i="18"/>
  <c r="N17" i="18"/>
  <c r="N21" i="18"/>
  <c r="N55" i="18"/>
  <c r="N57" i="18"/>
  <c r="N22" i="18"/>
  <c r="N23" i="18"/>
  <c r="N24" i="18"/>
  <c r="N29" i="18"/>
  <c r="N33" i="18"/>
  <c r="N35" i="18"/>
  <c r="N34" i="18"/>
  <c r="N40" i="18"/>
  <c r="N44" i="18"/>
  <c r="N46" i="18"/>
  <c r="N45" i="18"/>
  <c r="N51" i="18"/>
  <c r="N56" i="18"/>
  <c r="N62" i="18"/>
  <c r="N61" i="18"/>
  <c r="M14" i="18"/>
  <c r="M10" i="18"/>
  <c r="M13" i="18"/>
  <c r="N14" i="18"/>
  <c r="M15" i="18"/>
  <c r="N16" i="18"/>
  <c r="M16" i="18"/>
  <c r="M17" i="18"/>
  <c r="M29" i="18"/>
  <c r="L14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5" i="18"/>
  <c r="J16" i="18"/>
  <c r="J17" i="18"/>
  <c r="J29" i="18"/>
  <c r="I14" i="18"/>
  <c r="I10" i="18"/>
  <c r="I13" i="18"/>
  <c r="I15" i="18"/>
  <c r="I16" i="18"/>
  <c r="I17" i="18"/>
  <c r="I29" i="18"/>
  <c r="H14" i="18"/>
  <c r="H10" i="18"/>
  <c r="H13" i="18"/>
  <c r="H15" i="18"/>
  <c r="H16" i="18"/>
  <c r="H17" i="18"/>
  <c r="H29" i="18"/>
  <c r="G17" i="18"/>
  <c r="G21" i="18"/>
  <c r="G22" i="18"/>
  <c r="G34" i="18"/>
  <c r="G23" i="18"/>
  <c r="G29" i="18"/>
  <c r="G33" i="18"/>
  <c r="G39" i="18"/>
  <c r="G44" i="18"/>
  <c r="G45" i="18"/>
  <c r="G51" i="18"/>
  <c r="G46" i="18"/>
  <c r="G50" i="18"/>
  <c r="G55" i="18"/>
  <c r="G61" i="18"/>
  <c r="G56" i="18"/>
  <c r="G62" i="18"/>
  <c r="F14" i="18"/>
  <c r="G15" i="18"/>
  <c r="F15" i="18"/>
  <c r="G16" i="18"/>
  <c r="F16" i="18"/>
  <c r="F17" i="18"/>
  <c r="F29" i="18"/>
  <c r="E14" i="18"/>
  <c r="E10" i="18"/>
  <c r="E13" i="18"/>
  <c r="E15" i="18"/>
  <c r="E16" i="18"/>
  <c r="E17" i="18"/>
  <c r="E29" i="18"/>
  <c r="D14" i="18"/>
  <c r="D10" i="18"/>
  <c r="D15" i="18"/>
  <c r="D16" i="18"/>
  <c r="D17" i="18"/>
  <c r="D27" i="18"/>
  <c r="E27" i="18"/>
  <c r="D29" i="18"/>
  <c r="D30" i="18"/>
  <c r="B21" i="17"/>
  <c r="B22" i="17"/>
  <c r="D22" i="17"/>
  <c r="D34" i="17"/>
  <c r="D40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F27" i="18"/>
  <c r="E30" i="18"/>
  <c r="AH22" i="18"/>
  <c r="AH21" i="18"/>
  <c r="F21" i="18"/>
  <c r="G35" i="18"/>
  <c r="G40" i="18"/>
  <c r="J21" i="18"/>
  <c r="N10" i="18"/>
  <c r="N13" i="18"/>
  <c r="Q22" i="18"/>
  <c r="Q21" i="18"/>
  <c r="V33" i="18"/>
  <c r="V44" i="18"/>
  <c r="V55" i="18"/>
  <c r="V23" i="18"/>
  <c r="AA21" i="18"/>
  <c r="AA22" i="18"/>
  <c r="AG22" i="18"/>
  <c r="AG21" i="18"/>
  <c r="AL33" i="18"/>
  <c r="AL44" i="18"/>
  <c r="AL55" i="18"/>
  <c r="AL23" i="18"/>
  <c r="AS21" i="18"/>
  <c r="AS22" i="18"/>
  <c r="AY21" i="18"/>
  <c r="G22" i="17"/>
  <c r="G21" i="17"/>
  <c r="N22" i="17"/>
  <c r="N21" i="17"/>
  <c r="D44" i="18"/>
  <c r="D23" i="18"/>
  <c r="D33" i="18"/>
  <c r="D55" i="18"/>
  <c r="D13" i="18"/>
  <c r="I21" i="18"/>
  <c r="U22" i="18"/>
  <c r="U21" i="18"/>
  <c r="AB21" i="18"/>
  <c r="AF21" i="18"/>
  <c r="AF22" i="18"/>
  <c r="AK21" i="18"/>
  <c r="AT21" i="18"/>
  <c r="AT22" i="18"/>
  <c r="AX21" i="18"/>
  <c r="K22" i="17"/>
  <c r="K21" i="17"/>
  <c r="T21" i="18"/>
  <c r="X21" i="18"/>
  <c r="X22" i="18"/>
  <c r="Z21" i="18"/>
  <c r="AC22" i="18"/>
  <c r="AC21" i="18"/>
  <c r="AJ21" i="18"/>
  <c r="AN21" i="18"/>
  <c r="AN22" i="18"/>
  <c r="AR21" i="18"/>
  <c r="AU22" i="18"/>
  <c r="AU21" i="18"/>
  <c r="M21" i="17"/>
  <c r="M22" i="17"/>
  <c r="P22" i="17"/>
  <c r="P21" i="17"/>
  <c r="L21" i="18"/>
  <c r="S21" i="18"/>
  <c r="S22" i="18"/>
  <c r="Y21" i="18"/>
  <c r="AD33" i="18"/>
  <c r="AD44" i="18"/>
  <c r="AD55" i="18"/>
  <c r="AD23" i="18"/>
  <c r="AI21" i="18"/>
  <c r="AI22" i="18"/>
  <c r="AO21" i="18"/>
  <c r="F21" i="17"/>
  <c r="F22" i="17"/>
  <c r="J21" i="17"/>
  <c r="J22" i="17"/>
  <c r="L22" i="17"/>
  <c r="L21" i="17"/>
  <c r="AO22" i="17"/>
  <c r="AO21" i="17"/>
  <c r="F10" i="18"/>
  <c r="F13" i="18"/>
  <c r="G14" i="18"/>
  <c r="G10" i="18"/>
  <c r="G13" i="18"/>
  <c r="N50" i="18"/>
  <c r="H22" i="17"/>
  <c r="H21" i="17"/>
  <c r="AG10" i="17"/>
  <c r="AG13" i="17"/>
  <c r="AH14" i="17"/>
  <c r="AH10" i="17"/>
  <c r="AH13" i="17"/>
  <c r="AH15" i="17"/>
  <c r="AZ17" i="18"/>
  <c r="G57" i="18"/>
  <c r="G24" i="18"/>
  <c r="N15" i="18"/>
  <c r="AO10" i="18"/>
  <c r="AO13" i="18"/>
  <c r="AP14" i="18"/>
  <c r="AP10" i="18"/>
  <c r="AP13" i="18"/>
  <c r="D21" i="17"/>
  <c r="E27" i="17"/>
  <c r="AB21" i="17"/>
  <c r="AB10" i="17"/>
  <c r="AB13" i="17"/>
  <c r="AH50" i="17"/>
  <c r="AH46" i="17"/>
  <c r="AQ22" i="17"/>
  <c r="S31" i="20"/>
  <c r="T32" i="20"/>
  <c r="S7" i="20"/>
  <c r="H7" i="20"/>
  <c r="D24" i="17"/>
  <c r="AP33" i="18"/>
  <c r="AP44" i="18"/>
  <c r="AP55" i="18"/>
  <c r="D45" i="17"/>
  <c r="D51" i="17"/>
  <c r="S22" i="17"/>
  <c r="S21" i="17"/>
  <c r="V22" i="17"/>
  <c r="V21" i="17"/>
  <c r="AQ21" i="17"/>
  <c r="D259" i="15"/>
  <c r="AZ259" i="15"/>
  <c r="BA14" i="15"/>
  <c r="AD22" i="18"/>
  <c r="AL22" i="18"/>
  <c r="AV21" i="18"/>
  <c r="D56" i="17"/>
  <c r="D62" i="17"/>
  <c r="D13" i="17"/>
  <c r="AG22" i="17"/>
  <c r="AG21" i="17"/>
  <c r="AJ22" i="17"/>
  <c r="AJ21" i="17"/>
  <c r="AM22" i="17"/>
  <c r="AM21" i="17"/>
  <c r="AT10" i="17"/>
  <c r="AT13" i="17"/>
  <c r="D259" i="16"/>
  <c r="AZ259" i="16"/>
  <c r="BA14" i="16"/>
  <c r="J10" i="18"/>
  <c r="J13" i="18"/>
  <c r="L10" i="18"/>
  <c r="L13" i="18"/>
  <c r="N39" i="18"/>
  <c r="O10" i="18"/>
  <c r="O13" i="18"/>
  <c r="Q10" i="18"/>
  <c r="Q13" i="18"/>
  <c r="V10" i="18"/>
  <c r="V13" i="18"/>
  <c r="AD10" i="18"/>
  <c r="AD13" i="18"/>
  <c r="AL10" i="18"/>
  <c r="AL13" i="18"/>
  <c r="AP23" i="18"/>
  <c r="AV10" i="18"/>
  <c r="AV13" i="18"/>
  <c r="H10" i="17"/>
  <c r="H13" i="17"/>
  <c r="N10" i="17"/>
  <c r="N13" i="17"/>
  <c r="P10" i="17"/>
  <c r="P13" i="17"/>
  <c r="S10" i="17"/>
  <c r="S13" i="17"/>
  <c r="Y22" i="17"/>
  <c r="Y21" i="17"/>
  <c r="AB22" i="17"/>
  <c r="AC10" i="17"/>
  <c r="AC13" i="17"/>
  <c r="AD10" i="17"/>
  <c r="AD13" i="17"/>
  <c r="AH35" i="17"/>
  <c r="AH39" i="17"/>
  <c r="AK10" i="17"/>
  <c r="AK13" i="17"/>
  <c r="S8" i="20"/>
  <c r="H8" i="20"/>
  <c r="S9" i="20"/>
  <c r="H9" i="20"/>
  <c r="Q10" i="17"/>
  <c r="Q13" i="17"/>
  <c r="T10" i="17"/>
  <c r="T13" i="17"/>
  <c r="V10" i="17"/>
  <c r="V13" i="17"/>
  <c r="Y10" i="17"/>
  <c r="Y13" i="17"/>
  <c r="AR10" i="17"/>
  <c r="AR13" i="17"/>
  <c r="AV10" i="17"/>
  <c r="AV13" i="17"/>
  <c r="AZ17" i="17"/>
  <c r="W10" i="17"/>
  <c r="W13" i="17"/>
  <c r="Z10" i="17"/>
  <c r="Z13" i="17"/>
  <c r="AE10" i="17"/>
  <c r="AE13" i="17"/>
  <c r="AJ10" i="17"/>
  <c r="AJ13" i="17"/>
  <c r="AM10" i="17"/>
  <c r="AM13" i="17"/>
  <c r="L260" i="16"/>
  <c r="L260" i="15"/>
  <c r="AT260" i="15"/>
  <c r="S10" i="20"/>
  <c r="H10" i="20"/>
  <c r="AO10" i="17"/>
  <c r="AO13" i="17"/>
  <c r="AQ10" i="17"/>
  <c r="AQ13" i="17"/>
  <c r="AS10" i="17"/>
  <c r="AS13" i="17"/>
  <c r="AU10" i="17"/>
  <c r="AU13" i="17"/>
  <c r="AW10" i="17"/>
  <c r="AW13" i="17"/>
  <c r="AB260" i="16"/>
  <c r="N260" i="15"/>
  <c r="AZ260" i="15"/>
  <c r="AR260" i="15"/>
  <c r="D259" i="14"/>
  <c r="AZ259" i="14"/>
  <c r="BA14" i="14"/>
  <c r="AX10" i="17"/>
  <c r="AX13" i="17"/>
  <c r="AB260" i="14"/>
  <c r="AD260" i="14"/>
  <c r="J260" i="16"/>
  <c r="AZ260" i="16"/>
  <c r="R260" i="16"/>
  <c r="Z260" i="16"/>
  <c r="AH260" i="16"/>
  <c r="AP260" i="16"/>
  <c r="AX260" i="16"/>
  <c r="J260" i="15"/>
  <c r="R260" i="15"/>
  <c r="Z260" i="15"/>
  <c r="AH260" i="15"/>
  <c r="AP260" i="15"/>
  <c r="AX260" i="15"/>
  <c r="J260" i="14"/>
  <c r="AZ260" i="14"/>
  <c r="R260" i="14"/>
  <c r="Z260" i="14"/>
  <c r="AH260" i="14"/>
  <c r="AP260" i="14"/>
  <c r="AX260" i="14"/>
  <c r="S36" i="20"/>
  <c r="T43" i="20"/>
  <c r="B22" i="18"/>
  <c r="D22" i="18"/>
  <c r="AV22" i="17"/>
  <c r="AV21" i="17"/>
  <c r="AA22" i="17"/>
  <c r="AA21" i="17"/>
  <c r="R22" i="17"/>
  <c r="R21" i="17"/>
  <c r="Y45" i="17"/>
  <c r="Y51" i="17"/>
  <c r="Y34" i="17"/>
  <c r="Y40" i="17"/>
  <c r="Y56" i="17"/>
  <c r="Y62" i="17"/>
  <c r="Y24" i="17"/>
  <c r="I21" i="17"/>
  <c r="I22" i="17"/>
  <c r="AE21" i="18"/>
  <c r="AE22" i="18"/>
  <c r="AM45" i="17"/>
  <c r="AM51" i="17"/>
  <c r="AM24" i="17"/>
  <c r="AM56" i="17"/>
  <c r="AM62" i="17"/>
  <c r="AM34" i="17"/>
  <c r="AM40" i="17"/>
  <c r="V45" i="17"/>
  <c r="V51" i="17"/>
  <c r="V24" i="17"/>
  <c r="V56" i="17"/>
  <c r="V62" i="17"/>
  <c r="V34" i="17"/>
  <c r="V40" i="17"/>
  <c r="T11" i="20"/>
  <c r="T45" i="20"/>
  <c r="F24" i="17"/>
  <c r="F45" i="17"/>
  <c r="F51" i="17"/>
  <c r="F34" i="17"/>
  <c r="F40" i="17"/>
  <c r="F56" i="17"/>
  <c r="F62" i="17"/>
  <c r="AI24" i="18"/>
  <c r="AI56" i="18"/>
  <c r="AI62" i="18"/>
  <c r="AI45" i="18"/>
  <c r="AI51" i="18"/>
  <c r="AI34" i="18"/>
  <c r="AI40" i="18"/>
  <c r="AD50" i="18"/>
  <c r="AD46" i="18"/>
  <c r="P55" i="17"/>
  <c r="P33" i="17"/>
  <c r="P44" i="17"/>
  <c r="P23" i="17"/>
  <c r="AU33" i="18"/>
  <c r="AU23" i="18"/>
  <c r="AU55" i="18"/>
  <c r="AU44" i="18"/>
  <c r="AN24" i="18"/>
  <c r="AN45" i="18"/>
  <c r="AN51" i="18"/>
  <c r="AN34" i="18"/>
  <c r="AN40" i="18"/>
  <c r="AN56" i="18"/>
  <c r="AN62" i="18"/>
  <c r="AC33" i="18"/>
  <c r="AC23" i="18"/>
  <c r="AC44" i="18"/>
  <c r="AC55" i="18"/>
  <c r="X24" i="18"/>
  <c r="X45" i="18"/>
  <c r="X51" i="18"/>
  <c r="X56" i="18"/>
  <c r="X62" i="18"/>
  <c r="X34" i="18"/>
  <c r="X40" i="18"/>
  <c r="AT24" i="18"/>
  <c r="AT45" i="18"/>
  <c r="AT51" i="18"/>
  <c r="AT34" i="18"/>
  <c r="AT40" i="18"/>
  <c r="AT56" i="18"/>
  <c r="AT62" i="18"/>
  <c r="AF24" i="18"/>
  <c r="AF45" i="18"/>
  <c r="AF51" i="18"/>
  <c r="AF34" i="18"/>
  <c r="AF40" i="18"/>
  <c r="AF56" i="18"/>
  <c r="AF62" i="18"/>
  <c r="U33" i="18"/>
  <c r="U23" i="18"/>
  <c r="U44" i="18"/>
  <c r="U55" i="18"/>
  <c r="E21" i="18"/>
  <c r="E22" i="18"/>
  <c r="N45" i="17"/>
  <c r="N51" i="17"/>
  <c r="N24" i="17"/>
  <c r="N56" i="17"/>
  <c r="N62" i="17"/>
  <c r="N34" i="17"/>
  <c r="N40" i="17"/>
  <c r="AY33" i="18"/>
  <c r="AY23" i="18"/>
  <c r="AY44" i="18"/>
  <c r="AY55" i="18"/>
  <c r="AL57" i="18"/>
  <c r="AL61" i="18"/>
  <c r="AG24" i="18"/>
  <c r="AG34" i="18"/>
  <c r="AG40" i="18"/>
  <c r="AG45" i="18"/>
  <c r="AG51" i="18"/>
  <c r="AG56" i="18"/>
  <c r="AG62" i="18"/>
  <c r="V61" i="18"/>
  <c r="Q45" i="18"/>
  <c r="Q51" i="18"/>
  <c r="Q34" i="18"/>
  <c r="Q40" i="18"/>
  <c r="Q24" i="18"/>
  <c r="Q56" i="18"/>
  <c r="Q62" i="18"/>
  <c r="AH33" i="18"/>
  <c r="AH44" i="18"/>
  <c r="AH55" i="18"/>
  <c r="AH23" i="18"/>
  <c r="AN22" i="17"/>
  <c r="AN21" i="17"/>
  <c r="Z22" i="17"/>
  <c r="Z21" i="17"/>
  <c r="AD22" i="17"/>
  <c r="AD21" i="17"/>
  <c r="T22" i="17"/>
  <c r="T21" i="17"/>
  <c r="AW21" i="18"/>
  <c r="AW22" i="18"/>
  <c r="M22" i="18"/>
  <c r="M21" i="18"/>
  <c r="AJ55" i="17"/>
  <c r="AJ23" i="17"/>
  <c r="AJ33" i="17"/>
  <c r="AJ44" i="17"/>
  <c r="E21" i="17"/>
  <c r="E22" i="17"/>
  <c r="AD24" i="18"/>
  <c r="AD45" i="18"/>
  <c r="AD51" i="18"/>
  <c r="AD34" i="18"/>
  <c r="AD40" i="18"/>
  <c r="AD56" i="18"/>
  <c r="AD62" i="18"/>
  <c r="S55" i="17"/>
  <c r="S23" i="17"/>
  <c r="S33" i="17"/>
  <c r="S44" i="17"/>
  <c r="AP57" i="18"/>
  <c r="AP61" i="18"/>
  <c r="AC22" i="17"/>
  <c r="AC21" i="17"/>
  <c r="AQ22" i="18"/>
  <c r="AQ21" i="18"/>
  <c r="H24" i="17"/>
  <c r="H45" i="17"/>
  <c r="H51" i="17"/>
  <c r="H34" i="17"/>
  <c r="H40" i="17"/>
  <c r="H56" i="17"/>
  <c r="H62" i="17"/>
  <c r="L24" i="17"/>
  <c r="L45" i="17"/>
  <c r="L51" i="17"/>
  <c r="L34" i="17"/>
  <c r="L40" i="17"/>
  <c r="L56" i="17"/>
  <c r="L62" i="17"/>
  <c r="F33" i="17"/>
  <c r="F23" i="17"/>
  <c r="F55" i="17"/>
  <c r="F44" i="17"/>
  <c r="AD39" i="18"/>
  <c r="P45" i="17"/>
  <c r="P51" i="17"/>
  <c r="P24" i="17"/>
  <c r="P56" i="17"/>
  <c r="P62" i="17"/>
  <c r="P34" i="17"/>
  <c r="P40" i="17"/>
  <c r="AU24" i="18"/>
  <c r="AU34" i="18"/>
  <c r="AU40" i="18"/>
  <c r="AU45" i="18"/>
  <c r="AU51" i="18"/>
  <c r="AU56" i="18"/>
  <c r="AU62" i="18"/>
  <c r="AC24" i="18"/>
  <c r="AC34" i="18"/>
  <c r="AC40" i="18"/>
  <c r="AC45" i="18"/>
  <c r="AC51" i="18"/>
  <c r="AC56" i="18"/>
  <c r="AC62" i="18"/>
  <c r="X33" i="18"/>
  <c r="X23" i="18"/>
  <c r="X55" i="18"/>
  <c r="X44" i="18"/>
  <c r="K24" i="17"/>
  <c r="K34" i="17"/>
  <c r="K40" i="17"/>
  <c r="K45" i="17"/>
  <c r="K51" i="17"/>
  <c r="K56" i="17"/>
  <c r="K62" i="17"/>
  <c r="AT33" i="18"/>
  <c r="AT23" i="18"/>
  <c r="AT55" i="18"/>
  <c r="AT44" i="18"/>
  <c r="U24" i="18"/>
  <c r="U34" i="18"/>
  <c r="U40" i="18"/>
  <c r="U45" i="18"/>
  <c r="U51" i="18"/>
  <c r="U56" i="18"/>
  <c r="U62" i="18"/>
  <c r="AZ10" i="18"/>
  <c r="D46" i="18"/>
  <c r="D50" i="18"/>
  <c r="G33" i="17"/>
  <c r="G23" i="17"/>
  <c r="G55" i="17"/>
  <c r="G44" i="17"/>
  <c r="AS24" i="18"/>
  <c r="AS56" i="18"/>
  <c r="AS62" i="18"/>
  <c r="AS45" i="18"/>
  <c r="AS51" i="18"/>
  <c r="AS34" i="18"/>
  <c r="AS40" i="18"/>
  <c r="AL50" i="18"/>
  <c r="AA24" i="18"/>
  <c r="AA56" i="18"/>
  <c r="AA62" i="18"/>
  <c r="AA45" i="18"/>
  <c r="AA51" i="18"/>
  <c r="AA34" i="18"/>
  <c r="AA40" i="18"/>
  <c r="V50" i="18"/>
  <c r="O22" i="18"/>
  <c r="O21" i="18"/>
  <c r="AH24" i="18"/>
  <c r="AH45" i="18"/>
  <c r="AH51" i="18"/>
  <c r="AH34" i="18"/>
  <c r="AH40" i="18"/>
  <c r="AH56" i="18"/>
  <c r="AH62" i="18"/>
  <c r="D34" i="18"/>
  <c r="D40" i="18"/>
  <c r="D45" i="18"/>
  <c r="D51" i="18"/>
  <c r="D56" i="18"/>
  <c r="D62" i="18"/>
  <c r="D24" i="18"/>
  <c r="AR22" i="17"/>
  <c r="AR21" i="17"/>
  <c r="AK22" i="17"/>
  <c r="AK21" i="17"/>
  <c r="W22" i="17"/>
  <c r="W21" i="17"/>
  <c r="AB45" i="17"/>
  <c r="AB51" i="17"/>
  <c r="AB24" i="17"/>
  <c r="AB56" i="17"/>
  <c r="AB62" i="17"/>
  <c r="AB34" i="17"/>
  <c r="AB40" i="17"/>
  <c r="Q22" i="17"/>
  <c r="Q21" i="17"/>
  <c r="R22" i="18"/>
  <c r="R21" i="18"/>
  <c r="K22" i="18"/>
  <c r="K21" i="18"/>
  <c r="AU22" i="17"/>
  <c r="AU21" i="17"/>
  <c r="AJ45" i="17"/>
  <c r="AJ51" i="17"/>
  <c r="AJ56" i="17"/>
  <c r="AJ62" i="17"/>
  <c r="AJ24" i="17"/>
  <c r="AJ34" i="17"/>
  <c r="AJ40" i="17"/>
  <c r="V22" i="18"/>
  <c r="AQ23" i="17"/>
  <c r="AQ55" i="17"/>
  <c r="AQ44" i="17"/>
  <c r="AQ33" i="17"/>
  <c r="S45" i="17"/>
  <c r="S51" i="17"/>
  <c r="S34" i="17"/>
  <c r="S40" i="17"/>
  <c r="S56" i="17"/>
  <c r="S62" i="17"/>
  <c r="S24" i="17"/>
  <c r="AP50" i="18"/>
  <c r="AP46" i="18"/>
  <c r="AQ56" i="17"/>
  <c r="AQ62" i="17"/>
  <c r="AQ45" i="17"/>
  <c r="AQ51" i="17"/>
  <c r="AQ24" i="17"/>
  <c r="AQ34" i="17"/>
  <c r="AQ40" i="17"/>
  <c r="AB55" i="17"/>
  <c r="AB33" i="17"/>
  <c r="AB44" i="17"/>
  <c r="AB23" i="17"/>
  <c r="AO23" i="17"/>
  <c r="AO55" i="17"/>
  <c r="AO33" i="17"/>
  <c r="AO44" i="17"/>
  <c r="J24" i="17"/>
  <c r="J45" i="17"/>
  <c r="J51" i="17"/>
  <c r="J34" i="17"/>
  <c r="J40" i="17"/>
  <c r="J56" i="17"/>
  <c r="J62" i="17"/>
  <c r="AO22" i="18"/>
  <c r="Y33" i="18"/>
  <c r="Y23" i="18"/>
  <c r="Y44" i="18"/>
  <c r="Y55" i="18"/>
  <c r="L55" i="18"/>
  <c r="L23" i="18"/>
  <c r="L33" i="18"/>
  <c r="L44" i="18"/>
  <c r="M24" i="17"/>
  <c r="M56" i="17"/>
  <c r="M62" i="17"/>
  <c r="M34" i="17"/>
  <c r="M40" i="17"/>
  <c r="M45" i="17"/>
  <c r="M51" i="17"/>
  <c r="AR33" i="18"/>
  <c r="AR44" i="18"/>
  <c r="AR55" i="18"/>
  <c r="AR23" i="18"/>
  <c r="AJ33" i="18"/>
  <c r="AJ23" i="18"/>
  <c r="AJ55" i="18"/>
  <c r="AJ44" i="18"/>
  <c r="Z33" i="18"/>
  <c r="Z44" i="18"/>
  <c r="Z55" i="18"/>
  <c r="Z23" i="18"/>
  <c r="T22" i="18"/>
  <c r="AX22" i="18"/>
  <c r="AK33" i="18"/>
  <c r="AK23" i="18"/>
  <c r="AK44" i="18"/>
  <c r="AK55" i="18"/>
  <c r="AB22" i="18"/>
  <c r="I23" i="18"/>
  <c r="I44" i="18"/>
  <c r="I33" i="18"/>
  <c r="I55" i="18"/>
  <c r="D61" i="18"/>
  <c r="D57" i="18"/>
  <c r="G24" i="17"/>
  <c r="G34" i="17"/>
  <c r="G40" i="17"/>
  <c r="G45" i="17"/>
  <c r="G51" i="17"/>
  <c r="G56" i="17"/>
  <c r="G62" i="17"/>
  <c r="AS33" i="18"/>
  <c r="AS44" i="18"/>
  <c r="AS23" i="18"/>
  <c r="AS55" i="18"/>
  <c r="AL39" i="18"/>
  <c r="AA33" i="18"/>
  <c r="AA44" i="18"/>
  <c r="AA23" i="18"/>
  <c r="AA55" i="18"/>
  <c r="V39" i="18"/>
  <c r="J55" i="18"/>
  <c r="J23" i="18"/>
  <c r="J33" i="18"/>
  <c r="J44" i="18"/>
  <c r="F22" i="18"/>
  <c r="AY21" i="17"/>
  <c r="AY22" i="17"/>
  <c r="AS22" i="17"/>
  <c r="AS21" i="17"/>
  <c r="AE22" i="17"/>
  <c r="AE21" i="17"/>
  <c r="AG45" i="17"/>
  <c r="AG51" i="17"/>
  <c r="AG34" i="17"/>
  <c r="AG40" i="17"/>
  <c r="AG24" i="17"/>
  <c r="AG56" i="17"/>
  <c r="AG62" i="17"/>
  <c r="AL24" i="18"/>
  <c r="AL45" i="18"/>
  <c r="AL51" i="18"/>
  <c r="AL34" i="18"/>
  <c r="AL40" i="18"/>
  <c r="AL56" i="18"/>
  <c r="AL62" i="18"/>
  <c r="D33" i="17"/>
  <c r="D44" i="17"/>
  <c r="D55" i="17"/>
  <c r="D23" i="17"/>
  <c r="H33" i="17"/>
  <c r="H44" i="17"/>
  <c r="H55" i="17"/>
  <c r="H23" i="17"/>
  <c r="L33" i="17"/>
  <c r="L44" i="17"/>
  <c r="L55" i="17"/>
  <c r="L23" i="17"/>
  <c r="S24" i="18"/>
  <c r="S56" i="18"/>
  <c r="S62" i="18"/>
  <c r="S45" i="18"/>
  <c r="S51" i="18"/>
  <c r="S34" i="18"/>
  <c r="S40" i="18"/>
  <c r="K33" i="17"/>
  <c r="K23" i="17"/>
  <c r="K44" i="17"/>
  <c r="K55" i="17"/>
  <c r="AT22" i="17"/>
  <c r="AT21" i="17"/>
  <c r="X22" i="17"/>
  <c r="X21" i="17"/>
  <c r="AL22" i="17"/>
  <c r="AL21" i="17"/>
  <c r="W21" i="18"/>
  <c r="W22" i="18"/>
  <c r="H21" i="18"/>
  <c r="H22" i="18"/>
  <c r="AI33" i="18"/>
  <c r="AI44" i="18"/>
  <c r="AI55" i="18"/>
  <c r="AI23" i="18"/>
  <c r="S33" i="18"/>
  <c r="S44" i="18"/>
  <c r="S23" i="18"/>
  <c r="S55" i="18"/>
  <c r="AN33" i="18"/>
  <c r="AN23" i="18"/>
  <c r="AN55" i="18"/>
  <c r="AN44" i="18"/>
  <c r="AF33" i="18"/>
  <c r="AF23" i="18"/>
  <c r="AF55" i="18"/>
  <c r="AF44" i="18"/>
  <c r="AX22" i="17"/>
  <c r="AX21" i="17"/>
  <c r="AP22" i="17"/>
  <c r="AP21" i="17"/>
  <c r="AF22" i="17"/>
  <c r="AF21" i="17"/>
  <c r="AW22" i="17"/>
  <c r="AW21" i="17"/>
  <c r="U22" i="17"/>
  <c r="U21" i="17"/>
  <c r="Y55" i="17"/>
  <c r="Y23" i="17"/>
  <c r="Y33" i="17"/>
  <c r="Y44" i="17"/>
  <c r="O22" i="17"/>
  <c r="O21" i="17"/>
  <c r="AM21" i="18"/>
  <c r="AM22" i="18"/>
  <c r="P22" i="18"/>
  <c r="P21" i="18"/>
  <c r="AM55" i="17"/>
  <c r="AM33" i="17"/>
  <c r="AM44" i="17"/>
  <c r="AM23" i="17"/>
  <c r="AG55" i="17"/>
  <c r="AG33" i="17"/>
  <c r="AG23" i="17"/>
  <c r="AG44" i="17"/>
  <c r="AV33" i="18"/>
  <c r="AV44" i="18"/>
  <c r="AV55" i="18"/>
  <c r="AV23" i="18"/>
  <c r="V55" i="17"/>
  <c r="V33" i="17"/>
  <c r="V44" i="17"/>
  <c r="V23" i="17"/>
  <c r="AZ10" i="17"/>
  <c r="AP35" i="18"/>
  <c r="AP39" i="18"/>
  <c r="F27" i="17"/>
  <c r="E30" i="17"/>
  <c r="AI22" i="17"/>
  <c r="AI21" i="17"/>
  <c r="AV22" i="18"/>
  <c r="AO45" i="17"/>
  <c r="AO51" i="17"/>
  <c r="AO24" i="17"/>
  <c r="AO56" i="17"/>
  <c r="AO62" i="17"/>
  <c r="AO34" i="17"/>
  <c r="AO40" i="17"/>
  <c r="J33" i="17"/>
  <c r="J23" i="17"/>
  <c r="J55" i="17"/>
  <c r="J44" i="17"/>
  <c r="AO33" i="18"/>
  <c r="AO23" i="18"/>
  <c r="AO44" i="18"/>
  <c r="AO55" i="18"/>
  <c r="AD57" i="18"/>
  <c r="AD61" i="18"/>
  <c r="Y22" i="18"/>
  <c r="L22" i="18"/>
  <c r="M33" i="17"/>
  <c r="M44" i="17"/>
  <c r="M23" i="17"/>
  <c r="M55" i="17"/>
  <c r="AR22" i="18"/>
  <c r="AJ22" i="18"/>
  <c r="Z22" i="18"/>
  <c r="T33" i="18"/>
  <c r="T23" i="18"/>
  <c r="T55" i="18"/>
  <c r="T44" i="18"/>
  <c r="AX33" i="18"/>
  <c r="AX23" i="18"/>
  <c r="AX55" i="18"/>
  <c r="AX44" i="18"/>
  <c r="AK22" i="18"/>
  <c r="AB33" i="18"/>
  <c r="AB23" i="18"/>
  <c r="AB55" i="18"/>
  <c r="AB44" i="18"/>
  <c r="I22" i="18"/>
  <c r="D39" i="18"/>
  <c r="D35" i="18"/>
  <c r="N55" i="17"/>
  <c r="N33" i="17"/>
  <c r="N44" i="17"/>
  <c r="N23" i="17"/>
  <c r="AY22" i="18"/>
  <c r="AG33" i="18"/>
  <c r="AG23" i="18"/>
  <c r="AG44" i="18"/>
  <c r="AG55" i="18"/>
  <c r="Q55" i="18"/>
  <c r="Q23" i="18"/>
  <c r="Q33" i="18"/>
  <c r="Q44" i="18"/>
  <c r="J22" i="18"/>
  <c r="F44" i="18"/>
  <c r="F23" i="18"/>
  <c r="F33" i="18"/>
  <c r="F55" i="18"/>
  <c r="G27" i="18"/>
  <c r="F30" i="18"/>
  <c r="AG50" i="18"/>
  <c r="AG46" i="18"/>
  <c r="T50" i="18"/>
  <c r="Y24" i="18"/>
  <c r="Y34" i="18"/>
  <c r="Y40" i="18"/>
  <c r="Y45" i="18"/>
  <c r="Y51" i="18"/>
  <c r="Y56" i="18"/>
  <c r="Y62" i="18"/>
  <c r="J57" i="17"/>
  <c r="J61" i="17"/>
  <c r="AI55" i="17"/>
  <c r="AI33" i="17"/>
  <c r="AI44" i="17"/>
  <c r="AI23" i="17"/>
  <c r="V46" i="17"/>
  <c r="V50" i="17"/>
  <c r="P45" i="18"/>
  <c r="P51" i="18"/>
  <c r="P56" i="18"/>
  <c r="P62" i="18"/>
  <c r="P34" i="18"/>
  <c r="P40" i="18"/>
  <c r="P24" i="18"/>
  <c r="AW56" i="17"/>
  <c r="AW62" i="17"/>
  <c r="AW45" i="17"/>
  <c r="AW51" i="17"/>
  <c r="AW24" i="17"/>
  <c r="AW34" i="17"/>
  <c r="AW40" i="17"/>
  <c r="AF57" i="18"/>
  <c r="AF61" i="18"/>
  <c r="AI57" i="18"/>
  <c r="AI61" i="18"/>
  <c r="AT56" i="17"/>
  <c r="AT62" i="17"/>
  <c r="AT45" i="17"/>
  <c r="AT51" i="17"/>
  <c r="AT24" i="17"/>
  <c r="AT34" i="17"/>
  <c r="AT40" i="17"/>
  <c r="F34" i="18"/>
  <c r="F40" i="18"/>
  <c r="F45" i="18"/>
  <c r="F51" i="18"/>
  <c r="F56" i="18"/>
  <c r="F62" i="18"/>
  <c r="F24" i="18"/>
  <c r="AK61" i="18"/>
  <c r="AO35" i="17"/>
  <c r="AO39" i="17"/>
  <c r="K55" i="18"/>
  <c r="K23" i="18"/>
  <c r="K33" i="18"/>
  <c r="K44" i="18"/>
  <c r="F50" i="17"/>
  <c r="F46" i="17"/>
  <c r="AQ33" i="18"/>
  <c r="AQ23" i="18"/>
  <c r="AQ44" i="18"/>
  <c r="AQ55" i="18"/>
  <c r="S35" i="17"/>
  <c r="S39" i="17"/>
  <c r="AJ61" i="17"/>
  <c r="AJ57" i="17"/>
  <c r="AD45" i="17"/>
  <c r="AD51" i="17"/>
  <c r="AD24" i="17"/>
  <c r="AD56" i="17"/>
  <c r="AD62" i="17"/>
  <c r="AD34" i="17"/>
  <c r="AD40" i="17"/>
  <c r="R45" i="17"/>
  <c r="R51" i="17"/>
  <c r="R24" i="17"/>
  <c r="R56" i="17"/>
  <c r="R62" i="17"/>
  <c r="R34" i="17"/>
  <c r="R40" i="17"/>
  <c r="N50" i="17"/>
  <c r="N46" i="17"/>
  <c r="T61" i="18"/>
  <c r="V35" i="17"/>
  <c r="V39" i="17"/>
  <c r="AM35" i="17"/>
  <c r="AM39" i="17"/>
  <c r="AF55" i="17"/>
  <c r="AF33" i="17"/>
  <c r="AF44" i="17"/>
  <c r="AF23" i="17"/>
  <c r="S50" i="18"/>
  <c r="S46" i="18"/>
  <c r="X55" i="17"/>
  <c r="X33" i="17"/>
  <c r="X44" i="17"/>
  <c r="X23" i="17"/>
  <c r="K57" i="17"/>
  <c r="K61" i="17"/>
  <c r="J50" i="18"/>
  <c r="AA50" i="18"/>
  <c r="AA46" i="18"/>
  <c r="AK50" i="18"/>
  <c r="AJ35" i="18"/>
  <c r="AJ39" i="18"/>
  <c r="AB35" i="17"/>
  <c r="AB39" i="17"/>
  <c r="AQ39" i="17"/>
  <c r="AQ35" i="17"/>
  <c r="K45" i="18"/>
  <c r="K51" i="18"/>
  <c r="K24" i="18"/>
  <c r="K56" i="18"/>
  <c r="K62" i="18"/>
  <c r="K34" i="18"/>
  <c r="K40" i="18"/>
  <c r="AK45" i="17"/>
  <c r="AK51" i="17"/>
  <c r="AK24" i="17"/>
  <c r="AK56" i="17"/>
  <c r="AK62" i="17"/>
  <c r="AK34" i="17"/>
  <c r="AK40" i="17"/>
  <c r="O55" i="18"/>
  <c r="O23" i="18"/>
  <c r="O33" i="18"/>
  <c r="O44" i="18"/>
  <c r="X35" i="18"/>
  <c r="X39" i="18"/>
  <c r="AQ24" i="18"/>
  <c r="AQ34" i="18"/>
  <c r="AQ40" i="18"/>
  <c r="AQ45" i="18"/>
  <c r="AQ51" i="18"/>
  <c r="AQ56" i="18"/>
  <c r="AQ62" i="18"/>
  <c r="M55" i="18"/>
  <c r="M23" i="18"/>
  <c r="M44" i="18"/>
  <c r="M33" i="18"/>
  <c r="U50" i="18"/>
  <c r="U46" i="18"/>
  <c r="AU57" i="18"/>
  <c r="AU61" i="18"/>
  <c r="F61" i="18"/>
  <c r="F57" i="18"/>
  <c r="AG35" i="18"/>
  <c r="AG39" i="18"/>
  <c r="AB35" i="18"/>
  <c r="AB39" i="18"/>
  <c r="AM61" i="17"/>
  <c r="AM57" i="17"/>
  <c r="AF45" i="17"/>
  <c r="AF51" i="17"/>
  <c r="AF24" i="17"/>
  <c r="AF56" i="17"/>
  <c r="AF62" i="17"/>
  <c r="AF34" i="17"/>
  <c r="AF40" i="17"/>
  <c r="S39" i="18"/>
  <c r="S35" i="18"/>
  <c r="J39" i="18"/>
  <c r="AU23" i="17"/>
  <c r="AU55" i="17"/>
  <c r="AU44" i="17"/>
  <c r="AU33" i="17"/>
  <c r="G35" i="17"/>
  <c r="G39" i="17"/>
  <c r="Z45" i="17"/>
  <c r="Z51" i="17"/>
  <c r="Z24" i="17"/>
  <c r="Z56" i="17"/>
  <c r="Z62" i="17"/>
  <c r="Z34" i="17"/>
  <c r="Z40" i="17"/>
  <c r="AY50" i="18"/>
  <c r="Q35" i="18"/>
  <c r="Q39" i="18"/>
  <c r="AB61" i="18"/>
  <c r="AX50" i="18"/>
  <c r="Z24" i="18"/>
  <c r="Z56" i="18"/>
  <c r="Z62" i="18"/>
  <c r="Z45" i="18"/>
  <c r="Z51" i="18"/>
  <c r="Z34" i="18"/>
  <c r="Z40" i="18"/>
  <c r="AO50" i="18"/>
  <c r="AV61" i="18"/>
  <c r="AM46" i="17"/>
  <c r="AM50" i="17"/>
  <c r="O45" i="17"/>
  <c r="O51" i="17"/>
  <c r="O24" i="17"/>
  <c r="O34" i="17"/>
  <c r="O40" i="17"/>
  <c r="O56" i="17"/>
  <c r="O62" i="17"/>
  <c r="Y61" i="17"/>
  <c r="Y57" i="17"/>
  <c r="AP56" i="17"/>
  <c r="AP62" i="17"/>
  <c r="AP45" i="17"/>
  <c r="AP51" i="17"/>
  <c r="AP24" i="17"/>
  <c r="AP34" i="17"/>
  <c r="AP40" i="17"/>
  <c r="AN57" i="18"/>
  <c r="AN61" i="18"/>
  <c r="H44" i="18"/>
  <c r="H23" i="18"/>
  <c r="H33" i="18"/>
  <c r="H55" i="18"/>
  <c r="AL45" i="17"/>
  <c r="AL51" i="17"/>
  <c r="AL34" i="17"/>
  <c r="AL40" i="17"/>
  <c r="AL24" i="17"/>
  <c r="AL56" i="17"/>
  <c r="AL62" i="17"/>
  <c r="K35" i="17"/>
  <c r="K39" i="17"/>
  <c r="L35" i="17"/>
  <c r="L39" i="17"/>
  <c r="H35" i="17"/>
  <c r="H39" i="17"/>
  <c r="D35" i="17"/>
  <c r="D39" i="17"/>
  <c r="AS23" i="17"/>
  <c r="AS55" i="17"/>
  <c r="AS44" i="17"/>
  <c r="AS33" i="17"/>
  <c r="J57" i="18"/>
  <c r="J61" i="18"/>
  <c r="AS39" i="18"/>
  <c r="AS35" i="18"/>
  <c r="I35" i="18"/>
  <c r="I39" i="18"/>
  <c r="AX24" i="18"/>
  <c r="AX45" i="18"/>
  <c r="AX51" i="18"/>
  <c r="AX56" i="18"/>
  <c r="AX62" i="18"/>
  <c r="AX34" i="18"/>
  <c r="AX40" i="18"/>
  <c r="Z50" i="18"/>
  <c r="AR50" i="18"/>
  <c r="AB46" i="17"/>
  <c r="AB50" i="17"/>
  <c r="Q55" i="17"/>
  <c r="Q44" i="17"/>
  <c r="Q33" i="17"/>
  <c r="Q23" i="17"/>
  <c r="AK55" i="17"/>
  <c r="AK33" i="17"/>
  <c r="AK44" i="17"/>
  <c r="AK23" i="17"/>
  <c r="AZ22" i="18"/>
  <c r="G57" i="17"/>
  <c r="G61" i="17"/>
  <c r="E33" i="17"/>
  <c r="E44" i="17"/>
  <c r="E23" i="17"/>
  <c r="E55" i="17"/>
  <c r="AW33" i="18"/>
  <c r="AW23" i="18"/>
  <c r="AW55" i="18"/>
  <c r="AW44" i="18"/>
  <c r="AN45" i="17"/>
  <c r="AN51" i="17"/>
  <c r="AN24" i="17"/>
  <c r="AN34" i="17"/>
  <c r="AN40" i="17"/>
  <c r="AN56" i="17"/>
  <c r="AN62" i="17"/>
  <c r="AH35" i="18"/>
  <c r="AH39" i="18"/>
  <c r="AY39" i="18"/>
  <c r="U57" i="18"/>
  <c r="U61" i="18"/>
  <c r="AC57" i="18"/>
  <c r="AC61" i="18"/>
  <c r="AU50" i="18"/>
  <c r="AU46" i="18"/>
  <c r="AE33" i="18"/>
  <c r="AE23" i="18"/>
  <c r="AE55" i="18"/>
  <c r="AE44" i="18"/>
  <c r="AV56" i="17"/>
  <c r="AV62" i="17"/>
  <c r="AV45" i="17"/>
  <c r="AV51" i="17"/>
  <c r="AV24" i="17"/>
  <c r="AV34" i="17"/>
  <c r="AV40" i="17"/>
  <c r="H27" i="18"/>
  <c r="G30" i="18"/>
  <c r="F50" i="18"/>
  <c r="AX61" i="18"/>
  <c r="AJ24" i="18"/>
  <c r="AJ45" i="18"/>
  <c r="AJ51" i="18"/>
  <c r="AJ34" i="18"/>
  <c r="AJ40" i="18"/>
  <c r="AJ56" i="18"/>
  <c r="AJ62" i="18"/>
  <c r="M50" i="17"/>
  <c r="M46" i="17"/>
  <c r="AI45" i="17"/>
  <c r="AI51" i="17"/>
  <c r="AI24" i="17"/>
  <c r="AI56" i="17"/>
  <c r="AI62" i="17"/>
  <c r="AI34" i="17"/>
  <c r="AI40" i="17"/>
  <c r="AV50" i="18"/>
  <c r="AV46" i="18"/>
  <c r="AG35" i="17"/>
  <c r="AG39" i="17"/>
  <c r="AM24" i="18"/>
  <c r="AM34" i="18"/>
  <c r="AM40" i="18"/>
  <c r="AM45" i="18"/>
  <c r="AM51" i="18"/>
  <c r="AM56" i="18"/>
  <c r="AM62" i="18"/>
  <c r="Y50" i="17"/>
  <c r="Y46" i="17"/>
  <c r="U55" i="17"/>
  <c r="U23" i="17"/>
  <c r="U44" i="17"/>
  <c r="U33" i="17"/>
  <c r="AX23" i="17"/>
  <c r="AX55" i="17"/>
  <c r="AX44" i="17"/>
  <c r="AX33" i="17"/>
  <c r="AI50" i="18"/>
  <c r="AI46" i="18"/>
  <c r="W24" i="18"/>
  <c r="W34" i="18"/>
  <c r="W40" i="18"/>
  <c r="W56" i="18"/>
  <c r="W62" i="18"/>
  <c r="W45" i="18"/>
  <c r="W51" i="18"/>
  <c r="AZ21" i="17"/>
  <c r="AS56" i="17"/>
  <c r="AS62" i="17"/>
  <c r="AS45" i="17"/>
  <c r="AS51" i="17"/>
  <c r="AS24" i="17"/>
  <c r="AS34" i="17"/>
  <c r="AS40" i="17"/>
  <c r="AS57" i="18"/>
  <c r="AS61" i="18"/>
  <c r="I50" i="18"/>
  <c r="T24" i="18"/>
  <c r="T45" i="18"/>
  <c r="T51" i="18"/>
  <c r="T34" i="18"/>
  <c r="T40" i="18"/>
  <c r="T56" i="18"/>
  <c r="T62" i="18"/>
  <c r="Z35" i="18"/>
  <c r="Z39" i="18"/>
  <c r="AR39" i="18"/>
  <c r="L57" i="18"/>
  <c r="L61" i="18"/>
  <c r="Y39" i="18"/>
  <c r="AO57" i="17"/>
  <c r="AO61" i="17"/>
  <c r="V24" i="18"/>
  <c r="V45" i="18"/>
  <c r="V34" i="18"/>
  <c r="V56" i="18"/>
  <c r="Q45" i="17"/>
  <c r="Q51" i="17"/>
  <c r="Q56" i="17"/>
  <c r="Q62" i="17"/>
  <c r="Q24" i="17"/>
  <c r="Q34" i="17"/>
  <c r="Q40" i="17"/>
  <c r="AL46" i="18"/>
  <c r="AT35" i="18"/>
  <c r="AT39" i="18"/>
  <c r="F57" i="17"/>
  <c r="F61" i="17"/>
  <c r="AJ50" i="17"/>
  <c r="AJ46" i="17"/>
  <c r="T55" i="17"/>
  <c r="T33" i="17"/>
  <c r="T44" i="17"/>
  <c r="T23" i="17"/>
  <c r="Z55" i="17"/>
  <c r="Z33" i="17"/>
  <c r="Z44" i="17"/>
  <c r="Z23" i="17"/>
  <c r="AY57" i="18"/>
  <c r="AY61" i="18"/>
  <c r="AC50" i="18"/>
  <c r="AC46" i="18"/>
  <c r="P46" i="17"/>
  <c r="P50" i="17"/>
  <c r="I24" i="17"/>
  <c r="I34" i="17"/>
  <c r="I40" i="17"/>
  <c r="I56" i="17"/>
  <c r="I62" i="17"/>
  <c r="I45" i="17"/>
  <c r="I51" i="17"/>
  <c r="AA55" i="17"/>
  <c r="AA33" i="17"/>
  <c r="AA23" i="17"/>
  <c r="AA44" i="17"/>
  <c r="J45" i="18"/>
  <c r="J51" i="18"/>
  <c r="J34" i="18"/>
  <c r="J40" i="18"/>
  <c r="J24" i="18"/>
  <c r="J56" i="18"/>
  <c r="J62" i="18"/>
  <c r="Q57" i="18"/>
  <c r="Q61" i="18"/>
  <c r="N35" i="17"/>
  <c r="N39" i="17"/>
  <c r="I45" i="18"/>
  <c r="I51" i="18"/>
  <c r="I34" i="18"/>
  <c r="I40" i="18"/>
  <c r="I56" i="18"/>
  <c r="I62" i="18"/>
  <c r="I24" i="18"/>
  <c r="AR24" i="18"/>
  <c r="AR45" i="18"/>
  <c r="AR51" i="18"/>
  <c r="AR34" i="18"/>
  <c r="AR40" i="18"/>
  <c r="AR56" i="18"/>
  <c r="AR62" i="18"/>
  <c r="M39" i="17"/>
  <c r="M35" i="17"/>
  <c r="AO35" i="18"/>
  <c r="AO39" i="18"/>
  <c r="J35" i="17"/>
  <c r="J39" i="17"/>
  <c r="V57" i="17"/>
  <c r="V61" i="17"/>
  <c r="AV35" i="18"/>
  <c r="AV39" i="18"/>
  <c r="AG61" i="17"/>
  <c r="AG57" i="17"/>
  <c r="AM33" i="18"/>
  <c r="AM23" i="18"/>
  <c r="AM55" i="18"/>
  <c r="AM44" i="18"/>
  <c r="Y35" i="17"/>
  <c r="Y39" i="17"/>
  <c r="U45" i="17"/>
  <c r="U51" i="17"/>
  <c r="U24" i="17"/>
  <c r="U56" i="17"/>
  <c r="U62" i="17"/>
  <c r="U34" i="17"/>
  <c r="U40" i="17"/>
  <c r="AX56" i="17"/>
  <c r="AX62" i="17"/>
  <c r="AX24" i="17"/>
  <c r="AX34" i="17"/>
  <c r="AX40" i="17"/>
  <c r="AX45" i="17"/>
  <c r="AX51" i="17"/>
  <c r="AF35" i="18"/>
  <c r="AF39" i="18"/>
  <c r="AN35" i="18"/>
  <c r="AN39" i="18"/>
  <c r="AI39" i="18"/>
  <c r="AI35" i="18"/>
  <c r="W33" i="18"/>
  <c r="W23" i="18"/>
  <c r="W55" i="18"/>
  <c r="W44" i="18"/>
  <c r="X45" i="17"/>
  <c r="X51" i="17"/>
  <c r="X24" i="17"/>
  <c r="X56" i="17"/>
  <c r="X62" i="17"/>
  <c r="X34" i="17"/>
  <c r="X40" i="17"/>
  <c r="K50" i="17"/>
  <c r="K46" i="17"/>
  <c r="L57" i="17"/>
  <c r="L61" i="17"/>
  <c r="H57" i="17"/>
  <c r="H61" i="17"/>
  <c r="D57" i="17"/>
  <c r="D61" i="17"/>
  <c r="AE55" i="17"/>
  <c r="AE23" i="17"/>
  <c r="AE33" i="17"/>
  <c r="AE44" i="17"/>
  <c r="AY24" i="17"/>
  <c r="AY56" i="17"/>
  <c r="AY62" i="17"/>
  <c r="AY34" i="17"/>
  <c r="AY40" i="17"/>
  <c r="AY45" i="17"/>
  <c r="AY51" i="17"/>
  <c r="AA39" i="18"/>
  <c r="AA35" i="18"/>
  <c r="AJ50" i="18"/>
  <c r="L50" i="18"/>
  <c r="Y57" i="18"/>
  <c r="Y61" i="18"/>
  <c r="AO24" i="18"/>
  <c r="AO34" i="18"/>
  <c r="AO40" i="18"/>
  <c r="AO45" i="18"/>
  <c r="AO51" i="18"/>
  <c r="AO56" i="18"/>
  <c r="AO62" i="18"/>
  <c r="AB57" i="17"/>
  <c r="AB61" i="17"/>
  <c r="AQ46" i="17"/>
  <c r="AQ50" i="17"/>
  <c r="R33" i="18"/>
  <c r="R44" i="18"/>
  <c r="R55" i="18"/>
  <c r="R23" i="18"/>
  <c r="W55" i="17"/>
  <c r="W44" i="17"/>
  <c r="W23" i="17"/>
  <c r="W33" i="17"/>
  <c r="AR23" i="17"/>
  <c r="AR55" i="17"/>
  <c r="AR44" i="17"/>
  <c r="AR33" i="17"/>
  <c r="O45" i="18"/>
  <c r="O51" i="18"/>
  <c r="O34" i="18"/>
  <c r="O40" i="18"/>
  <c r="O24" i="18"/>
  <c r="O56" i="18"/>
  <c r="O62" i="18"/>
  <c r="AT50" i="18"/>
  <c r="AT46" i="18"/>
  <c r="X50" i="18"/>
  <c r="X46" i="18"/>
  <c r="AC55" i="17"/>
  <c r="AC23" i="17"/>
  <c r="AC44" i="17"/>
  <c r="AC33" i="17"/>
  <c r="S61" i="17"/>
  <c r="S57" i="17"/>
  <c r="AJ35" i="17"/>
  <c r="AJ39" i="17"/>
  <c r="M45" i="18"/>
  <c r="M51" i="18"/>
  <c r="M24" i="18"/>
  <c r="M34" i="18"/>
  <c r="M40" i="18"/>
  <c r="M56" i="18"/>
  <c r="M62" i="18"/>
  <c r="T45" i="17"/>
  <c r="T51" i="17"/>
  <c r="T24" i="17"/>
  <c r="T56" i="17"/>
  <c r="T62" i="17"/>
  <c r="T34" i="17"/>
  <c r="T40" i="17"/>
  <c r="AH57" i="18"/>
  <c r="AH61" i="18"/>
  <c r="E34" i="18"/>
  <c r="E40" i="18"/>
  <c r="E45" i="18"/>
  <c r="E51" i="18"/>
  <c r="E56" i="18"/>
  <c r="E62" i="18"/>
  <c r="E24" i="18"/>
  <c r="AZ24" i="18"/>
  <c r="P35" i="17"/>
  <c r="P39" i="17"/>
  <c r="I33" i="17"/>
  <c r="I23" i="17"/>
  <c r="AZ23" i="17"/>
  <c r="I55" i="17"/>
  <c r="I44" i="17"/>
  <c r="AA45" i="17"/>
  <c r="AA51" i="17"/>
  <c r="AA24" i="17"/>
  <c r="AA56" i="17"/>
  <c r="AA62" i="17"/>
  <c r="AA34" i="17"/>
  <c r="AA40" i="17"/>
  <c r="F39" i="18"/>
  <c r="F35" i="18"/>
  <c r="Q46" i="18"/>
  <c r="Q50" i="18"/>
  <c r="AG57" i="18"/>
  <c r="AG61" i="18"/>
  <c r="AY24" i="18"/>
  <c r="AY34" i="18"/>
  <c r="AY40" i="18"/>
  <c r="AY45" i="18"/>
  <c r="AY51" i="18"/>
  <c r="AY56" i="18"/>
  <c r="AY62" i="18"/>
  <c r="N57" i="17"/>
  <c r="N61" i="17"/>
  <c r="AB50" i="18"/>
  <c r="AK24" i="18"/>
  <c r="AK34" i="18"/>
  <c r="AK40" i="18"/>
  <c r="AK45" i="18"/>
  <c r="AK51" i="18"/>
  <c r="AK56" i="18"/>
  <c r="AK62" i="18"/>
  <c r="AX35" i="18"/>
  <c r="AX39" i="18"/>
  <c r="T35" i="18"/>
  <c r="T39" i="18"/>
  <c r="M57" i="17"/>
  <c r="M61" i="17"/>
  <c r="L45" i="18"/>
  <c r="L51" i="18"/>
  <c r="L34" i="18"/>
  <c r="L40" i="18"/>
  <c r="L24" i="18"/>
  <c r="L56" i="18"/>
  <c r="L62" i="18"/>
  <c r="AO57" i="18"/>
  <c r="AO61" i="18"/>
  <c r="J50" i="17"/>
  <c r="J46" i="17"/>
  <c r="AV24" i="18"/>
  <c r="AV45" i="18"/>
  <c r="AV51" i="18"/>
  <c r="AV56" i="18"/>
  <c r="AV62" i="18"/>
  <c r="AV34" i="18"/>
  <c r="AV40" i="18"/>
  <c r="G27" i="17"/>
  <c r="F30" i="17"/>
  <c r="AG50" i="17"/>
  <c r="AG46" i="17"/>
  <c r="P55" i="18"/>
  <c r="P23" i="18"/>
  <c r="P33" i="18"/>
  <c r="P44" i="18"/>
  <c r="O55" i="17"/>
  <c r="O23" i="17"/>
  <c r="O44" i="17"/>
  <c r="O33" i="17"/>
  <c r="AW23" i="17"/>
  <c r="AW55" i="17"/>
  <c r="AW44" i="17"/>
  <c r="AW33" i="17"/>
  <c r="AP23" i="17"/>
  <c r="AP55" i="17"/>
  <c r="AP44" i="17"/>
  <c r="AP33" i="17"/>
  <c r="AF50" i="18"/>
  <c r="AF46" i="18"/>
  <c r="AN50" i="18"/>
  <c r="AN46" i="18"/>
  <c r="S57" i="18"/>
  <c r="S61" i="18"/>
  <c r="H34" i="18"/>
  <c r="H40" i="18"/>
  <c r="H45" i="18"/>
  <c r="H51" i="18"/>
  <c r="H56" i="18"/>
  <c r="H62" i="18"/>
  <c r="H24" i="18"/>
  <c r="AL55" i="17"/>
  <c r="AL33" i="17"/>
  <c r="AL23" i="17"/>
  <c r="AL44" i="17"/>
  <c r="AT23" i="17"/>
  <c r="AT55" i="17"/>
  <c r="AT44" i="17"/>
  <c r="AT33" i="17"/>
  <c r="L50" i="17"/>
  <c r="L46" i="17"/>
  <c r="H50" i="17"/>
  <c r="H46" i="17"/>
  <c r="D50" i="17"/>
  <c r="D46" i="17"/>
  <c r="AE45" i="17"/>
  <c r="AE51" i="17"/>
  <c r="AE56" i="17"/>
  <c r="AE62" i="17"/>
  <c r="AE34" i="17"/>
  <c r="AE40" i="17"/>
  <c r="AE24" i="17"/>
  <c r="AY33" i="17"/>
  <c r="AY44" i="17"/>
  <c r="AY55" i="17"/>
  <c r="AY23" i="17"/>
  <c r="AA57" i="18"/>
  <c r="AA61" i="18"/>
  <c r="AL35" i="18"/>
  <c r="AS50" i="18"/>
  <c r="AS46" i="18"/>
  <c r="I61" i="18"/>
  <c r="I57" i="18"/>
  <c r="AB24" i="18"/>
  <c r="AB45" i="18"/>
  <c r="AB51" i="18"/>
  <c r="AB34" i="18"/>
  <c r="AB40" i="18"/>
  <c r="AB56" i="18"/>
  <c r="AB62" i="18"/>
  <c r="AK35" i="18"/>
  <c r="AK39" i="18"/>
  <c r="Z57" i="18"/>
  <c r="Z61" i="18"/>
  <c r="AJ61" i="18"/>
  <c r="AR57" i="18"/>
  <c r="AR61" i="18"/>
  <c r="L39" i="18"/>
  <c r="Y50" i="18"/>
  <c r="Y46" i="18"/>
  <c r="AO50" i="17"/>
  <c r="AO46" i="17"/>
  <c r="AQ61" i="17"/>
  <c r="AQ57" i="17"/>
  <c r="AU56" i="17"/>
  <c r="AU62" i="17"/>
  <c r="AU45" i="17"/>
  <c r="AU51" i="17"/>
  <c r="AU24" i="17"/>
  <c r="AU34" i="17"/>
  <c r="AU40" i="17"/>
  <c r="R24" i="18"/>
  <c r="R45" i="18"/>
  <c r="R51" i="18"/>
  <c r="R34" i="18"/>
  <c r="R40" i="18"/>
  <c r="R56" i="18"/>
  <c r="R62" i="18"/>
  <c r="W45" i="17"/>
  <c r="W51" i="17"/>
  <c r="W56" i="17"/>
  <c r="W62" i="17"/>
  <c r="W34" i="17"/>
  <c r="W40" i="17"/>
  <c r="W24" i="17"/>
  <c r="AR56" i="17"/>
  <c r="AR62" i="17"/>
  <c r="AR45" i="17"/>
  <c r="AR51" i="17"/>
  <c r="AR24" i="17"/>
  <c r="AR34" i="17"/>
  <c r="AR40" i="17"/>
  <c r="G50" i="17"/>
  <c r="G46" i="17"/>
  <c r="AT57" i="18"/>
  <c r="AT61" i="18"/>
  <c r="X57" i="18"/>
  <c r="X61" i="18"/>
  <c r="AD35" i="18"/>
  <c r="F35" i="17"/>
  <c r="F39" i="17"/>
  <c r="AC45" i="17"/>
  <c r="AC51" i="17"/>
  <c r="AC24" i="17"/>
  <c r="AC34" i="17"/>
  <c r="AC40" i="17"/>
  <c r="AC56" i="17"/>
  <c r="AC62" i="17"/>
  <c r="S50" i="17"/>
  <c r="S46" i="17"/>
  <c r="E24" i="17"/>
  <c r="AZ24" i="17"/>
  <c r="E56" i="17"/>
  <c r="E62" i="17"/>
  <c r="E45" i="17"/>
  <c r="E51" i="17"/>
  <c r="E34" i="17"/>
  <c r="E40" i="17"/>
  <c r="AZ22" i="17"/>
  <c r="AW24" i="18"/>
  <c r="AW34" i="18"/>
  <c r="AW40" i="18"/>
  <c r="AW56" i="18"/>
  <c r="AW62" i="18"/>
  <c r="AW45" i="18"/>
  <c r="AW51" i="18"/>
  <c r="AD55" i="17"/>
  <c r="AD33" i="17"/>
  <c r="AD44" i="17"/>
  <c r="AD23" i="17"/>
  <c r="AN55" i="17"/>
  <c r="AN33" i="17"/>
  <c r="AN23" i="17"/>
  <c r="AN44" i="17"/>
  <c r="AH50" i="18"/>
  <c r="AH46" i="18"/>
  <c r="E44" i="18"/>
  <c r="E55" i="18"/>
  <c r="E23" i="18"/>
  <c r="E33" i="18"/>
  <c r="AZ21" i="18"/>
  <c r="U35" i="18"/>
  <c r="U39" i="18"/>
  <c r="AC35" i="18"/>
  <c r="AC39" i="18"/>
  <c r="AU35" i="18"/>
  <c r="AU39" i="18"/>
  <c r="P57" i="17"/>
  <c r="P61" i="17"/>
  <c r="AE24" i="18"/>
  <c r="AE34" i="18"/>
  <c r="AE40" i="18"/>
  <c r="AE56" i="18"/>
  <c r="AE62" i="18"/>
  <c r="AE45" i="18"/>
  <c r="AE51" i="18"/>
  <c r="R55" i="17"/>
  <c r="R33" i="17"/>
  <c r="R44" i="17"/>
  <c r="R23" i="17"/>
  <c r="AV23" i="17"/>
  <c r="AV55" i="17"/>
  <c r="AV44" i="17"/>
  <c r="AV33" i="17"/>
  <c r="AU61" i="17"/>
  <c r="AU57" i="17"/>
  <c r="M46" i="18"/>
  <c r="M50" i="18"/>
  <c r="O57" i="18"/>
  <c r="O61" i="18"/>
  <c r="J46" i="18"/>
  <c r="X50" i="17"/>
  <c r="X46" i="17"/>
  <c r="AF61" i="17"/>
  <c r="AF57" i="17"/>
  <c r="AQ35" i="18"/>
  <c r="AQ39" i="18"/>
  <c r="K46" i="18"/>
  <c r="K50" i="18"/>
  <c r="AI35" i="17"/>
  <c r="AI39" i="17"/>
  <c r="T46" i="18"/>
  <c r="AN50" i="17"/>
  <c r="AN46" i="17"/>
  <c r="AL61" i="17"/>
  <c r="AL57" i="17"/>
  <c r="O50" i="17"/>
  <c r="O46" i="17"/>
  <c r="AR46" i="17"/>
  <c r="AR50" i="17"/>
  <c r="AM57" i="18"/>
  <c r="AM61" i="18"/>
  <c r="Z61" i="17"/>
  <c r="Z57" i="17"/>
  <c r="T61" i="17"/>
  <c r="T57" i="17"/>
  <c r="AX61" i="17"/>
  <c r="AX57" i="17"/>
  <c r="AE50" i="18"/>
  <c r="AE46" i="18"/>
  <c r="E50" i="17"/>
  <c r="E46" i="17"/>
  <c r="AK57" i="17"/>
  <c r="AK61" i="17"/>
  <c r="Q61" i="17"/>
  <c r="Q57" i="17"/>
  <c r="H46" i="18"/>
  <c r="H50" i="18"/>
  <c r="AV57" i="18"/>
  <c r="AV39" i="17"/>
  <c r="AV35" i="17"/>
  <c r="E46" i="18"/>
  <c r="E50" i="18"/>
  <c r="AD50" i="17"/>
  <c r="AD46" i="17"/>
  <c r="AY46" i="17"/>
  <c r="AY50" i="17"/>
  <c r="AT39" i="17"/>
  <c r="AT35" i="17"/>
  <c r="AL50" i="17"/>
  <c r="AL46" i="17"/>
  <c r="AP61" i="17"/>
  <c r="AP57" i="17"/>
  <c r="AW61" i="17"/>
  <c r="AW57" i="17"/>
  <c r="AB46" i="18"/>
  <c r="AR61" i="17"/>
  <c r="AR57" i="17"/>
  <c r="W50" i="17"/>
  <c r="W46" i="17"/>
  <c r="R50" i="18"/>
  <c r="R46" i="18"/>
  <c r="AA35" i="17"/>
  <c r="AA39" i="17"/>
  <c r="V40" i="18"/>
  <c r="V35" i="18"/>
  <c r="U61" i="17"/>
  <c r="U57" i="17"/>
  <c r="F46" i="18"/>
  <c r="AE57" i="18"/>
  <c r="AE61" i="18"/>
  <c r="AW39" i="18"/>
  <c r="AW35" i="18"/>
  <c r="E39" i="17"/>
  <c r="E35" i="17"/>
  <c r="Z46" i="18"/>
  <c r="AS39" i="17"/>
  <c r="AS35" i="17"/>
  <c r="H61" i="18"/>
  <c r="H57" i="18"/>
  <c r="AO46" i="18"/>
  <c r="O46" i="18"/>
  <c r="O50" i="18"/>
  <c r="X35" i="17"/>
  <c r="X39" i="17"/>
  <c r="AQ57" i="18"/>
  <c r="AQ61" i="18"/>
  <c r="K35" i="18"/>
  <c r="K39" i="18"/>
  <c r="AI61" i="17"/>
  <c r="AI57" i="17"/>
  <c r="R57" i="17"/>
  <c r="R61" i="17"/>
  <c r="E61" i="18"/>
  <c r="E57" i="18"/>
  <c r="AY61" i="17"/>
  <c r="AY57" i="17"/>
  <c r="AP46" i="17"/>
  <c r="AP50" i="17"/>
  <c r="AW46" i="17"/>
  <c r="AW50" i="17"/>
  <c r="P35" i="18"/>
  <c r="P39" i="18"/>
  <c r="I57" i="17"/>
  <c r="I61" i="17"/>
  <c r="AC50" i="17"/>
  <c r="AC46" i="17"/>
  <c r="R57" i="18"/>
  <c r="R61" i="18"/>
  <c r="AE35" i="17"/>
  <c r="AE39" i="17"/>
  <c r="W57" i="18"/>
  <c r="W61" i="18"/>
  <c r="V62" i="18"/>
  <c r="V57" i="18"/>
  <c r="AV46" i="17"/>
  <c r="AV50" i="17"/>
  <c r="R50" i="17"/>
  <c r="R46" i="17"/>
  <c r="E39" i="18"/>
  <c r="E35" i="18"/>
  <c r="AN35" i="17"/>
  <c r="AN39" i="17"/>
  <c r="AD35" i="17"/>
  <c r="AD39" i="17"/>
  <c r="AY39" i="17"/>
  <c r="AY35" i="17"/>
  <c r="AT46" i="17"/>
  <c r="AT50" i="17"/>
  <c r="O61" i="17"/>
  <c r="O57" i="17"/>
  <c r="P57" i="18"/>
  <c r="P61" i="18"/>
  <c r="H27" i="17"/>
  <c r="G30" i="17"/>
  <c r="I39" i="17"/>
  <c r="I35" i="17"/>
  <c r="AC61" i="17"/>
  <c r="AC57" i="17"/>
  <c r="W61" i="17"/>
  <c r="W57" i="17"/>
  <c r="R35" i="18"/>
  <c r="R39" i="18"/>
  <c r="L46" i="18"/>
  <c r="AE61" i="17"/>
  <c r="AE57" i="17"/>
  <c r="W39" i="18"/>
  <c r="W35" i="18"/>
  <c r="AM39" i="18"/>
  <c r="AM35" i="18"/>
  <c r="AA61" i="17"/>
  <c r="AA57" i="17"/>
  <c r="Z46" i="17"/>
  <c r="Z50" i="17"/>
  <c r="T46" i="17"/>
  <c r="T50" i="17"/>
  <c r="V51" i="18"/>
  <c r="V46" i="18"/>
  <c r="AX39" i="17"/>
  <c r="AX35" i="17"/>
  <c r="U35" i="17"/>
  <c r="U39" i="17"/>
  <c r="AW50" i="18"/>
  <c r="AW46" i="18"/>
  <c r="E57" i="17"/>
  <c r="E61" i="17"/>
  <c r="AK50" i="17"/>
  <c r="AK46" i="17"/>
  <c r="Q35" i="17"/>
  <c r="Q39" i="17"/>
  <c r="AS46" i="17"/>
  <c r="AS50" i="17"/>
  <c r="H39" i="18"/>
  <c r="H35" i="18"/>
  <c r="AB57" i="18"/>
  <c r="AY46" i="18"/>
  <c r="AU39" i="17"/>
  <c r="AU35" i="17"/>
  <c r="M57" i="18"/>
  <c r="M61" i="18"/>
  <c r="O35" i="18"/>
  <c r="O39" i="18"/>
  <c r="X61" i="17"/>
  <c r="X57" i="17"/>
  <c r="AF50" i="17"/>
  <c r="AF46" i="17"/>
  <c r="T57" i="18"/>
  <c r="AQ50" i="18"/>
  <c r="AQ46" i="18"/>
  <c r="AV61" i="17"/>
  <c r="AV57" i="17"/>
  <c r="R35" i="17"/>
  <c r="R39" i="17"/>
  <c r="AZ23" i="18"/>
  <c r="AN61" i="17"/>
  <c r="AN57" i="17"/>
  <c r="AD57" i="17"/>
  <c r="AD61" i="17"/>
  <c r="L35" i="18"/>
  <c r="AJ57" i="18"/>
  <c r="AT61" i="17"/>
  <c r="AT57" i="17"/>
  <c r="AL35" i="17"/>
  <c r="AL39" i="17"/>
  <c r="AP39" i="17"/>
  <c r="AP35" i="17"/>
  <c r="AW39" i="17"/>
  <c r="AW35" i="17"/>
  <c r="O35" i="17"/>
  <c r="O39" i="17"/>
  <c r="P46" i="18"/>
  <c r="P50" i="18"/>
  <c r="I50" i="17"/>
  <c r="I46" i="17"/>
  <c r="AC35" i="17"/>
  <c r="AC39" i="17"/>
  <c r="AR39" i="17"/>
  <c r="AR35" i="17"/>
  <c r="W35" i="17"/>
  <c r="W39" i="17"/>
  <c r="AJ46" i="18"/>
  <c r="AE50" i="17"/>
  <c r="AE46" i="17"/>
  <c r="W50" i="18"/>
  <c r="W46" i="18"/>
  <c r="AM50" i="18"/>
  <c r="AM46" i="18"/>
  <c r="AA50" i="17"/>
  <c r="AA46" i="17"/>
  <c r="Z35" i="17"/>
  <c r="Z39" i="17"/>
  <c r="T35" i="17"/>
  <c r="T39" i="17"/>
  <c r="Y35" i="18"/>
  <c r="AR35" i="18"/>
  <c r="I46" i="18"/>
  <c r="AX46" i="17"/>
  <c r="AX50" i="17"/>
  <c r="U50" i="17"/>
  <c r="U46" i="17"/>
  <c r="AX57" i="18"/>
  <c r="I27" i="18"/>
  <c r="H30" i="18"/>
  <c r="AE39" i="18"/>
  <c r="AE35" i="18"/>
  <c r="AY35" i="18"/>
  <c r="AW57" i="18"/>
  <c r="AW61" i="18"/>
  <c r="AK35" i="17"/>
  <c r="AK39" i="17"/>
  <c r="Q50" i="17"/>
  <c r="Q46" i="17"/>
  <c r="AR46" i="18"/>
  <c r="AS61" i="17"/>
  <c r="AS57" i="17"/>
  <c r="AX46" i="18"/>
  <c r="AU46" i="17"/>
  <c r="AU50" i="17"/>
  <c r="J35" i="18"/>
  <c r="M35" i="18"/>
  <c r="M39" i="18"/>
  <c r="AK46" i="18"/>
  <c r="AF35" i="17"/>
  <c r="AF39" i="17"/>
  <c r="K57" i="18"/>
  <c r="K61" i="18"/>
  <c r="AK57" i="18"/>
  <c r="AI50" i="17"/>
  <c r="AI46" i="17"/>
  <c r="J27" i="18"/>
  <c r="I30" i="18"/>
  <c r="H30" i="17"/>
  <c r="I27" i="17"/>
  <c r="J27" i="17"/>
  <c r="I30" i="17"/>
  <c r="K27" i="18"/>
  <c r="J30" i="18"/>
  <c r="L27" i="18"/>
  <c r="K30" i="18"/>
  <c r="J30" i="17"/>
  <c r="K27" i="17"/>
  <c r="L27" i="17"/>
  <c r="K30" i="17"/>
  <c r="M27" i="18"/>
  <c r="L30" i="18"/>
  <c r="M30" i="18"/>
  <c r="N27" i="18"/>
  <c r="L30" i="17"/>
  <c r="M27" i="17"/>
  <c r="N27" i="17"/>
  <c r="M30" i="17"/>
  <c r="O27" i="18"/>
  <c r="N30" i="18"/>
  <c r="P27" i="18"/>
  <c r="O30" i="18"/>
  <c r="O27" i="17"/>
  <c r="N30" i="17"/>
  <c r="P27" i="17"/>
  <c r="O30" i="17"/>
  <c r="Q27" i="18"/>
  <c r="P30" i="18"/>
  <c r="Q30" i="18"/>
  <c r="R27" i="18"/>
  <c r="Q27" i="17"/>
  <c r="P30" i="17"/>
  <c r="Q30" i="17"/>
  <c r="R27" i="17"/>
  <c r="R30" i="18"/>
  <c r="S27" i="18"/>
  <c r="T27" i="18"/>
  <c r="S30" i="18"/>
  <c r="S27" i="17"/>
  <c r="R30" i="17"/>
  <c r="T27" i="17"/>
  <c r="S30" i="17"/>
  <c r="T30" i="18"/>
  <c r="U27" i="18"/>
  <c r="V27" i="18"/>
  <c r="U30" i="18"/>
  <c r="U27" i="17"/>
  <c r="T30" i="17"/>
  <c r="V27" i="17"/>
  <c r="U30" i="17"/>
  <c r="V30" i="18"/>
  <c r="W27" i="18"/>
  <c r="X27" i="18"/>
  <c r="W30" i="18"/>
  <c r="W27" i="17"/>
  <c r="V30" i="17"/>
  <c r="X27" i="17"/>
  <c r="W30" i="17"/>
  <c r="X30" i="18"/>
  <c r="Y27" i="18"/>
  <c r="Z27" i="18"/>
  <c r="Y30" i="18"/>
  <c r="Y27" i="17"/>
  <c r="X30" i="17"/>
  <c r="Z27" i="17"/>
  <c r="Y30" i="17"/>
  <c r="Z30" i="18"/>
  <c r="AA27" i="18"/>
  <c r="AB27" i="18"/>
  <c r="AA30" i="18"/>
  <c r="Z30" i="17"/>
  <c r="AA27" i="17"/>
  <c r="AA30" i="17"/>
  <c r="AB27" i="17"/>
  <c r="AB30" i="18"/>
  <c r="AC27" i="18"/>
  <c r="AD27" i="18"/>
  <c r="AC30" i="18"/>
  <c r="AC27" i="17"/>
  <c r="AB30" i="17"/>
  <c r="AD27" i="17"/>
  <c r="AC30" i="17"/>
  <c r="AD30" i="18"/>
  <c r="AE27" i="18"/>
  <c r="AF27" i="18"/>
  <c r="AE30" i="18"/>
  <c r="AE27" i="17"/>
  <c r="AD30" i="17"/>
  <c r="AF27" i="17"/>
  <c r="AE30" i="17"/>
  <c r="AF30" i="18"/>
  <c r="AG27" i="18"/>
  <c r="AG30" i="18"/>
  <c r="AH27" i="18"/>
  <c r="AG27" i="17"/>
  <c r="AF30" i="17"/>
  <c r="AH27" i="17"/>
  <c r="AG30" i="17"/>
  <c r="AH30" i="18"/>
  <c r="AI27" i="18"/>
  <c r="AJ27" i="18"/>
  <c r="AI30" i="18"/>
  <c r="AI27" i="17"/>
  <c r="AH30" i="17"/>
  <c r="AJ27" i="17"/>
  <c r="AI30" i="17"/>
  <c r="AJ30" i="18"/>
  <c r="AK27" i="18"/>
  <c r="AL27" i="18"/>
  <c r="AK30" i="18"/>
  <c r="AJ30" i="17"/>
  <c r="AK27" i="17"/>
  <c r="AL27" i="17"/>
  <c r="AK30" i="17"/>
  <c r="AL30" i="18"/>
  <c r="AM27" i="18"/>
  <c r="AN27" i="18"/>
  <c r="AM30" i="18"/>
  <c r="AM27" i="17"/>
  <c r="AL30" i="17"/>
  <c r="AM30" i="17"/>
  <c r="AN27" i="17"/>
  <c r="AN30" i="18"/>
  <c r="AO27" i="18"/>
  <c r="AO30" i="18"/>
  <c r="AP27" i="18"/>
  <c r="AN30" i="17"/>
  <c r="AO27" i="17"/>
  <c r="AO30" i="17"/>
  <c r="AP27" i="17"/>
  <c r="AP30" i="18"/>
  <c r="AQ27" i="18"/>
  <c r="AQ30" i="18"/>
  <c r="AR27" i="18"/>
  <c r="AP30" i="17"/>
  <c r="AQ27" i="17"/>
  <c r="AQ30" i="17"/>
  <c r="AR27" i="17"/>
  <c r="AR30" i="18"/>
  <c r="AS27" i="18"/>
  <c r="AT27" i="18"/>
  <c r="AS30" i="18"/>
  <c r="AR30" i="17"/>
  <c r="AS27" i="17"/>
  <c r="AS30" i="17"/>
  <c r="AT27" i="17"/>
  <c r="AU27" i="18"/>
  <c r="AT30" i="18"/>
  <c r="AV27" i="18"/>
  <c r="AU30" i="18"/>
  <c r="AT30" i="17"/>
  <c r="AU27" i="17"/>
  <c r="AU30" i="17"/>
  <c r="AV27" i="17"/>
  <c r="AV30" i="18"/>
  <c r="AW27" i="18"/>
  <c r="AX27" i="18"/>
  <c r="AW30" i="18"/>
  <c r="AV30" i="17"/>
  <c r="AW27" i="17"/>
  <c r="AX27" i="17"/>
  <c r="AW30" i="17"/>
  <c r="AX30" i="18"/>
  <c r="AY27" i="18"/>
  <c r="AY30" i="18"/>
  <c r="AZ30" i="18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G16" i="5"/>
</calcChain>
</file>

<file path=xl/sharedStrings.xml><?xml version="1.0" encoding="utf-8"?>
<sst xmlns="http://schemas.openxmlformats.org/spreadsheetml/2006/main" count="2631" uniqueCount="414">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</sst>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2027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1" workbookViewId="0">
      <selection activeCell="C77" sqref="C77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-300</v>
      </c>
      <c r="D39" s="14">
        <v>1600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-500</v>
      </c>
      <c r="D63" s="15">
        <v>2000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-500</v>
      </c>
      <c r="D76" s="15">
        <v>5500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2599.4040034966065</v>
      </c>
      <c r="D6" s="87">
        <v>2599.4040034966065</v>
      </c>
      <c r="E6" s="87">
        <v>2599.4040034966065</v>
      </c>
      <c r="F6" s="87">
        <v>2599.4040034966065</v>
      </c>
      <c r="G6" s="87">
        <v>2599.4040034966065</v>
      </c>
      <c r="H6" s="87">
        <v>2599.4040034966065</v>
      </c>
      <c r="I6" s="87">
        <v>2599.4040034966065</v>
      </c>
      <c r="J6" s="87">
        <v>2599.4040034966065</v>
      </c>
      <c r="K6" s="87">
        <v>2599.4040034966065</v>
      </c>
      <c r="L6" s="87">
        <v>2599.4040034966065</v>
      </c>
      <c r="M6" s="87">
        <v>2599.4040034966065</v>
      </c>
      <c r="N6" s="87">
        <v>2599.4040034966065</v>
      </c>
    </row>
    <row r="7" spans="2:14">
      <c r="B7" s="36" t="s">
        <v>105</v>
      </c>
      <c r="C7" s="88">
        <v>2.0323224250698765E-19</v>
      </c>
      <c r="D7" s="89">
        <v>2.0323224250698765E-19</v>
      </c>
      <c r="E7" s="89">
        <v>2.0323224250698765E-19</v>
      </c>
      <c r="F7" s="89">
        <v>2.0323224250698765E-19</v>
      </c>
      <c r="G7" s="89">
        <v>2.0323224250698765E-19</v>
      </c>
      <c r="H7" s="89">
        <v>2.0323224250698765E-19</v>
      </c>
      <c r="I7" s="89">
        <v>2.0323224250698765E-19</v>
      </c>
      <c r="J7" s="89">
        <v>2.0323224250698765E-19</v>
      </c>
      <c r="K7" s="89">
        <v>2.0323224250698765E-19</v>
      </c>
      <c r="L7" s="89">
        <v>2.0323224250698765E-19</v>
      </c>
      <c r="M7" s="89">
        <v>2.0323224250698765E-19</v>
      </c>
      <c r="N7" s="89">
        <v>2.0323224250698765E-19</v>
      </c>
    </row>
    <row r="8" spans="2:14">
      <c r="B8" s="36" t="s">
        <v>106</v>
      </c>
      <c r="C8" s="88">
        <v>160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789.99999999999977</v>
      </c>
      <c r="D9" s="89">
        <v>789.99999999999977</v>
      </c>
      <c r="E9" s="89">
        <v>789.99999999999977</v>
      </c>
      <c r="F9" s="89">
        <v>789.99999999999977</v>
      </c>
      <c r="G9" s="89">
        <v>789.99999999999977</v>
      </c>
      <c r="H9" s="89">
        <v>789.99999999999977</v>
      </c>
      <c r="I9" s="89">
        <v>789.99999999999977</v>
      </c>
      <c r="J9" s="89">
        <v>789.99999999999977</v>
      </c>
      <c r="K9" s="89">
        <v>789.99999999999977</v>
      </c>
      <c r="L9" s="89">
        <v>789.99999999999977</v>
      </c>
      <c r="M9" s="89">
        <v>789.99999999999977</v>
      </c>
      <c r="N9" s="89">
        <v>789.99999999999977</v>
      </c>
    </row>
    <row r="10" spans="2:14">
      <c r="B10" s="36" t="s">
        <v>108</v>
      </c>
      <c r="C10" s="88">
        <v>2.9505741085036555E-19</v>
      </c>
      <c r="D10" s="89">
        <v>2.9505741085036555E-19</v>
      </c>
      <c r="E10" s="89">
        <v>2.9505741085036555E-19</v>
      </c>
      <c r="F10" s="89">
        <v>2.9505741085036555E-19</v>
      </c>
      <c r="G10" s="89">
        <v>2.9505741085036555E-19</v>
      </c>
      <c r="H10" s="89">
        <v>2.9505741085036555E-19</v>
      </c>
      <c r="I10" s="89">
        <v>2.9505741085036555E-19</v>
      </c>
      <c r="J10" s="89">
        <v>2.9505741085036555E-19</v>
      </c>
      <c r="K10" s="89">
        <v>2.9505741085036555E-19</v>
      </c>
      <c r="L10" s="89">
        <v>2.9505741085036555E-19</v>
      </c>
      <c r="M10" s="89">
        <v>2.9505741085036555E-19</v>
      </c>
      <c r="N10" s="89">
        <v>2.9505741085036555E-19</v>
      </c>
    </row>
    <row r="11" spans="2:14">
      <c r="B11" s="37" t="s">
        <v>109</v>
      </c>
      <c r="C11" s="88">
        <v>2.2178552788237729E-19</v>
      </c>
      <c r="D11" s="89">
        <v>2.2178552788237729E-19</v>
      </c>
      <c r="E11" s="89">
        <v>2.2178552788237729E-19</v>
      </c>
      <c r="F11" s="89">
        <v>2.2178552788237729E-19</v>
      </c>
      <c r="G11" s="89">
        <v>2.2178552788237729E-19</v>
      </c>
      <c r="H11" s="89">
        <v>2.2178552788237729E-19</v>
      </c>
      <c r="I11" s="89">
        <v>2.2178552788237729E-19</v>
      </c>
      <c r="J11" s="89">
        <v>2.2178552788237729E-19</v>
      </c>
      <c r="K11" s="89">
        <v>2.2178552788237729E-19</v>
      </c>
      <c r="L11" s="89">
        <v>2.2178552788237729E-19</v>
      </c>
      <c r="M11" s="89">
        <v>2.2178552788237729E-19</v>
      </c>
      <c r="N11" s="89">
        <v>2.2178552788237729E-19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0.555534796285718</v>
      </c>
      <c r="E17" s="90">
        <v>1</v>
      </c>
      <c r="F17" s="90">
        <v>0.78071949263517171</v>
      </c>
      <c r="G17" s="90">
        <v>0.8</v>
      </c>
      <c r="H17" s="90">
        <v>1.0059041889846256</v>
      </c>
      <c r="I17" s="29" t="s">
        <v>110</v>
      </c>
    </row>
    <row r="18" spans="2:33">
      <c r="B18" s="36" t="s">
        <v>105</v>
      </c>
      <c r="C18" s="91">
        <v>1.2</v>
      </c>
      <c r="D18" s="91">
        <v>0.64160278823895633</v>
      </c>
      <c r="E18" s="91">
        <v>1</v>
      </c>
      <c r="F18" s="91">
        <v>0.76981769783650122</v>
      </c>
      <c r="G18" s="91">
        <v>0.8</v>
      </c>
      <c r="H18" s="91">
        <v>0.89803260743404612</v>
      </c>
      <c r="I18" s="29" t="s">
        <v>110</v>
      </c>
    </row>
    <row r="19" spans="2:33">
      <c r="B19" s="36" t="s">
        <v>106</v>
      </c>
      <c r="C19" s="91">
        <v>1.2</v>
      </c>
      <c r="D19" s="91">
        <v>0.67957098539155669</v>
      </c>
      <c r="E19" s="91">
        <v>1</v>
      </c>
      <c r="F19" s="91">
        <v>0.84233779751236593</v>
      </c>
      <c r="G19" s="91">
        <v>0.8</v>
      </c>
      <c r="H19" s="91">
        <v>1.0051046096331751</v>
      </c>
      <c r="I19" s="29" t="s">
        <v>110</v>
      </c>
    </row>
    <row r="20" spans="2:33">
      <c r="B20" s="36" t="s">
        <v>107</v>
      </c>
      <c r="C20" s="91">
        <v>1.2</v>
      </c>
      <c r="D20" s="91">
        <v>0.64654246474581978</v>
      </c>
      <c r="E20" s="91">
        <v>1</v>
      </c>
      <c r="F20" s="91">
        <v>0.81089777073830627</v>
      </c>
      <c r="G20" s="91">
        <v>0.8</v>
      </c>
      <c r="H20" s="91">
        <v>0.97525307673079287</v>
      </c>
    </row>
    <row r="21" spans="2:33">
      <c r="B21" s="36" t="s">
        <v>108</v>
      </c>
      <c r="C21" s="91">
        <v>1.2</v>
      </c>
      <c r="D21" s="91">
        <v>0.69695840327208114</v>
      </c>
      <c r="E21" s="91">
        <v>1</v>
      </c>
      <c r="F21" s="91">
        <v>0.72376936946323933</v>
      </c>
      <c r="G21" s="91">
        <v>0.8</v>
      </c>
      <c r="H21" s="91">
        <v>0.75058033565439741</v>
      </c>
    </row>
    <row r="22" spans="2:33">
      <c r="B22" s="37" t="s">
        <v>109</v>
      </c>
      <c r="C22" s="91">
        <v>1.2</v>
      </c>
      <c r="D22" s="91">
        <v>0.68825620690118228</v>
      </c>
      <c r="E22" s="91">
        <v>1</v>
      </c>
      <c r="F22" s="91">
        <v>0.75101475451689093</v>
      </c>
      <c r="G22" s="91">
        <v>0.8</v>
      </c>
      <c r="H22" s="91">
        <v>0.81377330213259957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2022</v>
      </c>
      <c r="E28" s="49"/>
      <c r="F28" s="45">
        <f>basic_info!$D$5-4</f>
        <v>2023</v>
      </c>
      <c r="G28" s="49"/>
      <c r="H28" s="45">
        <f>basic_info!$D$5-3</f>
        <v>2024</v>
      </c>
      <c r="I28" s="49"/>
      <c r="J28" s="45">
        <f>basic_info!$D$5-2</f>
        <v>2025</v>
      </c>
      <c r="K28" s="49"/>
      <c r="L28" s="45">
        <f>basic_info!$D$5-1</f>
        <v>2026</v>
      </c>
      <c r="N28" s="45">
        <f>basic_info!$D$5</f>
        <v>2027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2027</v>
      </c>
      <c r="D30" s="44">
        <v>0.76512732076942924</v>
      </c>
      <c r="E30" s="35">
        <v>0.76512732076942924</v>
      </c>
      <c r="F30" s="47">
        <v>0.65019748550057865</v>
      </c>
      <c r="G30" s="46">
        <v>0.65019748550057865</v>
      </c>
      <c r="H30" s="47">
        <v>0.78825317361714797</v>
      </c>
      <c r="I30" s="46">
        <v>0.78825317361714797</v>
      </c>
      <c r="J30" s="47">
        <v>0.83418333387532106</v>
      </c>
      <c r="K30" s="46">
        <v>0.83418333387532106</v>
      </c>
      <c r="L30" s="47">
        <v>0.75973931162527031</v>
      </c>
      <c r="M30" s="46">
        <v>0.75973931162527031</v>
      </c>
      <c r="N30" s="60"/>
      <c r="O30" s="71" t="s">
        <v>162</v>
      </c>
      <c r="P30" s="41">
        <f>M30+K30+I30+E30+G30</f>
        <v>3.7975006253877472</v>
      </c>
      <c r="Q30" s="70"/>
    </row>
    <row r="31" spans="2:33">
      <c r="B31" s="36"/>
      <c r="C31" s="47">
        <f>basic_info!$D$5+1</f>
        <v>2028</v>
      </c>
      <c r="D31" s="76"/>
      <c r="E31" s="75"/>
      <c r="F31" s="69">
        <v>0.66023955697715286</v>
      </c>
      <c r="G31" s="79">
        <v>0.66023955697715286</v>
      </c>
      <c r="H31" s="61">
        <v>0.76028061435442029</v>
      </c>
      <c r="I31" s="62">
        <v>0.76028061435442029</v>
      </c>
      <c r="J31" s="61">
        <v>0.78705796464934707</v>
      </c>
      <c r="K31" s="62">
        <v>0.78705796464934707</v>
      </c>
      <c r="L31" s="61">
        <v>0.76209966338188417</v>
      </c>
      <c r="M31" s="62">
        <v>0.76209966338188417</v>
      </c>
      <c r="N31" s="63">
        <v>0.74154340991861001</v>
      </c>
      <c r="O31" s="89">
        <v>0.74154340991861001</v>
      </c>
      <c r="P31" s="63">
        <f>O31+M31+K31+I31+G31</f>
        <v>3.7112212092814145</v>
      </c>
    </row>
    <row r="32" spans="2:33">
      <c r="B32" s="36"/>
      <c r="C32" s="47">
        <f>basic_info!$D$5+2</f>
        <v>2029</v>
      </c>
      <c r="D32" s="76"/>
      <c r="E32" s="75"/>
      <c r="F32" s="75"/>
      <c r="G32" s="75"/>
      <c r="H32" s="69">
        <v>0.77380428089201447</v>
      </c>
      <c r="I32" s="79">
        <v>0.77380428089201447</v>
      </c>
      <c r="J32" s="61">
        <v>0.74605181189556535</v>
      </c>
      <c r="K32" s="62">
        <v>0.74605181189556535</v>
      </c>
      <c r="L32" s="61">
        <v>0.69292953939969726</v>
      </c>
      <c r="M32" s="62">
        <v>0.69292953939969726</v>
      </c>
      <c r="N32" s="63">
        <v>0.69639882585167012</v>
      </c>
      <c r="O32" s="89">
        <v>0.69639882585167012</v>
      </c>
      <c r="P32" s="63">
        <f>O32+M32+K32+I32</f>
        <v>2.909184458038947</v>
      </c>
    </row>
    <row r="33" spans="2:17">
      <c r="B33" s="36"/>
      <c r="C33" s="47">
        <f>basic_info!$D$5+3</f>
        <v>2030</v>
      </c>
      <c r="D33" s="76"/>
      <c r="E33" s="75"/>
      <c r="F33" s="75"/>
      <c r="G33" s="75"/>
      <c r="H33" s="75"/>
      <c r="I33" s="75"/>
      <c r="J33" s="69">
        <v>0.69642607282102109</v>
      </c>
      <c r="K33" s="79">
        <v>0.69642607282102109</v>
      </c>
      <c r="L33" s="61">
        <v>0.68246257035314684</v>
      </c>
      <c r="M33" s="62">
        <v>0.68246257035314684</v>
      </c>
      <c r="N33" s="63">
        <v>0.69754554986117134</v>
      </c>
      <c r="O33" s="89">
        <v>0.69754554986117134</v>
      </c>
      <c r="P33" s="63">
        <f>O33+M33+K33</f>
        <v>2.0764341930353392</v>
      </c>
    </row>
    <row r="34" spans="2:17">
      <c r="B34" s="36"/>
      <c r="C34" s="47">
        <f>basic_info!$D$5+4</f>
        <v>2031</v>
      </c>
      <c r="D34" s="76"/>
      <c r="E34" s="75"/>
      <c r="F34" s="75"/>
      <c r="G34" s="75"/>
      <c r="H34" s="75"/>
      <c r="I34" s="75"/>
      <c r="J34" s="75"/>
      <c r="K34" s="75"/>
      <c r="L34" s="69">
        <v>0.68012294996082789</v>
      </c>
      <c r="M34" s="79">
        <v>0.68012294996082789</v>
      </c>
      <c r="N34" s="63">
        <v>0.70796417212980489</v>
      </c>
      <c r="O34" s="89">
        <v>0.70796417212980489</v>
      </c>
      <c r="P34" s="63">
        <f>O34+M34</f>
        <v>1.3880871220906328</v>
      </c>
    </row>
    <row r="35" spans="2:17">
      <c r="B35" s="37"/>
      <c r="C35" s="72">
        <f>basic_info!$D$5+5</f>
        <v>2032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0.66081657635867597</v>
      </c>
      <c r="O35" s="89">
        <v>0.66081657635867597</v>
      </c>
      <c r="P35" s="65">
        <f>O35</f>
        <v>0.66081657635867597</v>
      </c>
    </row>
    <row r="36" spans="2:17">
      <c r="B36" s="41" t="s">
        <v>113</v>
      </c>
      <c r="C36" s="36">
        <f>basic_info!$D$5</f>
        <v>2027</v>
      </c>
      <c r="D36" s="44">
        <v>1.0053375317752362</v>
      </c>
      <c r="E36" s="35">
        <v>1.0053375317752362</v>
      </c>
      <c r="F36" s="73">
        <v>0.87530734595100446</v>
      </c>
      <c r="G36" s="74">
        <v>0.87530734595100446</v>
      </c>
      <c r="H36" s="73">
        <v>0.97417948833143708</v>
      </c>
      <c r="I36" s="74">
        <v>0.97417948833143708</v>
      </c>
      <c r="J36" s="73">
        <v>1.0855802099290006</v>
      </c>
      <c r="K36" s="74">
        <v>1.0855802099290006</v>
      </c>
      <c r="L36" s="66">
        <v>1.3097582193821362</v>
      </c>
      <c r="M36" s="67">
        <v>1.3097582193821362</v>
      </c>
      <c r="N36" s="68"/>
      <c r="O36" s="71" t="s">
        <v>162</v>
      </c>
      <c r="P36" s="41">
        <f>M36+K36+I36+E36+G36</f>
        <v>5.2501627953688139</v>
      </c>
      <c r="Q36" s="70"/>
    </row>
    <row r="37" spans="2:17">
      <c r="B37" s="36"/>
      <c r="C37" s="47">
        <f>basic_info!$D$5+1</f>
        <v>2028</v>
      </c>
      <c r="D37" s="76"/>
      <c r="E37" s="75"/>
      <c r="F37" s="69">
        <v>0.87304416900873183</v>
      </c>
      <c r="G37" s="79">
        <v>0.87304416900873183</v>
      </c>
      <c r="H37" s="61">
        <v>0.95442559833887075</v>
      </c>
      <c r="I37" s="62">
        <v>0.95442559833887075</v>
      </c>
      <c r="J37" s="61">
        <v>1.0750677373803734</v>
      </c>
      <c r="K37" s="62">
        <v>1.0750677373803734</v>
      </c>
      <c r="L37" s="61">
        <v>1.2198040079418053</v>
      </c>
      <c r="M37" s="62">
        <v>1.2198040079418053</v>
      </c>
      <c r="N37" s="61">
        <v>1.0817656555382544</v>
      </c>
      <c r="O37" s="89">
        <v>1.0817656555382544</v>
      </c>
      <c r="P37" s="63">
        <f>O37+M37+K37+I37+G37</f>
        <v>5.2041071682080355</v>
      </c>
    </row>
    <row r="38" spans="2:17">
      <c r="B38" s="36"/>
      <c r="C38" s="47">
        <f>basic_info!$D$5+2</f>
        <v>2029</v>
      </c>
      <c r="D38" s="76"/>
      <c r="E38" s="75"/>
      <c r="F38" s="75"/>
      <c r="G38" s="75"/>
      <c r="H38" s="69">
        <v>0.88631273952126499</v>
      </c>
      <c r="I38" s="79">
        <v>0.88631273952126499</v>
      </c>
      <c r="J38" s="61">
        <v>1.0546694543357544</v>
      </c>
      <c r="K38" s="62">
        <v>1.0546694543357544</v>
      </c>
      <c r="L38" s="61">
        <v>1.1756596786689746</v>
      </c>
      <c r="M38" s="62">
        <v>1.1756596786689746</v>
      </c>
      <c r="N38" s="61">
        <v>1.0393683201042592</v>
      </c>
      <c r="O38" s="89">
        <v>1.0393683201042592</v>
      </c>
      <c r="P38" s="63">
        <f>O38+M38+K38+I38</f>
        <v>4.1560101926302533</v>
      </c>
    </row>
    <row r="39" spans="2:17">
      <c r="B39" s="36"/>
      <c r="C39" s="47">
        <f>basic_info!$D$5+3</f>
        <v>2030</v>
      </c>
      <c r="D39" s="76"/>
      <c r="E39" s="75"/>
      <c r="F39" s="75"/>
      <c r="G39" s="75"/>
      <c r="H39" s="75"/>
      <c r="I39" s="75"/>
      <c r="J39" s="69">
        <v>1.0409094843864442</v>
      </c>
      <c r="K39" s="79">
        <v>1.0409094843864442</v>
      </c>
      <c r="L39" s="61">
        <v>1.0839331764160476</v>
      </c>
      <c r="M39" s="62">
        <v>1.0839331764160476</v>
      </c>
      <c r="N39" s="61">
        <v>0.98900041593085708</v>
      </c>
      <c r="O39" s="89">
        <v>0.98900041593085708</v>
      </c>
      <c r="P39" s="63">
        <f>O39+M39+K39</f>
        <v>3.1138430767333487</v>
      </c>
    </row>
    <row r="40" spans="2:17">
      <c r="B40" s="36"/>
      <c r="C40" s="47">
        <f>basic_info!$D$5+4</f>
        <v>2031</v>
      </c>
      <c r="D40" s="76"/>
      <c r="E40" s="75"/>
      <c r="F40" s="75"/>
      <c r="G40" s="75"/>
      <c r="H40" s="75"/>
      <c r="I40" s="75"/>
      <c r="J40" s="75"/>
      <c r="K40" s="75"/>
      <c r="L40" s="69">
        <v>1.0482402778565885</v>
      </c>
      <c r="M40" s="79">
        <v>1.0482402778565885</v>
      </c>
      <c r="N40" s="61">
        <v>0.97045032301312806</v>
      </c>
      <c r="O40" s="89">
        <v>0.97045032301312806</v>
      </c>
      <c r="P40" s="63">
        <f>O40+M40</f>
        <v>2.0186906008697165</v>
      </c>
    </row>
    <row r="41" spans="2:17">
      <c r="B41" s="37"/>
      <c r="C41" s="72">
        <f>basic_info!$D$5+5</f>
        <v>2032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0.96112931388616563</v>
      </c>
      <c r="O41" s="89">
        <v>0.96112931388616563</v>
      </c>
      <c r="P41" s="64">
        <f>O41</f>
        <v>0.96112931388616563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8.3333333333333375</v>
      </c>
      <c r="D47" s="92">
        <v>8.3333333333333375</v>
      </c>
      <c r="E47" s="92">
        <v>8.3333333333333375</v>
      </c>
      <c r="F47" s="92">
        <v>8.3333333333333375</v>
      </c>
      <c r="G47" s="92">
        <v>8.3333333333333375</v>
      </c>
      <c r="H47" s="92">
        <v>8.3333333333333375</v>
      </c>
      <c r="I47" s="92">
        <v>8.3333333333333375</v>
      </c>
      <c r="J47" s="92">
        <v>8.3333333333333375</v>
      </c>
      <c r="K47" s="92">
        <v>8.3333333333333375</v>
      </c>
      <c r="L47" s="92">
        <v>8.3333333333333375</v>
      </c>
      <c r="M47" s="92">
        <v>8.3333333333333375</v>
      </c>
      <c r="N47" s="92">
        <v>8.3333333333333375</v>
      </c>
      <c r="O47" s="33">
        <f>SUM(C47:N47)</f>
        <v>100.00000000000007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3.2347153479453328E-21</v>
      </c>
      <c r="D6" s="93">
        <v>59.529499408827121</v>
      </c>
      <c r="E6" s="93">
        <v>1.2340785185744699E-21</v>
      </c>
      <c r="F6" s="93">
        <v>0</v>
      </c>
      <c r="G6" s="93">
        <v>40.470500591172879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52.912194670458888</v>
      </c>
      <c r="D7" s="93">
        <v>11.516582042104389</v>
      </c>
      <c r="E7" s="93">
        <v>0</v>
      </c>
      <c r="F7" s="93">
        <v>35.571223287436723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2.2559365251787232E-20</v>
      </c>
      <c r="D8" s="93">
        <v>7.3832656901001288E-20</v>
      </c>
      <c r="E8" s="93">
        <v>100</v>
      </c>
      <c r="F8" s="93">
        <v>0</v>
      </c>
      <c r="G8" s="93">
        <v>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75.949367088607588</v>
      </c>
      <c r="D9" s="93">
        <v>1.4488162549590797E-20</v>
      </c>
      <c r="E9" s="93">
        <v>0</v>
      </c>
      <c r="F9" s="93">
        <v>24.050632911392412</v>
      </c>
      <c r="G9" s="93">
        <v>3.4315923811733671E-22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37.160194460474926</v>
      </c>
      <c r="D10" s="93">
        <v>47.06724781576446</v>
      </c>
      <c r="E10" s="93">
        <v>5.9721330760769833</v>
      </c>
      <c r="F10" s="93">
        <v>9.8004246476836254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1.2223326930218625</v>
      </c>
      <c r="D11" s="94">
        <v>92.462280421233302</v>
      </c>
      <c r="E11" s="94">
        <v>6.3153868857448279</v>
      </c>
      <c r="F11" s="94">
        <v>0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44.946278856401428</v>
      </c>
      <c r="D19" s="44">
        <f>100-$C$19</f>
        <v>55.053721143598572</v>
      </c>
      <c r="E19" s="94">
        <v>42.789260555896888</v>
      </c>
      <c r="F19" s="33">
        <f>100-$E$19</f>
        <v>57.210739444103112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14.477376635028298</v>
      </c>
      <c r="D27" s="93">
        <v>43.288403402080469</v>
      </c>
      <c r="E27" s="93">
        <v>35.929012943865018</v>
      </c>
      <c r="F27" s="93">
        <v>8.3616140988597181</v>
      </c>
      <c r="G27" s="95">
        <v>6.4734783374942548</v>
      </c>
      <c r="N27" s="50"/>
      <c r="O27" s="50"/>
      <c r="P27" s="50"/>
    </row>
    <row r="28" spans="2:16">
      <c r="B28" s="45" t="s">
        <v>46</v>
      </c>
      <c r="C28" s="93">
        <v>17.409891589915695</v>
      </c>
      <c r="D28" s="93">
        <v>56.711596597919531</v>
      </c>
      <c r="E28" s="93">
        <v>64.070987056134996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68.112731775056005</v>
      </c>
      <c r="D29" s="93">
        <v>0</v>
      </c>
      <c r="E29" s="93">
        <v>0</v>
      </c>
      <c r="F29" s="93">
        <v>91.638385901140282</v>
      </c>
      <c r="G29" s="95">
        <v>93.526521662505743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100.00000000000001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40.93610696247886</v>
      </c>
      <c r="D37" s="93">
        <v>40.93610696247886</v>
      </c>
      <c r="E37" s="93">
        <v>40.93610696247886</v>
      </c>
      <c r="F37" s="93">
        <v>40.93610696247886</v>
      </c>
      <c r="G37" s="93">
        <v>40.93610696247886</v>
      </c>
      <c r="H37" s="93">
        <v>40.93610696247886</v>
      </c>
      <c r="I37" s="93">
        <v>40.93610696247886</v>
      </c>
      <c r="J37" s="93">
        <v>40.93610696247886</v>
      </c>
      <c r="K37" s="93">
        <v>40.93610696247886</v>
      </c>
      <c r="L37" s="93">
        <v>40.93610696247886</v>
      </c>
      <c r="M37" s="93">
        <v>40.93610696247886</v>
      </c>
      <c r="N37" s="95">
        <v>40.93610696247886</v>
      </c>
    </row>
    <row r="38" spans="2:14">
      <c r="B38" s="45" t="s">
        <v>46</v>
      </c>
      <c r="C38" s="93">
        <v>40.717236499761228</v>
      </c>
      <c r="D38" s="93">
        <v>40.717236499761228</v>
      </c>
      <c r="E38" s="93">
        <v>40.717236499761228</v>
      </c>
      <c r="F38" s="93">
        <v>40.717236499761228</v>
      </c>
      <c r="G38" s="93">
        <v>40.717236499761228</v>
      </c>
      <c r="H38" s="93">
        <v>40.717236499761228</v>
      </c>
      <c r="I38" s="93">
        <v>40.717236499761228</v>
      </c>
      <c r="J38" s="93">
        <v>40.717236499761228</v>
      </c>
      <c r="K38" s="93">
        <v>40.717236499761228</v>
      </c>
      <c r="L38" s="93">
        <v>40.717236499761228</v>
      </c>
      <c r="M38" s="93">
        <v>40.717236499761228</v>
      </c>
      <c r="N38" s="95">
        <v>40.717236499761228</v>
      </c>
    </row>
    <row r="39" spans="2:14">
      <c r="B39" s="45" t="s">
        <v>59</v>
      </c>
      <c r="C39" s="94">
        <v>44.286679848549866</v>
      </c>
      <c r="D39" s="94">
        <v>44.286679848549866</v>
      </c>
      <c r="E39" s="94">
        <v>44.286679848549866</v>
      </c>
      <c r="F39" s="94">
        <v>44.286679848549866</v>
      </c>
      <c r="G39" s="94">
        <v>44.286679848549866</v>
      </c>
      <c r="H39" s="94">
        <v>44.286679848549866</v>
      </c>
      <c r="I39" s="94">
        <v>44.286679848549866</v>
      </c>
      <c r="J39" s="94">
        <v>44.286679848549866</v>
      </c>
      <c r="K39" s="94">
        <v>44.286679848549866</v>
      </c>
      <c r="L39" s="94">
        <v>44.286679848549866</v>
      </c>
      <c r="M39" s="94">
        <v>44.286679848549866</v>
      </c>
      <c r="N39" s="89">
        <v>44.286679848549866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64762.088916318862</v>
      </c>
      <c r="L7" s="182"/>
      <c r="M7" s="182" t="s">
        <v>356</v>
      </c>
      <c r="S7" s="187">
        <f>SUM(ORA!$D$127:$O$127)</f>
        <v>276675818.14098191</v>
      </c>
    </row>
    <row r="8" spans="1:20">
      <c r="A8" s="182"/>
      <c r="B8" s="182" t="s">
        <v>357</v>
      </c>
      <c r="G8" s="185"/>
      <c r="H8" s="188">
        <f>SUM(POJ!$D$116:$O$116)</f>
        <v>41940.807912664219</v>
      </c>
      <c r="L8" s="182"/>
      <c r="M8" s="182" t="s">
        <v>357</v>
      </c>
      <c r="S8" s="189">
        <f>SUM(POJ!$D$127:$O$127)</f>
        <v>293585655.38864952</v>
      </c>
    </row>
    <row r="9" spans="1:20">
      <c r="A9" s="182"/>
      <c r="B9" s="182" t="s">
        <v>358</v>
      </c>
      <c r="G9" s="185"/>
      <c r="H9" s="188">
        <f>SUM(ROJ!$D$116:$O$116)</f>
        <v>26650.266603409636</v>
      </c>
      <c r="L9" s="182"/>
      <c r="M9" s="182" t="s">
        <v>358</v>
      </c>
      <c r="S9" s="189">
        <f>SUM(ROJ!$D$127:$O$127)</f>
        <v>202542026.18591326</v>
      </c>
    </row>
    <row r="10" spans="1:20">
      <c r="A10" s="182"/>
      <c r="B10" s="182" t="s">
        <v>359</v>
      </c>
      <c r="G10" s="185"/>
      <c r="H10" s="190">
        <f>SUM(FCOJ!$D$116:$O$116)</f>
        <v>28512.001867644831</v>
      </c>
      <c r="L10" s="182"/>
      <c r="M10" s="182" t="s">
        <v>359</v>
      </c>
      <c r="S10" s="191">
        <f>SUM(FCOJ!$D$127:$O$127)</f>
        <v>143094050.80478826</v>
      </c>
    </row>
    <row r="11" spans="1:20">
      <c r="A11" s="182"/>
      <c r="B11" s="182"/>
      <c r="G11" s="185"/>
      <c r="M11" s="182" t="s">
        <v>360</v>
      </c>
      <c r="T11" s="192">
        <f>SUM($S$7:$S$10)</f>
        <v>915897550.52033293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167659.86896503976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3.7975006253877472</v>
      </c>
      <c r="L14" s="182"/>
      <c r="M14" s="182" t="s">
        <v>365</v>
      </c>
      <c r="S14" s="187">
        <f>SUM(grove!$C$58:$AX$63)</f>
        <v>231474732.25298285</v>
      </c>
    </row>
    <row r="15" spans="1:20">
      <c r="A15" s="182"/>
      <c r="B15" s="182" t="s">
        <v>366</v>
      </c>
      <c r="G15" s="185"/>
      <c r="H15" s="190">
        <f>raw_materials!$P$36</f>
        <v>5.2501627953688139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5805.1706180015417</v>
      </c>
    </row>
    <row r="16" spans="1:20">
      <c r="A16" s="182"/>
      <c r="B16" s="182" t="s">
        <v>368</v>
      </c>
      <c r="G16" s="185"/>
      <c r="H16" s="194">
        <v>43120.939659765922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11239.686327171945</v>
      </c>
    </row>
    <row r="17" spans="1:21">
      <c r="A17" s="182"/>
      <c r="B17" s="182" t="s">
        <v>370</v>
      </c>
      <c r="G17" s="185"/>
      <c r="H17" s="195">
        <v>56323.374814531751</v>
      </c>
      <c r="L17" s="182"/>
      <c r="M17" s="182" t="s">
        <v>371</v>
      </c>
      <c r="S17" s="189">
        <v>31878416.428987697</v>
      </c>
    </row>
    <row r="18" spans="1:21">
      <c r="A18" s="182"/>
      <c r="B18" s="182" t="s">
        <v>372</v>
      </c>
      <c r="G18" s="185"/>
      <c r="H18" s="196">
        <v>26116.980227814391</v>
      </c>
      <c r="L18" s="182"/>
      <c r="M18" s="182" t="s">
        <v>373</v>
      </c>
      <c r="S18" s="191">
        <v>1665.8983127923429</v>
      </c>
    </row>
    <row r="19" spans="1:21">
      <c r="A19" s="182"/>
      <c r="B19" s="182" t="s">
        <v>374</v>
      </c>
      <c r="G19" s="185"/>
      <c r="H19" s="195">
        <v>2693.0361079627414</v>
      </c>
      <c r="L19" s="182"/>
      <c r="M19" s="182" t="s">
        <v>375</v>
      </c>
      <c r="S19" s="197" t="s">
        <v>376</v>
      </c>
      <c r="T19" s="198">
        <f>SUM($S$14:$S$18)</f>
        <v>263371859.4372285</v>
      </c>
      <c r="U19" s="100" t="s">
        <v>377</v>
      </c>
    </row>
    <row r="20" spans="1:21">
      <c r="A20" s="182"/>
      <c r="B20" s="182" t="s">
        <v>378</v>
      </c>
      <c r="G20" s="185"/>
      <c r="H20" s="190">
        <v>254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86241879.319531828</v>
      </c>
    </row>
    <row r="23" spans="1:21">
      <c r="A23" s="182"/>
      <c r="B23" s="182" t="s">
        <v>382</v>
      </c>
      <c r="G23" s="185"/>
      <c r="H23" s="186">
        <f>SUM(raw_materials!$O$31:$O$35)</f>
        <v>3.5042685341199329</v>
      </c>
      <c r="L23" s="182"/>
      <c r="M23" s="182" t="s">
        <v>383</v>
      </c>
      <c r="S23" s="189">
        <v>56323374.814531788</v>
      </c>
    </row>
    <row r="24" spans="1:21">
      <c r="A24" s="182"/>
      <c r="B24" s="182" t="s">
        <v>384</v>
      </c>
      <c r="G24" s="185"/>
      <c r="H24" s="190">
        <f>SUM(raw_materials!$O$37:$O$41)</f>
        <v>5.0417140284726649</v>
      </c>
      <c r="L24" s="182"/>
      <c r="M24" s="182" t="s">
        <v>385</v>
      </c>
      <c r="S24" s="191">
        <v>16976037.148079358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159541291.28214297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15583716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26967434.320637699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-1300</v>
      </c>
      <c r="L30" s="182"/>
      <c r="M30" s="182" t="s">
        <v>395</v>
      </c>
      <c r="S30" s="189">
        <v>4145199.157146439</v>
      </c>
    </row>
    <row r="31" spans="1:21">
      <c r="L31" s="182"/>
      <c r="M31" s="182" t="s">
        <v>396</v>
      </c>
      <c r="S31" s="191">
        <f>SUM(ORA!D138:O138)+SUM(POJ!D138:O138)+SUM(ROJ!D138:O138)+SUM(FCOJ!D138:O138)</f>
        <v>109751844.65809865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156448194.13588279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-6240000</v>
      </c>
    </row>
    <row r="41" spans="1:21">
      <c r="L41" s="182"/>
      <c r="M41" s="182" t="s">
        <v>409</v>
      </c>
      <c r="S41" s="189">
        <v>9110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48656610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287879595.66507858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0.88347487467815533</v>
      </c>
      <c r="D5" s="100">
        <v>0.61357731602835408</v>
      </c>
      <c r="E5" s="100">
        <v>0.70557530421521875</v>
      </c>
      <c r="F5" s="100">
        <v>0.69619386206698142</v>
      </c>
      <c r="G5" s="100">
        <v>0.5730042478896441</v>
      </c>
      <c r="H5" s="100">
        <v>0.72548798988790042</v>
      </c>
      <c r="I5" s="100">
        <v>0.74051512431874056</v>
      </c>
      <c r="J5" s="100">
        <v>0.68709293846263175</v>
      </c>
      <c r="K5" s="100">
        <v>0.61364481005181559</v>
      </c>
      <c r="L5" s="100">
        <v>0.6495413298883792</v>
      </c>
      <c r="M5" s="100">
        <v>0.70755583317342763</v>
      </c>
      <c r="N5" s="100">
        <v>0.58383191672466184</v>
      </c>
    </row>
    <row r="6" spans="2:14">
      <c r="B6" s="171" t="s">
        <v>105</v>
      </c>
      <c r="C6" s="100">
        <v>0.69090913477622151</v>
      </c>
      <c r="D6" s="100">
        <v>0.68558912082479717</v>
      </c>
      <c r="E6" s="100">
        <v>0.69348949813822103</v>
      </c>
      <c r="F6" s="100">
        <v>0.73778964086362941</v>
      </c>
      <c r="G6" s="100">
        <v>0.67075208067147263</v>
      </c>
      <c r="H6" s="100">
        <v>0.6986666983722607</v>
      </c>
      <c r="I6" s="100">
        <v>0.6986795589977558</v>
      </c>
      <c r="J6" s="100">
        <v>0.68105357697143243</v>
      </c>
      <c r="K6" s="100">
        <v>0.70608575118868033</v>
      </c>
      <c r="L6" s="100">
        <v>0.71584099499619269</v>
      </c>
      <c r="M6" s="100">
        <v>0.65982138925544886</v>
      </c>
      <c r="N6" s="100">
        <v>0.66248176951766835</v>
      </c>
    </row>
    <row r="7" spans="2:14">
      <c r="B7" s="171" t="s">
        <v>106</v>
      </c>
      <c r="C7" s="100">
        <v>0.72288158017826665</v>
      </c>
      <c r="D7" s="100">
        <v>0.77622896516817241</v>
      </c>
      <c r="E7" s="100">
        <v>0.84141109698890415</v>
      </c>
      <c r="F7" s="100">
        <v>0.72911187345458284</v>
      </c>
      <c r="G7" s="100">
        <v>0.74146244348353418</v>
      </c>
      <c r="H7" s="100">
        <v>0.73542836563481251</v>
      </c>
      <c r="I7" s="100">
        <v>0.74592379904019457</v>
      </c>
      <c r="J7" s="100">
        <v>0.76408468837489552</v>
      </c>
      <c r="K7" s="100">
        <v>0.76894237169259438</v>
      </c>
      <c r="L7" s="100">
        <v>0.72615285295996035</v>
      </c>
      <c r="M7" s="100">
        <v>0.71055908267808798</v>
      </c>
      <c r="N7" s="100">
        <v>0.74225421502399047</v>
      </c>
    </row>
    <row r="8" spans="2:14">
      <c r="B8" s="171" t="s">
        <v>107</v>
      </c>
      <c r="C8" s="100">
        <v>0.72774328358236984</v>
      </c>
      <c r="D8" s="100">
        <v>0.87766812601809607</v>
      </c>
      <c r="E8" s="100">
        <v>0.69864573148645093</v>
      </c>
      <c r="F8" s="100">
        <v>0.70095595260823262</v>
      </c>
      <c r="G8" s="100">
        <v>0.67295771626677925</v>
      </c>
      <c r="H8" s="100">
        <v>0.74004910253170197</v>
      </c>
      <c r="I8" s="100">
        <v>0.73286112919148461</v>
      </c>
      <c r="J8" s="100">
        <v>0.6811529195928091</v>
      </c>
      <c r="K8" s="100">
        <v>0.68684501367624629</v>
      </c>
      <c r="L8" s="100">
        <v>0.70367539609233976</v>
      </c>
      <c r="M8" s="100">
        <v>0.74315616391822614</v>
      </c>
      <c r="N8" s="100">
        <v>0.67959406601386041</v>
      </c>
    </row>
    <row r="9" spans="2:14">
      <c r="B9" s="171" t="s">
        <v>108</v>
      </c>
      <c r="C9" s="100">
        <v>2.0462973749637605</v>
      </c>
      <c r="D9" s="100">
        <v>2.0879284954071045</v>
      </c>
      <c r="E9" s="100">
        <v>2.0662516868114471</v>
      </c>
      <c r="F9" s="100">
        <v>2.0153824543952941</v>
      </c>
      <c r="G9" s="100">
        <v>2.0344391262531283</v>
      </c>
      <c r="H9" s="100">
        <v>2.0216721868515015</v>
      </c>
      <c r="I9" s="100">
        <v>2.0955137765407561</v>
      </c>
      <c r="J9" s="100">
        <v>2.061116693019867</v>
      </c>
      <c r="K9" s="100">
        <v>2.0216748869419097</v>
      </c>
      <c r="L9" s="100">
        <v>2.0116494750976561</v>
      </c>
      <c r="M9" s="100">
        <v>2.0955282008647917</v>
      </c>
      <c r="N9" s="100">
        <v>2.0762345528602602</v>
      </c>
    </row>
    <row r="10" spans="2:14">
      <c r="B10" s="171" t="s">
        <v>109</v>
      </c>
      <c r="C10" s="100">
        <v>0.64583790898323057</v>
      </c>
      <c r="D10" s="100">
        <v>0.68561060428619391</v>
      </c>
      <c r="E10" s="100">
        <v>0.69929422736167912</v>
      </c>
      <c r="F10" s="100">
        <v>0.65298823118209837</v>
      </c>
      <c r="G10" s="100">
        <v>0.62642160058021545</v>
      </c>
      <c r="H10" s="100">
        <v>0.64632534980773926</v>
      </c>
      <c r="I10" s="100">
        <v>0.63475252985954289</v>
      </c>
      <c r="J10" s="100">
        <v>0.61880570650100708</v>
      </c>
      <c r="K10" s="100">
        <v>0.63739202618598945</v>
      </c>
      <c r="L10" s="100">
        <v>0.61314551830291752</v>
      </c>
      <c r="M10" s="100">
        <v>0.66009768843650818</v>
      </c>
      <c r="N10" s="100">
        <v>0.69035323858261111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0.35888136999396347</v>
      </c>
      <c r="D14" s="101">
        <v>0.3602134922778189</v>
      </c>
      <c r="E14" s="101">
        <v>0.36154186621297507</v>
      </c>
      <c r="F14" s="101">
        <v>0.36286275399790091</v>
      </c>
      <c r="G14" s="101">
        <v>0.36417243889572437</v>
      </c>
      <c r="H14" s="100">
        <v>0.36546723569245065</v>
      </c>
      <c r="I14" s="100">
        <v>0.36674350106648101</v>
      </c>
      <c r="J14" s="100">
        <v>0.36799764384025418</v>
      </c>
      <c r="K14" s="100">
        <v>0.36922613508516372</v>
      </c>
      <c r="L14" s="100">
        <v>0.37042551805131813</v>
      </c>
      <c r="M14" s="100">
        <v>0.371592417894204</v>
      </c>
      <c r="N14" s="100">
        <v>0.37272355117088102</v>
      </c>
    </row>
    <row r="15" spans="2:14">
      <c r="B15" s="170" t="s">
        <v>318</v>
      </c>
      <c r="C15" s="100">
        <v>1.0056675520060299</v>
      </c>
      <c r="D15" s="100">
        <v>1.0083339168914516</v>
      </c>
      <c r="E15" s="100">
        <v>1.0109927791132884</v>
      </c>
      <c r="F15" s="100">
        <v>1.0136366571190789</v>
      </c>
      <c r="G15" s="100">
        <v>1.0162581115192086</v>
      </c>
      <c r="H15" s="100">
        <v>1.018849766019992</v>
      </c>
      <c r="I15" s="100">
        <v>1.0214043281792147</v>
      </c>
      <c r="J15" s="100">
        <v>1.0239146099257344</v>
      </c>
      <c r="K15" s="100">
        <v>1.0263735477853986</v>
      </c>
      <c r="L15" s="100">
        <v>1.0287742227563721</v>
      </c>
      <c r="M15" s="100">
        <v>1.0311098797779406</v>
      </c>
      <c r="N15" s="100">
        <v>1.0333739467380207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0.88347487467815533</v>
      </c>
      <c r="D19" s="100">
        <f t="shared" ref="D19:N20" si="0">D5</f>
        <v>0.61357731602835408</v>
      </c>
      <c r="E19" s="100">
        <f t="shared" si="0"/>
        <v>0.70557530421521875</v>
      </c>
      <c r="F19" s="100">
        <f t="shared" si="0"/>
        <v>0.69619386206698142</v>
      </c>
      <c r="G19" s="100">
        <f t="shared" si="0"/>
        <v>0.5730042478896441</v>
      </c>
      <c r="H19" s="100">
        <f t="shared" si="0"/>
        <v>0.72548798988790042</v>
      </c>
      <c r="I19" s="100">
        <f t="shared" si="0"/>
        <v>0.74051512431874056</v>
      </c>
      <c r="J19" s="100">
        <f t="shared" si="0"/>
        <v>0.68709293846263175</v>
      </c>
      <c r="K19" s="100">
        <f t="shared" si="0"/>
        <v>0.61364481005181559</v>
      </c>
      <c r="L19" s="100">
        <f t="shared" si="0"/>
        <v>0.6495413298883792</v>
      </c>
      <c r="M19" s="100">
        <f t="shared" si="0"/>
        <v>0.70755583317342763</v>
      </c>
      <c r="N19" s="100">
        <f t="shared" si="0"/>
        <v>0.58383191672466184</v>
      </c>
    </row>
    <row r="20" spans="2:14">
      <c r="B20" s="173" t="s">
        <v>105</v>
      </c>
      <c r="C20" s="100">
        <f>C6</f>
        <v>0.69090913477622151</v>
      </c>
      <c r="D20" s="100">
        <f t="shared" si="0"/>
        <v>0.68558912082479717</v>
      </c>
      <c r="E20" s="100">
        <f t="shared" si="0"/>
        <v>0.69348949813822103</v>
      </c>
      <c r="F20" s="100">
        <f t="shared" si="0"/>
        <v>0.73778964086362941</v>
      </c>
      <c r="G20" s="100">
        <f t="shared" si="0"/>
        <v>0.67075208067147263</v>
      </c>
      <c r="H20" s="100">
        <f t="shared" si="0"/>
        <v>0.6986666983722607</v>
      </c>
      <c r="I20" s="100">
        <f t="shared" si="0"/>
        <v>0.6986795589977558</v>
      </c>
      <c r="J20" s="100">
        <f t="shared" si="0"/>
        <v>0.68105357697143243</v>
      </c>
      <c r="K20" s="100">
        <f t="shared" si="0"/>
        <v>0.70608575118868033</v>
      </c>
      <c r="L20" s="100">
        <f t="shared" si="0"/>
        <v>0.71584099499619269</v>
      </c>
      <c r="M20" s="100">
        <f t="shared" si="0"/>
        <v>0.65982138925544886</v>
      </c>
      <c r="N20" s="100">
        <f t="shared" si="0"/>
        <v>0.66248176951766835</v>
      </c>
    </row>
    <row r="21" spans="2:14">
      <c r="B21" s="173" t="s">
        <v>106</v>
      </c>
      <c r="C21" s="100">
        <f t="shared" ref="C21:N22" si="1">C7</f>
        <v>0.72288158017826665</v>
      </c>
      <c r="D21" s="100">
        <f t="shared" si="1"/>
        <v>0.77622896516817241</v>
      </c>
      <c r="E21" s="100">
        <f t="shared" si="1"/>
        <v>0.84141109698890415</v>
      </c>
      <c r="F21" s="100">
        <f t="shared" si="1"/>
        <v>0.72911187345458284</v>
      </c>
      <c r="G21" s="100">
        <f t="shared" si="1"/>
        <v>0.74146244348353418</v>
      </c>
      <c r="H21" s="100">
        <f t="shared" si="1"/>
        <v>0.73542836563481251</v>
      </c>
      <c r="I21" s="100">
        <f t="shared" si="1"/>
        <v>0.74592379904019457</v>
      </c>
      <c r="J21" s="100">
        <f t="shared" si="1"/>
        <v>0.76408468837489552</v>
      </c>
      <c r="K21" s="100">
        <f t="shared" si="1"/>
        <v>0.76894237169259438</v>
      </c>
      <c r="L21" s="100">
        <f t="shared" si="1"/>
        <v>0.72615285295996035</v>
      </c>
      <c r="M21" s="100">
        <f t="shared" si="1"/>
        <v>0.71055908267808798</v>
      </c>
      <c r="N21" s="100">
        <f t="shared" si="1"/>
        <v>0.74225421502399047</v>
      </c>
    </row>
    <row r="22" spans="2:14">
      <c r="B22" s="173" t="s">
        <v>107</v>
      </c>
      <c r="C22" s="100">
        <f t="shared" si="1"/>
        <v>0.72774328358236984</v>
      </c>
      <c r="D22" s="100">
        <f t="shared" si="1"/>
        <v>0.87766812601809607</v>
      </c>
      <c r="E22" s="100">
        <f t="shared" si="1"/>
        <v>0.69864573148645093</v>
      </c>
      <c r="F22" s="100">
        <f t="shared" si="1"/>
        <v>0.70095595260823262</v>
      </c>
      <c r="G22" s="100">
        <f t="shared" si="1"/>
        <v>0.67295771626677925</v>
      </c>
      <c r="H22" s="100">
        <f t="shared" si="1"/>
        <v>0.74004910253170197</v>
      </c>
      <c r="I22" s="100">
        <f t="shared" si="1"/>
        <v>0.73286112919148461</v>
      </c>
      <c r="J22" s="100">
        <f t="shared" si="1"/>
        <v>0.6811529195928091</v>
      </c>
      <c r="K22" s="100">
        <f t="shared" si="1"/>
        <v>0.68684501367624629</v>
      </c>
      <c r="L22" s="100">
        <f t="shared" si="1"/>
        <v>0.70367539609233976</v>
      </c>
      <c r="M22" s="100">
        <f t="shared" si="1"/>
        <v>0.74315616391822614</v>
      </c>
      <c r="N22" s="100">
        <f t="shared" si="1"/>
        <v>0.67959406601386041</v>
      </c>
    </row>
    <row r="23" spans="2:14">
      <c r="B23" s="173" t="s">
        <v>108</v>
      </c>
      <c r="C23" s="100">
        <f>C9*C14</f>
        <v>0.73437800534204556</v>
      </c>
      <c r="D23" s="100">
        <f t="shared" ref="D23:N24" si="2">D9*D14</f>
        <v>0.7521000149569651</v>
      </c>
      <c r="E23" s="100">
        <f t="shared" si="2"/>
        <v>0.74703649091551827</v>
      </c>
      <c r="F23" s="100">
        <f t="shared" si="2"/>
        <v>0.73130722776092538</v>
      </c>
      <c r="G23" s="100">
        <f t="shared" si="2"/>
        <v>0.74088665839248824</v>
      </c>
      <c r="H23" s="100">
        <f t="shared" si="2"/>
        <v>0.73885494560492981</v>
      </c>
      <c r="I23" s="100">
        <f t="shared" si="2"/>
        <v>0.76851605894160047</v>
      </c>
      <c r="J23" s="100">
        <f t="shared" si="2"/>
        <v>0.75848608671112749</v>
      </c>
      <c r="K23" s="100">
        <f t="shared" si="2"/>
        <v>0.74645520490429662</v>
      </c>
      <c r="L23" s="100">
        <f t="shared" si="2"/>
        <v>0.7451662989507114</v>
      </c>
      <c r="M23" s="100">
        <f t="shared" si="2"/>
        <v>0.77868239092483915</v>
      </c>
      <c r="N23" s="100">
        <f t="shared" si="2"/>
        <v>0.77386151560576244</v>
      </c>
    </row>
    <row r="24" spans="2:14">
      <c r="B24" s="173" t="s">
        <v>109</v>
      </c>
      <c r="C24" s="100">
        <f>C10*C15</f>
        <v>0.64949822891985864</v>
      </c>
      <c r="D24" s="100">
        <f t="shared" si="2"/>
        <v>0.6913244260822129</v>
      </c>
      <c r="E24" s="100">
        <f t="shared" si="2"/>
        <v>0.70698141433826378</v>
      </c>
      <c r="F24" s="100">
        <f t="shared" si="2"/>
        <v>0.66189280779352244</v>
      </c>
      <c r="G24" s="100">
        <f t="shared" si="2"/>
        <v>0.63660603282048978</v>
      </c>
      <c r="H24" s="100">
        <f t="shared" si="2"/>
        <v>0.65850843142440463</v>
      </c>
      <c r="I24" s="100">
        <f t="shared" si="2"/>
        <v>0.64833898132124335</v>
      </c>
      <c r="J24" s="100">
        <f t="shared" si="2"/>
        <v>0.63360420359179714</v>
      </c>
      <c r="K24" s="100">
        <f t="shared" si="2"/>
        <v>0.65420231524663763</v>
      </c>
      <c r="L24" s="100">
        <f t="shared" si="2"/>
        <v>0.63078830402863695</v>
      </c>
      <c r="M24" s="100">
        <f t="shared" si="2"/>
        <v>0.68063324816546444</v>
      </c>
      <c r="N24" s="100">
        <f t="shared" si="2"/>
        <v>0.71339305079748727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0.8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0.8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0.8</v>
      </c>
      <c r="F32" s="100">
        <f>IF(F23&lt;=raw_materials!$D21,raw_materials!$C21,IF(F23&lt;=raw_materials!$F21,raw_materials!$E21,IF(F23&lt;=raw_materials!$H21,raw_materials!$G21,0)))</f>
        <v>0.8</v>
      </c>
      <c r="G32" s="100">
        <f>IF(G23&lt;=raw_materials!$D21,raw_materials!$C21,IF(G23&lt;=raw_materials!$F21,raw_materials!$E21,IF(G23&lt;=raw_materials!$H21,raw_materials!$G21,0)))</f>
        <v>0.8</v>
      </c>
      <c r="H32" s="100">
        <f>IF(H23&lt;=raw_materials!$D21,raw_materials!$C21,IF(H23&lt;=raw_materials!$F21,raw_materials!$E21,IF(H23&lt;=raw_materials!$H21,raw_materials!$G21,0)))</f>
        <v>0.8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0.8</v>
      </c>
      <c r="L32" s="100">
        <f>IF(L23&lt;=raw_materials!$D21,raw_materials!$C21,IF(L23&lt;=raw_materials!$F21,raw_materials!$E21,IF(L23&lt;=raw_materials!$H21,raw_materials!$G21,0)))</f>
        <v>0.8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1.2</v>
      </c>
      <c r="K33" s="100">
        <f>IF(K24&lt;=raw_materials!$D22,raw_materials!$C22,IF(K24&lt;=raw_materials!$F22,raw_materials!$E22,IF(K24&lt;=raw_materials!$H22,raw_materials!$G22,0)))</f>
        <v>1.2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1.2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10043.926701050497</v>
      </c>
      <c r="E38" s="100">
        <v>25164.733912812586</v>
      </c>
      <c r="F38" s="100">
        <v>2521.9645187045521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10414.649238940299</v>
      </c>
      <c r="V38" s="100">
        <v>26090.24469980675</v>
      </c>
      <c r="W38" s="100">
        <v>26143.711499307632</v>
      </c>
      <c r="X38" s="100">
        <v>26197.014871775551</v>
      </c>
      <c r="Y38" s="100">
        <v>18375.102352565613</v>
      </c>
      <c r="Z38" s="100">
        <v>26303.096964916222</v>
      </c>
      <c r="AA38" s="100">
        <v>10542.343427046595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9141.8366977156747</v>
      </c>
      <c r="AP38" s="100">
        <v>13389.105836604445</v>
      </c>
      <c r="AQ38" s="100">
        <v>9168.362559330948</v>
      </c>
      <c r="AR38" s="100">
        <v>10719.380598136751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11047.300725264813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3584.4366933411679</v>
      </c>
      <c r="N40" s="100">
        <v>3592.07328545677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1213.1780047128302</v>
      </c>
      <c r="H41" s="100">
        <v>3039.5297801219349</v>
      </c>
      <c r="I41" s="100">
        <v>1218.4442680226944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1262.5486543159786</v>
      </c>
      <c r="AA41" s="100">
        <v>3162.7030281139782</v>
      </c>
      <c r="AB41" s="100">
        <v>3169.010701245003</v>
      </c>
      <c r="AC41" s="100">
        <v>3175.2936370086377</v>
      </c>
      <c r="AD41" s="100">
        <v>2227.0855747827231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2265.5790161579912</v>
      </c>
      <c r="AN41" s="100">
        <v>3242.486316785189</v>
      </c>
      <c r="AO41" s="100">
        <v>3248.3945807688906</v>
      </c>
      <c r="AP41" s="100">
        <v>3254.2652898321776</v>
      </c>
      <c r="AQ41" s="100">
        <v>2282.0682474629784</v>
      </c>
      <c r="AR41" s="100">
        <v>2286.1231814005346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2079.5232027972852</v>
      </c>
      <c r="D48" s="100">
        <v>2079.5232027972852</v>
      </c>
      <c r="E48" s="100">
        <v>2079.5232027972852</v>
      </c>
      <c r="F48" s="100">
        <v>2079.5232027972852</v>
      </c>
      <c r="G48" s="100">
        <v>2599.4040034966065</v>
      </c>
      <c r="H48" s="100">
        <v>2599.4040034966065</v>
      </c>
      <c r="I48" s="100">
        <v>2599.4040034966065</v>
      </c>
      <c r="J48" s="100">
        <v>2599.4040034966065</v>
      </c>
      <c r="K48" s="100">
        <v>2599.4040034966065</v>
      </c>
      <c r="L48" s="100">
        <v>2599.4040034966065</v>
      </c>
      <c r="M48" s="100">
        <v>2599.4040034966065</v>
      </c>
      <c r="N48" s="100">
        <v>2599.4040034966065</v>
      </c>
      <c r="O48" s="100">
        <v>2599.4040034966065</v>
      </c>
      <c r="P48" s="100">
        <v>2599.4040034966065</v>
      </c>
      <c r="Q48" s="100">
        <v>2599.4040034966065</v>
      </c>
      <c r="R48" s="100">
        <v>2599.4040034966065</v>
      </c>
      <c r="S48" s="100">
        <v>2599.4040034966065</v>
      </c>
      <c r="T48" s="100">
        <v>2599.4040034966065</v>
      </c>
      <c r="U48" s="100">
        <v>2599.4040034966065</v>
      </c>
      <c r="V48" s="100">
        <v>2599.4040034966065</v>
      </c>
      <c r="W48" s="100">
        <v>2599.4040034966065</v>
      </c>
      <c r="X48" s="100">
        <v>2599.4040034966065</v>
      </c>
      <c r="Y48" s="100">
        <v>2599.4040034966065</v>
      </c>
      <c r="Z48" s="100">
        <v>2599.4040034966065</v>
      </c>
      <c r="AA48" s="100">
        <v>2599.4040034966065</v>
      </c>
      <c r="AB48" s="100">
        <v>2599.4040034966065</v>
      </c>
      <c r="AC48" s="100">
        <v>2599.4040034966065</v>
      </c>
      <c r="AD48" s="100">
        <v>2599.4040034966065</v>
      </c>
      <c r="AE48" s="100">
        <v>2599.4040034966065</v>
      </c>
      <c r="AF48" s="100">
        <v>2599.4040034966065</v>
      </c>
      <c r="AG48" s="100">
        <v>2599.4040034966065</v>
      </c>
      <c r="AH48" s="100">
        <v>2599.4040034966065</v>
      </c>
      <c r="AI48" s="100">
        <v>2599.4040034966065</v>
      </c>
      <c r="AJ48" s="100">
        <v>2599.4040034966065</v>
      </c>
      <c r="AK48" s="100">
        <v>2599.4040034966065</v>
      </c>
      <c r="AL48" s="100">
        <v>2599.4040034966065</v>
      </c>
      <c r="AM48" s="100">
        <v>2599.4040034966065</v>
      </c>
      <c r="AN48" s="100">
        <v>2599.4040034966065</v>
      </c>
      <c r="AO48" s="100">
        <v>2599.4040034966065</v>
      </c>
      <c r="AP48" s="100">
        <v>2599.4040034966065</v>
      </c>
      <c r="AQ48" s="100">
        <v>2599.4040034966065</v>
      </c>
      <c r="AR48" s="100">
        <v>2599.4040034966065</v>
      </c>
      <c r="AS48" s="100">
        <v>2599.4040034966065</v>
      </c>
      <c r="AT48" s="100">
        <v>2599.4040034966065</v>
      </c>
      <c r="AU48" s="100">
        <v>2599.4040034966065</v>
      </c>
      <c r="AV48" s="100">
        <v>2599.4040034966065</v>
      </c>
      <c r="AW48" s="100">
        <v>2599.4040034966065</v>
      </c>
      <c r="AX48" s="100">
        <v>2599.4040034966065</v>
      </c>
    </row>
    <row r="49" spans="2:51">
      <c r="B49" s="99" t="s">
        <v>105</v>
      </c>
      <c r="C49" s="100">
        <v>2.0323224250698765E-19</v>
      </c>
      <c r="D49" s="100">
        <v>2.0323224250698765E-19</v>
      </c>
      <c r="E49" s="100">
        <v>2.0323224250698765E-19</v>
      </c>
      <c r="F49" s="100">
        <v>2.0323224250698765E-19</v>
      </c>
      <c r="G49" s="100">
        <v>2.0323224250698765E-19</v>
      </c>
      <c r="H49" s="100">
        <v>2.0323224250698765E-19</v>
      </c>
      <c r="I49" s="100">
        <v>2.0323224250698765E-19</v>
      </c>
      <c r="J49" s="100">
        <v>2.0323224250698765E-19</v>
      </c>
      <c r="K49" s="100">
        <v>2.0323224250698765E-19</v>
      </c>
      <c r="L49" s="100">
        <v>2.0323224250698765E-19</v>
      </c>
      <c r="M49" s="100">
        <v>2.0323224250698765E-19</v>
      </c>
      <c r="N49" s="100">
        <v>2.0323224250698765E-19</v>
      </c>
      <c r="O49" s="100">
        <v>2.0323224250698765E-19</v>
      </c>
      <c r="P49" s="100">
        <v>2.0323224250698765E-19</v>
      </c>
      <c r="Q49" s="100">
        <v>2.0323224250698765E-19</v>
      </c>
      <c r="R49" s="100">
        <v>2.0323224250698765E-19</v>
      </c>
      <c r="S49" s="100">
        <v>2.0323224250698765E-19</v>
      </c>
      <c r="T49" s="100">
        <v>2.0323224250698765E-19</v>
      </c>
      <c r="U49" s="100">
        <v>2.0323224250698765E-19</v>
      </c>
      <c r="V49" s="100">
        <v>2.0323224250698765E-19</v>
      </c>
      <c r="W49" s="100">
        <v>2.0323224250698765E-19</v>
      </c>
      <c r="X49" s="100">
        <v>2.0323224250698765E-19</v>
      </c>
      <c r="Y49" s="100">
        <v>2.0323224250698765E-19</v>
      </c>
      <c r="Z49" s="100">
        <v>2.0323224250698765E-19</v>
      </c>
      <c r="AA49" s="100">
        <v>2.0323224250698765E-19</v>
      </c>
      <c r="AB49" s="100">
        <v>2.0323224250698765E-19</v>
      </c>
      <c r="AC49" s="100">
        <v>2.0323224250698765E-19</v>
      </c>
      <c r="AD49" s="100">
        <v>2.0323224250698765E-19</v>
      </c>
      <c r="AE49" s="100">
        <v>2.0323224250698765E-19</v>
      </c>
      <c r="AF49" s="100">
        <v>2.0323224250698765E-19</v>
      </c>
      <c r="AG49" s="100">
        <v>2.0323224250698765E-19</v>
      </c>
      <c r="AH49" s="100">
        <v>2.0323224250698765E-19</v>
      </c>
      <c r="AI49" s="100">
        <v>2.0323224250698765E-19</v>
      </c>
      <c r="AJ49" s="100">
        <v>2.0323224250698765E-19</v>
      </c>
      <c r="AK49" s="100">
        <v>2.0323224250698765E-19</v>
      </c>
      <c r="AL49" s="100">
        <v>2.0323224250698765E-19</v>
      </c>
      <c r="AM49" s="100">
        <v>2.0323224250698765E-19</v>
      </c>
      <c r="AN49" s="100">
        <v>2.0323224250698765E-19</v>
      </c>
      <c r="AO49" s="100">
        <v>2.0323224250698765E-19</v>
      </c>
      <c r="AP49" s="100">
        <v>2.0323224250698765E-19</v>
      </c>
      <c r="AQ49" s="100">
        <v>2.0323224250698765E-19</v>
      </c>
      <c r="AR49" s="100">
        <v>2.0323224250698765E-19</v>
      </c>
      <c r="AS49" s="100">
        <v>2.0323224250698765E-19</v>
      </c>
      <c r="AT49" s="100">
        <v>2.0323224250698765E-19</v>
      </c>
      <c r="AU49" s="100">
        <v>2.0323224250698765E-19</v>
      </c>
      <c r="AV49" s="100">
        <v>2.0323224250698765E-19</v>
      </c>
      <c r="AW49" s="100">
        <v>2.0323224250698765E-19</v>
      </c>
      <c r="AX49" s="100">
        <v>2.0323224250698765E-19</v>
      </c>
    </row>
    <row r="50" spans="2:51">
      <c r="B50" s="99" t="s">
        <v>106</v>
      </c>
      <c r="C50" s="100">
        <v>160</v>
      </c>
      <c r="D50" s="100">
        <v>160</v>
      </c>
      <c r="E50" s="100">
        <v>160</v>
      </c>
      <c r="F50" s="100">
        <v>160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160</v>
      </c>
      <c r="T50" s="100">
        <v>160</v>
      </c>
      <c r="U50" s="100">
        <v>160</v>
      </c>
      <c r="V50" s="100">
        <v>160</v>
      </c>
      <c r="W50" s="100">
        <v>160</v>
      </c>
      <c r="X50" s="100">
        <v>160</v>
      </c>
      <c r="Y50" s="100">
        <v>160</v>
      </c>
      <c r="Z50" s="100">
        <v>160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160</v>
      </c>
      <c r="AF50" s="100">
        <v>160</v>
      </c>
      <c r="AG50" s="100">
        <v>160</v>
      </c>
      <c r="AH50" s="100">
        <v>160</v>
      </c>
      <c r="AI50" s="100">
        <v>160</v>
      </c>
      <c r="AJ50" s="100">
        <v>160</v>
      </c>
      <c r="AK50" s="100">
        <v>160</v>
      </c>
      <c r="AL50" s="100">
        <v>160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160</v>
      </c>
      <c r="AR50" s="100">
        <v>160</v>
      </c>
      <c r="AS50" s="100">
        <v>160</v>
      </c>
      <c r="AT50" s="100">
        <v>160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789.99999999999977</v>
      </c>
      <c r="D51" s="100">
        <v>789.99999999999977</v>
      </c>
      <c r="E51" s="100">
        <v>789.99999999999977</v>
      </c>
      <c r="F51" s="100">
        <v>789.99999999999977</v>
      </c>
      <c r="G51" s="100">
        <v>631.99999999999989</v>
      </c>
      <c r="H51" s="100">
        <v>631.99999999999989</v>
      </c>
      <c r="I51" s="100">
        <v>631.99999999999989</v>
      </c>
      <c r="J51" s="100">
        <v>631.99999999999989</v>
      </c>
      <c r="K51" s="100">
        <v>789.99999999999977</v>
      </c>
      <c r="L51" s="100">
        <v>789.99999999999977</v>
      </c>
      <c r="M51" s="100">
        <v>789.99999999999977</v>
      </c>
      <c r="N51" s="100">
        <v>789.99999999999977</v>
      </c>
      <c r="O51" s="100">
        <v>789.99999999999977</v>
      </c>
      <c r="P51" s="100">
        <v>789.99999999999977</v>
      </c>
      <c r="Q51" s="100">
        <v>789.99999999999977</v>
      </c>
      <c r="R51" s="100">
        <v>789.99999999999977</v>
      </c>
      <c r="S51" s="100">
        <v>789.99999999999977</v>
      </c>
      <c r="T51" s="100">
        <v>789.99999999999977</v>
      </c>
      <c r="U51" s="100">
        <v>789.99999999999977</v>
      </c>
      <c r="V51" s="100">
        <v>789.99999999999977</v>
      </c>
      <c r="W51" s="100">
        <v>789.99999999999977</v>
      </c>
      <c r="X51" s="100">
        <v>789.99999999999977</v>
      </c>
      <c r="Y51" s="100">
        <v>789.99999999999977</v>
      </c>
      <c r="Z51" s="100">
        <v>789.99999999999977</v>
      </c>
      <c r="AA51" s="100">
        <v>789.99999999999977</v>
      </c>
      <c r="AB51" s="100">
        <v>789.99999999999977</v>
      </c>
      <c r="AC51" s="100">
        <v>789.99999999999977</v>
      </c>
      <c r="AD51" s="100">
        <v>789.99999999999977</v>
      </c>
      <c r="AE51" s="100">
        <v>789.99999999999977</v>
      </c>
      <c r="AF51" s="100">
        <v>789.99999999999977</v>
      </c>
      <c r="AG51" s="100">
        <v>789.99999999999977</v>
      </c>
      <c r="AH51" s="100">
        <v>789.99999999999977</v>
      </c>
      <c r="AI51" s="100">
        <v>789.99999999999977</v>
      </c>
      <c r="AJ51" s="100">
        <v>789.99999999999977</v>
      </c>
      <c r="AK51" s="100">
        <v>789.99999999999977</v>
      </c>
      <c r="AL51" s="100">
        <v>789.99999999999977</v>
      </c>
      <c r="AM51" s="100">
        <v>789.99999999999977</v>
      </c>
      <c r="AN51" s="100">
        <v>789.99999999999977</v>
      </c>
      <c r="AO51" s="100">
        <v>789.99999999999977</v>
      </c>
      <c r="AP51" s="100">
        <v>789.99999999999977</v>
      </c>
      <c r="AQ51" s="100">
        <v>789.99999999999977</v>
      </c>
      <c r="AR51" s="100">
        <v>789.99999999999977</v>
      </c>
      <c r="AS51" s="100">
        <v>789.99999999999977</v>
      </c>
      <c r="AT51" s="100">
        <v>789.99999999999977</v>
      </c>
      <c r="AU51" s="100">
        <v>789.99999999999977</v>
      </c>
      <c r="AV51" s="100">
        <v>789.99999999999977</v>
      </c>
      <c r="AW51" s="100">
        <v>789.99999999999977</v>
      </c>
      <c r="AX51" s="100">
        <v>789.99999999999977</v>
      </c>
      <c r="AY51" s="111"/>
    </row>
    <row r="52" spans="2:51">
      <c r="B52" s="99" t="s">
        <v>108</v>
      </c>
      <c r="C52" s="100">
        <v>2.3604592868029246E-19</v>
      </c>
      <c r="D52" s="100">
        <v>2.3604592868029246E-19</v>
      </c>
      <c r="E52" s="100">
        <v>2.3604592868029246E-19</v>
      </c>
      <c r="F52" s="100">
        <v>2.3604592868029246E-19</v>
      </c>
      <c r="G52" s="100">
        <v>0</v>
      </c>
      <c r="H52" s="100">
        <v>0</v>
      </c>
      <c r="I52" s="100">
        <v>0</v>
      </c>
      <c r="J52" s="100">
        <v>0</v>
      </c>
      <c r="K52" s="100">
        <v>2.3604592868029246E-19</v>
      </c>
      <c r="L52" s="100">
        <v>2.3604592868029246E-19</v>
      </c>
      <c r="M52" s="100">
        <v>2.3604592868029246E-19</v>
      </c>
      <c r="N52" s="100">
        <v>2.3604592868029246E-19</v>
      </c>
      <c r="O52" s="100">
        <v>2.3604592868029246E-19</v>
      </c>
      <c r="P52" s="100">
        <v>2.3604592868029246E-19</v>
      </c>
      <c r="Q52" s="100">
        <v>2.3604592868029246E-19</v>
      </c>
      <c r="R52" s="100">
        <v>2.3604592868029246E-19</v>
      </c>
      <c r="S52" s="100">
        <v>2.3604592868029246E-19</v>
      </c>
      <c r="T52" s="100">
        <v>2.3604592868029246E-19</v>
      </c>
      <c r="U52" s="100">
        <v>2.3604592868029246E-19</v>
      </c>
      <c r="V52" s="100">
        <v>2.3604592868029246E-19</v>
      </c>
      <c r="W52" s="100">
        <v>2.3604592868029246E-19</v>
      </c>
      <c r="X52" s="100">
        <v>2.3604592868029246E-19</v>
      </c>
      <c r="Y52" s="100">
        <v>2.3604592868029246E-19</v>
      </c>
      <c r="Z52" s="100">
        <v>2.3604592868029246E-19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2.3604592868029246E-19</v>
      </c>
      <c r="AJ52" s="100">
        <v>2.3604592868029246E-19</v>
      </c>
      <c r="AK52" s="100">
        <v>2.3604592868029246E-19</v>
      </c>
      <c r="AL52" s="100">
        <v>2.3604592868029246E-19</v>
      </c>
      <c r="AM52" s="100">
        <v>2.3604592868029246E-19</v>
      </c>
      <c r="AN52" s="100">
        <v>2.3604592868029246E-19</v>
      </c>
      <c r="AO52" s="100">
        <v>2.3604592868029246E-19</v>
      </c>
      <c r="AP52" s="100">
        <v>2.3604592868029246E-19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2.6614263345885275E-19</v>
      </c>
      <c r="D53" s="100">
        <v>2.6614263345885275E-19</v>
      </c>
      <c r="E53" s="100">
        <v>2.6614263345885275E-19</v>
      </c>
      <c r="F53" s="100">
        <v>2.6614263345885275E-19</v>
      </c>
      <c r="G53" s="100">
        <v>2.2178552788237729E-19</v>
      </c>
      <c r="H53" s="100">
        <v>2.2178552788237729E-19</v>
      </c>
      <c r="I53" s="100">
        <v>2.2178552788237729E-19</v>
      </c>
      <c r="J53" s="100">
        <v>2.2178552788237729E-19</v>
      </c>
      <c r="K53" s="100">
        <v>2.2178552788237729E-19</v>
      </c>
      <c r="L53" s="100">
        <v>2.2178552788237729E-19</v>
      </c>
      <c r="M53" s="100">
        <v>2.2178552788237729E-19</v>
      </c>
      <c r="N53" s="100">
        <v>2.2178552788237729E-19</v>
      </c>
      <c r="O53" s="100">
        <v>2.6614263345885275E-19</v>
      </c>
      <c r="P53" s="100">
        <v>2.6614263345885275E-19</v>
      </c>
      <c r="Q53" s="100">
        <v>2.6614263345885275E-19</v>
      </c>
      <c r="R53" s="100">
        <v>2.6614263345885275E-19</v>
      </c>
      <c r="S53" s="100">
        <v>2.6614263345885275E-19</v>
      </c>
      <c r="T53" s="100">
        <v>2.6614263345885275E-19</v>
      </c>
      <c r="U53" s="100">
        <v>2.6614263345885275E-19</v>
      </c>
      <c r="V53" s="100">
        <v>2.6614263345885275E-19</v>
      </c>
      <c r="W53" s="100">
        <v>2.6614263345885275E-19</v>
      </c>
      <c r="X53" s="100">
        <v>2.6614263345885275E-19</v>
      </c>
      <c r="Y53" s="100">
        <v>2.6614263345885275E-19</v>
      </c>
      <c r="Z53" s="100">
        <v>2.6614263345885275E-19</v>
      </c>
      <c r="AA53" s="100">
        <v>2.6614263345885275E-19</v>
      </c>
      <c r="AB53" s="100">
        <v>2.6614263345885275E-19</v>
      </c>
      <c r="AC53" s="100">
        <v>2.6614263345885275E-19</v>
      </c>
      <c r="AD53" s="100">
        <v>2.6614263345885275E-19</v>
      </c>
      <c r="AE53" s="100">
        <v>2.6614263345885275E-19</v>
      </c>
      <c r="AF53" s="100">
        <v>2.6614263345885275E-19</v>
      </c>
      <c r="AG53" s="100">
        <v>2.6614263345885275E-19</v>
      </c>
      <c r="AH53" s="100">
        <v>2.6614263345885275E-19</v>
      </c>
      <c r="AI53" s="100">
        <v>2.6614263345885275E-19</v>
      </c>
      <c r="AJ53" s="100">
        <v>2.6614263345885275E-19</v>
      </c>
      <c r="AK53" s="100">
        <v>2.6614263345885275E-19</v>
      </c>
      <c r="AL53" s="100">
        <v>2.6614263345885275E-19</v>
      </c>
      <c r="AM53" s="100">
        <v>2.6614263345885275E-19</v>
      </c>
      <c r="AN53" s="100">
        <v>2.6614263345885275E-19</v>
      </c>
      <c r="AO53" s="100">
        <v>2.6614263345885275E-19</v>
      </c>
      <c r="AP53" s="100">
        <v>2.6614263345885275E-19</v>
      </c>
      <c r="AQ53" s="100">
        <v>2.6614263345885275E-19</v>
      </c>
      <c r="AR53" s="100">
        <v>2.6614263345885275E-19</v>
      </c>
      <c r="AS53" s="100">
        <v>2.6614263345885275E-19</v>
      </c>
      <c r="AT53" s="100">
        <v>2.6614263345885275E-19</v>
      </c>
      <c r="AU53" s="100">
        <v>2.2178552788237729E-19</v>
      </c>
      <c r="AV53" s="100">
        <v>2.2178552788237729E-19</v>
      </c>
      <c r="AW53" s="100">
        <v>2.2178552788237729E-19</v>
      </c>
      <c r="AX53" s="100">
        <v>2.2178552788237729E-19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3674413.0019632955</v>
      </c>
      <c r="D58" s="100">
        <v>3674413.0019632955</v>
      </c>
      <c r="E58" s="100">
        <v>3674413.0019632955</v>
      </c>
      <c r="F58" s="100">
        <v>3674413.0019632955</v>
      </c>
      <c r="G58" s="100">
        <v>3189870.6634776122</v>
      </c>
      <c r="H58" s="100">
        <v>3189870.6634776122</v>
      </c>
      <c r="I58" s="100">
        <v>3189870.6634776122</v>
      </c>
      <c r="J58" s="100">
        <v>3189870.6634776122</v>
      </c>
      <c r="K58" s="100">
        <v>3668150.5410907511</v>
      </c>
      <c r="L58" s="100">
        <v>3668150.5410907511</v>
      </c>
      <c r="M58" s="100">
        <v>3668150.5410907511</v>
      </c>
      <c r="N58" s="100">
        <v>3668150.5410907511</v>
      </c>
      <c r="O58" s="100">
        <v>3619378.2245333516</v>
      </c>
      <c r="P58" s="100">
        <v>3619378.2245333516</v>
      </c>
      <c r="Q58" s="100">
        <v>3619378.2245333516</v>
      </c>
      <c r="R58" s="100">
        <v>3619378.2245333516</v>
      </c>
      <c r="S58" s="100">
        <v>2978939.0719698058</v>
      </c>
      <c r="T58" s="100">
        <v>2978939.0719698058</v>
      </c>
      <c r="U58" s="100">
        <v>2978939.0719698058</v>
      </c>
      <c r="V58" s="100">
        <v>2978939.0719698058</v>
      </c>
      <c r="W58" s="100">
        <v>3771672.7708066278</v>
      </c>
      <c r="X58" s="100">
        <v>3771672.7708066278</v>
      </c>
      <c r="Y58" s="100">
        <v>3771672.7708066278</v>
      </c>
      <c r="Z58" s="100">
        <v>3771672.7708066278</v>
      </c>
      <c r="AA58" s="100">
        <v>3849795.957607843</v>
      </c>
      <c r="AB58" s="100">
        <v>3849795.957607843</v>
      </c>
      <c r="AC58" s="100">
        <v>3849795.957607843</v>
      </c>
      <c r="AD58" s="100">
        <v>3849795.957607843</v>
      </c>
      <c r="AE58" s="100">
        <v>3572064.2700280249</v>
      </c>
      <c r="AF58" s="100">
        <v>3572064.2700280249</v>
      </c>
      <c r="AG58" s="100">
        <v>3572064.2700280249</v>
      </c>
      <c r="AH58" s="100">
        <v>3572064.2700280249</v>
      </c>
      <c r="AI58" s="100">
        <v>3190221.5519472081</v>
      </c>
      <c r="AJ58" s="100">
        <v>3190221.5519472081</v>
      </c>
      <c r="AK58" s="100">
        <v>3190221.5519472081</v>
      </c>
      <c r="AL58" s="100">
        <v>3190221.5519472081</v>
      </c>
      <c r="AM58" s="100">
        <v>3376840.6666967259</v>
      </c>
      <c r="AN58" s="100">
        <v>3376840.6666967259</v>
      </c>
      <c r="AO58" s="100">
        <v>3376840.6666967259</v>
      </c>
      <c r="AP58" s="100">
        <v>3376840.6666967259</v>
      </c>
      <c r="AQ58" s="100">
        <v>3678446.9308967697</v>
      </c>
      <c r="AR58" s="100">
        <v>3678446.9308967697</v>
      </c>
      <c r="AS58" s="100">
        <v>3678446.9308967697</v>
      </c>
      <c r="AT58" s="100">
        <v>3678446.9308967697</v>
      </c>
      <c r="AU58" s="100">
        <v>3035230.0434063668</v>
      </c>
      <c r="AV58" s="100">
        <v>3035230.0434063668</v>
      </c>
      <c r="AW58" s="100">
        <v>3035230.0434063668</v>
      </c>
      <c r="AX58" s="100">
        <v>3035230.0434063668</v>
      </c>
    </row>
    <row r="59" spans="2:51">
      <c r="B59" s="105" t="s">
        <v>105</v>
      </c>
      <c r="C59" s="100">
        <v>2.8083002565826815E-16</v>
      </c>
      <c r="D59" s="100">
        <v>2.8083002565826815E-16</v>
      </c>
      <c r="E59" s="100">
        <v>2.8083002565826815E-16</v>
      </c>
      <c r="F59" s="100">
        <v>2.8083002565826815E-16</v>
      </c>
      <c r="G59" s="100">
        <v>2.7866762892723529E-16</v>
      </c>
      <c r="H59" s="100">
        <v>2.7866762892723529E-16</v>
      </c>
      <c r="I59" s="100">
        <v>2.7866762892723529E-16</v>
      </c>
      <c r="J59" s="100">
        <v>2.7866762892723529E-16</v>
      </c>
      <c r="K59" s="100">
        <v>2.8187885172335216E-16</v>
      </c>
      <c r="L59" s="100">
        <v>2.8187885172335216E-16</v>
      </c>
      <c r="M59" s="100">
        <v>2.8187885172335216E-16</v>
      </c>
      <c r="N59" s="100">
        <v>2.8187885172335216E-16</v>
      </c>
      <c r="O59" s="100">
        <v>2.9988528642228095E-16</v>
      </c>
      <c r="P59" s="100">
        <v>2.9988528642228095E-16</v>
      </c>
      <c r="Q59" s="100">
        <v>2.9988528642228095E-16</v>
      </c>
      <c r="R59" s="100">
        <v>2.9988528642228095E-16</v>
      </c>
      <c r="S59" s="100">
        <v>2.7263689904218254E-16</v>
      </c>
      <c r="T59" s="100">
        <v>2.7263689904218254E-16</v>
      </c>
      <c r="U59" s="100">
        <v>2.7263689904218254E-16</v>
      </c>
      <c r="V59" s="100">
        <v>2.7263689904218254E-16</v>
      </c>
      <c r="W59" s="100">
        <v>2.8398319975029535E-16</v>
      </c>
      <c r="X59" s="100">
        <v>2.8398319975029535E-16</v>
      </c>
      <c r="Y59" s="100">
        <v>2.8398319975029535E-16</v>
      </c>
      <c r="Z59" s="100">
        <v>2.8398319975029535E-16</v>
      </c>
      <c r="AA59" s="100">
        <v>2.8398842713781423E-16</v>
      </c>
      <c r="AB59" s="100">
        <v>2.8398842713781423E-16</v>
      </c>
      <c r="AC59" s="100">
        <v>2.8398842713781423E-16</v>
      </c>
      <c r="AD59" s="100">
        <v>2.8398842713781423E-16</v>
      </c>
      <c r="AE59" s="100">
        <v>2.7682409143061905E-16</v>
      </c>
      <c r="AF59" s="100">
        <v>2.7682409143061905E-16</v>
      </c>
      <c r="AG59" s="100">
        <v>2.7682409143061905E-16</v>
      </c>
      <c r="AH59" s="100">
        <v>2.7682409143061905E-16</v>
      </c>
      <c r="AI59" s="100">
        <v>2.8699878123261287E-16</v>
      </c>
      <c r="AJ59" s="100">
        <v>2.8699878123261287E-16</v>
      </c>
      <c r="AK59" s="100">
        <v>2.8699878123261287E-16</v>
      </c>
      <c r="AL59" s="100">
        <v>2.8699878123261287E-16</v>
      </c>
      <c r="AM59" s="100">
        <v>2.9096394138301914E-16</v>
      </c>
      <c r="AN59" s="100">
        <v>2.9096394138301914E-16</v>
      </c>
      <c r="AO59" s="100">
        <v>2.9096394138301914E-16</v>
      </c>
      <c r="AP59" s="100">
        <v>2.9096394138301914E-16</v>
      </c>
      <c r="AQ59" s="100">
        <v>2.6819396118492174E-16</v>
      </c>
      <c r="AR59" s="100">
        <v>2.6819396118492174E-16</v>
      </c>
      <c r="AS59" s="100">
        <v>2.6819396118492174E-16</v>
      </c>
      <c r="AT59" s="100">
        <v>2.6819396118492174E-16</v>
      </c>
      <c r="AU59" s="100">
        <v>2.6927531127814613E-16</v>
      </c>
      <c r="AV59" s="100">
        <v>2.6927531127814613E-16</v>
      </c>
      <c r="AW59" s="100">
        <v>2.6927531127814613E-16</v>
      </c>
      <c r="AX59" s="100">
        <v>2.6927531127814613E-16</v>
      </c>
    </row>
    <row r="60" spans="2:51">
      <c r="B60" s="105" t="s">
        <v>106</v>
      </c>
      <c r="C60" s="100">
        <v>231322.10565704532</v>
      </c>
      <c r="D60" s="100">
        <v>231322.10565704532</v>
      </c>
      <c r="E60" s="100">
        <v>231322.10565704532</v>
      </c>
      <c r="F60" s="100">
        <v>231322.10565704532</v>
      </c>
      <c r="G60" s="100">
        <v>248393.26885381519</v>
      </c>
      <c r="H60" s="100">
        <v>248393.26885381519</v>
      </c>
      <c r="I60" s="100">
        <v>248393.26885381519</v>
      </c>
      <c r="J60" s="100">
        <v>248393.26885381519</v>
      </c>
      <c r="K60" s="100">
        <v>269251.55103644932</v>
      </c>
      <c r="L60" s="100">
        <v>269251.55103644932</v>
      </c>
      <c r="M60" s="100">
        <v>269251.55103644932</v>
      </c>
      <c r="N60" s="100">
        <v>269251.55103644932</v>
      </c>
      <c r="O60" s="100">
        <v>233315.79950546651</v>
      </c>
      <c r="P60" s="100">
        <v>233315.79950546651</v>
      </c>
      <c r="Q60" s="100">
        <v>233315.79950546651</v>
      </c>
      <c r="R60" s="100">
        <v>233315.79950546651</v>
      </c>
      <c r="S60" s="100">
        <v>237267.98191473095</v>
      </c>
      <c r="T60" s="100">
        <v>237267.98191473095</v>
      </c>
      <c r="U60" s="100">
        <v>237267.98191473095</v>
      </c>
      <c r="V60" s="100">
        <v>237267.98191473095</v>
      </c>
      <c r="W60" s="100">
        <v>235337.07700314</v>
      </c>
      <c r="X60" s="100">
        <v>235337.07700314</v>
      </c>
      <c r="Y60" s="100">
        <v>235337.07700314</v>
      </c>
      <c r="Z60" s="100">
        <v>235337.07700314</v>
      </c>
      <c r="AA60" s="100">
        <v>238695.61569286225</v>
      </c>
      <c r="AB60" s="100">
        <v>238695.61569286225</v>
      </c>
      <c r="AC60" s="100">
        <v>238695.61569286225</v>
      </c>
      <c r="AD60" s="100">
        <v>238695.61569286225</v>
      </c>
      <c r="AE60" s="100">
        <v>244507.10027996654</v>
      </c>
      <c r="AF60" s="100">
        <v>244507.10027996654</v>
      </c>
      <c r="AG60" s="100">
        <v>244507.10027996654</v>
      </c>
      <c r="AH60" s="100">
        <v>244507.10027996654</v>
      </c>
      <c r="AI60" s="100">
        <v>246061.55894163021</v>
      </c>
      <c r="AJ60" s="100">
        <v>246061.55894163021</v>
      </c>
      <c r="AK60" s="100">
        <v>246061.55894163021</v>
      </c>
      <c r="AL60" s="100">
        <v>246061.55894163021</v>
      </c>
      <c r="AM60" s="100">
        <v>232368.91294718732</v>
      </c>
      <c r="AN60" s="100">
        <v>232368.91294718732</v>
      </c>
      <c r="AO60" s="100">
        <v>232368.91294718732</v>
      </c>
      <c r="AP60" s="100">
        <v>232368.91294718732</v>
      </c>
      <c r="AQ60" s="100">
        <v>227378.90645698816</v>
      </c>
      <c r="AR60" s="100">
        <v>227378.90645698816</v>
      </c>
      <c r="AS60" s="100">
        <v>227378.90645698816</v>
      </c>
      <c r="AT60" s="100">
        <v>227378.90645698816</v>
      </c>
      <c r="AU60" s="100">
        <v>237521.34880767696</v>
      </c>
      <c r="AV60" s="100">
        <v>237521.34880767696</v>
      </c>
      <c r="AW60" s="100">
        <v>237521.34880767696</v>
      </c>
      <c r="AX60" s="100">
        <v>237521.34880767696</v>
      </c>
    </row>
    <row r="61" spans="2:51">
      <c r="B61" s="105" t="s">
        <v>107</v>
      </c>
      <c r="C61" s="100">
        <v>1149834.3880601439</v>
      </c>
      <c r="D61" s="100">
        <v>1149834.3880601439</v>
      </c>
      <c r="E61" s="100">
        <v>1149834.3880601439</v>
      </c>
      <c r="F61" s="100">
        <v>1149834.3880601439</v>
      </c>
      <c r="G61" s="100">
        <v>1109372.5112868734</v>
      </c>
      <c r="H61" s="100">
        <v>1109372.5112868734</v>
      </c>
      <c r="I61" s="100">
        <v>1109372.5112868734</v>
      </c>
      <c r="J61" s="100">
        <v>1109372.5112868734</v>
      </c>
      <c r="K61" s="100">
        <v>1103860.2557485921</v>
      </c>
      <c r="L61" s="100">
        <v>1103860.2557485921</v>
      </c>
      <c r="M61" s="100">
        <v>1103860.2557485921</v>
      </c>
      <c r="N61" s="100">
        <v>1103860.2557485921</v>
      </c>
      <c r="O61" s="100">
        <v>1107510.4051210072</v>
      </c>
      <c r="P61" s="100">
        <v>1107510.4051210072</v>
      </c>
      <c r="Q61" s="100">
        <v>1107510.4051210072</v>
      </c>
      <c r="R61" s="100">
        <v>1107510.4051210072</v>
      </c>
      <c r="S61" s="100">
        <v>1063273.1917015109</v>
      </c>
      <c r="T61" s="100">
        <v>1063273.1917015109</v>
      </c>
      <c r="U61" s="100">
        <v>1063273.1917015109</v>
      </c>
      <c r="V61" s="100">
        <v>1063273.1917015109</v>
      </c>
      <c r="W61" s="100">
        <v>1169277.5820000889</v>
      </c>
      <c r="X61" s="100">
        <v>1169277.5820000889</v>
      </c>
      <c r="Y61" s="100">
        <v>1169277.5820000889</v>
      </c>
      <c r="Z61" s="100">
        <v>1169277.5820000889</v>
      </c>
      <c r="AA61" s="100">
        <v>1157920.5841225453</v>
      </c>
      <c r="AB61" s="100">
        <v>1157920.5841225453</v>
      </c>
      <c r="AC61" s="100">
        <v>1157920.5841225453</v>
      </c>
      <c r="AD61" s="100">
        <v>1157920.5841225453</v>
      </c>
      <c r="AE61" s="100">
        <v>1076221.6129566382</v>
      </c>
      <c r="AF61" s="100">
        <v>1076221.6129566382</v>
      </c>
      <c r="AG61" s="100">
        <v>1076221.6129566382</v>
      </c>
      <c r="AH61" s="100">
        <v>1076221.6129566382</v>
      </c>
      <c r="AI61" s="100">
        <v>1085215.1216084687</v>
      </c>
      <c r="AJ61" s="100">
        <v>1085215.1216084687</v>
      </c>
      <c r="AK61" s="100">
        <v>1085215.1216084687</v>
      </c>
      <c r="AL61" s="100">
        <v>1085215.1216084687</v>
      </c>
      <c r="AM61" s="100">
        <v>1111807.1258258964</v>
      </c>
      <c r="AN61" s="100">
        <v>1111807.1258258964</v>
      </c>
      <c r="AO61" s="100">
        <v>1111807.1258258964</v>
      </c>
      <c r="AP61" s="100">
        <v>1111807.1258258964</v>
      </c>
      <c r="AQ61" s="100">
        <v>1174186.738990797</v>
      </c>
      <c r="AR61" s="100">
        <v>1174186.738990797</v>
      </c>
      <c r="AS61" s="100">
        <v>1174186.738990797</v>
      </c>
      <c r="AT61" s="100">
        <v>1174186.738990797</v>
      </c>
      <c r="AU61" s="100">
        <v>1073758.624301899</v>
      </c>
      <c r="AV61" s="100">
        <v>1073758.624301899</v>
      </c>
      <c r="AW61" s="100">
        <v>1073758.624301899</v>
      </c>
      <c r="AX61" s="100">
        <v>1073758.624301899</v>
      </c>
    </row>
    <row r="62" spans="2:51">
      <c r="B62" s="105" t="s">
        <v>108</v>
      </c>
      <c r="C62" s="100">
        <v>3.4669387654668784E-16</v>
      </c>
      <c r="D62" s="100">
        <v>3.4669387654668784E-16</v>
      </c>
      <c r="E62" s="100">
        <v>3.4669387654668784E-16</v>
      </c>
      <c r="F62" s="100">
        <v>3.4669387654668784E-16</v>
      </c>
      <c r="G62" s="100">
        <v>0</v>
      </c>
      <c r="H62" s="100">
        <v>0</v>
      </c>
      <c r="I62" s="100">
        <v>0</v>
      </c>
      <c r="J62" s="100">
        <v>0</v>
      </c>
      <c r="K62" s="100">
        <v>3.5266984451244077E-16</v>
      </c>
      <c r="L62" s="100">
        <v>3.5266984451244077E-16</v>
      </c>
      <c r="M62" s="100">
        <v>3.5266984451244077E-16</v>
      </c>
      <c r="N62" s="100">
        <v>3.5266984451244077E-16</v>
      </c>
      <c r="O62" s="100">
        <v>3.4524418745487558E-16</v>
      </c>
      <c r="P62" s="100">
        <v>3.4524418745487558E-16</v>
      </c>
      <c r="Q62" s="100">
        <v>3.4524418745487558E-16</v>
      </c>
      <c r="R62" s="100">
        <v>3.4524418745487558E-16</v>
      </c>
      <c r="S62" s="100">
        <v>3.4976655865418697E-16</v>
      </c>
      <c r="T62" s="100">
        <v>3.4976655865418697E-16</v>
      </c>
      <c r="U62" s="100">
        <v>3.4976655865418697E-16</v>
      </c>
      <c r="V62" s="100">
        <v>3.4976655865418697E-16</v>
      </c>
      <c r="W62" s="100">
        <v>3.4880740359068527E-16</v>
      </c>
      <c r="X62" s="100">
        <v>3.4880740359068527E-16</v>
      </c>
      <c r="Y62" s="100">
        <v>3.4880740359068527E-16</v>
      </c>
      <c r="Z62" s="100">
        <v>3.4880740359068527E-16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3.5239542411974542E-16</v>
      </c>
      <c r="AJ62" s="100">
        <v>3.5239542411974542E-16</v>
      </c>
      <c r="AK62" s="100">
        <v>3.5239542411974542E-16</v>
      </c>
      <c r="AL62" s="100">
        <v>3.5239542411974542E-16</v>
      </c>
      <c r="AM62" s="100">
        <v>3.5178694211415423E-16</v>
      </c>
      <c r="AN62" s="100">
        <v>3.5178694211415423E-16</v>
      </c>
      <c r="AO62" s="100">
        <v>3.5178694211415423E-16</v>
      </c>
      <c r="AP62" s="100">
        <v>3.5178694211415423E-16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3.4571833814318396E-16</v>
      </c>
      <c r="D63" s="100">
        <v>3.4571833814318396E-16</v>
      </c>
      <c r="E63" s="100">
        <v>3.4571833814318396E-16</v>
      </c>
      <c r="F63" s="100">
        <v>3.4571833814318396E-16</v>
      </c>
      <c r="G63" s="100">
        <v>3.0665150555325018E-16</v>
      </c>
      <c r="H63" s="100">
        <v>3.0665150555325018E-16</v>
      </c>
      <c r="I63" s="100">
        <v>3.0665150555325018E-16</v>
      </c>
      <c r="J63" s="100">
        <v>3.0665150555325018E-16</v>
      </c>
      <c r="K63" s="100">
        <v>3.1359649236408306E-16</v>
      </c>
      <c r="L63" s="100">
        <v>3.1359649236408306E-16</v>
      </c>
      <c r="M63" s="100">
        <v>3.1359649236408306E-16</v>
      </c>
      <c r="N63" s="100">
        <v>3.1359649236408306E-16</v>
      </c>
      <c r="O63" s="100">
        <v>3.5231578986728465E-16</v>
      </c>
      <c r="P63" s="100">
        <v>3.5231578986728465E-16</v>
      </c>
      <c r="Q63" s="100">
        <v>3.5231578986728465E-16</v>
      </c>
      <c r="R63" s="100">
        <v>3.5231578986728465E-16</v>
      </c>
      <c r="S63" s="100">
        <v>3.3885601210127595E-16</v>
      </c>
      <c r="T63" s="100">
        <v>3.3885601210127595E-16</v>
      </c>
      <c r="U63" s="100">
        <v>3.3885601210127595E-16</v>
      </c>
      <c r="V63" s="100">
        <v>3.3885601210127595E-16</v>
      </c>
      <c r="W63" s="100">
        <v>3.5051433618829881E-16</v>
      </c>
      <c r="X63" s="100">
        <v>3.5051433618829881E-16</v>
      </c>
      <c r="Y63" s="100">
        <v>3.5051433618829881E-16</v>
      </c>
      <c r="Z63" s="100">
        <v>3.5051433618829881E-16</v>
      </c>
      <c r="AA63" s="100">
        <v>3.4510128772573131E-16</v>
      </c>
      <c r="AB63" s="100">
        <v>3.4510128772573131E-16</v>
      </c>
      <c r="AC63" s="100">
        <v>3.4510128772573131E-16</v>
      </c>
      <c r="AD63" s="100">
        <v>3.4510128772573131E-16</v>
      </c>
      <c r="AE63" s="100">
        <v>3.3725818262903996E-16</v>
      </c>
      <c r="AF63" s="100">
        <v>3.3725818262903996E-16</v>
      </c>
      <c r="AG63" s="100">
        <v>3.3725818262903996E-16</v>
      </c>
      <c r="AH63" s="100">
        <v>3.3725818262903996E-16</v>
      </c>
      <c r="AI63" s="100">
        <v>3.4822225398923746E-16</v>
      </c>
      <c r="AJ63" s="100">
        <v>3.4822225398923746E-16</v>
      </c>
      <c r="AK63" s="100">
        <v>3.4822225398923746E-16</v>
      </c>
      <c r="AL63" s="100">
        <v>3.4822225398923746E-16</v>
      </c>
      <c r="AM63" s="100">
        <v>3.357593207784498E-16</v>
      </c>
      <c r="AN63" s="100">
        <v>3.357593207784498E-16</v>
      </c>
      <c r="AO63" s="100">
        <v>3.357593207784498E-16</v>
      </c>
      <c r="AP63" s="100">
        <v>3.357593207784498E-16</v>
      </c>
      <c r="AQ63" s="100">
        <v>3.6229105017281914E-16</v>
      </c>
      <c r="AR63" s="100">
        <v>3.6229105017281914E-16</v>
      </c>
      <c r="AS63" s="100">
        <v>3.6229105017281914E-16</v>
      </c>
      <c r="AT63" s="100">
        <v>3.6229105017281914E-16</v>
      </c>
      <c r="AU63" s="100">
        <v>3.1644050871748062E-16</v>
      </c>
      <c r="AV63" s="100">
        <v>3.1644050871748062E-16</v>
      </c>
      <c r="AW63" s="100">
        <v>3.1644050871748062E-16</v>
      </c>
      <c r="AX63" s="100">
        <v>3.1644050871748062E-16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0.31645838544897908</v>
      </c>
      <c r="D67" s="100">
        <v>0.31645838544897908</v>
      </c>
      <c r="E67" s="100">
        <v>0.31645838544897908</v>
      </c>
      <c r="F67" s="100">
        <v>0.31645838544897908</v>
      </c>
      <c r="G67" s="100">
        <v>0.31645838544897908</v>
      </c>
      <c r="H67" s="100">
        <v>0.31645838544897908</v>
      </c>
      <c r="I67" s="100">
        <v>0.31645838544897908</v>
      </c>
      <c r="J67" s="100">
        <v>0.31645838544897908</v>
      </c>
      <c r="K67" s="100">
        <v>0.31645838544897908</v>
      </c>
      <c r="L67" s="100">
        <v>0.31645838544897908</v>
      </c>
      <c r="M67" s="100">
        <v>0.31645838544897908</v>
      </c>
      <c r="N67" s="100">
        <v>0.31645838544897908</v>
      </c>
    </row>
    <row r="68" spans="1:14">
      <c r="B68" s="99" t="s">
        <v>330</v>
      </c>
      <c r="C68" s="100">
        <v>0.43751356628073457</v>
      </c>
      <c r="D68" s="100">
        <v>0.43751356628073457</v>
      </c>
      <c r="E68" s="100">
        <v>0.43751356628073457</v>
      </c>
      <c r="F68" s="100">
        <v>0.43751356628073457</v>
      </c>
      <c r="G68" s="100">
        <v>0.43751356628073457</v>
      </c>
      <c r="H68" s="100">
        <v>0.43751356628073457</v>
      </c>
      <c r="I68" s="100">
        <v>0.43751356628073457</v>
      </c>
      <c r="J68" s="100">
        <v>0.43751356628073457</v>
      </c>
      <c r="K68" s="100">
        <v>0.43751356628073457</v>
      </c>
      <c r="L68" s="100">
        <v>0.43751356628073457</v>
      </c>
      <c r="M68" s="100">
        <v>0.43751356628073457</v>
      </c>
      <c r="N68" s="100">
        <v>0.43751356628073457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20.470378530424938</v>
      </c>
      <c r="D72" s="100">
        <v>43.418786833722024</v>
      </c>
      <c r="E72" s="100">
        <v>74.935694035214851</v>
      </c>
    </row>
    <row r="73" spans="1:14">
      <c r="B73" s="105" t="s">
        <v>93</v>
      </c>
      <c r="C73" s="100">
        <v>20.470378530424938</v>
      </c>
      <c r="D73" s="100">
        <v>43.418786833722024</v>
      </c>
      <c r="E73" s="100">
        <v>74.935694035214851</v>
      </c>
    </row>
    <row r="74" spans="1:14">
      <c r="B74" s="105" t="s">
        <v>94</v>
      </c>
      <c r="C74" s="100">
        <v>20.470378530424938</v>
      </c>
      <c r="D74" s="100">
        <v>43.418786833722024</v>
      </c>
      <c r="E74" s="100">
        <v>74.935694035214851</v>
      </c>
    </row>
    <row r="75" spans="1:14">
      <c r="B75" s="105" t="s">
        <v>95</v>
      </c>
      <c r="C75" s="100">
        <v>20.470378530424938</v>
      </c>
      <c r="D75" s="100">
        <v>43.418786833722024</v>
      </c>
      <c r="E75" s="100">
        <v>74.935694035214851</v>
      </c>
    </row>
    <row r="76" spans="1:14">
      <c r="B76" s="105" t="s">
        <v>96</v>
      </c>
      <c r="C76" s="100">
        <v>20.470378530424938</v>
      </c>
      <c r="D76" s="100">
        <v>43.418786833722024</v>
      </c>
      <c r="E76" s="100">
        <v>74.935694035214851</v>
      </c>
    </row>
    <row r="77" spans="1:14">
      <c r="B77" s="105" t="s">
        <v>97</v>
      </c>
      <c r="C77" s="100">
        <v>20.470378530424938</v>
      </c>
      <c r="D77" s="100">
        <v>43.418786833722024</v>
      </c>
      <c r="E77" s="100">
        <v>74.935694035214851</v>
      </c>
    </row>
    <row r="78" spans="1:14">
      <c r="B78" s="105" t="s">
        <v>98</v>
      </c>
      <c r="C78" s="100">
        <v>20.470378530424938</v>
      </c>
      <c r="D78" s="100">
        <v>43.418786833722024</v>
      </c>
      <c r="E78" s="100">
        <v>74.935694035214851</v>
      </c>
    </row>
    <row r="79" spans="1:14">
      <c r="B79" s="105" t="s">
        <v>99</v>
      </c>
      <c r="C79" s="100">
        <v>20.470378530424938</v>
      </c>
      <c r="D79" s="100">
        <v>43.418786833722024</v>
      </c>
      <c r="E79" s="100">
        <v>74.935694035214851</v>
      </c>
    </row>
    <row r="80" spans="1:14">
      <c r="B80" s="105" t="s">
        <v>100</v>
      </c>
      <c r="C80" s="100">
        <v>20.470378530424938</v>
      </c>
      <c r="D80" s="100">
        <v>43.418786833722024</v>
      </c>
      <c r="E80" s="100">
        <v>74.935694035214851</v>
      </c>
    </row>
    <row r="81" spans="2:50">
      <c r="B81" s="105" t="s">
        <v>101</v>
      </c>
      <c r="C81" s="100">
        <v>20.470378530424938</v>
      </c>
      <c r="D81" s="100">
        <v>43.418786833722024</v>
      </c>
      <c r="E81" s="100">
        <v>74.935694035214851</v>
      </c>
    </row>
    <row r="82" spans="2:50">
      <c r="B82" s="105" t="s">
        <v>102</v>
      </c>
      <c r="C82" s="100">
        <v>20.470378530424938</v>
      </c>
      <c r="D82" s="100">
        <v>43.418786833722024</v>
      </c>
      <c r="E82" s="100">
        <v>74.935694035214851</v>
      </c>
    </row>
    <row r="83" spans="2:50">
      <c r="B83" s="105" t="s">
        <v>103</v>
      </c>
      <c r="C83" s="100">
        <v>20.470378530424938</v>
      </c>
      <c r="D83" s="100">
        <v>43.418786833722024</v>
      </c>
      <c r="E83" s="100">
        <v>74.935694035214851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2079.6023173936474</v>
      </c>
      <c r="D88" s="100">
        <f>D48+$C$67/4</f>
        <v>2079.6023173936474</v>
      </c>
      <c r="E88" s="100">
        <f>E48+$C$67/4</f>
        <v>2079.6023173936474</v>
      </c>
      <c r="F88" s="100">
        <f>F48+$C$67/4</f>
        <v>2079.6023173936474</v>
      </c>
      <c r="G88" s="100">
        <f>G48+$D$67/4</f>
        <v>2599.4831180929687</v>
      </c>
      <c r="H88" s="100">
        <f>H48+$D$67/4</f>
        <v>2599.4831180929687</v>
      </c>
      <c r="I88" s="100">
        <f>I48+$D$67/4</f>
        <v>2599.4831180929687</v>
      </c>
      <c r="J88" s="100">
        <f>J48+$D$67/4</f>
        <v>2599.4831180929687</v>
      </c>
      <c r="K88" s="100">
        <f>K48+$E$67/4</f>
        <v>2599.4831180929687</v>
      </c>
      <c r="L88" s="100">
        <f>L48+$E$67/4</f>
        <v>2599.4831180929687</v>
      </c>
      <c r="M88" s="100">
        <f>M48+$E$67/4</f>
        <v>2599.4831180929687</v>
      </c>
      <c r="N88" s="100">
        <f>N48+$E$67/4</f>
        <v>2599.4831180929687</v>
      </c>
      <c r="O88" s="100">
        <f>O48+$F$67/4</f>
        <v>2599.4831180929687</v>
      </c>
      <c r="P88" s="100">
        <f>P48+$F$67/4</f>
        <v>2599.4831180929687</v>
      </c>
      <c r="Q88" s="100">
        <f>Q48+$F$67/4</f>
        <v>2599.4831180929687</v>
      </c>
      <c r="R88" s="100">
        <f>R48+$F$67/4</f>
        <v>2599.4831180929687</v>
      </c>
      <c r="S88" s="100">
        <f>S48+$G$67/4</f>
        <v>2599.4831180929687</v>
      </c>
      <c r="T88" s="100">
        <f>T48+$G$67/4</f>
        <v>2599.4831180929687</v>
      </c>
      <c r="U88" s="100">
        <f>U48+$G$67/4</f>
        <v>2599.4831180929687</v>
      </c>
      <c r="V88" s="100">
        <f>V48+$G$67/4</f>
        <v>2599.4831180929687</v>
      </c>
      <c r="W88" s="100">
        <f>W48+$H$67/4</f>
        <v>2599.4831180929687</v>
      </c>
      <c r="X88" s="100">
        <f>X48+$H$67/4</f>
        <v>2599.4831180929687</v>
      </c>
      <c r="Y88" s="100">
        <f>Y48+$H$67/4</f>
        <v>2599.4831180929687</v>
      </c>
      <c r="Z88" s="100">
        <f>Z48+$H$67/4</f>
        <v>2599.4831180929687</v>
      </c>
      <c r="AA88" s="100">
        <f>AA48+$I$67/4</f>
        <v>2599.4831180929687</v>
      </c>
      <c r="AB88" s="100">
        <f>AB48+$I$67/4</f>
        <v>2599.4831180929687</v>
      </c>
      <c r="AC88" s="100">
        <f>AC48+$I$67/4</f>
        <v>2599.4831180929687</v>
      </c>
      <c r="AD88" s="100">
        <f>AD48+$I$67/4</f>
        <v>2599.4831180929687</v>
      </c>
      <c r="AE88" s="100">
        <f>AE48+$J$67/4</f>
        <v>2599.4831180929687</v>
      </c>
      <c r="AF88" s="100">
        <f>AF48+$J$67/4</f>
        <v>2599.4831180929687</v>
      </c>
      <c r="AG88" s="100">
        <f>AG48+$J$67/4</f>
        <v>2599.4831180929687</v>
      </c>
      <c r="AH88" s="100">
        <f>AH48+$J$67/4</f>
        <v>2599.4831180929687</v>
      </c>
      <c r="AI88" s="100">
        <f>AI48+$K$67/4</f>
        <v>2599.4831180929687</v>
      </c>
      <c r="AJ88" s="100">
        <f>AJ48+$K$67/4</f>
        <v>2599.4831180929687</v>
      </c>
      <c r="AK88" s="100">
        <f>AK48+$K$67/4</f>
        <v>2599.4831180929687</v>
      </c>
      <c r="AL88" s="100">
        <f>AL48+$K$67/4</f>
        <v>2599.4831180929687</v>
      </c>
      <c r="AM88" s="100">
        <f>AM48+$L$67/4</f>
        <v>2599.4831180929687</v>
      </c>
      <c r="AN88" s="100">
        <f>AN48+$L$67/4</f>
        <v>2599.4831180929687</v>
      </c>
      <c r="AO88" s="100">
        <f>AO48+$L$67/4</f>
        <v>2599.4831180929687</v>
      </c>
      <c r="AP88" s="100">
        <f>AP48+$L$67/4</f>
        <v>2599.4831180929687</v>
      </c>
      <c r="AQ88" s="100">
        <f>AQ48+$M$67/4</f>
        <v>2599.4831180929687</v>
      </c>
      <c r="AR88" s="100">
        <f>AR48+$M$67/4</f>
        <v>2599.4831180929687</v>
      </c>
      <c r="AS88" s="100">
        <f>AS48+$M$67/4</f>
        <v>2599.4831180929687</v>
      </c>
      <c r="AT88" s="100">
        <f>AT48+$M$67/4</f>
        <v>2599.4831180929687</v>
      </c>
      <c r="AU88" s="100">
        <f>AU48+$N$67/4</f>
        <v>2599.4831180929687</v>
      </c>
      <c r="AV88" s="100">
        <f>AV48+$N$67/4</f>
        <v>2599.4831180929687</v>
      </c>
      <c r="AW88" s="100">
        <f>AW48+$N$67/4</f>
        <v>2599.4831180929687</v>
      </c>
      <c r="AX88" s="100">
        <f>AX48+$N$67/4</f>
        <v>2599.4831180929687</v>
      </c>
    </row>
    <row r="89" spans="2:50">
      <c r="B89" s="99" t="s">
        <v>105</v>
      </c>
      <c r="C89" s="100">
        <f>C49</f>
        <v>2.0323224250698765E-19</v>
      </c>
      <c r="D89" s="100">
        <f t="shared" ref="D89:AX93" si="3">D49</f>
        <v>2.0323224250698765E-19</v>
      </c>
      <c r="E89" s="100">
        <f t="shared" si="3"/>
        <v>2.0323224250698765E-19</v>
      </c>
      <c r="F89" s="100">
        <f t="shared" si="3"/>
        <v>2.0323224250698765E-19</v>
      </c>
      <c r="G89" s="100">
        <f t="shared" si="3"/>
        <v>2.0323224250698765E-19</v>
      </c>
      <c r="H89" s="100">
        <f t="shared" si="3"/>
        <v>2.0323224250698765E-19</v>
      </c>
      <c r="I89" s="100">
        <f t="shared" si="3"/>
        <v>2.0323224250698765E-19</v>
      </c>
      <c r="J89" s="100">
        <f t="shared" si="3"/>
        <v>2.0323224250698765E-19</v>
      </c>
      <c r="K89" s="100">
        <f t="shared" si="3"/>
        <v>2.0323224250698765E-19</v>
      </c>
      <c r="L89" s="100">
        <f t="shared" si="3"/>
        <v>2.0323224250698765E-19</v>
      </c>
      <c r="M89" s="100">
        <f t="shared" si="3"/>
        <v>2.0323224250698765E-19</v>
      </c>
      <c r="N89" s="100">
        <f t="shared" si="3"/>
        <v>2.0323224250698765E-19</v>
      </c>
      <c r="O89" s="100">
        <f t="shared" si="3"/>
        <v>2.0323224250698765E-19</v>
      </c>
      <c r="P89" s="100">
        <f t="shared" si="3"/>
        <v>2.0323224250698765E-19</v>
      </c>
      <c r="Q89" s="100">
        <f t="shared" si="3"/>
        <v>2.0323224250698765E-19</v>
      </c>
      <c r="R89" s="100">
        <f t="shared" si="3"/>
        <v>2.0323224250698765E-19</v>
      </c>
      <c r="S89" s="100">
        <f t="shared" si="3"/>
        <v>2.0323224250698765E-19</v>
      </c>
      <c r="T89" s="100">
        <f t="shared" si="3"/>
        <v>2.0323224250698765E-19</v>
      </c>
      <c r="U89" s="100">
        <f t="shared" si="3"/>
        <v>2.0323224250698765E-19</v>
      </c>
      <c r="V89" s="100">
        <f t="shared" si="3"/>
        <v>2.0323224250698765E-19</v>
      </c>
      <c r="W89" s="100">
        <f t="shared" si="3"/>
        <v>2.0323224250698765E-19</v>
      </c>
      <c r="X89" s="100">
        <f t="shared" si="3"/>
        <v>2.0323224250698765E-19</v>
      </c>
      <c r="Y89" s="100">
        <f t="shared" si="3"/>
        <v>2.0323224250698765E-19</v>
      </c>
      <c r="Z89" s="100">
        <f t="shared" si="3"/>
        <v>2.0323224250698765E-19</v>
      </c>
      <c r="AA89" s="100">
        <f t="shared" si="3"/>
        <v>2.0323224250698765E-19</v>
      </c>
      <c r="AB89" s="100">
        <f t="shared" si="3"/>
        <v>2.0323224250698765E-19</v>
      </c>
      <c r="AC89" s="100">
        <f t="shared" si="3"/>
        <v>2.0323224250698765E-19</v>
      </c>
      <c r="AD89" s="100">
        <f t="shared" si="3"/>
        <v>2.0323224250698765E-19</v>
      </c>
      <c r="AE89" s="100">
        <f t="shared" si="3"/>
        <v>2.0323224250698765E-19</v>
      </c>
      <c r="AF89" s="100">
        <f t="shared" si="3"/>
        <v>2.0323224250698765E-19</v>
      </c>
      <c r="AG89" s="100">
        <f t="shared" si="3"/>
        <v>2.0323224250698765E-19</v>
      </c>
      <c r="AH89" s="100">
        <f t="shared" si="3"/>
        <v>2.0323224250698765E-19</v>
      </c>
      <c r="AI89" s="100">
        <f t="shared" si="3"/>
        <v>2.0323224250698765E-19</v>
      </c>
      <c r="AJ89" s="100">
        <f t="shared" si="3"/>
        <v>2.0323224250698765E-19</v>
      </c>
      <c r="AK89" s="100">
        <f t="shared" si="3"/>
        <v>2.0323224250698765E-19</v>
      </c>
      <c r="AL89" s="100">
        <f t="shared" si="3"/>
        <v>2.0323224250698765E-19</v>
      </c>
      <c r="AM89" s="100">
        <f t="shared" si="3"/>
        <v>2.0323224250698765E-19</v>
      </c>
      <c r="AN89" s="100">
        <f t="shared" si="3"/>
        <v>2.0323224250698765E-19</v>
      </c>
      <c r="AO89" s="100">
        <f t="shared" si="3"/>
        <v>2.0323224250698765E-19</v>
      </c>
      <c r="AP89" s="100">
        <f t="shared" si="3"/>
        <v>2.0323224250698765E-19</v>
      </c>
      <c r="AQ89" s="100">
        <f t="shared" si="3"/>
        <v>2.0323224250698765E-19</v>
      </c>
      <c r="AR89" s="100">
        <f t="shared" si="3"/>
        <v>2.0323224250698765E-19</v>
      </c>
      <c r="AS89" s="100">
        <f t="shared" si="3"/>
        <v>2.0323224250698765E-19</v>
      </c>
      <c r="AT89" s="100">
        <f t="shared" si="3"/>
        <v>2.0323224250698765E-19</v>
      </c>
      <c r="AU89" s="100">
        <f t="shared" si="3"/>
        <v>2.0323224250698765E-19</v>
      </c>
      <c r="AV89" s="100">
        <f t="shared" si="3"/>
        <v>2.0323224250698765E-19</v>
      </c>
      <c r="AW89" s="100">
        <f t="shared" si="3"/>
        <v>2.0323224250698765E-19</v>
      </c>
      <c r="AX89" s="100">
        <f t="shared" si="3"/>
        <v>2.0323224250698765E-19</v>
      </c>
    </row>
    <row r="90" spans="2:50">
      <c r="B90" s="99" t="s">
        <v>106</v>
      </c>
      <c r="C90" s="100">
        <f t="shared" ref="C90:R93" si="4">C50</f>
        <v>160</v>
      </c>
      <c r="D90" s="100">
        <f t="shared" si="4"/>
        <v>160</v>
      </c>
      <c r="E90" s="100">
        <f t="shared" si="4"/>
        <v>160</v>
      </c>
      <c r="F90" s="100">
        <f t="shared" si="4"/>
        <v>160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160</v>
      </c>
      <c r="T90" s="100">
        <f t="shared" si="3"/>
        <v>160</v>
      </c>
      <c r="U90" s="100">
        <f t="shared" si="3"/>
        <v>160</v>
      </c>
      <c r="V90" s="100">
        <f t="shared" si="3"/>
        <v>160</v>
      </c>
      <c r="W90" s="100">
        <f t="shared" si="3"/>
        <v>160</v>
      </c>
      <c r="X90" s="100">
        <f t="shared" si="3"/>
        <v>160</v>
      </c>
      <c r="Y90" s="100">
        <f t="shared" si="3"/>
        <v>160</v>
      </c>
      <c r="Z90" s="100">
        <f t="shared" si="3"/>
        <v>160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160</v>
      </c>
      <c r="AF90" s="100">
        <f t="shared" si="3"/>
        <v>160</v>
      </c>
      <c r="AG90" s="100">
        <f t="shared" si="3"/>
        <v>160</v>
      </c>
      <c r="AH90" s="100">
        <f t="shared" si="3"/>
        <v>160</v>
      </c>
      <c r="AI90" s="100">
        <f t="shared" si="3"/>
        <v>160</v>
      </c>
      <c r="AJ90" s="100">
        <f t="shared" si="3"/>
        <v>160</v>
      </c>
      <c r="AK90" s="100">
        <f t="shared" si="3"/>
        <v>160</v>
      </c>
      <c r="AL90" s="100">
        <f t="shared" si="3"/>
        <v>160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160</v>
      </c>
      <c r="AR90" s="100">
        <f t="shared" si="3"/>
        <v>160</v>
      </c>
      <c r="AS90" s="100">
        <f t="shared" si="3"/>
        <v>160</v>
      </c>
      <c r="AT90" s="100">
        <f t="shared" si="3"/>
        <v>160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789.99999999999977</v>
      </c>
      <c r="D91" s="100">
        <f t="shared" si="3"/>
        <v>789.99999999999977</v>
      </c>
      <c r="E91" s="100">
        <f t="shared" si="3"/>
        <v>789.99999999999977</v>
      </c>
      <c r="F91" s="100">
        <f t="shared" si="3"/>
        <v>789.99999999999977</v>
      </c>
      <c r="G91" s="100">
        <f t="shared" si="3"/>
        <v>631.99999999999989</v>
      </c>
      <c r="H91" s="100">
        <f t="shared" si="3"/>
        <v>631.99999999999989</v>
      </c>
      <c r="I91" s="100">
        <f t="shared" si="3"/>
        <v>631.99999999999989</v>
      </c>
      <c r="J91" s="100">
        <f t="shared" si="3"/>
        <v>631.99999999999989</v>
      </c>
      <c r="K91" s="100">
        <f t="shared" si="3"/>
        <v>789.99999999999977</v>
      </c>
      <c r="L91" s="100">
        <f t="shared" si="3"/>
        <v>789.99999999999977</v>
      </c>
      <c r="M91" s="100">
        <f t="shared" si="3"/>
        <v>789.99999999999977</v>
      </c>
      <c r="N91" s="100">
        <f t="shared" si="3"/>
        <v>789.99999999999977</v>
      </c>
      <c r="O91" s="100">
        <f t="shared" si="3"/>
        <v>789.99999999999977</v>
      </c>
      <c r="P91" s="100">
        <f t="shared" si="3"/>
        <v>789.99999999999977</v>
      </c>
      <c r="Q91" s="100">
        <f t="shared" si="3"/>
        <v>789.99999999999977</v>
      </c>
      <c r="R91" s="100">
        <f t="shared" si="3"/>
        <v>789.99999999999977</v>
      </c>
      <c r="S91" s="100">
        <f t="shared" si="3"/>
        <v>789.99999999999977</v>
      </c>
      <c r="T91" s="100">
        <f t="shared" si="3"/>
        <v>789.99999999999977</v>
      </c>
      <c r="U91" s="100">
        <f t="shared" si="3"/>
        <v>789.99999999999977</v>
      </c>
      <c r="V91" s="100">
        <f t="shared" si="3"/>
        <v>789.99999999999977</v>
      </c>
      <c r="W91" s="100">
        <f t="shared" si="3"/>
        <v>789.99999999999977</v>
      </c>
      <c r="X91" s="100">
        <f t="shared" si="3"/>
        <v>789.99999999999977</v>
      </c>
      <c r="Y91" s="100">
        <f t="shared" si="3"/>
        <v>789.99999999999977</v>
      </c>
      <c r="Z91" s="100">
        <f t="shared" si="3"/>
        <v>789.99999999999977</v>
      </c>
      <c r="AA91" s="100">
        <f t="shared" si="3"/>
        <v>789.99999999999977</v>
      </c>
      <c r="AB91" s="100">
        <f t="shared" si="3"/>
        <v>789.99999999999977</v>
      </c>
      <c r="AC91" s="100">
        <f t="shared" si="3"/>
        <v>789.99999999999977</v>
      </c>
      <c r="AD91" s="100">
        <f t="shared" si="3"/>
        <v>789.99999999999977</v>
      </c>
      <c r="AE91" s="100">
        <f t="shared" si="3"/>
        <v>789.99999999999977</v>
      </c>
      <c r="AF91" s="100">
        <f t="shared" si="3"/>
        <v>789.99999999999977</v>
      </c>
      <c r="AG91" s="100">
        <f t="shared" si="3"/>
        <v>789.99999999999977</v>
      </c>
      <c r="AH91" s="100">
        <f t="shared" si="3"/>
        <v>789.99999999999977</v>
      </c>
      <c r="AI91" s="100">
        <f t="shared" si="3"/>
        <v>789.99999999999977</v>
      </c>
      <c r="AJ91" s="100">
        <f t="shared" si="3"/>
        <v>789.99999999999977</v>
      </c>
      <c r="AK91" s="100">
        <f t="shared" si="3"/>
        <v>789.99999999999977</v>
      </c>
      <c r="AL91" s="100">
        <f t="shared" si="3"/>
        <v>789.99999999999977</v>
      </c>
      <c r="AM91" s="100">
        <f t="shared" si="3"/>
        <v>789.99999999999977</v>
      </c>
      <c r="AN91" s="100">
        <f t="shared" si="3"/>
        <v>789.99999999999977</v>
      </c>
      <c r="AO91" s="100">
        <f t="shared" si="3"/>
        <v>789.99999999999977</v>
      </c>
      <c r="AP91" s="100">
        <f t="shared" si="3"/>
        <v>789.99999999999977</v>
      </c>
      <c r="AQ91" s="100">
        <f t="shared" si="3"/>
        <v>789.99999999999977</v>
      </c>
      <c r="AR91" s="100">
        <f t="shared" si="3"/>
        <v>789.99999999999977</v>
      </c>
      <c r="AS91" s="100">
        <f t="shared" si="3"/>
        <v>789.99999999999977</v>
      </c>
      <c r="AT91" s="100">
        <f t="shared" si="3"/>
        <v>789.99999999999977</v>
      </c>
      <c r="AU91" s="100">
        <f t="shared" si="3"/>
        <v>789.99999999999977</v>
      </c>
      <c r="AV91" s="100">
        <f t="shared" si="3"/>
        <v>789.99999999999977</v>
      </c>
      <c r="AW91" s="100">
        <f t="shared" si="3"/>
        <v>789.99999999999977</v>
      </c>
      <c r="AX91" s="100">
        <f t="shared" si="3"/>
        <v>789.99999999999977</v>
      </c>
    </row>
    <row r="92" spans="2:50">
      <c r="B92" s="99" t="s">
        <v>108</v>
      </c>
      <c r="C92" s="100">
        <f t="shared" si="4"/>
        <v>2.3604592868029246E-19</v>
      </c>
      <c r="D92" s="100">
        <f t="shared" si="4"/>
        <v>2.3604592868029246E-19</v>
      </c>
      <c r="E92" s="100">
        <f t="shared" si="4"/>
        <v>2.3604592868029246E-19</v>
      </c>
      <c r="F92" s="100">
        <f t="shared" si="4"/>
        <v>2.3604592868029246E-19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2.3604592868029246E-19</v>
      </c>
      <c r="L92" s="100">
        <f t="shared" si="4"/>
        <v>2.3604592868029246E-19</v>
      </c>
      <c r="M92" s="100">
        <f t="shared" si="4"/>
        <v>2.3604592868029246E-19</v>
      </c>
      <c r="N92" s="100">
        <f t="shared" si="4"/>
        <v>2.3604592868029246E-19</v>
      </c>
      <c r="O92" s="100">
        <f t="shared" si="4"/>
        <v>2.3604592868029246E-19</v>
      </c>
      <c r="P92" s="100">
        <f t="shared" si="4"/>
        <v>2.3604592868029246E-19</v>
      </c>
      <c r="Q92" s="100">
        <f t="shared" si="4"/>
        <v>2.3604592868029246E-19</v>
      </c>
      <c r="R92" s="100">
        <f t="shared" si="4"/>
        <v>2.3604592868029246E-19</v>
      </c>
      <c r="S92" s="100">
        <f t="shared" si="3"/>
        <v>2.3604592868029246E-19</v>
      </c>
      <c r="T92" s="100">
        <f t="shared" si="3"/>
        <v>2.3604592868029246E-19</v>
      </c>
      <c r="U92" s="100">
        <f t="shared" si="3"/>
        <v>2.3604592868029246E-19</v>
      </c>
      <c r="V92" s="100">
        <f t="shared" si="3"/>
        <v>2.3604592868029246E-19</v>
      </c>
      <c r="W92" s="100">
        <f t="shared" si="3"/>
        <v>2.3604592868029246E-19</v>
      </c>
      <c r="X92" s="100">
        <f t="shared" si="3"/>
        <v>2.3604592868029246E-19</v>
      </c>
      <c r="Y92" s="100">
        <f t="shared" si="3"/>
        <v>2.3604592868029246E-19</v>
      </c>
      <c r="Z92" s="100">
        <f t="shared" si="3"/>
        <v>2.3604592868029246E-19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2.3604592868029246E-19</v>
      </c>
      <c r="AJ92" s="100">
        <f t="shared" si="3"/>
        <v>2.3604592868029246E-19</v>
      </c>
      <c r="AK92" s="100">
        <f t="shared" si="3"/>
        <v>2.3604592868029246E-19</v>
      </c>
      <c r="AL92" s="100">
        <f t="shared" si="3"/>
        <v>2.3604592868029246E-19</v>
      </c>
      <c r="AM92" s="100">
        <f t="shared" si="3"/>
        <v>2.3604592868029246E-19</v>
      </c>
      <c r="AN92" s="100">
        <f t="shared" si="3"/>
        <v>2.3604592868029246E-19</v>
      </c>
      <c r="AO92" s="100">
        <f t="shared" si="3"/>
        <v>2.3604592868029246E-19</v>
      </c>
      <c r="AP92" s="100">
        <f t="shared" si="3"/>
        <v>2.3604592868029246E-19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2.6614263345885275E-19</v>
      </c>
      <c r="D93" s="100">
        <f t="shared" si="4"/>
        <v>2.6614263345885275E-19</v>
      </c>
      <c r="E93" s="100">
        <f t="shared" si="4"/>
        <v>2.6614263345885275E-19</v>
      </c>
      <c r="F93" s="100">
        <f t="shared" si="4"/>
        <v>2.6614263345885275E-19</v>
      </c>
      <c r="G93" s="100">
        <f t="shared" si="4"/>
        <v>2.2178552788237729E-19</v>
      </c>
      <c r="H93" s="100">
        <f t="shared" si="4"/>
        <v>2.2178552788237729E-19</v>
      </c>
      <c r="I93" s="100">
        <f t="shared" si="4"/>
        <v>2.2178552788237729E-19</v>
      </c>
      <c r="J93" s="100">
        <f t="shared" si="4"/>
        <v>2.2178552788237729E-19</v>
      </c>
      <c r="K93" s="100">
        <f t="shared" si="4"/>
        <v>2.2178552788237729E-19</v>
      </c>
      <c r="L93" s="100">
        <f t="shared" si="4"/>
        <v>2.2178552788237729E-19</v>
      </c>
      <c r="M93" s="100">
        <f t="shared" si="4"/>
        <v>2.2178552788237729E-19</v>
      </c>
      <c r="N93" s="100">
        <f t="shared" si="4"/>
        <v>2.2178552788237729E-19</v>
      </c>
      <c r="O93" s="100">
        <f t="shared" si="4"/>
        <v>2.6614263345885275E-19</v>
      </c>
      <c r="P93" s="100">
        <f t="shared" si="4"/>
        <v>2.6614263345885275E-19</v>
      </c>
      <c r="Q93" s="100">
        <f t="shared" si="4"/>
        <v>2.6614263345885275E-19</v>
      </c>
      <c r="R93" s="100">
        <f t="shared" si="4"/>
        <v>2.6614263345885275E-19</v>
      </c>
      <c r="S93" s="100">
        <f t="shared" si="3"/>
        <v>2.6614263345885275E-19</v>
      </c>
      <c r="T93" s="100">
        <f t="shared" si="3"/>
        <v>2.6614263345885275E-19</v>
      </c>
      <c r="U93" s="100">
        <f t="shared" si="3"/>
        <v>2.6614263345885275E-19</v>
      </c>
      <c r="V93" s="100">
        <f t="shared" si="3"/>
        <v>2.6614263345885275E-19</v>
      </c>
      <c r="W93" s="100">
        <f t="shared" si="3"/>
        <v>2.6614263345885275E-19</v>
      </c>
      <c r="X93" s="100">
        <f t="shared" si="3"/>
        <v>2.6614263345885275E-19</v>
      </c>
      <c r="Y93" s="100">
        <f t="shared" si="3"/>
        <v>2.6614263345885275E-19</v>
      </c>
      <c r="Z93" s="100">
        <f t="shared" si="3"/>
        <v>2.6614263345885275E-19</v>
      </c>
      <c r="AA93" s="100">
        <f t="shared" si="3"/>
        <v>2.6614263345885275E-19</v>
      </c>
      <c r="AB93" s="100">
        <f t="shared" si="3"/>
        <v>2.6614263345885275E-19</v>
      </c>
      <c r="AC93" s="100">
        <f t="shared" si="3"/>
        <v>2.6614263345885275E-19</v>
      </c>
      <c r="AD93" s="100">
        <f t="shared" si="3"/>
        <v>2.6614263345885275E-19</v>
      </c>
      <c r="AE93" s="100">
        <f t="shared" si="3"/>
        <v>2.6614263345885275E-19</v>
      </c>
      <c r="AF93" s="100">
        <f t="shared" si="3"/>
        <v>2.6614263345885275E-19</v>
      </c>
      <c r="AG93" s="100">
        <f t="shared" si="3"/>
        <v>2.6614263345885275E-19</v>
      </c>
      <c r="AH93" s="100">
        <f t="shared" si="3"/>
        <v>2.6614263345885275E-19</v>
      </c>
      <c r="AI93" s="100">
        <f t="shared" si="3"/>
        <v>2.6614263345885275E-19</v>
      </c>
      <c r="AJ93" s="100">
        <f t="shared" si="3"/>
        <v>2.6614263345885275E-19</v>
      </c>
      <c r="AK93" s="100">
        <f t="shared" si="3"/>
        <v>2.6614263345885275E-19</v>
      </c>
      <c r="AL93" s="100">
        <f t="shared" si="3"/>
        <v>2.6614263345885275E-19</v>
      </c>
      <c r="AM93" s="100">
        <f t="shared" si="3"/>
        <v>2.6614263345885275E-19</v>
      </c>
      <c r="AN93" s="100">
        <f t="shared" si="3"/>
        <v>2.6614263345885275E-19</v>
      </c>
      <c r="AO93" s="100">
        <f t="shared" si="3"/>
        <v>2.6614263345885275E-19</v>
      </c>
      <c r="AP93" s="100">
        <f t="shared" si="3"/>
        <v>2.6614263345885275E-19</v>
      </c>
      <c r="AQ93" s="100">
        <f t="shared" si="3"/>
        <v>2.6614263345885275E-19</v>
      </c>
      <c r="AR93" s="100">
        <f t="shared" si="3"/>
        <v>2.6614263345885275E-19</v>
      </c>
      <c r="AS93" s="100">
        <f t="shared" si="3"/>
        <v>2.6614263345885275E-19</v>
      </c>
      <c r="AT93" s="100">
        <f t="shared" si="3"/>
        <v>2.6614263345885275E-19</v>
      </c>
      <c r="AU93" s="100">
        <f t="shared" si="3"/>
        <v>2.2178552788237729E-19</v>
      </c>
      <c r="AV93" s="100">
        <f t="shared" si="3"/>
        <v>2.2178552788237729E-19</v>
      </c>
      <c r="AW93" s="100">
        <f t="shared" si="3"/>
        <v>2.2178552788237729E-19</v>
      </c>
      <c r="AX93" s="100">
        <f t="shared" si="3"/>
        <v>2.2178552788237729E-19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3.8315199671625174E-17</v>
      </c>
      <c r="D98" s="100">
        <v>3.8315199671625174E-17</v>
      </c>
      <c r="E98" s="100">
        <v>3.8315199671625174E-17</v>
      </c>
      <c r="F98" s="100">
        <v>3.8315199671625174E-17</v>
      </c>
      <c r="G98" s="100">
        <v>4.7893635181931612E-17</v>
      </c>
      <c r="H98" s="100">
        <v>4.7893635181931612E-17</v>
      </c>
      <c r="I98" s="100">
        <v>4.7893635181931612E-17</v>
      </c>
      <c r="J98" s="100">
        <v>4.7893635181931612E-17</v>
      </c>
      <c r="K98" s="100">
        <v>4.7893635181931612E-17</v>
      </c>
      <c r="L98" s="100">
        <v>4.7893635181931612E-17</v>
      </c>
      <c r="M98" s="100">
        <v>4.7893635181931612E-17</v>
      </c>
      <c r="N98" s="100">
        <v>4.7893635181931612E-17</v>
      </c>
      <c r="O98" s="100">
        <v>4.7893635181931612E-17</v>
      </c>
      <c r="P98" s="100">
        <v>4.7893635181931612E-17</v>
      </c>
      <c r="Q98" s="100">
        <v>4.7893635181931612E-17</v>
      </c>
      <c r="R98" s="100">
        <v>4.7893635181931612E-17</v>
      </c>
      <c r="S98" s="100">
        <v>4.7893635181931612E-17</v>
      </c>
      <c r="T98" s="100">
        <v>4.7893635181931612E-17</v>
      </c>
      <c r="U98" s="100">
        <v>4.7893635181931612E-17</v>
      </c>
      <c r="V98" s="100">
        <v>4.7893635181931612E-17</v>
      </c>
      <c r="W98" s="100">
        <v>4.7893635181931612E-17</v>
      </c>
      <c r="X98" s="100">
        <v>4.7893635181931612E-17</v>
      </c>
      <c r="Y98" s="100">
        <v>4.7893635181931612E-17</v>
      </c>
      <c r="Z98" s="100">
        <v>4.7893635181931612E-17</v>
      </c>
      <c r="AA98" s="100">
        <v>4.7893635181931612E-17</v>
      </c>
      <c r="AB98" s="100">
        <v>4.7893635181931612E-17</v>
      </c>
      <c r="AC98" s="100">
        <v>4.7893635181931612E-17</v>
      </c>
      <c r="AD98" s="100">
        <v>4.7893635181931612E-17</v>
      </c>
      <c r="AE98" s="100">
        <v>4.7893635181931612E-17</v>
      </c>
      <c r="AF98" s="100">
        <v>4.7893635181931612E-17</v>
      </c>
      <c r="AG98" s="100">
        <v>4.7893635181931612E-17</v>
      </c>
      <c r="AH98" s="100">
        <v>4.7893635181931612E-17</v>
      </c>
      <c r="AI98" s="100">
        <v>4.7893635181931612E-17</v>
      </c>
      <c r="AJ98" s="100">
        <v>4.7893635181931612E-17</v>
      </c>
      <c r="AK98" s="100">
        <v>4.7893635181931612E-17</v>
      </c>
      <c r="AL98" s="100">
        <v>4.7893635181931612E-17</v>
      </c>
      <c r="AM98" s="100">
        <v>4.7893635181931612E-17</v>
      </c>
      <c r="AN98" s="100">
        <v>4.7893635181931612E-17</v>
      </c>
      <c r="AO98" s="100">
        <v>4.7893635181931612E-17</v>
      </c>
      <c r="AP98" s="100">
        <v>4.7893635181931612E-17</v>
      </c>
      <c r="AQ98" s="100">
        <v>4.7893635181931612E-17</v>
      </c>
      <c r="AR98" s="100">
        <v>4.7893635181931612E-17</v>
      </c>
      <c r="AS98" s="100">
        <v>4.7893635181931612E-17</v>
      </c>
      <c r="AT98" s="100">
        <v>4.7893635181931612E-17</v>
      </c>
      <c r="AU98" s="100">
        <v>4.7893635181931612E-17</v>
      </c>
      <c r="AV98" s="100">
        <v>4.7893635181931612E-17</v>
      </c>
      <c r="AW98" s="100">
        <v>4.7893635181931612E-17</v>
      </c>
      <c r="AX98" s="100">
        <v>4.7893635181931612E-17</v>
      </c>
    </row>
    <row r="99" spans="1:50">
      <c r="B99" s="105" t="s">
        <v>12</v>
      </c>
      <c r="C99" s="100">
        <v>316204.04683257593</v>
      </c>
      <c r="D99" s="100">
        <v>316204.04683257593</v>
      </c>
      <c r="E99" s="100">
        <v>316204.04683257593</v>
      </c>
      <c r="F99" s="100">
        <v>316204.04683257593</v>
      </c>
      <c r="G99" s="100">
        <v>395252.0511922327</v>
      </c>
      <c r="H99" s="100">
        <v>395252.0511922327</v>
      </c>
      <c r="I99" s="100">
        <v>395252.0511922327</v>
      </c>
      <c r="J99" s="100">
        <v>395252.0511922327</v>
      </c>
      <c r="K99" s="100">
        <v>395252.0511922327</v>
      </c>
      <c r="L99" s="100">
        <v>395252.0511922327</v>
      </c>
      <c r="M99" s="100">
        <v>395252.0511922327</v>
      </c>
      <c r="N99" s="100">
        <v>395252.0511922327</v>
      </c>
      <c r="O99" s="100">
        <v>395252.0511922327</v>
      </c>
      <c r="P99" s="100">
        <v>395252.0511922327</v>
      </c>
      <c r="Q99" s="100">
        <v>395252.0511922327</v>
      </c>
      <c r="R99" s="100">
        <v>395252.0511922327</v>
      </c>
      <c r="S99" s="100">
        <v>395252.0511922327</v>
      </c>
      <c r="T99" s="100">
        <v>395252.0511922327</v>
      </c>
      <c r="U99" s="100">
        <v>395252.0511922327</v>
      </c>
      <c r="V99" s="100">
        <v>395252.0511922327</v>
      </c>
      <c r="W99" s="100">
        <v>395252.0511922327</v>
      </c>
      <c r="X99" s="100">
        <v>395252.0511922327</v>
      </c>
      <c r="Y99" s="100">
        <v>395252.0511922327</v>
      </c>
      <c r="Z99" s="100">
        <v>395252.0511922327</v>
      </c>
      <c r="AA99" s="100">
        <v>395252.0511922327</v>
      </c>
      <c r="AB99" s="100">
        <v>395252.0511922327</v>
      </c>
      <c r="AC99" s="100">
        <v>395252.0511922327</v>
      </c>
      <c r="AD99" s="100">
        <v>395252.0511922327</v>
      </c>
      <c r="AE99" s="100">
        <v>395252.0511922327</v>
      </c>
      <c r="AF99" s="100">
        <v>395252.0511922327</v>
      </c>
      <c r="AG99" s="100">
        <v>395252.0511922327</v>
      </c>
      <c r="AH99" s="100">
        <v>395252.0511922327</v>
      </c>
      <c r="AI99" s="100">
        <v>395252.0511922327</v>
      </c>
      <c r="AJ99" s="100">
        <v>395252.0511922327</v>
      </c>
      <c r="AK99" s="100">
        <v>395252.0511922327</v>
      </c>
      <c r="AL99" s="100">
        <v>395252.0511922327</v>
      </c>
      <c r="AM99" s="100">
        <v>395252.0511922327</v>
      </c>
      <c r="AN99" s="100">
        <v>395252.0511922327</v>
      </c>
      <c r="AO99" s="100">
        <v>395252.0511922327</v>
      </c>
      <c r="AP99" s="100">
        <v>395252.0511922327</v>
      </c>
      <c r="AQ99" s="100">
        <v>395252.0511922327</v>
      </c>
      <c r="AR99" s="100">
        <v>395252.0511922327</v>
      </c>
      <c r="AS99" s="100">
        <v>395252.0511922327</v>
      </c>
      <c r="AT99" s="100">
        <v>395252.0511922327</v>
      </c>
      <c r="AU99" s="100">
        <v>395252.0511922327</v>
      </c>
      <c r="AV99" s="100">
        <v>395252.0511922327</v>
      </c>
      <c r="AW99" s="100">
        <v>395252.0511922327</v>
      </c>
      <c r="AX99" s="100">
        <v>395252.0511922327</v>
      </c>
    </row>
    <row r="100" spans="1:50">
      <c r="B100" s="105" t="s">
        <v>22</v>
      </c>
      <c r="C100" s="100">
        <v>8.2940674336311253E-18</v>
      </c>
      <c r="D100" s="100">
        <v>8.2940674336311253E-18</v>
      </c>
      <c r="E100" s="100">
        <v>8.2940674336311253E-18</v>
      </c>
      <c r="F100" s="100">
        <v>8.2940674336311253E-18</v>
      </c>
      <c r="G100" s="100">
        <v>1.0367505408952496E-17</v>
      </c>
      <c r="H100" s="100">
        <v>1.0367505408952496E-17</v>
      </c>
      <c r="I100" s="100">
        <v>1.0367505408952496E-17</v>
      </c>
      <c r="J100" s="100">
        <v>1.0367505408952496E-17</v>
      </c>
      <c r="K100" s="100">
        <v>1.0367505408952496E-17</v>
      </c>
      <c r="L100" s="100">
        <v>1.0367505408952496E-17</v>
      </c>
      <c r="M100" s="100">
        <v>1.0367505408952496E-17</v>
      </c>
      <c r="N100" s="100">
        <v>1.0367505408952496E-17</v>
      </c>
      <c r="O100" s="100">
        <v>1.0367505408952496E-17</v>
      </c>
      <c r="P100" s="100">
        <v>1.0367505408952496E-17</v>
      </c>
      <c r="Q100" s="100">
        <v>1.0367505408952496E-17</v>
      </c>
      <c r="R100" s="100">
        <v>1.0367505408952496E-17</v>
      </c>
      <c r="S100" s="100">
        <v>1.0367505408952496E-17</v>
      </c>
      <c r="T100" s="100">
        <v>1.0367505408952496E-17</v>
      </c>
      <c r="U100" s="100">
        <v>1.0367505408952496E-17</v>
      </c>
      <c r="V100" s="100">
        <v>1.0367505408952496E-17</v>
      </c>
      <c r="W100" s="100">
        <v>1.0367505408952496E-17</v>
      </c>
      <c r="X100" s="100">
        <v>1.0367505408952496E-17</v>
      </c>
      <c r="Y100" s="100">
        <v>1.0367505408952496E-17</v>
      </c>
      <c r="Z100" s="100">
        <v>1.0367505408952496E-17</v>
      </c>
      <c r="AA100" s="100">
        <v>1.0367505408952496E-17</v>
      </c>
      <c r="AB100" s="100">
        <v>1.0367505408952496E-17</v>
      </c>
      <c r="AC100" s="100">
        <v>1.0367505408952496E-17</v>
      </c>
      <c r="AD100" s="100">
        <v>1.0367505408952496E-17</v>
      </c>
      <c r="AE100" s="100">
        <v>1.0367505408952496E-17</v>
      </c>
      <c r="AF100" s="100">
        <v>1.0367505408952496E-17</v>
      </c>
      <c r="AG100" s="100">
        <v>1.0367505408952496E-17</v>
      </c>
      <c r="AH100" s="100">
        <v>1.0367505408952496E-17</v>
      </c>
      <c r="AI100" s="100">
        <v>1.0367505408952496E-17</v>
      </c>
      <c r="AJ100" s="100">
        <v>1.0367505408952496E-17</v>
      </c>
      <c r="AK100" s="100">
        <v>1.0367505408952496E-17</v>
      </c>
      <c r="AL100" s="100">
        <v>1.0367505408952496E-17</v>
      </c>
      <c r="AM100" s="100">
        <v>1.0367505408952496E-17</v>
      </c>
      <c r="AN100" s="100">
        <v>1.0367505408952496E-17</v>
      </c>
      <c r="AO100" s="100">
        <v>1.0367505408952496E-17</v>
      </c>
      <c r="AP100" s="100">
        <v>1.0367505408952496E-17</v>
      </c>
      <c r="AQ100" s="100">
        <v>1.0367505408952496E-17</v>
      </c>
      <c r="AR100" s="100">
        <v>1.0367505408952496E-17</v>
      </c>
      <c r="AS100" s="100">
        <v>1.0367505408952496E-17</v>
      </c>
      <c r="AT100" s="100">
        <v>1.0367505408952496E-17</v>
      </c>
      <c r="AU100" s="100">
        <v>1.0367505408952496E-17</v>
      </c>
      <c r="AV100" s="100">
        <v>1.0367505408952496E-17</v>
      </c>
      <c r="AW100" s="100">
        <v>1.0367505408952496E-17</v>
      </c>
      <c r="AX100" s="100">
        <v>1.0367505408952496E-17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211635.14022221632</v>
      </c>
      <c r="D102" s="100">
        <v>211635.14022221632</v>
      </c>
      <c r="E102" s="100">
        <v>211635.14022221632</v>
      </c>
      <c r="F102" s="100">
        <v>211635.14022221632</v>
      </c>
      <c r="G102" s="100">
        <v>264541.91246159939</v>
      </c>
      <c r="H102" s="100">
        <v>264541.91246159939</v>
      </c>
      <c r="I102" s="100">
        <v>264541.91246159939</v>
      </c>
      <c r="J102" s="100">
        <v>264541.91246159939</v>
      </c>
      <c r="K102" s="100">
        <v>264541.91246159939</v>
      </c>
      <c r="L102" s="100">
        <v>264541.91246159939</v>
      </c>
      <c r="M102" s="100">
        <v>264541.91246159939</v>
      </c>
      <c r="N102" s="100">
        <v>264541.91246159939</v>
      </c>
      <c r="O102" s="100">
        <v>264541.91246159939</v>
      </c>
      <c r="P102" s="100">
        <v>264541.91246159939</v>
      </c>
      <c r="Q102" s="100">
        <v>264541.91246159939</v>
      </c>
      <c r="R102" s="100">
        <v>264541.91246159939</v>
      </c>
      <c r="S102" s="100">
        <v>264541.91246159939</v>
      </c>
      <c r="T102" s="100">
        <v>264541.91246159939</v>
      </c>
      <c r="U102" s="100">
        <v>264541.91246159939</v>
      </c>
      <c r="V102" s="100">
        <v>264541.91246159939</v>
      </c>
      <c r="W102" s="100">
        <v>264541.91246159939</v>
      </c>
      <c r="X102" s="100">
        <v>264541.91246159939</v>
      </c>
      <c r="Y102" s="100">
        <v>264541.91246159939</v>
      </c>
      <c r="Z102" s="100">
        <v>264541.91246159939</v>
      </c>
      <c r="AA102" s="100">
        <v>264541.91246159939</v>
      </c>
      <c r="AB102" s="100">
        <v>264541.91246159939</v>
      </c>
      <c r="AC102" s="100">
        <v>264541.91246159939</v>
      </c>
      <c r="AD102" s="100">
        <v>264541.91246159939</v>
      </c>
      <c r="AE102" s="100">
        <v>264541.91246159939</v>
      </c>
      <c r="AF102" s="100">
        <v>264541.91246159939</v>
      </c>
      <c r="AG102" s="100">
        <v>264541.91246159939</v>
      </c>
      <c r="AH102" s="100">
        <v>264541.91246159939</v>
      </c>
      <c r="AI102" s="100">
        <v>264541.91246159939</v>
      </c>
      <c r="AJ102" s="100">
        <v>264541.91246159939</v>
      </c>
      <c r="AK102" s="100">
        <v>264541.91246159939</v>
      </c>
      <c r="AL102" s="100">
        <v>264541.91246159939</v>
      </c>
      <c r="AM102" s="100">
        <v>264541.91246159939</v>
      </c>
      <c r="AN102" s="100">
        <v>264541.91246159939</v>
      </c>
      <c r="AO102" s="100">
        <v>264541.91246159939</v>
      </c>
      <c r="AP102" s="100">
        <v>264541.91246159939</v>
      </c>
      <c r="AQ102" s="100">
        <v>264541.91246159939</v>
      </c>
      <c r="AR102" s="100">
        <v>264541.91246159939</v>
      </c>
      <c r="AS102" s="100">
        <v>264541.91246159939</v>
      </c>
      <c r="AT102" s="100">
        <v>264541.91246159939</v>
      </c>
      <c r="AU102" s="100">
        <v>264541.91246159939</v>
      </c>
      <c r="AV102" s="100">
        <v>264541.91246159939</v>
      </c>
      <c r="AW102" s="100">
        <v>264541.91246159939</v>
      </c>
      <c r="AX102" s="100">
        <v>264541.91246159939</v>
      </c>
    </row>
    <row r="103" spans="1:50">
      <c r="B103" s="100" t="s">
        <v>278</v>
      </c>
      <c r="C103" s="105">
        <f>SUM(C$98:C$102)</f>
        <v>527839.18705479219</v>
      </c>
      <c r="D103" s="105">
        <f t="shared" ref="D103:AX103" si="5">SUM(D$98:D$102)</f>
        <v>527839.18705479219</v>
      </c>
      <c r="E103" s="105">
        <f t="shared" si="5"/>
        <v>527839.18705479219</v>
      </c>
      <c r="F103" s="105">
        <f t="shared" si="5"/>
        <v>527839.18705479219</v>
      </c>
      <c r="G103" s="105">
        <f t="shared" si="5"/>
        <v>659793.96365383209</v>
      </c>
      <c r="H103" s="105">
        <f t="shared" si="5"/>
        <v>659793.96365383209</v>
      </c>
      <c r="I103" s="105">
        <f t="shared" si="5"/>
        <v>659793.96365383209</v>
      </c>
      <c r="J103" s="105">
        <f t="shared" si="5"/>
        <v>659793.96365383209</v>
      </c>
      <c r="K103" s="105">
        <f t="shared" si="5"/>
        <v>659793.96365383209</v>
      </c>
      <c r="L103" s="105">
        <f t="shared" si="5"/>
        <v>659793.96365383209</v>
      </c>
      <c r="M103" s="105">
        <f t="shared" si="5"/>
        <v>659793.96365383209</v>
      </c>
      <c r="N103" s="105">
        <f t="shared" si="5"/>
        <v>659793.96365383209</v>
      </c>
      <c r="O103" s="105">
        <f t="shared" si="5"/>
        <v>659793.96365383209</v>
      </c>
      <c r="P103" s="105">
        <f t="shared" si="5"/>
        <v>659793.96365383209</v>
      </c>
      <c r="Q103" s="105">
        <f t="shared" si="5"/>
        <v>659793.96365383209</v>
      </c>
      <c r="R103" s="105">
        <f t="shared" si="5"/>
        <v>659793.96365383209</v>
      </c>
      <c r="S103" s="105">
        <f t="shared" si="5"/>
        <v>659793.96365383209</v>
      </c>
      <c r="T103" s="105">
        <f t="shared" si="5"/>
        <v>659793.96365383209</v>
      </c>
      <c r="U103" s="105">
        <f t="shared" si="5"/>
        <v>659793.96365383209</v>
      </c>
      <c r="V103" s="105">
        <f t="shared" si="5"/>
        <v>659793.96365383209</v>
      </c>
      <c r="W103" s="105">
        <f t="shared" si="5"/>
        <v>659793.96365383209</v>
      </c>
      <c r="X103" s="105">
        <f t="shared" si="5"/>
        <v>659793.96365383209</v>
      </c>
      <c r="Y103" s="105">
        <f t="shared" si="5"/>
        <v>659793.96365383209</v>
      </c>
      <c r="Z103" s="105">
        <f t="shared" si="5"/>
        <v>659793.96365383209</v>
      </c>
      <c r="AA103" s="105">
        <f t="shared" si="5"/>
        <v>659793.96365383209</v>
      </c>
      <c r="AB103" s="105">
        <f t="shared" si="5"/>
        <v>659793.96365383209</v>
      </c>
      <c r="AC103" s="105">
        <f t="shared" si="5"/>
        <v>659793.96365383209</v>
      </c>
      <c r="AD103" s="105">
        <f t="shared" si="5"/>
        <v>659793.96365383209</v>
      </c>
      <c r="AE103" s="105">
        <f t="shared" si="5"/>
        <v>659793.96365383209</v>
      </c>
      <c r="AF103" s="105">
        <f t="shared" si="5"/>
        <v>659793.96365383209</v>
      </c>
      <c r="AG103" s="105">
        <f t="shared" si="5"/>
        <v>659793.96365383209</v>
      </c>
      <c r="AH103" s="105">
        <f t="shared" si="5"/>
        <v>659793.96365383209</v>
      </c>
      <c r="AI103" s="105">
        <f t="shared" si="5"/>
        <v>659793.96365383209</v>
      </c>
      <c r="AJ103" s="105">
        <f t="shared" si="5"/>
        <v>659793.96365383209</v>
      </c>
      <c r="AK103" s="105">
        <f t="shared" si="5"/>
        <v>659793.96365383209</v>
      </c>
      <c r="AL103" s="105">
        <f t="shared" si="5"/>
        <v>659793.96365383209</v>
      </c>
      <c r="AM103" s="105">
        <f t="shared" si="5"/>
        <v>659793.96365383209</v>
      </c>
      <c r="AN103" s="105">
        <f t="shared" si="5"/>
        <v>659793.96365383209</v>
      </c>
      <c r="AO103" s="105">
        <f t="shared" si="5"/>
        <v>659793.96365383209</v>
      </c>
      <c r="AP103" s="105">
        <f t="shared" si="5"/>
        <v>659793.96365383209</v>
      </c>
      <c r="AQ103" s="105">
        <f t="shared" si="5"/>
        <v>659793.96365383209</v>
      </c>
      <c r="AR103" s="105">
        <f t="shared" si="5"/>
        <v>659793.96365383209</v>
      </c>
      <c r="AS103" s="105">
        <f t="shared" si="5"/>
        <v>659793.96365383209</v>
      </c>
      <c r="AT103" s="105">
        <f t="shared" si="5"/>
        <v>659793.96365383209</v>
      </c>
      <c r="AU103" s="105">
        <f t="shared" si="5"/>
        <v>659793.96365383209</v>
      </c>
      <c r="AV103" s="105">
        <f t="shared" si="5"/>
        <v>659793.96365383209</v>
      </c>
      <c r="AW103" s="105">
        <f t="shared" si="5"/>
        <v>659793.96365383209</v>
      </c>
      <c r="AX103" s="105">
        <f t="shared" si="5"/>
        <v>659793.96365383209</v>
      </c>
    </row>
    <row r="104" spans="1:50">
      <c r="A104" s="105" t="s">
        <v>105</v>
      </c>
      <c r="B104" s="105" t="s">
        <v>10</v>
      </c>
      <c r="C104" s="100">
        <v>8.3038248844630595E-18</v>
      </c>
      <c r="D104" s="100">
        <v>8.3038248844630595E-18</v>
      </c>
      <c r="E104" s="100">
        <v>8.3038248844630595E-18</v>
      </c>
      <c r="F104" s="100">
        <v>8.3038248844630595E-18</v>
      </c>
      <c r="G104" s="100">
        <v>8.3038248844630595E-18</v>
      </c>
      <c r="H104" s="100">
        <v>8.3038248844630595E-18</v>
      </c>
      <c r="I104" s="100">
        <v>8.3038248844630595E-18</v>
      </c>
      <c r="J104" s="100">
        <v>8.3038248844630595E-18</v>
      </c>
      <c r="K104" s="100">
        <v>8.3038248844630595E-18</v>
      </c>
      <c r="L104" s="100">
        <v>8.3038248844630595E-18</v>
      </c>
      <c r="M104" s="100">
        <v>8.3038248844630595E-18</v>
      </c>
      <c r="N104" s="100">
        <v>8.3038248844630595E-18</v>
      </c>
      <c r="O104" s="100">
        <v>8.3038248844630595E-18</v>
      </c>
      <c r="P104" s="100">
        <v>8.3038248844630595E-18</v>
      </c>
      <c r="Q104" s="100">
        <v>8.3038248844630595E-18</v>
      </c>
      <c r="R104" s="100">
        <v>8.3038248844630595E-18</v>
      </c>
      <c r="S104" s="100">
        <v>8.3038248844630595E-18</v>
      </c>
      <c r="T104" s="100">
        <v>8.3038248844630595E-18</v>
      </c>
      <c r="U104" s="100">
        <v>8.3038248844630595E-18</v>
      </c>
      <c r="V104" s="100">
        <v>8.3038248844630595E-18</v>
      </c>
      <c r="W104" s="100">
        <v>8.3038248844630595E-18</v>
      </c>
      <c r="X104" s="100">
        <v>8.3038248844630595E-18</v>
      </c>
      <c r="Y104" s="100">
        <v>8.3038248844630595E-18</v>
      </c>
      <c r="Z104" s="100">
        <v>8.3038248844630595E-18</v>
      </c>
      <c r="AA104" s="100">
        <v>8.3038248844630595E-18</v>
      </c>
      <c r="AB104" s="100">
        <v>8.3038248844630595E-18</v>
      </c>
      <c r="AC104" s="100">
        <v>8.3038248844630595E-18</v>
      </c>
      <c r="AD104" s="100">
        <v>8.3038248844630595E-18</v>
      </c>
      <c r="AE104" s="100">
        <v>8.3038248844630595E-18</v>
      </c>
      <c r="AF104" s="100">
        <v>8.3038248844630595E-18</v>
      </c>
      <c r="AG104" s="100">
        <v>8.3038248844630595E-18</v>
      </c>
      <c r="AH104" s="100">
        <v>8.3038248844630595E-18</v>
      </c>
      <c r="AI104" s="100">
        <v>8.3038248844630595E-18</v>
      </c>
      <c r="AJ104" s="100">
        <v>8.3038248844630595E-18</v>
      </c>
      <c r="AK104" s="100">
        <v>8.3038248844630595E-18</v>
      </c>
      <c r="AL104" s="100">
        <v>8.3038248844630595E-18</v>
      </c>
      <c r="AM104" s="100">
        <v>8.3038248844630595E-18</v>
      </c>
      <c r="AN104" s="100">
        <v>8.3038248844630595E-18</v>
      </c>
      <c r="AO104" s="100">
        <v>8.3038248844630595E-18</v>
      </c>
      <c r="AP104" s="100">
        <v>8.3038248844630595E-18</v>
      </c>
      <c r="AQ104" s="100">
        <v>8.3038248844630595E-18</v>
      </c>
      <c r="AR104" s="100">
        <v>8.3038248844630595E-18</v>
      </c>
      <c r="AS104" s="100">
        <v>8.3038248844630595E-18</v>
      </c>
      <c r="AT104" s="100">
        <v>8.3038248844630595E-18</v>
      </c>
      <c r="AU104" s="100">
        <v>8.3038248844630595E-18</v>
      </c>
      <c r="AV104" s="100">
        <v>8.3038248844630595E-18</v>
      </c>
      <c r="AW104" s="100">
        <v>8.3038248844630595E-18</v>
      </c>
      <c r="AX104" s="100">
        <v>8.3038248844630595E-18</v>
      </c>
    </row>
    <row r="105" spans="1:50">
      <c r="B105" s="105" t="s">
        <v>12</v>
      </c>
      <c r="C105" s="100">
        <v>1.1276725547576163E-17</v>
      </c>
      <c r="D105" s="100">
        <v>1.1276725547576163E-17</v>
      </c>
      <c r="E105" s="100">
        <v>1.1276725547576163E-17</v>
      </c>
      <c r="F105" s="100">
        <v>1.1276725547576163E-17</v>
      </c>
      <c r="G105" s="100">
        <v>1.1276725547576163E-17</v>
      </c>
      <c r="H105" s="100">
        <v>1.1276725547576163E-17</v>
      </c>
      <c r="I105" s="100">
        <v>1.1276725547576163E-17</v>
      </c>
      <c r="J105" s="100">
        <v>1.1276725547576163E-17</v>
      </c>
      <c r="K105" s="100">
        <v>1.1276725547576163E-17</v>
      </c>
      <c r="L105" s="100">
        <v>1.1276725547576163E-17</v>
      </c>
      <c r="M105" s="100">
        <v>1.1276725547576163E-17</v>
      </c>
      <c r="N105" s="100">
        <v>1.1276725547576163E-17</v>
      </c>
      <c r="O105" s="100">
        <v>1.1276725547576163E-17</v>
      </c>
      <c r="P105" s="100">
        <v>1.1276725547576163E-17</v>
      </c>
      <c r="Q105" s="100">
        <v>1.1276725547576163E-17</v>
      </c>
      <c r="R105" s="100">
        <v>1.1276725547576163E-17</v>
      </c>
      <c r="S105" s="100">
        <v>1.1276725547576163E-17</v>
      </c>
      <c r="T105" s="100">
        <v>1.1276725547576163E-17</v>
      </c>
      <c r="U105" s="100">
        <v>1.1276725547576163E-17</v>
      </c>
      <c r="V105" s="100">
        <v>1.1276725547576163E-17</v>
      </c>
      <c r="W105" s="100">
        <v>1.1276725547576163E-17</v>
      </c>
      <c r="X105" s="100">
        <v>1.1276725547576163E-17</v>
      </c>
      <c r="Y105" s="100">
        <v>1.1276725547576163E-17</v>
      </c>
      <c r="Z105" s="100">
        <v>1.1276725547576163E-17</v>
      </c>
      <c r="AA105" s="100">
        <v>1.1276725547576163E-17</v>
      </c>
      <c r="AB105" s="100">
        <v>1.1276725547576163E-17</v>
      </c>
      <c r="AC105" s="100">
        <v>1.1276725547576163E-17</v>
      </c>
      <c r="AD105" s="100">
        <v>1.1276725547576163E-17</v>
      </c>
      <c r="AE105" s="100">
        <v>1.1276725547576163E-17</v>
      </c>
      <c r="AF105" s="100">
        <v>1.1276725547576163E-17</v>
      </c>
      <c r="AG105" s="100">
        <v>1.1276725547576163E-17</v>
      </c>
      <c r="AH105" s="100">
        <v>1.1276725547576163E-17</v>
      </c>
      <c r="AI105" s="100">
        <v>1.1276725547576163E-17</v>
      </c>
      <c r="AJ105" s="100">
        <v>1.1276725547576163E-17</v>
      </c>
      <c r="AK105" s="100">
        <v>1.1276725547576163E-17</v>
      </c>
      <c r="AL105" s="100">
        <v>1.1276725547576163E-17</v>
      </c>
      <c r="AM105" s="100">
        <v>1.1276725547576163E-17</v>
      </c>
      <c r="AN105" s="100">
        <v>1.1276725547576163E-17</v>
      </c>
      <c r="AO105" s="100">
        <v>1.1276725547576163E-17</v>
      </c>
      <c r="AP105" s="100">
        <v>1.1276725547576163E-17</v>
      </c>
      <c r="AQ105" s="100">
        <v>1.1276725547576163E-17</v>
      </c>
      <c r="AR105" s="100">
        <v>1.1276725547576163E-17</v>
      </c>
      <c r="AS105" s="100">
        <v>1.1276725547576163E-17</v>
      </c>
      <c r="AT105" s="100">
        <v>1.1276725547576163E-17</v>
      </c>
      <c r="AU105" s="100">
        <v>1.1276725547576163E-17</v>
      </c>
      <c r="AV105" s="100">
        <v>1.1276725547576163E-17</v>
      </c>
      <c r="AW105" s="100">
        <v>1.1276725547576163E-17</v>
      </c>
      <c r="AX105" s="100">
        <v>1.1276725547576163E-17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5.5824032804656903E-18</v>
      </c>
      <c r="D107" s="100">
        <v>5.5824032804656903E-18</v>
      </c>
      <c r="E107" s="100">
        <v>5.5824032804656903E-18</v>
      </c>
      <c r="F107" s="100">
        <v>5.5824032804656903E-18</v>
      </c>
      <c r="G107" s="100">
        <v>5.5824032804656903E-18</v>
      </c>
      <c r="H107" s="100">
        <v>5.5824032804656903E-18</v>
      </c>
      <c r="I107" s="100">
        <v>5.5824032804656903E-18</v>
      </c>
      <c r="J107" s="100">
        <v>5.5824032804656903E-18</v>
      </c>
      <c r="K107" s="100">
        <v>5.5824032804656903E-18</v>
      </c>
      <c r="L107" s="100">
        <v>5.5824032804656903E-18</v>
      </c>
      <c r="M107" s="100">
        <v>5.5824032804656903E-18</v>
      </c>
      <c r="N107" s="100">
        <v>5.5824032804656903E-18</v>
      </c>
      <c r="O107" s="100">
        <v>5.5824032804656903E-18</v>
      </c>
      <c r="P107" s="100">
        <v>5.5824032804656903E-18</v>
      </c>
      <c r="Q107" s="100">
        <v>5.5824032804656903E-18</v>
      </c>
      <c r="R107" s="100">
        <v>5.5824032804656903E-18</v>
      </c>
      <c r="S107" s="100">
        <v>5.5824032804656903E-18</v>
      </c>
      <c r="T107" s="100">
        <v>5.5824032804656903E-18</v>
      </c>
      <c r="U107" s="100">
        <v>5.5824032804656903E-18</v>
      </c>
      <c r="V107" s="100">
        <v>5.5824032804656903E-18</v>
      </c>
      <c r="W107" s="100">
        <v>5.5824032804656903E-18</v>
      </c>
      <c r="X107" s="100">
        <v>5.5824032804656903E-18</v>
      </c>
      <c r="Y107" s="100">
        <v>5.5824032804656903E-18</v>
      </c>
      <c r="Z107" s="100">
        <v>5.5824032804656903E-18</v>
      </c>
      <c r="AA107" s="100">
        <v>5.5824032804656903E-18</v>
      </c>
      <c r="AB107" s="100">
        <v>5.5824032804656903E-18</v>
      </c>
      <c r="AC107" s="100">
        <v>5.5824032804656903E-18</v>
      </c>
      <c r="AD107" s="100">
        <v>5.5824032804656903E-18</v>
      </c>
      <c r="AE107" s="100">
        <v>5.5824032804656903E-18</v>
      </c>
      <c r="AF107" s="100">
        <v>5.5824032804656903E-18</v>
      </c>
      <c r="AG107" s="100">
        <v>5.5824032804656903E-18</v>
      </c>
      <c r="AH107" s="100">
        <v>5.5824032804656903E-18</v>
      </c>
      <c r="AI107" s="100">
        <v>5.5824032804656903E-18</v>
      </c>
      <c r="AJ107" s="100">
        <v>5.5824032804656903E-18</v>
      </c>
      <c r="AK107" s="100">
        <v>5.5824032804656903E-18</v>
      </c>
      <c r="AL107" s="100">
        <v>5.5824032804656903E-18</v>
      </c>
      <c r="AM107" s="100">
        <v>5.5824032804656903E-18</v>
      </c>
      <c r="AN107" s="100">
        <v>5.5824032804656903E-18</v>
      </c>
      <c r="AO107" s="100">
        <v>5.5824032804656903E-18</v>
      </c>
      <c r="AP107" s="100">
        <v>5.5824032804656903E-18</v>
      </c>
      <c r="AQ107" s="100">
        <v>5.5824032804656903E-18</v>
      </c>
      <c r="AR107" s="100">
        <v>5.5824032804656903E-18</v>
      </c>
      <c r="AS107" s="100">
        <v>5.5824032804656903E-18</v>
      </c>
      <c r="AT107" s="100">
        <v>5.5824032804656903E-18</v>
      </c>
      <c r="AU107" s="100">
        <v>5.5824032804656903E-18</v>
      </c>
      <c r="AV107" s="100">
        <v>5.5824032804656903E-18</v>
      </c>
      <c r="AW107" s="100">
        <v>5.5824032804656903E-18</v>
      </c>
      <c r="AX107" s="100">
        <v>5.5824032804656903E-18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2.5162953712504914E-17</v>
      </c>
      <c r="D109" s="105">
        <f t="shared" ref="D109:AX109" si="6">SUM(D$104:D$108)</f>
        <v>2.5162953712504914E-17</v>
      </c>
      <c r="E109" s="105">
        <f t="shared" si="6"/>
        <v>2.5162953712504914E-17</v>
      </c>
      <c r="F109" s="105">
        <f t="shared" si="6"/>
        <v>2.5162953712504914E-17</v>
      </c>
      <c r="G109" s="105">
        <f t="shared" si="6"/>
        <v>2.5162953712504914E-17</v>
      </c>
      <c r="H109" s="105">
        <f t="shared" si="6"/>
        <v>2.5162953712504914E-17</v>
      </c>
      <c r="I109" s="105">
        <f t="shared" si="6"/>
        <v>2.5162953712504914E-17</v>
      </c>
      <c r="J109" s="105">
        <f t="shared" si="6"/>
        <v>2.5162953712504914E-17</v>
      </c>
      <c r="K109" s="105">
        <f t="shared" si="6"/>
        <v>2.5162953712504914E-17</v>
      </c>
      <c r="L109" s="105">
        <f t="shared" si="6"/>
        <v>2.5162953712504914E-17</v>
      </c>
      <c r="M109" s="105">
        <f t="shared" si="6"/>
        <v>2.5162953712504914E-17</v>
      </c>
      <c r="N109" s="105">
        <f t="shared" si="6"/>
        <v>2.5162953712504914E-17</v>
      </c>
      <c r="O109" s="105">
        <f t="shared" si="6"/>
        <v>2.5162953712504914E-17</v>
      </c>
      <c r="P109" s="105">
        <f t="shared" si="6"/>
        <v>2.5162953712504914E-17</v>
      </c>
      <c r="Q109" s="105">
        <f t="shared" si="6"/>
        <v>2.5162953712504914E-17</v>
      </c>
      <c r="R109" s="105">
        <f t="shared" si="6"/>
        <v>2.5162953712504914E-17</v>
      </c>
      <c r="S109" s="105">
        <f t="shared" si="6"/>
        <v>2.5162953712504914E-17</v>
      </c>
      <c r="T109" s="105">
        <f t="shared" si="6"/>
        <v>2.5162953712504914E-17</v>
      </c>
      <c r="U109" s="105">
        <f t="shared" si="6"/>
        <v>2.5162953712504914E-17</v>
      </c>
      <c r="V109" s="105">
        <f t="shared" si="6"/>
        <v>2.5162953712504914E-17</v>
      </c>
      <c r="W109" s="105">
        <f t="shared" si="6"/>
        <v>2.5162953712504914E-17</v>
      </c>
      <c r="X109" s="105">
        <f t="shared" si="6"/>
        <v>2.5162953712504914E-17</v>
      </c>
      <c r="Y109" s="105">
        <f t="shared" si="6"/>
        <v>2.5162953712504914E-17</v>
      </c>
      <c r="Z109" s="105">
        <f t="shared" si="6"/>
        <v>2.5162953712504914E-17</v>
      </c>
      <c r="AA109" s="105">
        <f t="shared" si="6"/>
        <v>2.5162953712504914E-17</v>
      </c>
      <c r="AB109" s="105">
        <f t="shared" si="6"/>
        <v>2.5162953712504914E-17</v>
      </c>
      <c r="AC109" s="105">
        <f t="shared" si="6"/>
        <v>2.5162953712504914E-17</v>
      </c>
      <c r="AD109" s="105">
        <f t="shared" si="6"/>
        <v>2.5162953712504914E-17</v>
      </c>
      <c r="AE109" s="105">
        <f t="shared" si="6"/>
        <v>2.5162953712504914E-17</v>
      </c>
      <c r="AF109" s="105">
        <f t="shared" si="6"/>
        <v>2.5162953712504914E-17</v>
      </c>
      <c r="AG109" s="105">
        <f t="shared" si="6"/>
        <v>2.5162953712504914E-17</v>
      </c>
      <c r="AH109" s="105">
        <f t="shared" si="6"/>
        <v>2.5162953712504914E-17</v>
      </c>
      <c r="AI109" s="105">
        <f t="shared" si="6"/>
        <v>2.5162953712504914E-17</v>
      </c>
      <c r="AJ109" s="105">
        <f t="shared" si="6"/>
        <v>2.5162953712504914E-17</v>
      </c>
      <c r="AK109" s="105">
        <f t="shared" si="6"/>
        <v>2.5162953712504914E-17</v>
      </c>
      <c r="AL109" s="105">
        <f t="shared" si="6"/>
        <v>2.5162953712504914E-17</v>
      </c>
      <c r="AM109" s="105">
        <f t="shared" si="6"/>
        <v>2.5162953712504914E-17</v>
      </c>
      <c r="AN109" s="105">
        <f t="shared" si="6"/>
        <v>2.5162953712504914E-17</v>
      </c>
      <c r="AO109" s="105">
        <f t="shared" si="6"/>
        <v>2.5162953712504914E-17</v>
      </c>
      <c r="AP109" s="105">
        <f t="shared" si="6"/>
        <v>2.5162953712504914E-17</v>
      </c>
      <c r="AQ109" s="105">
        <f t="shared" si="6"/>
        <v>2.5162953712504914E-17</v>
      </c>
      <c r="AR109" s="105">
        <f t="shared" si="6"/>
        <v>2.5162953712504914E-17</v>
      </c>
      <c r="AS109" s="105">
        <f t="shared" si="6"/>
        <v>2.5162953712504914E-17</v>
      </c>
      <c r="AT109" s="105">
        <f t="shared" si="6"/>
        <v>2.5162953712504914E-17</v>
      </c>
      <c r="AU109" s="105">
        <f t="shared" si="6"/>
        <v>2.5162953712504914E-17</v>
      </c>
      <c r="AV109" s="105">
        <f t="shared" si="6"/>
        <v>2.5162953712504914E-17</v>
      </c>
      <c r="AW109" s="105">
        <f t="shared" si="6"/>
        <v>2.5162953712504914E-17</v>
      </c>
      <c r="AX109" s="105">
        <f t="shared" si="6"/>
        <v>2.5162953712504914E-17</v>
      </c>
    </row>
    <row r="110" spans="1:50">
      <c r="A110" s="105" t="s">
        <v>106</v>
      </c>
      <c r="B110" s="105" t="s">
        <v>10</v>
      </c>
      <c r="C110" s="100">
        <v>9.6164257446098491E-18</v>
      </c>
      <c r="D110" s="100">
        <v>9.6164257446098491E-18</v>
      </c>
      <c r="E110" s="100">
        <v>9.6164257446098491E-18</v>
      </c>
      <c r="F110" s="100">
        <v>9.6164257446098491E-18</v>
      </c>
      <c r="G110" s="100">
        <v>9.6164257446098491E-18</v>
      </c>
      <c r="H110" s="100">
        <v>9.6164257446098491E-18</v>
      </c>
      <c r="I110" s="100">
        <v>9.6164257446098491E-18</v>
      </c>
      <c r="J110" s="100">
        <v>9.6164257446098491E-18</v>
      </c>
      <c r="K110" s="100">
        <v>9.6164257446098491E-18</v>
      </c>
      <c r="L110" s="100">
        <v>9.6164257446098491E-18</v>
      </c>
      <c r="M110" s="100">
        <v>9.6164257446098491E-18</v>
      </c>
      <c r="N110" s="100">
        <v>9.6164257446098491E-18</v>
      </c>
      <c r="O110" s="100">
        <v>9.6164257446098491E-18</v>
      </c>
      <c r="P110" s="100">
        <v>9.6164257446098491E-18</v>
      </c>
      <c r="Q110" s="100">
        <v>9.6164257446098491E-18</v>
      </c>
      <c r="R110" s="100">
        <v>9.6164257446098491E-18</v>
      </c>
      <c r="S110" s="100">
        <v>9.6164257446098491E-18</v>
      </c>
      <c r="T110" s="100">
        <v>9.6164257446098491E-18</v>
      </c>
      <c r="U110" s="100">
        <v>9.6164257446098491E-18</v>
      </c>
      <c r="V110" s="100">
        <v>9.6164257446098491E-18</v>
      </c>
      <c r="W110" s="100">
        <v>9.6164257446098491E-18</v>
      </c>
      <c r="X110" s="100">
        <v>9.6164257446098491E-18</v>
      </c>
      <c r="Y110" s="100">
        <v>9.6164257446098491E-18</v>
      </c>
      <c r="Z110" s="100">
        <v>9.6164257446098491E-18</v>
      </c>
      <c r="AA110" s="100">
        <v>9.6164257446098491E-18</v>
      </c>
      <c r="AB110" s="100">
        <v>9.6164257446098491E-18</v>
      </c>
      <c r="AC110" s="100">
        <v>9.6164257446098491E-18</v>
      </c>
      <c r="AD110" s="100">
        <v>9.6164257446098491E-18</v>
      </c>
      <c r="AE110" s="100">
        <v>9.6164257446098491E-18</v>
      </c>
      <c r="AF110" s="100">
        <v>9.6164257446098491E-18</v>
      </c>
      <c r="AG110" s="100">
        <v>9.6164257446098491E-18</v>
      </c>
      <c r="AH110" s="100">
        <v>9.6164257446098491E-18</v>
      </c>
      <c r="AI110" s="100">
        <v>9.6164257446098491E-18</v>
      </c>
      <c r="AJ110" s="100">
        <v>9.6164257446098491E-18</v>
      </c>
      <c r="AK110" s="100">
        <v>9.6164257446098491E-18</v>
      </c>
      <c r="AL110" s="100">
        <v>9.6164257446098491E-18</v>
      </c>
      <c r="AM110" s="100">
        <v>9.6164257446098491E-18</v>
      </c>
      <c r="AN110" s="100">
        <v>9.6164257446098491E-18</v>
      </c>
      <c r="AO110" s="100">
        <v>9.6164257446098491E-18</v>
      </c>
      <c r="AP110" s="100">
        <v>9.6164257446098491E-18</v>
      </c>
      <c r="AQ110" s="100">
        <v>9.6164257446098491E-18</v>
      </c>
      <c r="AR110" s="100">
        <v>9.6164257446098491E-18</v>
      </c>
      <c r="AS110" s="100">
        <v>9.6164257446098491E-18</v>
      </c>
      <c r="AT110" s="100">
        <v>9.6164257446098491E-18</v>
      </c>
      <c r="AU110" s="100">
        <v>9.6164257446098491E-18</v>
      </c>
      <c r="AV110" s="100">
        <v>9.6164257446098491E-18</v>
      </c>
      <c r="AW110" s="100">
        <v>9.6164257446098491E-18</v>
      </c>
      <c r="AX110" s="100">
        <v>9.6164257446098491E-18</v>
      </c>
    </row>
    <row r="111" spans="1:50">
      <c r="B111" s="105" t="s">
        <v>12</v>
      </c>
      <c r="C111" s="100">
        <v>2.9991415894441931E-17</v>
      </c>
      <c r="D111" s="100">
        <v>2.9991415894441931E-17</v>
      </c>
      <c r="E111" s="100">
        <v>2.9991415894441931E-17</v>
      </c>
      <c r="F111" s="100">
        <v>2.9991415894441931E-17</v>
      </c>
      <c r="G111" s="100">
        <v>2.9991415894441931E-17</v>
      </c>
      <c r="H111" s="100">
        <v>2.9991415894441931E-17</v>
      </c>
      <c r="I111" s="100">
        <v>2.9991415894441931E-17</v>
      </c>
      <c r="J111" s="100">
        <v>2.9991415894441931E-17</v>
      </c>
      <c r="K111" s="100">
        <v>2.9991415894441931E-17</v>
      </c>
      <c r="L111" s="100">
        <v>2.9991415894441931E-17</v>
      </c>
      <c r="M111" s="100">
        <v>2.9991415894441931E-17</v>
      </c>
      <c r="N111" s="100">
        <v>2.9991415894441931E-17</v>
      </c>
      <c r="O111" s="100">
        <v>2.9991415894441931E-17</v>
      </c>
      <c r="P111" s="100">
        <v>2.9991415894441931E-17</v>
      </c>
      <c r="Q111" s="100">
        <v>2.9991415894441931E-17</v>
      </c>
      <c r="R111" s="100">
        <v>2.9991415894441931E-17</v>
      </c>
      <c r="S111" s="100">
        <v>2.9991415894441931E-17</v>
      </c>
      <c r="T111" s="100">
        <v>2.9991415894441931E-17</v>
      </c>
      <c r="U111" s="100">
        <v>2.9991415894441931E-17</v>
      </c>
      <c r="V111" s="100">
        <v>2.9991415894441931E-17</v>
      </c>
      <c r="W111" s="100">
        <v>2.9991415894441931E-17</v>
      </c>
      <c r="X111" s="100">
        <v>2.9991415894441931E-17</v>
      </c>
      <c r="Y111" s="100">
        <v>2.9991415894441931E-17</v>
      </c>
      <c r="Z111" s="100">
        <v>2.9991415894441931E-17</v>
      </c>
      <c r="AA111" s="100">
        <v>2.9991415894441931E-17</v>
      </c>
      <c r="AB111" s="100">
        <v>2.9991415894441931E-17</v>
      </c>
      <c r="AC111" s="100">
        <v>2.9991415894441931E-17</v>
      </c>
      <c r="AD111" s="100">
        <v>2.9991415894441931E-17</v>
      </c>
      <c r="AE111" s="100">
        <v>2.9991415894441931E-17</v>
      </c>
      <c r="AF111" s="100">
        <v>2.9991415894441931E-17</v>
      </c>
      <c r="AG111" s="100">
        <v>2.9991415894441931E-17</v>
      </c>
      <c r="AH111" s="100">
        <v>2.9991415894441931E-17</v>
      </c>
      <c r="AI111" s="100">
        <v>2.9991415894441931E-17</v>
      </c>
      <c r="AJ111" s="100">
        <v>2.9991415894441931E-17</v>
      </c>
      <c r="AK111" s="100">
        <v>2.9991415894441931E-17</v>
      </c>
      <c r="AL111" s="100">
        <v>2.9991415894441931E-17</v>
      </c>
      <c r="AM111" s="100">
        <v>2.9991415894441931E-17</v>
      </c>
      <c r="AN111" s="100">
        <v>2.9991415894441931E-17</v>
      </c>
      <c r="AO111" s="100">
        <v>2.9991415894441931E-17</v>
      </c>
      <c r="AP111" s="100">
        <v>2.9991415894441931E-17</v>
      </c>
      <c r="AQ111" s="100">
        <v>2.9991415894441931E-17</v>
      </c>
      <c r="AR111" s="100">
        <v>2.9991415894441931E-17</v>
      </c>
      <c r="AS111" s="100">
        <v>2.9991415894441931E-17</v>
      </c>
      <c r="AT111" s="100">
        <v>2.9991415894441931E-17</v>
      </c>
      <c r="AU111" s="100">
        <v>2.9991415894441931E-17</v>
      </c>
      <c r="AV111" s="100">
        <v>2.9991415894441931E-17</v>
      </c>
      <c r="AW111" s="100">
        <v>2.9991415894441931E-17</v>
      </c>
      <c r="AX111" s="100">
        <v>2.9991415894441931E-17</v>
      </c>
    </row>
    <row r="112" spans="1:50">
      <c r="B112" s="105" t="s">
        <v>22</v>
      </c>
      <c r="C112" s="100">
        <v>3379.2</v>
      </c>
      <c r="D112" s="100">
        <v>3379.2</v>
      </c>
      <c r="E112" s="100">
        <v>3379.2</v>
      </c>
      <c r="F112" s="100">
        <v>3379.2</v>
      </c>
      <c r="G112" s="100">
        <v>3379.2</v>
      </c>
      <c r="H112" s="100">
        <v>3379.2</v>
      </c>
      <c r="I112" s="100">
        <v>3379.2</v>
      </c>
      <c r="J112" s="100">
        <v>3379.2</v>
      </c>
      <c r="K112" s="100">
        <v>3379.2</v>
      </c>
      <c r="L112" s="100">
        <v>3379.2</v>
      </c>
      <c r="M112" s="100">
        <v>3379.2</v>
      </c>
      <c r="N112" s="100">
        <v>3379.2</v>
      </c>
      <c r="O112" s="100">
        <v>3379.2</v>
      </c>
      <c r="P112" s="100">
        <v>3379.2</v>
      </c>
      <c r="Q112" s="100">
        <v>3379.2</v>
      </c>
      <c r="R112" s="100">
        <v>3379.2</v>
      </c>
      <c r="S112" s="100">
        <v>3379.2</v>
      </c>
      <c r="T112" s="100">
        <v>3379.2</v>
      </c>
      <c r="U112" s="100">
        <v>3379.2</v>
      </c>
      <c r="V112" s="100">
        <v>3379.2</v>
      </c>
      <c r="W112" s="100">
        <v>3379.2</v>
      </c>
      <c r="X112" s="100">
        <v>3379.2</v>
      </c>
      <c r="Y112" s="100">
        <v>3379.2</v>
      </c>
      <c r="Z112" s="100">
        <v>3379.2</v>
      </c>
      <c r="AA112" s="100">
        <v>3379.2</v>
      </c>
      <c r="AB112" s="100">
        <v>3379.2</v>
      </c>
      <c r="AC112" s="100">
        <v>3379.2</v>
      </c>
      <c r="AD112" s="100">
        <v>3379.2</v>
      </c>
      <c r="AE112" s="100">
        <v>3379.2</v>
      </c>
      <c r="AF112" s="100">
        <v>3379.2</v>
      </c>
      <c r="AG112" s="100">
        <v>3379.2</v>
      </c>
      <c r="AH112" s="100">
        <v>3379.2</v>
      </c>
      <c r="AI112" s="100">
        <v>3379.2</v>
      </c>
      <c r="AJ112" s="100">
        <v>3379.2</v>
      </c>
      <c r="AK112" s="100">
        <v>3379.2</v>
      </c>
      <c r="AL112" s="100">
        <v>3379.2</v>
      </c>
      <c r="AM112" s="100">
        <v>3379.2</v>
      </c>
      <c r="AN112" s="100">
        <v>3379.2</v>
      </c>
      <c r="AO112" s="100">
        <v>3379.2</v>
      </c>
      <c r="AP112" s="100">
        <v>3379.2</v>
      </c>
      <c r="AQ112" s="100">
        <v>3379.2</v>
      </c>
      <c r="AR112" s="100">
        <v>3379.2</v>
      </c>
      <c r="AS112" s="100">
        <v>3379.2</v>
      </c>
      <c r="AT112" s="100">
        <v>3379.2</v>
      </c>
      <c r="AU112" s="100">
        <v>3379.2</v>
      </c>
      <c r="AV112" s="100">
        <v>3379.2</v>
      </c>
      <c r="AW112" s="100">
        <v>3379.2</v>
      </c>
      <c r="AX112" s="100">
        <v>3379.2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3379.2</v>
      </c>
      <c r="D115" s="105">
        <f t="shared" ref="D115:AX115" si="7">SUM(D$110:D$114)</f>
        <v>3379.2</v>
      </c>
      <c r="E115" s="105">
        <f t="shared" si="7"/>
        <v>3379.2</v>
      </c>
      <c r="F115" s="105">
        <f t="shared" si="7"/>
        <v>3379.2</v>
      </c>
      <c r="G115" s="105">
        <f t="shared" si="7"/>
        <v>3379.2</v>
      </c>
      <c r="H115" s="105">
        <f t="shared" si="7"/>
        <v>3379.2</v>
      </c>
      <c r="I115" s="105">
        <f t="shared" si="7"/>
        <v>3379.2</v>
      </c>
      <c r="J115" s="105">
        <f t="shared" si="7"/>
        <v>3379.2</v>
      </c>
      <c r="K115" s="105">
        <f t="shared" si="7"/>
        <v>3379.2</v>
      </c>
      <c r="L115" s="105">
        <f t="shared" si="7"/>
        <v>3379.2</v>
      </c>
      <c r="M115" s="105">
        <f t="shared" si="7"/>
        <v>3379.2</v>
      </c>
      <c r="N115" s="105">
        <f t="shared" si="7"/>
        <v>3379.2</v>
      </c>
      <c r="O115" s="105">
        <f t="shared" si="7"/>
        <v>3379.2</v>
      </c>
      <c r="P115" s="105">
        <f t="shared" si="7"/>
        <v>3379.2</v>
      </c>
      <c r="Q115" s="105">
        <f t="shared" si="7"/>
        <v>3379.2</v>
      </c>
      <c r="R115" s="105">
        <f t="shared" si="7"/>
        <v>3379.2</v>
      </c>
      <c r="S115" s="105">
        <f t="shared" si="7"/>
        <v>3379.2</v>
      </c>
      <c r="T115" s="105">
        <f t="shared" si="7"/>
        <v>3379.2</v>
      </c>
      <c r="U115" s="105">
        <f t="shared" si="7"/>
        <v>3379.2</v>
      </c>
      <c r="V115" s="105">
        <f t="shared" si="7"/>
        <v>3379.2</v>
      </c>
      <c r="W115" s="105">
        <f t="shared" si="7"/>
        <v>3379.2</v>
      </c>
      <c r="X115" s="105">
        <f t="shared" si="7"/>
        <v>3379.2</v>
      </c>
      <c r="Y115" s="105">
        <f t="shared" si="7"/>
        <v>3379.2</v>
      </c>
      <c r="Z115" s="105">
        <f t="shared" si="7"/>
        <v>3379.2</v>
      </c>
      <c r="AA115" s="105">
        <f t="shared" si="7"/>
        <v>3379.2</v>
      </c>
      <c r="AB115" s="105">
        <f t="shared" si="7"/>
        <v>3379.2</v>
      </c>
      <c r="AC115" s="105">
        <f t="shared" si="7"/>
        <v>3379.2</v>
      </c>
      <c r="AD115" s="105">
        <f t="shared" si="7"/>
        <v>3379.2</v>
      </c>
      <c r="AE115" s="105">
        <f t="shared" si="7"/>
        <v>3379.2</v>
      </c>
      <c r="AF115" s="105">
        <f t="shared" si="7"/>
        <v>3379.2</v>
      </c>
      <c r="AG115" s="105">
        <f t="shared" si="7"/>
        <v>3379.2</v>
      </c>
      <c r="AH115" s="105">
        <f t="shared" si="7"/>
        <v>3379.2</v>
      </c>
      <c r="AI115" s="105">
        <f t="shared" si="7"/>
        <v>3379.2</v>
      </c>
      <c r="AJ115" s="105">
        <f t="shared" si="7"/>
        <v>3379.2</v>
      </c>
      <c r="AK115" s="105">
        <f t="shared" si="7"/>
        <v>3379.2</v>
      </c>
      <c r="AL115" s="105">
        <f t="shared" si="7"/>
        <v>3379.2</v>
      </c>
      <c r="AM115" s="105">
        <f t="shared" si="7"/>
        <v>3379.2</v>
      </c>
      <c r="AN115" s="105">
        <f t="shared" si="7"/>
        <v>3379.2</v>
      </c>
      <c r="AO115" s="105">
        <f t="shared" si="7"/>
        <v>3379.2</v>
      </c>
      <c r="AP115" s="105">
        <f t="shared" si="7"/>
        <v>3379.2</v>
      </c>
      <c r="AQ115" s="105">
        <f t="shared" si="7"/>
        <v>3379.2</v>
      </c>
      <c r="AR115" s="105">
        <f t="shared" si="7"/>
        <v>3379.2</v>
      </c>
      <c r="AS115" s="105">
        <f t="shared" si="7"/>
        <v>3379.2</v>
      </c>
      <c r="AT115" s="105">
        <f t="shared" si="7"/>
        <v>3379.2</v>
      </c>
      <c r="AU115" s="105">
        <f t="shared" si="7"/>
        <v>3379.2</v>
      </c>
      <c r="AV115" s="105">
        <f t="shared" si="7"/>
        <v>3379.2</v>
      </c>
      <c r="AW115" s="105">
        <f t="shared" si="7"/>
        <v>3379.2</v>
      </c>
      <c r="AX115" s="105">
        <f t="shared" si="7"/>
        <v>3379.2</v>
      </c>
    </row>
    <row r="116" spans="1:50">
      <c r="A116" s="105" t="s">
        <v>107</v>
      </c>
      <c r="B116" s="105" t="s">
        <v>10</v>
      </c>
      <c r="C116" s="100">
        <v>11615.999999999995</v>
      </c>
      <c r="D116" s="100">
        <v>11615.999999999995</v>
      </c>
      <c r="E116" s="100">
        <v>11615.999999999995</v>
      </c>
      <c r="F116" s="100">
        <v>11615.999999999995</v>
      </c>
      <c r="G116" s="100">
        <v>9292.7999999999993</v>
      </c>
      <c r="H116" s="100">
        <v>9292.7999999999993</v>
      </c>
      <c r="I116" s="100">
        <v>9292.7999999999993</v>
      </c>
      <c r="J116" s="100">
        <v>9292.7999999999993</v>
      </c>
      <c r="K116" s="100">
        <v>11615.999999999995</v>
      </c>
      <c r="L116" s="100">
        <v>11615.999999999995</v>
      </c>
      <c r="M116" s="100">
        <v>11615.999999999995</v>
      </c>
      <c r="N116" s="100">
        <v>11615.999999999995</v>
      </c>
      <c r="O116" s="100">
        <v>11615.999999999995</v>
      </c>
      <c r="P116" s="100">
        <v>11615.999999999995</v>
      </c>
      <c r="Q116" s="100">
        <v>11615.999999999995</v>
      </c>
      <c r="R116" s="100">
        <v>11615.999999999995</v>
      </c>
      <c r="S116" s="100">
        <v>11615.999999999995</v>
      </c>
      <c r="T116" s="100">
        <v>11615.999999999995</v>
      </c>
      <c r="U116" s="100">
        <v>11615.999999999995</v>
      </c>
      <c r="V116" s="100">
        <v>11615.999999999995</v>
      </c>
      <c r="W116" s="100">
        <v>11615.999999999995</v>
      </c>
      <c r="X116" s="100">
        <v>11615.999999999995</v>
      </c>
      <c r="Y116" s="100">
        <v>11615.999999999995</v>
      </c>
      <c r="Z116" s="100">
        <v>11615.999999999995</v>
      </c>
      <c r="AA116" s="100">
        <v>11615.999999999995</v>
      </c>
      <c r="AB116" s="100">
        <v>11615.999999999995</v>
      </c>
      <c r="AC116" s="100">
        <v>11615.999999999995</v>
      </c>
      <c r="AD116" s="100">
        <v>11615.999999999995</v>
      </c>
      <c r="AE116" s="100">
        <v>11615.999999999995</v>
      </c>
      <c r="AF116" s="100">
        <v>11615.999999999995</v>
      </c>
      <c r="AG116" s="100">
        <v>11615.999999999995</v>
      </c>
      <c r="AH116" s="100">
        <v>11615.999999999995</v>
      </c>
      <c r="AI116" s="100">
        <v>11615.999999999995</v>
      </c>
      <c r="AJ116" s="100">
        <v>11615.999999999995</v>
      </c>
      <c r="AK116" s="100">
        <v>11615.999999999995</v>
      </c>
      <c r="AL116" s="100">
        <v>11615.999999999995</v>
      </c>
      <c r="AM116" s="100">
        <v>11615.999999999995</v>
      </c>
      <c r="AN116" s="100">
        <v>11615.999999999995</v>
      </c>
      <c r="AO116" s="100">
        <v>11615.999999999995</v>
      </c>
      <c r="AP116" s="100">
        <v>11615.999999999995</v>
      </c>
      <c r="AQ116" s="100">
        <v>11615.999999999995</v>
      </c>
      <c r="AR116" s="100">
        <v>11615.999999999995</v>
      </c>
      <c r="AS116" s="100">
        <v>11615.999999999995</v>
      </c>
      <c r="AT116" s="100">
        <v>11615.999999999995</v>
      </c>
      <c r="AU116" s="100">
        <v>11615.999999999995</v>
      </c>
      <c r="AV116" s="100">
        <v>11615.999999999995</v>
      </c>
      <c r="AW116" s="100">
        <v>11615.999999999995</v>
      </c>
      <c r="AX116" s="100">
        <v>11615.999999999995</v>
      </c>
    </row>
    <row r="117" spans="1:50">
      <c r="B117" s="105" t="s">
        <v>12</v>
      </c>
      <c r="C117" s="100">
        <v>4.736438226754613E-17</v>
      </c>
      <c r="D117" s="100">
        <v>4.736438226754613E-17</v>
      </c>
      <c r="E117" s="100">
        <v>4.736438226754613E-17</v>
      </c>
      <c r="F117" s="100">
        <v>4.736438226754613E-17</v>
      </c>
      <c r="G117" s="100">
        <v>3.7891505814036912E-17</v>
      </c>
      <c r="H117" s="100">
        <v>3.7891505814036912E-17</v>
      </c>
      <c r="I117" s="100">
        <v>3.7891505814036912E-17</v>
      </c>
      <c r="J117" s="100">
        <v>3.7891505814036912E-17</v>
      </c>
      <c r="K117" s="100">
        <v>4.736438226754613E-17</v>
      </c>
      <c r="L117" s="100">
        <v>4.736438226754613E-17</v>
      </c>
      <c r="M117" s="100">
        <v>4.736438226754613E-17</v>
      </c>
      <c r="N117" s="100">
        <v>4.736438226754613E-17</v>
      </c>
      <c r="O117" s="100">
        <v>4.736438226754613E-17</v>
      </c>
      <c r="P117" s="100">
        <v>4.736438226754613E-17</v>
      </c>
      <c r="Q117" s="100">
        <v>4.736438226754613E-17</v>
      </c>
      <c r="R117" s="100">
        <v>4.736438226754613E-17</v>
      </c>
      <c r="S117" s="100">
        <v>4.736438226754613E-17</v>
      </c>
      <c r="T117" s="100">
        <v>4.736438226754613E-17</v>
      </c>
      <c r="U117" s="100">
        <v>4.736438226754613E-17</v>
      </c>
      <c r="V117" s="100">
        <v>4.736438226754613E-17</v>
      </c>
      <c r="W117" s="100">
        <v>4.736438226754613E-17</v>
      </c>
      <c r="X117" s="100">
        <v>4.736438226754613E-17</v>
      </c>
      <c r="Y117" s="100">
        <v>4.736438226754613E-17</v>
      </c>
      <c r="Z117" s="100">
        <v>4.736438226754613E-17</v>
      </c>
      <c r="AA117" s="100">
        <v>4.736438226754613E-17</v>
      </c>
      <c r="AB117" s="100">
        <v>4.736438226754613E-17</v>
      </c>
      <c r="AC117" s="100">
        <v>4.736438226754613E-17</v>
      </c>
      <c r="AD117" s="100">
        <v>4.736438226754613E-17</v>
      </c>
      <c r="AE117" s="100">
        <v>4.736438226754613E-17</v>
      </c>
      <c r="AF117" s="100">
        <v>4.736438226754613E-17</v>
      </c>
      <c r="AG117" s="100">
        <v>4.736438226754613E-17</v>
      </c>
      <c r="AH117" s="100">
        <v>4.736438226754613E-17</v>
      </c>
      <c r="AI117" s="100">
        <v>4.736438226754613E-17</v>
      </c>
      <c r="AJ117" s="100">
        <v>4.736438226754613E-17</v>
      </c>
      <c r="AK117" s="100">
        <v>4.736438226754613E-17</v>
      </c>
      <c r="AL117" s="100">
        <v>4.736438226754613E-17</v>
      </c>
      <c r="AM117" s="100">
        <v>4.736438226754613E-17</v>
      </c>
      <c r="AN117" s="100">
        <v>4.736438226754613E-17</v>
      </c>
      <c r="AO117" s="100">
        <v>4.736438226754613E-17</v>
      </c>
      <c r="AP117" s="100">
        <v>4.736438226754613E-17</v>
      </c>
      <c r="AQ117" s="100">
        <v>4.736438226754613E-17</v>
      </c>
      <c r="AR117" s="100">
        <v>4.736438226754613E-17</v>
      </c>
      <c r="AS117" s="100">
        <v>4.736438226754613E-17</v>
      </c>
      <c r="AT117" s="100">
        <v>4.736438226754613E-17</v>
      </c>
      <c r="AU117" s="100">
        <v>4.736438226754613E-17</v>
      </c>
      <c r="AV117" s="100">
        <v>4.736438226754613E-17</v>
      </c>
      <c r="AW117" s="100">
        <v>4.736438226754613E-17</v>
      </c>
      <c r="AX117" s="100">
        <v>4.736438226754613E-17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434.72</v>
      </c>
      <c r="H119" s="100">
        <v>434.72</v>
      </c>
      <c r="I119" s="100">
        <v>434.72</v>
      </c>
      <c r="J119" s="100">
        <v>434.72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1.4128970806037488E-18</v>
      </c>
      <c r="D120" s="100">
        <v>1.4128970806037488E-18</v>
      </c>
      <c r="E120" s="100">
        <v>1.4128970806037488E-18</v>
      </c>
      <c r="F120" s="100">
        <v>1.4128970806037488E-18</v>
      </c>
      <c r="G120" s="100">
        <v>1.1303176644829992E-18</v>
      </c>
      <c r="H120" s="100">
        <v>1.1303176644829992E-18</v>
      </c>
      <c r="I120" s="100">
        <v>1.1303176644829992E-18</v>
      </c>
      <c r="J120" s="100">
        <v>1.1303176644829992E-18</v>
      </c>
      <c r="K120" s="100">
        <v>1.4128970806037488E-18</v>
      </c>
      <c r="L120" s="100">
        <v>1.4128970806037488E-18</v>
      </c>
      <c r="M120" s="100">
        <v>1.4128970806037488E-18</v>
      </c>
      <c r="N120" s="100">
        <v>1.4128970806037488E-18</v>
      </c>
      <c r="O120" s="100">
        <v>1.4128970806037488E-18</v>
      </c>
      <c r="P120" s="100">
        <v>1.4128970806037488E-18</v>
      </c>
      <c r="Q120" s="100">
        <v>1.4128970806037488E-18</v>
      </c>
      <c r="R120" s="100">
        <v>1.4128970806037488E-18</v>
      </c>
      <c r="S120" s="100">
        <v>1.4128970806037488E-18</v>
      </c>
      <c r="T120" s="100">
        <v>1.4128970806037488E-18</v>
      </c>
      <c r="U120" s="100">
        <v>1.4128970806037488E-18</v>
      </c>
      <c r="V120" s="100">
        <v>1.4128970806037488E-18</v>
      </c>
      <c r="W120" s="100">
        <v>1.4128970806037488E-18</v>
      </c>
      <c r="X120" s="100">
        <v>1.4128970806037488E-18</v>
      </c>
      <c r="Y120" s="100">
        <v>1.4128970806037488E-18</v>
      </c>
      <c r="Z120" s="100">
        <v>1.4128970806037488E-18</v>
      </c>
      <c r="AA120" s="100">
        <v>1.4128970806037488E-18</v>
      </c>
      <c r="AB120" s="100">
        <v>1.4128970806037488E-18</v>
      </c>
      <c r="AC120" s="100">
        <v>1.4128970806037488E-18</v>
      </c>
      <c r="AD120" s="100">
        <v>1.4128970806037488E-18</v>
      </c>
      <c r="AE120" s="100">
        <v>1.4128970806037488E-18</v>
      </c>
      <c r="AF120" s="100">
        <v>1.4128970806037488E-18</v>
      </c>
      <c r="AG120" s="100">
        <v>1.4128970806037488E-18</v>
      </c>
      <c r="AH120" s="100">
        <v>1.4128970806037488E-18</v>
      </c>
      <c r="AI120" s="100">
        <v>1.4128970806037488E-18</v>
      </c>
      <c r="AJ120" s="100">
        <v>1.4128970806037488E-18</v>
      </c>
      <c r="AK120" s="100">
        <v>1.4128970806037488E-18</v>
      </c>
      <c r="AL120" s="100">
        <v>1.4128970806037488E-18</v>
      </c>
      <c r="AM120" s="100">
        <v>1.4128970806037488E-18</v>
      </c>
      <c r="AN120" s="100">
        <v>1.4128970806037488E-18</v>
      </c>
      <c r="AO120" s="100">
        <v>1.4128970806037488E-18</v>
      </c>
      <c r="AP120" s="100">
        <v>1.4128970806037488E-18</v>
      </c>
      <c r="AQ120" s="100">
        <v>1.4128970806037488E-18</v>
      </c>
      <c r="AR120" s="100">
        <v>1.4128970806037488E-18</v>
      </c>
      <c r="AS120" s="100">
        <v>1.4128970806037488E-18</v>
      </c>
      <c r="AT120" s="100">
        <v>1.4128970806037488E-18</v>
      </c>
      <c r="AU120" s="100">
        <v>1.4128970806037488E-18</v>
      </c>
      <c r="AV120" s="100">
        <v>1.4128970806037488E-18</v>
      </c>
      <c r="AW120" s="100">
        <v>1.4128970806037488E-18</v>
      </c>
      <c r="AX120" s="100">
        <v>1.4128970806037488E-18</v>
      </c>
    </row>
    <row r="121" spans="1:50">
      <c r="B121" s="100" t="s">
        <v>278</v>
      </c>
      <c r="C121" s="105">
        <f>SUM(C$116:C$120)</f>
        <v>12159.399999999994</v>
      </c>
      <c r="D121" s="105">
        <f t="shared" ref="D121:AX121" si="8">SUM(D$116:D$120)</f>
        <v>12159.399999999994</v>
      </c>
      <c r="E121" s="105">
        <f t="shared" si="8"/>
        <v>12159.399999999994</v>
      </c>
      <c r="F121" s="105">
        <f t="shared" si="8"/>
        <v>12159.399999999994</v>
      </c>
      <c r="G121" s="105">
        <f t="shared" si="8"/>
        <v>9727.5199999999986</v>
      </c>
      <c r="H121" s="105">
        <f t="shared" si="8"/>
        <v>9727.5199999999986</v>
      </c>
      <c r="I121" s="105">
        <f t="shared" si="8"/>
        <v>9727.5199999999986</v>
      </c>
      <c r="J121" s="105">
        <f t="shared" si="8"/>
        <v>9727.5199999999986</v>
      </c>
      <c r="K121" s="105">
        <f t="shared" si="8"/>
        <v>12159.399999999994</v>
      </c>
      <c r="L121" s="105">
        <f t="shared" si="8"/>
        <v>12159.399999999994</v>
      </c>
      <c r="M121" s="105">
        <f t="shared" si="8"/>
        <v>12159.399999999994</v>
      </c>
      <c r="N121" s="105">
        <f t="shared" si="8"/>
        <v>12159.399999999994</v>
      </c>
      <c r="O121" s="105">
        <f t="shared" si="8"/>
        <v>12159.399999999994</v>
      </c>
      <c r="P121" s="105">
        <f t="shared" si="8"/>
        <v>12159.399999999994</v>
      </c>
      <c r="Q121" s="105">
        <f t="shared" si="8"/>
        <v>12159.399999999994</v>
      </c>
      <c r="R121" s="105">
        <f t="shared" si="8"/>
        <v>12159.399999999994</v>
      </c>
      <c r="S121" s="105">
        <f t="shared" si="8"/>
        <v>12159.399999999994</v>
      </c>
      <c r="T121" s="105">
        <f t="shared" si="8"/>
        <v>12159.399999999994</v>
      </c>
      <c r="U121" s="105">
        <f t="shared" si="8"/>
        <v>12159.399999999994</v>
      </c>
      <c r="V121" s="105">
        <f t="shared" si="8"/>
        <v>12159.399999999994</v>
      </c>
      <c r="W121" s="105">
        <f t="shared" si="8"/>
        <v>12159.399999999994</v>
      </c>
      <c r="X121" s="105">
        <f t="shared" si="8"/>
        <v>12159.399999999994</v>
      </c>
      <c r="Y121" s="105">
        <f t="shared" si="8"/>
        <v>12159.399999999994</v>
      </c>
      <c r="Z121" s="105">
        <f t="shared" si="8"/>
        <v>12159.399999999994</v>
      </c>
      <c r="AA121" s="105">
        <f t="shared" si="8"/>
        <v>12159.399999999994</v>
      </c>
      <c r="AB121" s="105">
        <f t="shared" si="8"/>
        <v>12159.399999999994</v>
      </c>
      <c r="AC121" s="105">
        <f t="shared" si="8"/>
        <v>12159.399999999994</v>
      </c>
      <c r="AD121" s="105">
        <f t="shared" si="8"/>
        <v>12159.399999999994</v>
      </c>
      <c r="AE121" s="105">
        <f t="shared" si="8"/>
        <v>12159.399999999994</v>
      </c>
      <c r="AF121" s="105">
        <f t="shared" si="8"/>
        <v>12159.399999999994</v>
      </c>
      <c r="AG121" s="105">
        <f t="shared" si="8"/>
        <v>12159.399999999994</v>
      </c>
      <c r="AH121" s="105">
        <f t="shared" si="8"/>
        <v>12159.399999999994</v>
      </c>
      <c r="AI121" s="105">
        <f t="shared" si="8"/>
        <v>12159.399999999994</v>
      </c>
      <c r="AJ121" s="105">
        <f t="shared" si="8"/>
        <v>12159.399999999994</v>
      </c>
      <c r="AK121" s="105">
        <f t="shared" si="8"/>
        <v>12159.399999999994</v>
      </c>
      <c r="AL121" s="105">
        <f t="shared" si="8"/>
        <v>12159.399999999994</v>
      </c>
      <c r="AM121" s="105">
        <f t="shared" si="8"/>
        <v>12159.399999999994</v>
      </c>
      <c r="AN121" s="105">
        <f t="shared" si="8"/>
        <v>12159.399999999994</v>
      </c>
      <c r="AO121" s="105">
        <f t="shared" si="8"/>
        <v>12159.399999999994</v>
      </c>
      <c r="AP121" s="105">
        <f t="shared" si="8"/>
        <v>12159.399999999994</v>
      </c>
      <c r="AQ121" s="105">
        <f t="shared" si="8"/>
        <v>12159.399999999994</v>
      </c>
      <c r="AR121" s="105">
        <f t="shared" si="8"/>
        <v>12159.399999999994</v>
      </c>
      <c r="AS121" s="105">
        <f t="shared" si="8"/>
        <v>12159.399999999994</v>
      </c>
      <c r="AT121" s="105">
        <f t="shared" si="8"/>
        <v>12159.399999999994</v>
      </c>
      <c r="AU121" s="105">
        <f t="shared" si="8"/>
        <v>12159.399999999994</v>
      </c>
      <c r="AV121" s="105">
        <f t="shared" si="8"/>
        <v>12159.399999999994</v>
      </c>
      <c r="AW121" s="105">
        <f t="shared" si="8"/>
        <v>12159.399999999994</v>
      </c>
      <c r="AX121" s="105">
        <f t="shared" si="8"/>
        <v>12159.399999999994</v>
      </c>
    </row>
    <row r="122" spans="1:50">
      <c r="A122" s="105" t="s">
        <v>108</v>
      </c>
      <c r="B122" s="105" t="s">
        <v>10</v>
      </c>
      <c r="C122" s="100">
        <v>4.996078153180174E-17</v>
      </c>
      <c r="D122" s="100">
        <v>4.996078153180174E-17</v>
      </c>
      <c r="E122" s="100">
        <v>4.996078153180174E-17</v>
      </c>
      <c r="F122" s="100">
        <v>4.996078153180174E-17</v>
      </c>
      <c r="G122" s="100">
        <v>0</v>
      </c>
      <c r="H122" s="100">
        <v>0</v>
      </c>
      <c r="I122" s="100">
        <v>0</v>
      </c>
      <c r="J122" s="100">
        <v>0</v>
      </c>
      <c r="K122" s="100">
        <v>4.996078153180174E-17</v>
      </c>
      <c r="L122" s="100">
        <v>4.996078153180174E-17</v>
      </c>
      <c r="M122" s="100">
        <v>4.996078153180174E-17</v>
      </c>
      <c r="N122" s="100">
        <v>4.996078153180174E-17</v>
      </c>
      <c r="O122" s="100">
        <v>4.996078153180174E-17</v>
      </c>
      <c r="P122" s="100">
        <v>4.996078153180174E-17</v>
      </c>
      <c r="Q122" s="100">
        <v>4.996078153180174E-17</v>
      </c>
      <c r="R122" s="100">
        <v>4.996078153180174E-17</v>
      </c>
      <c r="S122" s="100">
        <v>4.996078153180174E-17</v>
      </c>
      <c r="T122" s="100">
        <v>4.996078153180174E-17</v>
      </c>
      <c r="U122" s="100">
        <v>4.996078153180174E-17</v>
      </c>
      <c r="V122" s="100">
        <v>4.996078153180174E-17</v>
      </c>
      <c r="W122" s="100">
        <v>4.996078153180174E-17</v>
      </c>
      <c r="X122" s="100">
        <v>4.996078153180174E-17</v>
      </c>
      <c r="Y122" s="100">
        <v>4.996078153180174E-17</v>
      </c>
      <c r="Z122" s="100">
        <v>4.996078153180174E-17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4.996078153180174E-17</v>
      </c>
      <c r="AJ122" s="100">
        <v>4.996078153180174E-17</v>
      </c>
      <c r="AK122" s="100">
        <v>4.996078153180174E-17</v>
      </c>
      <c r="AL122" s="100">
        <v>4.996078153180174E-17</v>
      </c>
      <c r="AM122" s="100">
        <v>4.996078153180174E-17</v>
      </c>
      <c r="AN122" s="100">
        <v>4.996078153180174E-17</v>
      </c>
      <c r="AO122" s="100">
        <v>4.996078153180174E-17</v>
      </c>
      <c r="AP122" s="100">
        <v>4.996078153180174E-17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2.8377244299127464E-17</v>
      </c>
      <c r="D123" s="100">
        <v>2.8377244299127464E-17</v>
      </c>
      <c r="E123" s="100">
        <v>2.8377244299127464E-17</v>
      </c>
      <c r="F123" s="100">
        <v>2.8377244299127464E-17</v>
      </c>
      <c r="G123" s="100">
        <v>0</v>
      </c>
      <c r="H123" s="100">
        <v>0</v>
      </c>
      <c r="I123" s="100">
        <v>0</v>
      </c>
      <c r="J123" s="100">
        <v>0</v>
      </c>
      <c r="K123" s="100">
        <v>2.8377244299127464E-17</v>
      </c>
      <c r="L123" s="100">
        <v>2.8377244299127464E-17</v>
      </c>
      <c r="M123" s="100">
        <v>2.8377244299127464E-17</v>
      </c>
      <c r="N123" s="100">
        <v>2.8377244299127464E-17</v>
      </c>
      <c r="O123" s="100">
        <v>2.8377244299127464E-17</v>
      </c>
      <c r="P123" s="100">
        <v>2.8377244299127464E-17</v>
      </c>
      <c r="Q123" s="100">
        <v>2.8377244299127464E-17</v>
      </c>
      <c r="R123" s="100">
        <v>2.8377244299127464E-17</v>
      </c>
      <c r="S123" s="100">
        <v>2.8377244299127464E-17</v>
      </c>
      <c r="T123" s="100">
        <v>2.8377244299127464E-17</v>
      </c>
      <c r="U123" s="100">
        <v>2.8377244299127464E-17</v>
      </c>
      <c r="V123" s="100">
        <v>2.8377244299127464E-17</v>
      </c>
      <c r="W123" s="100">
        <v>2.8377244299127464E-17</v>
      </c>
      <c r="X123" s="100">
        <v>2.8377244299127464E-17</v>
      </c>
      <c r="Y123" s="100">
        <v>2.8377244299127464E-17</v>
      </c>
      <c r="Z123" s="100">
        <v>2.8377244299127464E-17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2.8377244299127464E-17</v>
      </c>
      <c r="AJ123" s="100">
        <v>2.8377244299127464E-17</v>
      </c>
      <c r="AK123" s="100">
        <v>2.8377244299127464E-17</v>
      </c>
      <c r="AL123" s="100">
        <v>2.8377244299127464E-17</v>
      </c>
      <c r="AM123" s="100">
        <v>2.8377244299127464E-17</v>
      </c>
      <c r="AN123" s="100">
        <v>2.8377244299127464E-17</v>
      </c>
      <c r="AO123" s="100">
        <v>2.8377244299127464E-17</v>
      </c>
      <c r="AP123" s="100">
        <v>2.8377244299127464E-17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4.555861020864634E-18</v>
      </c>
      <c r="D124" s="100">
        <v>4.555861020864634E-18</v>
      </c>
      <c r="E124" s="100">
        <v>4.555861020864634E-18</v>
      </c>
      <c r="F124" s="100">
        <v>4.555861020864634E-18</v>
      </c>
      <c r="G124" s="100">
        <v>0</v>
      </c>
      <c r="H124" s="100">
        <v>0</v>
      </c>
      <c r="I124" s="100">
        <v>0</v>
      </c>
      <c r="J124" s="100">
        <v>0</v>
      </c>
      <c r="K124" s="100">
        <v>4.555861020864634E-18</v>
      </c>
      <c r="L124" s="100">
        <v>4.555861020864634E-18</v>
      </c>
      <c r="M124" s="100">
        <v>4.555861020864634E-18</v>
      </c>
      <c r="N124" s="100">
        <v>4.555861020864634E-18</v>
      </c>
      <c r="O124" s="100">
        <v>4.555861020864634E-18</v>
      </c>
      <c r="P124" s="100">
        <v>4.555861020864634E-18</v>
      </c>
      <c r="Q124" s="100">
        <v>4.555861020864634E-18</v>
      </c>
      <c r="R124" s="100">
        <v>4.555861020864634E-18</v>
      </c>
      <c r="S124" s="100">
        <v>4.555861020864634E-18</v>
      </c>
      <c r="T124" s="100">
        <v>4.555861020864634E-18</v>
      </c>
      <c r="U124" s="100">
        <v>4.555861020864634E-18</v>
      </c>
      <c r="V124" s="100">
        <v>4.555861020864634E-18</v>
      </c>
      <c r="W124" s="100">
        <v>4.555861020864634E-18</v>
      </c>
      <c r="X124" s="100">
        <v>4.555861020864634E-18</v>
      </c>
      <c r="Y124" s="100">
        <v>4.555861020864634E-18</v>
      </c>
      <c r="Z124" s="100">
        <v>4.555861020864634E-18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4.555861020864634E-18</v>
      </c>
      <c r="AJ124" s="100">
        <v>4.555861020864634E-18</v>
      </c>
      <c r="AK124" s="100">
        <v>4.555861020864634E-18</v>
      </c>
      <c r="AL124" s="100">
        <v>4.555861020864634E-18</v>
      </c>
      <c r="AM124" s="100">
        <v>4.555861020864634E-18</v>
      </c>
      <c r="AN124" s="100">
        <v>4.555861020864634E-18</v>
      </c>
      <c r="AO124" s="100">
        <v>4.555861020864634E-18</v>
      </c>
      <c r="AP124" s="100">
        <v>4.555861020864634E-18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1.3186559593382628E-17</v>
      </c>
      <c r="D125" s="100">
        <v>1.3186559593382628E-17</v>
      </c>
      <c r="E125" s="100">
        <v>1.3186559593382628E-17</v>
      </c>
      <c r="F125" s="100">
        <v>1.3186559593382628E-17</v>
      </c>
      <c r="G125" s="100">
        <v>0</v>
      </c>
      <c r="H125" s="100">
        <v>0</v>
      </c>
      <c r="I125" s="100">
        <v>0</v>
      </c>
      <c r="J125" s="100">
        <v>0</v>
      </c>
      <c r="K125" s="100">
        <v>1.3186559593382628E-17</v>
      </c>
      <c r="L125" s="100">
        <v>1.3186559593382628E-17</v>
      </c>
      <c r="M125" s="100">
        <v>1.3186559593382628E-17</v>
      </c>
      <c r="N125" s="100">
        <v>1.3186559593382628E-17</v>
      </c>
      <c r="O125" s="100">
        <v>1.3186559593382628E-17</v>
      </c>
      <c r="P125" s="100">
        <v>1.3186559593382628E-17</v>
      </c>
      <c r="Q125" s="100">
        <v>1.3186559593382628E-17</v>
      </c>
      <c r="R125" s="100">
        <v>1.3186559593382628E-17</v>
      </c>
      <c r="S125" s="100">
        <v>1.3186559593382628E-17</v>
      </c>
      <c r="T125" s="100">
        <v>1.3186559593382628E-17</v>
      </c>
      <c r="U125" s="100">
        <v>1.3186559593382628E-17</v>
      </c>
      <c r="V125" s="100">
        <v>1.3186559593382628E-17</v>
      </c>
      <c r="W125" s="100">
        <v>1.3186559593382628E-17</v>
      </c>
      <c r="X125" s="100">
        <v>1.3186559593382628E-17</v>
      </c>
      <c r="Y125" s="100">
        <v>1.3186559593382628E-17</v>
      </c>
      <c r="Z125" s="100">
        <v>1.3186559593382628E-17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1.3186559593382628E-17</v>
      </c>
      <c r="AJ125" s="100">
        <v>1.3186559593382628E-17</v>
      </c>
      <c r="AK125" s="100">
        <v>1.3186559593382628E-17</v>
      </c>
      <c r="AL125" s="100">
        <v>1.3186559593382628E-17</v>
      </c>
      <c r="AM125" s="100">
        <v>1.3186559593382628E-17</v>
      </c>
      <c r="AN125" s="100">
        <v>1.3186559593382628E-17</v>
      </c>
      <c r="AO125" s="100">
        <v>1.3186559593382628E-17</v>
      </c>
      <c r="AP125" s="100">
        <v>1.3186559593382628E-17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9.6080446445176458E-17</v>
      </c>
      <c r="D127" s="105">
        <f t="shared" ref="D127:AX127" si="9">SUM(D$122:D$126)</f>
        <v>9.6080446445176458E-17</v>
      </c>
      <c r="E127" s="105">
        <f t="shared" si="9"/>
        <v>9.6080446445176458E-17</v>
      </c>
      <c r="F127" s="105">
        <f t="shared" si="9"/>
        <v>9.6080446445176458E-17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9.6080446445176458E-17</v>
      </c>
      <c r="L127" s="105">
        <f t="shared" si="9"/>
        <v>9.6080446445176458E-17</v>
      </c>
      <c r="M127" s="105">
        <f t="shared" si="9"/>
        <v>9.6080446445176458E-17</v>
      </c>
      <c r="N127" s="105">
        <f t="shared" si="9"/>
        <v>9.6080446445176458E-17</v>
      </c>
      <c r="O127" s="105">
        <f t="shared" si="9"/>
        <v>9.6080446445176458E-17</v>
      </c>
      <c r="P127" s="105">
        <f t="shared" si="9"/>
        <v>9.6080446445176458E-17</v>
      </c>
      <c r="Q127" s="105">
        <f t="shared" si="9"/>
        <v>9.6080446445176458E-17</v>
      </c>
      <c r="R127" s="105">
        <f t="shared" si="9"/>
        <v>9.6080446445176458E-17</v>
      </c>
      <c r="S127" s="105">
        <f t="shared" si="9"/>
        <v>9.6080446445176458E-17</v>
      </c>
      <c r="T127" s="105">
        <f t="shared" si="9"/>
        <v>9.6080446445176458E-17</v>
      </c>
      <c r="U127" s="105">
        <f t="shared" si="9"/>
        <v>9.6080446445176458E-17</v>
      </c>
      <c r="V127" s="105">
        <f t="shared" si="9"/>
        <v>9.6080446445176458E-17</v>
      </c>
      <c r="W127" s="105">
        <f t="shared" si="9"/>
        <v>9.6080446445176458E-17</v>
      </c>
      <c r="X127" s="105">
        <f t="shared" si="9"/>
        <v>9.6080446445176458E-17</v>
      </c>
      <c r="Y127" s="105">
        <f t="shared" si="9"/>
        <v>9.6080446445176458E-17</v>
      </c>
      <c r="Z127" s="105">
        <f t="shared" si="9"/>
        <v>9.6080446445176458E-17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9.6080446445176458E-17</v>
      </c>
      <c r="AJ127" s="105">
        <f t="shared" si="9"/>
        <v>9.6080446445176458E-17</v>
      </c>
      <c r="AK127" s="105">
        <f t="shared" si="9"/>
        <v>9.6080446445176458E-17</v>
      </c>
      <c r="AL127" s="105">
        <f t="shared" si="9"/>
        <v>9.6080446445176458E-17</v>
      </c>
      <c r="AM127" s="105">
        <f t="shared" si="9"/>
        <v>9.6080446445176458E-17</v>
      </c>
      <c r="AN127" s="105">
        <f t="shared" si="9"/>
        <v>9.6080446445176458E-17</v>
      </c>
      <c r="AO127" s="105">
        <f t="shared" si="9"/>
        <v>9.6080446445176458E-17</v>
      </c>
      <c r="AP127" s="105">
        <f t="shared" si="9"/>
        <v>9.6080446445176458E-17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1.8529282764011215E-18</v>
      </c>
      <c r="D128" s="100">
        <v>1.8529282764011215E-18</v>
      </c>
      <c r="E128" s="100">
        <v>1.8529282764011215E-18</v>
      </c>
      <c r="F128" s="100">
        <v>1.8529282764011215E-18</v>
      </c>
      <c r="G128" s="100">
        <v>1.5441068970009341E-18</v>
      </c>
      <c r="H128" s="100">
        <v>1.5441068970009341E-18</v>
      </c>
      <c r="I128" s="100">
        <v>1.5441068970009341E-18</v>
      </c>
      <c r="J128" s="100">
        <v>1.5441068970009341E-18</v>
      </c>
      <c r="K128" s="100">
        <v>1.5441068970009341E-18</v>
      </c>
      <c r="L128" s="100">
        <v>1.5441068970009341E-18</v>
      </c>
      <c r="M128" s="100">
        <v>1.5441068970009341E-18</v>
      </c>
      <c r="N128" s="100">
        <v>1.5441068970009341E-18</v>
      </c>
      <c r="O128" s="100">
        <v>1.8529282764011215E-18</v>
      </c>
      <c r="P128" s="100">
        <v>1.8529282764011215E-18</v>
      </c>
      <c r="Q128" s="100">
        <v>1.8529282764011215E-18</v>
      </c>
      <c r="R128" s="100">
        <v>1.8529282764011215E-18</v>
      </c>
      <c r="S128" s="100">
        <v>1.8529282764011215E-18</v>
      </c>
      <c r="T128" s="100">
        <v>1.8529282764011215E-18</v>
      </c>
      <c r="U128" s="100">
        <v>1.8529282764011215E-18</v>
      </c>
      <c r="V128" s="100">
        <v>1.8529282764011215E-18</v>
      </c>
      <c r="W128" s="100">
        <v>1.8529282764011215E-18</v>
      </c>
      <c r="X128" s="100">
        <v>1.8529282764011215E-18</v>
      </c>
      <c r="Y128" s="100">
        <v>1.8529282764011215E-18</v>
      </c>
      <c r="Z128" s="100">
        <v>1.8529282764011215E-18</v>
      </c>
      <c r="AA128" s="100">
        <v>1.8529282764011215E-18</v>
      </c>
      <c r="AB128" s="100">
        <v>1.8529282764011215E-18</v>
      </c>
      <c r="AC128" s="100">
        <v>1.8529282764011215E-18</v>
      </c>
      <c r="AD128" s="100">
        <v>1.8529282764011215E-18</v>
      </c>
      <c r="AE128" s="100">
        <v>1.8529282764011215E-18</v>
      </c>
      <c r="AF128" s="100">
        <v>1.8529282764011215E-18</v>
      </c>
      <c r="AG128" s="100">
        <v>1.8529282764011215E-18</v>
      </c>
      <c r="AH128" s="100">
        <v>1.8529282764011215E-18</v>
      </c>
      <c r="AI128" s="100">
        <v>1.8529282764011215E-18</v>
      </c>
      <c r="AJ128" s="100">
        <v>1.8529282764011215E-18</v>
      </c>
      <c r="AK128" s="100">
        <v>1.8529282764011215E-18</v>
      </c>
      <c r="AL128" s="100">
        <v>1.8529282764011215E-18</v>
      </c>
      <c r="AM128" s="100">
        <v>1.8529282764011215E-18</v>
      </c>
      <c r="AN128" s="100">
        <v>1.8529282764011215E-18</v>
      </c>
      <c r="AO128" s="100">
        <v>1.8529282764011215E-18</v>
      </c>
      <c r="AP128" s="100">
        <v>1.8529282764011215E-18</v>
      </c>
      <c r="AQ128" s="100">
        <v>1.8529282764011215E-18</v>
      </c>
      <c r="AR128" s="100">
        <v>1.8529282764011215E-18</v>
      </c>
      <c r="AS128" s="100">
        <v>1.8529282764011215E-18</v>
      </c>
      <c r="AT128" s="100">
        <v>1.8529282764011215E-18</v>
      </c>
      <c r="AU128" s="100">
        <v>1.5441068970009341E-18</v>
      </c>
      <c r="AV128" s="100">
        <v>1.5441068970009341E-18</v>
      </c>
      <c r="AW128" s="100">
        <v>1.5441068970009341E-18</v>
      </c>
      <c r="AX128" s="100">
        <v>1.5441068970009341E-18</v>
      </c>
    </row>
    <row r="129" spans="2:50">
      <c r="B129" s="105" t="s">
        <v>12</v>
      </c>
      <c r="C129" s="100">
        <v>6.2854149007829837E-17</v>
      </c>
      <c r="D129" s="100">
        <v>6.2854149007829837E-17</v>
      </c>
      <c r="E129" s="100">
        <v>6.2854149007829837E-17</v>
      </c>
      <c r="F129" s="100">
        <v>6.2854149007829837E-17</v>
      </c>
      <c r="G129" s="100">
        <v>5.2378457506524854E-17</v>
      </c>
      <c r="H129" s="100">
        <v>5.2378457506524854E-17</v>
      </c>
      <c r="I129" s="100">
        <v>5.2378457506524854E-17</v>
      </c>
      <c r="J129" s="100">
        <v>5.2378457506524854E-17</v>
      </c>
      <c r="K129" s="100">
        <v>5.2378457506524854E-17</v>
      </c>
      <c r="L129" s="100">
        <v>5.2378457506524854E-17</v>
      </c>
      <c r="M129" s="100">
        <v>5.2378457506524854E-17</v>
      </c>
      <c r="N129" s="100">
        <v>5.2378457506524854E-17</v>
      </c>
      <c r="O129" s="100">
        <v>6.2854149007829837E-17</v>
      </c>
      <c r="P129" s="100">
        <v>6.2854149007829837E-17</v>
      </c>
      <c r="Q129" s="100">
        <v>6.2854149007829837E-17</v>
      </c>
      <c r="R129" s="100">
        <v>6.2854149007829837E-17</v>
      </c>
      <c r="S129" s="100">
        <v>6.2854149007829837E-17</v>
      </c>
      <c r="T129" s="100">
        <v>6.2854149007829837E-17</v>
      </c>
      <c r="U129" s="100">
        <v>6.2854149007829837E-17</v>
      </c>
      <c r="V129" s="100">
        <v>6.2854149007829837E-17</v>
      </c>
      <c r="W129" s="100">
        <v>6.2854149007829837E-17</v>
      </c>
      <c r="X129" s="100">
        <v>6.2854149007829837E-17</v>
      </c>
      <c r="Y129" s="100">
        <v>6.2854149007829837E-17</v>
      </c>
      <c r="Z129" s="100">
        <v>6.2854149007829837E-17</v>
      </c>
      <c r="AA129" s="100">
        <v>6.2854149007829837E-17</v>
      </c>
      <c r="AB129" s="100">
        <v>6.2854149007829837E-17</v>
      </c>
      <c r="AC129" s="100">
        <v>6.2854149007829837E-17</v>
      </c>
      <c r="AD129" s="100">
        <v>6.2854149007829837E-17</v>
      </c>
      <c r="AE129" s="100">
        <v>6.2854149007829837E-17</v>
      </c>
      <c r="AF129" s="100">
        <v>6.2854149007829837E-17</v>
      </c>
      <c r="AG129" s="100">
        <v>6.2854149007829837E-17</v>
      </c>
      <c r="AH129" s="100">
        <v>6.2854149007829837E-17</v>
      </c>
      <c r="AI129" s="100">
        <v>6.2854149007829837E-17</v>
      </c>
      <c r="AJ129" s="100">
        <v>6.2854149007829837E-17</v>
      </c>
      <c r="AK129" s="100">
        <v>6.2854149007829837E-17</v>
      </c>
      <c r="AL129" s="100">
        <v>6.2854149007829837E-17</v>
      </c>
      <c r="AM129" s="100">
        <v>6.2854149007829837E-17</v>
      </c>
      <c r="AN129" s="100">
        <v>6.2854149007829837E-17</v>
      </c>
      <c r="AO129" s="100">
        <v>6.2854149007829837E-17</v>
      </c>
      <c r="AP129" s="100">
        <v>6.2854149007829837E-17</v>
      </c>
      <c r="AQ129" s="100">
        <v>6.2854149007829837E-17</v>
      </c>
      <c r="AR129" s="100">
        <v>6.2854149007829837E-17</v>
      </c>
      <c r="AS129" s="100">
        <v>6.2854149007829837E-17</v>
      </c>
      <c r="AT129" s="100">
        <v>6.2854149007829837E-17</v>
      </c>
      <c r="AU129" s="100">
        <v>5.2378457506524854E-17</v>
      </c>
      <c r="AV129" s="100">
        <v>5.2378457506524854E-17</v>
      </c>
      <c r="AW129" s="100">
        <v>5.2378457506524854E-17</v>
      </c>
      <c r="AX129" s="100">
        <v>5.2378457506524854E-17</v>
      </c>
    </row>
    <row r="130" spans="2:50">
      <c r="B130" s="105" t="s">
        <v>22</v>
      </c>
      <c r="C130" s="100">
        <v>5.4319890702348795E-18</v>
      </c>
      <c r="D130" s="100">
        <v>5.4319890702348795E-18</v>
      </c>
      <c r="E130" s="100">
        <v>5.4319890702348795E-18</v>
      </c>
      <c r="F130" s="100">
        <v>5.4319890702348795E-18</v>
      </c>
      <c r="G130" s="100">
        <v>4.5266575585290664E-18</v>
      </c>
      <c r="H130" s="100">
        <v>4.5266575585290664E-18</v>
      </c>
      <c r="I130" s="100">
        <v>4.5266575585290664E-18</v>
      </c>
      <c r="J130" s="100">
        <v>4.5266575585290664E-18</v>
      </c>
      <c r="K130" s="100">
        <v>4.5266575585290664E-18</v>
      </c>
      <c r="L130" s="100">
        <v>4.5266575585290664E-18</v>
      </c>
      <c r="M130" s="100">
        <v>4.5266575585290664E-18</v>
      </c>
      <c r="N130" s="100">
        <v>4.5266575585290664E-18</v>
      </c>
      <c r="O130" s="100">
        <v>5.4319890702348795E-18</v>
      </c>
      <c r="P130" s="100">
        <v>5.4319890702348795E-18</v>
      </c>
      <c r="Q130" s="100">
        <v>5.4319890702348795E-18</v>
      </c>
      <c r="R130" s="100">
        <v>5.4319890702348795E-18</v>
      </c>
      <c r="S130" s="100">
        <v>5.4319890702348795E-18</v>
      </c>
      <c r="T130" s="100">
        <v>5.4319890702348795E-18</v>
      </c>
      <c r="U130" s="100">
        <v>5.4319890702348795E-18</v>
      </c>
      <c r="V130" s="100">
        <v>5.4319890702348795E-18</v>
      </c>
      <c r="W130" s="100">
        <v>5.4319890702348795E-18</v>
      </c>
      <c r="X130" s="100">
        <v>5.4319890702348795E-18</v>
      </c>
      <c r="Y130" s="100">
        <v>5.4319890702348795E-18</v>
      </c>
      <c r="Z130" s="100">
        <v>5.4319890702348795E-18</v>
      </c>
      <c r="AA130" s="100">
        <v>5.4319890702348795E-18</v>
      </c>
      <c r="AB130" s="100">
        <v>5.4319890702348795E-18</v>
      </c>
      <c r="AC130" s="100">
        <v>5.4319890702348795E-18</v>
      </c>
      <c r="AD130" s="100">
        <v>5.4319890702348795E-18</v>
      </c>
      <c r="AE130" s="100">
        <v>5.4319890702348795E-18</v>
      </c>
      <c r="AF130" s="100">
        <v>5.4319890702348795E-18</v>
      </c>
      <c r="AG130" s="100">
        <v>5.4319890702348795E-18</v>
      </c>
      <c r="AH130" s="100">
        <v>5.4319890702348795E-18</v>
      </c>
      <c r="AI130" s="100">
        <v>5.4319890702348795E-18</v>
      </c>
      <c r="AJ130" s="100">
        <v>5.4319890702348795E-18</v>
      </c>
      <c r="AK130" s="100">
        <v>5.4319890702348795E-18</v>
      </c>
      <c r="AL130" s="100">
        <v>5.4319890702348795E-18</v>
      </c>
      <c r="AM130" s="100">
        <v>5.4319890702348795E-18</v>
      </c>
      <c r="AN130" s="100">
        <v>5.4319890702348795E-18</v>
      </c>
      <c r="AO130" s="100">
        <v>5.4319890702348795E-18</v>
      </c>
      <c r="AP130" s="100">
        <v>5.4319890702348795E-18</v>
      </c>
      <c r="AQ130" s="100">
        <v>5.4319890702348795E-18</v>
      </c>
      <c r="AR130" s="100">
        <v>5.4319890702348795E-18</v>
      </c>
      <c r="AS130" s="100">
        <v>5.4319890702348795E-18</v>
      </c>
      <c r="AT130" s="100">
        <v>5.4319890702348795E-18</v>
      </c>
      <c r="AU130" s="100">
        <v>4.5266575585290664E-18</v>
      </c>
      <c r="AV130" s="100">
        <v>4.5266575585290664E-18</v>
      </c>
      <c r="AW130" s="100">
        <v>4.5266575585290664E-18</v>
      </c>
      <c r="AX130" s="100">
        <v>4.5266575585290664E-18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7.013906635446583E-17</v>
      </c>
      <c r="D133" s="105">
        <f t="shared" ref="D133:AX133" si="10">SUM(D$128:D$132)</f>
        <v>7.013906635446583E-17</v>
      </c>
      <c r="E133" s="105">
        <f t="shared" si="10"/>
        <v>7.013906635446583E-17</v>
      </c>
      <c r="F133" s="105">
        <f t="shared" si="10"/>
        <v>7.013906635446583E-17</v>
      </c>
      <c r="G133" s="105">
        <f t="shared" si="10"/>
        <v>5.8449221962054854E-17</v>
      </c>
      <c r="H133" s="105">
        <f t="shared" si="10"/>
        <v>5.8449221962054854E-17</v>
      </c>
      <c r="I133" s="105">
        <f t="shared" si="10"/>
        <v>5.8449221962054854E-17</v>
      </c>
      <c r="J133" s="105">
        <f t="shared" si="10"/>
        <v>5.8449221962054854E-17</v>
      </c>
      <c r="K133" s="105">
        <f t="shared" si="10"/>
        <v>5.8449221962054854E-17</v>
      </c>
      <c r="L133" s="105">
        <f t="shared" si="10"/>
        <v>5.8449221962054854E-17</v>
      </c>
      <c r="M133" s="105">
        <f t="shared" si="10"/>
        <v>5.8449221962054854E-17</v>
      </c>
      <c r="N133" s="105">
        <f t="shared" si="10"/>
        <v>5.8449221962054854E-17</v>
      </c>
      <c r="O133" s="105">
        <f t="shared" si="10"/>
        <v>7.013906635446583E-17</v>
      </c>
      <c r="P133" s="105">
        <f t="shared" si="10"/>
        <v>7.013906635446583E-17</v>
      </c>
      <c r="Q133" s="105">
        <f t="shared" si="10"/>
        <v>7.013906635446583E-17</v>
      </c>
      <c r="R133" s="105">
        <f t="shared" si="10"/>
        <v>7.013906635446583E-17</v>
      </c>
      <c r="S133" s="105">
        <f t="shared" si="10"/>
        <v>7.013906635446583E-17</v>
      </c>
      <c r="T133" s="105">
        <f t="shared" si="10"/>
        <v>7.013906635446583E-17</v>
      </c>
      <c r="U133" s="105">
        <f t="shared" si="10"/>
        <v>7.013906635446583E-17</v>
      </c>
      <c r="V133" s="105">
        <f t="shared" si="10"/>
        <v>7.013906635446583E-17</v>
      </c>
      <c r="W133" s="105">
        <f t="shared" si="10"/>
        <v>7.013906635446583E-17</v>
      </c>
      <c r="X133" s="105">
        <f t="shared" si="10"/>
        <v>7.013906635446583E-17</v>
      </c>
      <c r="Y133" s="105">
        <f t="shared" si="10"/>
        <v>7.013906635446583E-17</v>
      </c>
      <c r="Z133" s="105">
        <f t="shared" si="10"/>
        <v>7.013906635446583E-17</v>
      </c>
      <c r="AA133" s="105">
        <f t="shared" si="10"/>
        <v>7.013906635446583E-17</v>
      </c>
      <c r="AB133" s="105">
        <f t="shared" si="10"/>
        <v>7.013906635446583E-17</v>
      </c>
      <c r="AC133" s="105">
        <f t="shared" si="10"/>
        <v>7.013906635446583E-17</v>
      </c>
      <c r="AD133" s="105">
        <f t="shared" si="10"/>
        <v>7.013906635446583E-17</v>
      </c>
      <c r="AE133" s="105">
        <f t="shared" si="10"/>
        <v>7.013906635446583E-17</v>
      </c>
      <c r="AF133" s="105">
        <f t="shared" si="10"/>
        <v>7.013906635446583E-17</v>
      </c>
      <c r="AG133" s="105">
        <f t="shared" si="10"/>
        <v>7.013906635446583E-17</v>
      </c>
      <c r="AH133" s="105">
        <f t="shared" si="10"/>
        <v>7.013906635446583E-17</v>
      </c>
      <c r="AI133" s="105">
        <f t="shared" si="10"/>
        <v>7.013906635446583E-17</v>
      </c>
      <c r="AJ133" s="105">
        <f t="shared" si="10"/>
        <v>7.013906635446583E-17</v>
      </c>
      <c r="AK133" s="105">
        <f t="shared" si="10"/>
        <v>7.013906635446583E-17</v>
      </c>
      <c r="AL133" s="105">
        <f t="shared" si="10"/>
        <v>7.013906635446583E-17</v>
      </c>
      <c r="AM133" s="105">
        <f t="shared" si="10"/>
        <v>7.013906635446583E-17</v>
      </c>
      <c r="AN133" s="105">
        <f t="shared" si="10"/>
        <v>7.013906635446583E-17</v>
      </c>
      <c r="AO133" s="105">
        <f t="shared" si="10"/>
        <v>7.013906635446583E-17</v>
      </c>
      <c r="AP133" s="105">
        <f t="shared" si="10"/>
        <v>7.013906635446583E-17</v>
      </c>
      <c r="AQ133" s="105">
        <f t="shared" si="10"/>
        <v>7.013906635446583E-17</v>
      </c>
      <c r="AR133" s="105">
        <f t="shared" si="10"/>
        <v>7.013906635446583E-17</v>
      </c>
      <c r="AS133" s="105">
        <f t="shared" si="10"/>
        <v>7.013906635446583E-17</v>
      </c>
      <c r="AT133" s="105">
        <f t="shared" si="10"/>
        <v>7.013906635446583E-17</v>
      </c>
      <c r="AU133" s="105">
        <f t="shared" si="10"/>
        <v>5.8449221962054854E-17</v>
      </c>
      <c r="AV133" s="105">
        <f t="shared" si="10"/>
        <v>5.8449221962054854E-17</v>
      </c>
      <c r="AW133" s="105">
        <f t="shared" si="10"/>
        <v>5.8449221962054854E-17</v>
      </c>
      <c r="AX133" s="105">
        <f t="shared" si="10"/>
        <v>5.8449221962054854E-17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599.99999999999977</v>
      </c>
      <c r="E7" s="144">
        <v>599.99999999999977</v>
      </c>
      <c r="F7" s="144">
        <v>599.99999999999977</v>
      </c>
      <c r="G7" s="144">
        <v>599.99999999999977</v>
      </c>
      <c r="H7" s="144">
        <v>479.99999999999989</v>
      </c>
      <c r="I7" s="144">
        <v>479.99999999999989</v>
      </c>
      <c r="J7" s="144">
        <v>479.99999999999989</v>
      </c>
      <c r="K7" s="144">
        <v>479.99999999999989</v>
      </c>
      <c r="L7" s="144">
        <v>599.99999999999977</v>
      </c>
      <c r="M7" s="144">
        <v>599.99999999999977</v>
      </c>
      <c r="N7" s="144">
        <v>599.99999999999977</v>
      </c>
      <c r="O7" s="144">
        <v>599.99999999999977</v>
      </c>
      <c r="P7" s="144">
        <v>599.99999999999977</v>
      </c>
      <c r="Q7" s="144">
        <v>599.99999999999977</v>
      </c>
      <c r="R7" s="144">
        <v>599.99999999999977</v>
      </c>
      <c r="S7" s="144">
        <v>599.99999999999977</v>
      </c>
      <c r="T7" s="144">
        <v>599.99999999999977</v>
      </c>
      <c r="U7" s="144">
        <v>599.99999999999977</v>
      </c>
      <c r="V7" s="144">
        <v>599.99999999999977</v>
      </c>
      <c r="W7" s="144">
        <v>599.99999999999977</v>
      </c>
      <c r="X7" s="144">
        <v>599.99999999999977</v>
      </c>
      <c r="Y7" s="144">
        <v>599.99999999999977</v>
      </c>
      <c r="Z7" s="144">
        <v>599.99999999999977</v>
      </c>
      <c r="AA7" s="144">
        <v>599.99999999999977</v>
      </c>
      <c r="AB7" s="144">
        <v>599.99999999999977</v>
      </c>
      <c r="AC7" s="144">
        <v>599.99999999999977</v>
      </c>
      <c r="AD7" s="144">
        <v>599.99999999999977</v>
      </c>
      <c r="AE7" s="144">
        <v>599.99999999999977</v>
      </c>
      <c r="AF7" s="144">
        <v>599.99999999999977</v>
      </c>
      <c r="AG7" s="144">
        <v>599.99999999999977</v>
      </c>
      <c r="AH7" s="144">
        <v>599.99999999999977</v>
      </c>
      <c r="AI7" s="144">
        <v>599.99999999999977</v>
      </c>
      <c r="AJ7" s="144">
        <v>599.99999999999977</v>
      </c>
      <c r="AK7" s="144">
        <v>599.99999999999977</v>
      </c>
      <c r="AL7" s="144">
        <v>599.99999999999977</v>
      </c>
      <c r="AM7" s="144">
        <v>599.99999999999977</v>
      </c>
      <c r="AN7" s="144">
        <v>599.99999999999977</v>
      </c>
      <c r="AO7" s="144">
        <v>599.99999999999977</v>
      </c>
      <c r="AP7" s="144">
        <v>599.99999999999977</v>
      </c>
      <c r="AQ7" s="144">
        <v>599.99999999999977</v>
      </c>
      <c r="AR7" s="144">
        <v>599.99999999999977</v>
      </c>
      <c r="AS7" s="144">
        <v>599.99999999999977</v>
      </c>
      <c r="AT7" s="144">
        <v>599.99999999999977</v>
      </c>
      <c r="AU7" s="144">
        <v>599.99999999999977</v>
      </c>
      <c r="AV7" s="144">
        <v>599.99999999999977</v>
      </c>
      <c r="AW7" s="144">
        <v>599.99999999999977</v>
      </c>
      <c r="AX7" s="144">
        <v>599.99999999999977</v>
      </c>
      <c r="AY7" s="144">
        <v>599.99999999999977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599.99999999999955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599.99999999999955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599.99999999999955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1799.9999999999986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480.00000000000006</v>
      </c>
      <c r="D13" s="138">
        <f t="shared" ref="D13:AY13" si="1">D$7-D$10</f>
        <v>599.99999999999977</v>
      </c>
      <c r="E13" s="138">
        <f t="shared" si="1"/>
        <v>599.99999999999977</v>
      </c>
      <c r="F13" s="138">
        <f t="shared" si="1"/>
        <v>599.99999999999977</v>
      </c>
      <c r="G13" s="138">
        <f t="shared" si="1"/>
        <v>0</v>
      </c>
      <c r="H13" s="138">
        <f t="shared" si="1"/>
        <v>479.99999999999989</v>
      </c>
      <c r="I13" s="138">
        <f t="shared" si="1"/>
        <v>479.99999999999989</v>
      </c>
      <c r="J13" s="138">
        <f t="shared" si="1"/>
        <v>479.99999999999989</v>
      </c>
      <c r="K13" s="138">
        <f t="shared" si="1"/>
        <v>479.99999999999989</v>
      </c>
      <c r="L13" s="138">
        <f t="shared" si="1"/>
        <v>599.99999999999977</v>
      </c>
      <c r="M13" s="138">
        <f t="shared" si="1"/>
        <v>599.99999999999977</v>
      </c>
      <c r="N13" s="138">
        <f t="shared" si="1"/>
        <v>0</v>
      </c>
      <c r="O13" s="138">
        <f t="shared" si="1"/>
        <v>599.99999999999977</v>
      </c>
      <c r="P13" s="138">
        <f t="shared" si="1"/>
        <v>599.99999999999977</v>
      </c>
      <c r="Q13" s="138">
        <f t="shared" si="1"/>
        <v>599.99999999999977</v>
      </c>
      <c r="R13" s="138">
        <f t="shared" si="1"/>
        <v>599.99999999999977</v>
      </c>
      <c r="S13" s="138">
        <f t="shared" si="1"/>
        <v>599.99999999999977</v>
      </c>
      <c r="T13" s="138">
        <f t="shared" si="1"/>
        <v>599.99999999999977</v>
      </c>
      <c r="U13" s="138">
        <f t="shared" si="1"/>
        <v>599.99999999999977</v>
      </c>
      <c r="V13" s="138">
        <f t="shared" si="1"/>
        <v>599.99999999999977</v>
      </c>
      <c r="W13" s="138">
        <f t="shared" si="1"/>
        <v>599.99999999999977</v>
      </c>
      <c r="X13" s="138">
        <f t="shared" si="1"/>
        <v>599.99999999999977</v>
      </c>
      <c r="Y13" s="138">
        <f t="shared" si="1"/>
        <v>599.99999999999977</v>
      </c>
      <c r="Z13" s="138">
        <f t="shared" si="1"/>
        <v>599.99999999999977</v>
      </c>
      <c r="AA13" s="138">
        <f t="shared" si="1"/>
        <v>599.99999999999977</v>
      </c>
      <c r="AB13" s="138">
        <f t="shared" si="1"/>
        <v>599.99999999999977</v>
      </c>
      <c r="AC13" s="138">
        <f t="shared" si="1"/>
        <v>599.99999999999977</v>
      </c>
      <c r="AD13" s="138">
        <f t="shared" si="1"/>
        <v>599.99999999999977</v>
      </c>
      <c r="AE13" s="138">
        <f t="shared" si="1"/>
        <v>599.99999999999977</v>
      </c>
      <c r="AF13" s="138">
        <f t="shared" si="1"/>
        <v>599.99999999999977</v>
      </c>
      <c r="AG13" s="138">
        <f t="shared" si="1"/>
        <v>599.99999999999977</v>
      </c>
      <c r="AH13" s="138">
        <f t="shared" si="1"/>
        <v>599.99999999999977</v>
      </c>
      <c r="AI13" s="138">
        <f t="shared" si="1"/>
        <v>599.99999999999977</v>
      </c>
      <c r="AJ13" s="138">
        <f t="shared" si="1"/>
        <v>599.99999999999977</v>
      </c>
      <c r="AK13" s="138">
        <f t="shared" si="1"/>
        <v>599.99999999999977</v>
      </c>
      <c r="AL13" s="138">
        <f t="shared" si="1"/>
        <v>599.99999999999977</v>
      </c>
      <c r="AM13" s="138">
        <f t="shared" si="1"/>
        <v>599.99999999999977</v>
      </c>
      <c r="AN13" s="138">
        <f t="shared" si="1"/>
        <v>599.99999999999977</v>
      </c>
      <c r="AO13" s="138">
        <f t="shared" si="1"/>
        <v>599.99999999999977</v>
      </c>
      <c r="AP13" s="138">
        <f t="shared" si="1"/>
        <v>0</v>
      </c>
      <c r="AQ13" s="138">
        <f t="shared" si="1"/>
        <v>599.99999999999977</v>
      </c>
      <c r="AR13" s="138">
        <f t="shared" si="1"/>
        <v>599.99999999999977</v>
      </c>
      <c r="AS13" s="138">
        <f t="shared" si="1"/>
        <v>599.99999999999977</v>
      </c>
      <c r="AT13" s="138">
        <f t="shared" si="1"/>
        <v>599.99999999999977</v>
      </c>
      <c r="AU13" s="138">
        <f t="shared" si="1"/>
        <v>599.99999999999977</v>
      </c>
      <c r="AV13" s="138">
        <f t="shared" si="1"/>
        <v>599.99999999999977</v>
      </c>
      <c r="AW13" s="138">
        <f t="shared" si="1"/>
        <v>599.99999999999977</v>
      </c>
      <c r="AX13" s="138">
        <f t="shared" si="1"/>
        <v>599.99999999999977</v>
      </c>
      <c r="AY13" s="138">
        <f t="shared" si="1"/>
        <v>599.99999999999977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599.99999999999977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599.99999999999977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599.99999999999977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/>
      <c r="L20" s="117"/>
      <c r="M20" s="117" t="s">
        <v>339</v>
      </c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 t="s">
        <v>339</v>
      </c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0.44946278856401428</v>
      </c>
      <c r="C21" s="156" t="s">
        <v>293</v>
      </c>
      <c r="D21" s="106">
        <f>IF(C$20="Yes",0,SUM(C$13:C$16)*$B$21)</f>
        <v>215.74213851072687</v>
      </c>
      <c r="E21" s="106">
        <f t="shared" ref="E21:AY21" si="3">IF(D$20="Yes",0,SUM(D$13:D$16)*$B$21)</f>
        <v>269.67767313840847</v>
      </c>
      <c r="F21" s="106">
        <f t="shared" si="3"/>
        <v>269.67767313840847</v>
      </c>
      <c r="G21" s="106">
        <f t="shared" si="3"/>
        <v>0</v>
      </c>
      <c r="H21" s="106">
        <f t="shared" si="3"/>
        <v>269.67767313840847</v>
      </c>
      <c r="I21" s="106">
        <f t="shared" si="3"/>
        <v>215.74213851072682</v>
      </c>
      <c r="J21" s="106">
        <f t="shared" si="3"/>
        <v>215.74213851072682</v>
      </c>
      <c r="K21" s="106">
        <f t="shared" si="3"/>
        <v>215.74213851072682</v>
      </c>
      <c r="L21" s="106">
        <f t="shared" si="3"/>
        <v>215.74213851072682</v>
      </c>
      <c r="M21" s="106">
        <f t="shared" si="3"/>
        <v>269.67767313840847</v>
      </c>
      <c r="N21" s="106">
        <f t="shared" si="3"/>
        <v>0</v>
      </c>
      <c r="O21" s="106">
        <f t="shared" si="3"/>
        <v>269.67767313840847</v>
      </c>
      <c r="P21" s="106">
        <f t="shared" si="3"/>
        <v>269.67767313840847</v>
      </c>
      <c r="Q21" s="106">
        <f t="shared" si="3"/>
        <v>269.67767313840847</v>
      </c>
      <c r="R21" s="106">
        <f t="shared" si="3"/>
        <v>269.67767313840847</v>
      </c>
      <c r="S21" s="106">
        <f t="shared" si="3"/>
        <v>269.67767313840847</v>
      </c>
      <c r="T21" s="106">
        <f t="shared" si="3"/>
        <v>269.67767313840847</v>
      </c>
      <c r="U21" s="106">
        <f t="shared" si="3"/>
        <v>269.67767313840847</v>
      </c>
      <c r="V21" s="106">
        <f t="shared" si="3"/>
        <v>269.67767313840847</v>
      </c>
      <c r="W21" s="106">
        <f t="shared" si="3"/>
        <v>269.67767313840847</v>
      </c>
      <c r="X21" s="106">
        <f t="shared" si="3"/>
        <v>269.67767313840847</v>
      </c>
      <c r="Y21" s="106">
        <f t="shared" si="3"/>
        <v>269.67767313840847</v>
      </c>
      <c r="Z21" s="106">
        <f t="shared" si="3"/>
        <v>269.67767313840847</v>
      </c>
      <c r="AA21" s="106">
        <f t="shared" si="3"/>
        <v>269.67767313840847</v>
      </c>
      <c r="AB21" s="106">
        <f t="shared" si="3"/>
        <v>269.67767313840847</v>
      </c>
      <c r="AC21" s="106">
        <f t="shared" si="3"/>
        <v>269.67767313840847</v>
      </c>
      <c r="AD21" s="106">
        <f t="shared" si="3"/>
        <v>269.67767313840847</v>
      </c>
      <c r="AE21" s="106">
        <f t="shared" si="3"/>
        <v>269.67767313840847</v>
      </c>
      <c r="AF21" s="106">
        <f t="shared" si="3"/>
        <v>269.67767313840847</v>
      </c>
      <c r="AG21" s="106">
        <f t="shared" si="3"/>
        <v>269.67767313840847</v>
      </c>
      <c r="AH21" s="106">
        <f t="shared" si="3"/>
        <v>269.67767313840847</v>
      </c>
      <c r="AI21" s="106">
        <f t="shared" si="3"/>
        <v>269.67767313840847</v>
      </c>
      <c r="AJ21" s="106">
        <f t="shared" si="3"/>
        <v>269.67767313840847</v>
      </c>
      <c r="AK21" s="106">
        <f t="shared" si="3"/>
        <v>269.67767313840847</v>
      </c>
      <c r="AL21" s="106">
        <f t="shared" si="3"/>
        <v>269.67767313840847</v>
      </c>
      <c r="AM21" s="106">
        <f t="shared" si="3"/>
        <v>269.67767313840847</v>
      </c>
      <c r="AN21" s="106">
        <f t="shared" si="3"/>
        <v>269.67767313840847</v>
      </c>
      <c r="AO21" s="106">
        <f t="shared" si="3"/>
        <v>269.67767313840847</v>
      </c>
      <c r="AP21" s="106">
        <f t="shared" si="3"/>
        <v>0</v>
      </c>
      <c r="AQ21" s="106">
        <f t="shared" si="3"/>
        <v>269.67767313840847</v>
      </c>
      <c r="AR21" s="106">
        <f t="shared" si="3"/>
        <v>269.67767313840847</v>
      </c>
      <c r="AS21" s="106">
        <f t="shared" si="3"/>
        <v>269.67767313840847</v>
      </c>
      <c r="AT21" s="106">
        <f t="shared" si="3"/>
        <v>269.67767313840847</v>
      </c>
      <c r="AU21" s="106">
        <f t="shared" si="3"/>
        <v>269.67767313840847</v>
      </c>
      <c r="AV21" s="106">
        <f t="shared" si="3"/>
        <v>269.67767313840847</v>
      </c>
      <c r="AW21" s="106">
        <f t="shared" si="3"/>
        <v>269.67767313840847</v>
      </c>
      <c r="AX21" s="106">
        <f t="shared" si="3"/>
        <v>269.67767313840847</v>
      </c>
      <c r="AY21" s="106">
        <f t="shared" si="3"/>
        <v>269.67767313840847</v>
      </c>
      <c r="AZ21" s="157">
        <f>SUM($D21:$AY21)</f>
        <v>11865.817618089983</v>
      </c>
    </row>
    <row r="22" spans="1:52" s="110" customFormat="1">
      <c r="A22" s="158" t="s">
        <v>123</v>
      </c>
      <c r="B22" s="159">
        <f>1-$B$21</f>
        <v>0.55053721143598566</v>
      </c>
      <c r="C22" s="159" t="s">
        <v>293</v>
      </c>
      <c r="D22" s="114">
        <f>IF(C$20="Yes",0,SUM(C$13:C$16)*$B$22)</f>
        <v>264.25786148927313</v>
      </c>
      <c r="E22" s="114">
        <f t="shared" ref="E22:AY22" si="4">IF(D$20="Yes",0,SUM(D$13:D$16)*$B$22)</f>
        <v>330.32232686159125</v>
      </c>
      <c r="F22" s="114">
        <f t="shared" si="4"/>
        <v>330.32232686159125</v>
      </c>
      <c r="G22" s="114">
        <f t="shared" si="4"/>
        <v>0</v>
      </c>
      <c r="H22" s="114">
        <f t="shared" si="4"/>
        <v>330.32232686159125</v>
      </c>
      <c r="I22" s="114">
        <f t="shared" si="4"/>
        <v>264.25786148927307</v>
      </c>
      <c r="J22" s="114">
        <f t="shared" si="4"/>
        <v>264.25786148927307</v>
      </c>
      <c r="K22" s="114">
        <f t="shared" si="4"/>
        <v>264.25786148927307</v>
      </c>
      <c r="L22" s="114">
        <f t="shared" si="4"/>
        <v>264.25786148927307</v>
      </c>
      <c r="M22" s="114">
        <f t="shared" si="4"/>
        <v>330.32232686159125</v>
      </c>
      <c r="N22" s="114">
        <f t="shared" si="4"/>
        <v>0</v>
      </c>
      <c r="O22" s="114">
        <f t="shared" si="4"/>
        <v>330.32232686159125</v>
      </c>
      <c r="P22" s="114">
        <f t="shared" si="4"/>
        <v>330.32232686159125</v>
      </c>
      <c r="Q22" s="114">
        <f t="shared" si="4"/>
        <v>330.32232686159125</v>
      </c>
      <c r="R22" s="114">
        <f t="shared" si="4"/>
        <v>330.32232686159125</v>
      </c>
      <c r="S22" s="114">
        <f t="shared" si="4"/>
        <v>330.32232686159125</v>
      </c>
      <c r="T22" s="114">
        <f t="shared" si="4"/>
        <v>330.32232686159125</v>
      </c>
      <c r="U22" s="114">
        <f t="shared" si="4"/>
        <v>330.32232686159125</v>
      </c>
      <c r="V22" s="114">
        <f t="shared" si="4"/>
        <v>330.32232686159125</v>
      </c>
      <c r="W22" s="114">
        <f t="shared" si="4"/>
        <v>330.32232686159125</v>
      </c>
      <c r="X22" s="114">
        <f t="shared" si="4"/>
        <v>330.32232686159125</v>
      </c>
      <c r="Y22" s="114">
        <f t="shared" si="4"/>
        <v>330.32232686159125</v>
      </c>
      <c r="Z22" s="114">
        <f t="shared" si="4"/>
        <v>330.32232686159125</v>
      </c>
      <c r="AA22" s="114">
        <f t="shared" si="4"/>
        <v>330.32232686159125</v>
      </c>
      <c r="AB22" s="114">
        <f t="shared" si="4"/>
        <v>330.32232686159125</v>
      </c>
      <c r="AC22" s="114">
        <f t="shared" si="4"/>
        <v>330.32232686159125</v>
      </c>
      <c r="AD22" s="114">
        <f t="shared" si="4"/>
        <v>330.32232686159125</v>
      </c>
      <c r="AE22" s="114">
        <f t="shared" si="4"/>
        <v>330.32232686159125</v>
      </c>
      <c r="AF22" s="114">
        <f t="shared" si="4"/>
        <v>330.32232686159125</v>
      </c>
      <c r="AG22" s="114">
        <f t="shared" si="4"/>
        <v>330.32232686159125</v>
      </c>
      <c r="AH22" s="114">
        <f t="shared" si="4"/>
        <v>330.32232686159125</v>
      </c>
      <c r="AI22" s="114">
        <f t="shared" si="4"/>
        <v>330.32232686159125</v>
      </c>
      <c r="AJ22" s="114">
        <f t="shared" si="4"/>
        <v>330.32232686159125</v>
      </c>
      <c r="AK22" s="114">
        <f t="shared" si="4"/>
        <v>330.32232686159125</v>
      </c>
      <c r="AL22" s="114">
        <f t="shared" si="4"/>
        <v>330.32232686159125</v>
      </c>
      <c r="AM22" s="114">
        <f t="shared" si="4"/>
        <v>330.32232686159125</v>
      </c>
      <c r="AN22" s="114">
        <f t="shared" si="4"/>
        <v>330.32232686159125</v>
      </c>
      <c r="AO22" s="114">
        <f t="shared" si="4"/>
        <v>330.32232686159125</v>
      </c>
      <c r="AP22" s="114">
        <f t="shared" si="4"/>
        <v>0</v>
      </c>
      <c r="AQ22" s="114">
        <f t="shared" si="4"/>
        <v>330.32232686159125</v>
      </c>
      <c r="AR22" s="114">
        <f t="shared" si="4"/>
        <v>330.32232686159125</v>
      </c>
      <c r="AS22" s="114">
        <f t="shared" si="4"/>
        <v>330.32232686159125</v>
      </c>
      <c r="AT22" s="114">
        <f t="shared" si="4"/>
        <v>330.32232686159125</v>
      </c>
      <c r="AU22" s="114">
        <f t="shared" si="4"/>
        <v>330.32232686159125</v>
      </c>
      <c r="AV22" s="114">
        <f t="shared" si="4"/>
        <v>330.32232686159125</v>
      </c>
      <c r="AW22" s="114">
        <f t="shared" si="4"/>
        <v>330.32232686159125</v>
      </c>
      <c r="AX22" s="114">
        <f t="shared" si="4"/>
        <v>330.32232686159125</v>
      </c>
      <c r="AY22" s="114">
        <f t="shared" si="4"/>
        <v>330.32232686159125</v>
      </c>
      <c r="AZ22" s="141">
        <f t="shared" ref="AZ22:AZ30" si="5">SUM($D22:$AY22)</f>
        <v>14534.182381910012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431484.27702145377</v>
      </c>
      <c r="E23" s="100">
        <f t="shared" ref="E23:AY23" si="6">E$21*$B$23</f>
        <v>539355.34627681691</v>
      </c>
      <c r="F23" s="100">
        <f t="shared" si="6"/>
        <v>539355.34627681691</v>
      </c>
      <c r="G23" s="100">
        <f t="shared" si="6"/>
        <v>0</v>
      </c>
      <c r="H23" s="100">
        <f t="shared" si="6"/>
        <v>539355.34627681691</v>
      </c>
      <c r="I23" s="100">
        <f t="shared" si="6"/>
        <v>431484.27702145366</v>
      </c>
      <c r="J23" s="100">
        <f t="shared" si="6"/>
        <v>431484.27702145366</v>
      </c>
      <c r="K23" s="100">
        <f t="shared" si="6"/>
        <v>431484.27702145366</v>
      </c>
      <c r="L23" s="100">
        <f t="shared" si="6"/>
        <v>431484.27702145366</v>
      </c>
      <c r="M23" s="100">
        <f t="shared" si="6"/>
        <v>539355.34627681691</v>
      </c>
      <c r="N23" s="100">
        <f t="shared" si="6"/>
        <v>0</v>
      </c>
      <c r="O23" s="100">
        <f t="shared" si="6"/>
        <v>539355.34627681691</v>
      </c>
      <c r="P23" s="100">
        <f t="shared" si="6"/>
        <v>539355.34627681691</v>
      </c>
      <c r="Q23" s="100">
        <f t="shared" si="6"/>
        <v>539355.34627681691</v>
      </c>
      <c r="R23" s="100">
        <f t="shared" si="6"/>
        <v>539355.34627681691</v>
      </c>
      <c r="S23" s="100">
        <f t="shared" si="6"/>
        <v>539355.34627681691</v>
      </c>
      <c r="T23" s="100">
        <f t="shared" si="6"/>
        <v>539355.34627681691</v>
      </c>
      <c r="U23" s="100">
        <f t="shared" si="6"/>
        <v>539355.34627681691</v>
      </c>
      <c r="V23" s="100">
        <f t="shared" si="6"/>
        <v>539355.34627681691</v>
      </c>
      <c r="W23" s="100">
        <f t="shared" si="6"/>
        <v>539355.34627681691</v>
      </c>
      <c r="X23" s="100">
        <f t="shared" si="6"/>
        <v>539355.34627681691</v>
      </c>
      <c r="Y23" s="100">
        <f t="shared" si="6"/>
        <v>539355.34627681691</v>
      </c>
      <c r="Z23" s="100">
        <f t="shared" si="6"/>
        <v>539355.34627681691</v>
      </c>
      <c r="AA23" s="100">
        <f t="shared" si="6"/>
        <v>539355.34627681691</v>
      </c>
      <c r="AB23" s="100">
        <f t="shared" si="6"/>
        <v>539355.34627681691</v>
      </c>
      <c r="AC23" s="100">
        <f t="shared" si="6"/>
        <v>539355.34627681691</v>
      </c>
      <c r="AD23" s="100">
        <f t="shared" si="6"/>
        <v>539355.34627681691</v>
      </c>
      <c r="AE23" s="100">
        <f t="shared" si="6"/>
        <v>539355.34627681691</v>
      </c>
      <c r="AF23" s="100">
        <f t="shared" si="6"/>
        <v>539355.34627681691</v>
      </c>
      <c r="AG23" s="100">
        <f t="shared" si="6"/>
        <v>539355.34627681691</v>
      </c>
      <c r="AH23" s="100">
        <f t="shared" si="6"/>
        <v>539355.34627681691</v>
      </c>
      <c r="AI23" s="100">
        <f t="shared" si="6"/>
        <v>539355.34627681691</v>
      </c>
      <c r="AJ23" s="100">
        <f t="shared" si="6"/>
        <v>539355.34627681691</v>
      </c>
      <c r="AK23" s="100">
        <f t="shared" si="6"/>
        <v>539355.34627681691</v>
      </c>
      <c r="AL23" s="100">
        <f t="shared" si="6"/>
        <v>539355.34627681691</v>
      </c>
      <c r="AM23" s="100">
        <f t="shared" si="6"/>
        <v>539355.34627681691</v>
      </c>
      <c r="AN23" s="100">
        <f t="shared" si="6"/>
        <v>539355.34627681691</v>
      </c>
      <c r="AO23" s="100">
        <f t="shared" si="6"/>
        <v>539355.34627681691</v>
      </c>
      <c r="AP23" s="100">
        <f t="shared" si="6"/>
        <v>0</v>
      </c>
      <c r="AQ23" s="100">
        <f t="shared" si="6"/>
        <v>539355.34627681691</v>
      </c>
      <c r="AR23" s="100">
        <f t="shared" si="6"/>
        <v>539355.34627681691</v>
      </c>
      <c r="AS23" s="100">
        <f t="shared" si="6"/>
        <v>539355.34627681691</v>
      </c>
      <c r="AT23" s="100">
        <f t="shared" si="6"/>
        <v>539355.34627681691</v>
      </c>
      <c r="AU23" s="100">
        <f t="shared" si="6"/>
        <v>539355.34627681691</v>
      </c>
      <c r="AV23" s="100">
        <f t="shared" si="6"/>
        <v>539355.34627681691</v>
      </c>
      <c r="AW23" s="100">
        <f t="shared" si="6"/>
        <v>539355.34627681691</v>
      </c>
      <c r="AX23" s="100">
        <f t="shared" si="6"/>
        <v>539355.34627681691</v>
      </c>
      <c r="AY23" s="100">
        <f t="shared" si="6"/>
        <v>539355.34627681691</v>
      </c>
      <c r="AZ23" s="139">
        <f t="shared" si="5"/>
        <v>23731635.236179918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264257.86148927314</v>
      </c>
      <c r="E24" s="106">
        <f t="shared" ref="E24:AY24" si="7">E$22*$B$24</f>
        <v>330322.32686159125</v>
      </c>
      <c r="F24" s="106">
        <f t="shared" si="7"/>
        <v>330322.32686159125</v>
      </c>
      <c r="G24" s="106">
        <f t="shared" si="7"/>
        <v>0</v>
      </c>
      <c r="H24" s="106">
        <f t="shared" si="7"/>
        <v>330322.32686159125</v>
      </c>
      <c r="I24" s="106">
        <f t="shared" si="7"/>
        <v>264257.86148927308</v>
      </c>
      <c r="J24" s="106">
        <f t="shared" si="7"/>
        <v>264257.86148927308</v>
      </c>
      <c r="K24" s="106">
        <f t="shared" si="7"/>
        <v>264257.86148927308</v>
      </c>
      <c r="L24" s="106">
        <f t="shared" si="7"/>
        <v>264257.86148927308</v>
      </c>
      <c r="M24" s="106">
        <f t="shared" si="7"/>
        <v>330322.32686159125</v>
      </c>
      <c r="N24" s="106">
        <f t="shared" si="7"/>
        <v>0</v>
      </c>
      <c r="O24" s="106">
        <f t="shared" si="7"/>
        <v>330322.32686159125</v>
      </c>
      <c r="P24" s="106">
        <f t="shared" si="7"/>
        <v>330322.32686159125</v>
      </c>
      <c r="Q24" s="106">
        <f t="shared" si="7"/>
        <v>330322.32686159125</v>
      </c>
      <c r="R24" s="106">
        <f t="shared" si="7"/>
        <v>330322.32686159125</v>
      </c>
      <c r="S24" s="106">
        <f t="shared" si="7"/>
        <v>330322.32686159125</v>
      </c>
      <c r="T24" s="106">
        <f t="shared" si="7"/>
        <v>330322.32686159125</v>
      </c>
      <c r="U24" s="106">
        <f t="shared" si="7"/>
        <v>330322.32686159125</v>
      </c>
      <c r="V24" s="106">
        <f t="shared" si="7"/>
        <v>330322.32686159125</v>
      </c>
      <c r="W24" s="106">
        <f t="shared" si="7"/>
        <v>330322.32686159125</v>
      </c>
      <c r="X24" s="106">
        <f t="shared" si="7"/>
        <v>330322.32686159125</v>
      </c>
      <c r="Y24" s="106">
        <f t="shared" si="7"/>
        <v>330322.32686159125</v>
      </c>
      <c r="Z24" s="106">
        <f t="shared" si="7"/>
        <v>330322.32686159125</v>
      </c>
      <c r="AA24" s="106">
        <f t="shared" si="7"/>
        <v>330322.32686159125</v>
      </c>
      <c r="AB24" s="106">
        <f t="shared" si="7"/>
        <v>330322.32686159125</v>
      </c>
      <c r="AC24" s="106">
        <f t="shared" si="7"/>
        <v>330322.32686159125</v>
      </c>
      <c r="AD24" s="106">
        <f t="shared" si="7"/>
        <v>330322.32686159125</v>
      </c>
      <c r="AE24" s="106">
        <f t="shared" si="7"/>
        <v>330322.32686159125</v>
      </c>
      <c r="AF24" s="106">
        <f t="shared" si="7"/>
        <v>330322.32686159125</v>
      </c>
      <c r="AG24" s="106">
        <f t="shared" si="7"/>
        <v>330322.32686159125</v>
      </c>
      <c r="AH24" s="106">
        <f t="shared" si="7"/>
        <v>330322.32686159125</v>
      </c>
      <c r="AI24" s="106">
        <f t="shared" si="7"/>
        <v>330322.32686159125</v>
      </c>
      <c r="AJ24" s="106">
        <f t="shared" si="7"/>
        <v>330322.32686159125</v>
      </c>
      <c r="AK24" s="106">
        <f t="shared" si="7"/>
        <v>330322.32686159125</v>
      </c>
      <c r="AL24" s="106">
        <f t="shared" si="7"/>
        <v>330322.32686159125</v>
      </c>
      <c r="AM24" s="106">
        <f t="shared" si="7"/>
        <v>330322.32686159125</v>
      </c>
      <c r="AN24" s="106">
        <f t="shared" si="7"/>
        <v>330322.32686159125</v>
      </c>
      <c r="AO24" s="106">
        <f t="shared" si="7"/>
        <v>330322.32686159125</v>
      </c>
      <c r="AP24" s="106">
        <f t="shared" si="7"/>
        <v>0</v>
      </c>
      <c r="AQ24" s="106">
        <f t="shared" si="7"/>
        <v>330322.32686159125</v>
      </c>
      <c r="AR24" s="106">
        <f t="shared" si="7"/>
        <v>330322.32686159125</v>
      </c>
      <c r="AS24" s="106">
        <f t="shared" si="7"/>
        <v>330322.32686159125</v>
      </c>
      <c r="AT24" s="106">
        <f t="shared" si="7"/>
        <v>330322.32686159125</v>
      </c>
      <c r="AU24" s="106">
        <f t="shared" si="7"/>
        <v>330322.32686159125</v>
      </c>
      <c r="AV24" s="106">
        <f t="shared" si="7"/>
        <v>330322.32686159125</v>
      </c>
      <c r="AW24" s="106">
        <f t="shared" si="7"/>
        <v>330322.32686159125</v>
      </c>
      <c r="AX24" s="106">
        <f t="shared" si="7"/>
        <v>330322.32686159125</v>
      </c>
      <c r="AY24" s="106">
        <f t="shared" si="7"/>
        <v>330322.32686159125</v>
      </c>
      <c r="AZ24" s="141">
        <f t="shared" si="5"/>
        <v>14534182.381910026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13</v>
      </c>
      <c r="D27" s="124">
        <f>C$27-C$28+C$29</f>
        <v>9</v>
      </c>
      <c r="E27" s="124">
        <f t="shared" ref="E27:AY27" si="8">D27-D28+D29</f>
        <v>13</v>
      </c>
      <c r="F27" s="124">
        <f t="shared" si="8"/>
        <v>9</v>
      </c>
      <c r="G27" s="124">
        <f t="shared" si="8"/>
        <v>13</v>
      </c>
      <c r="H27" s="124">
        <f t="shared" si="8"/>
        <v>22</v>
      </c>
      <c r="I27" s="124">
        <f t="shared" si="8"/>
        <v>1</v>
      </c>
      <c r="J27" s="124">
        <f t="shared" si="8"/>
        <v>21</v>
      </c>
      <c r="K27" s="124">
        <f t="shared" si="8"/>
        <v>5</v>
      </c>
      <c r="L27" s="124">
        <f t="shared" si="8"/>
        <v>17</v>
      </c>
      <c r="M27" s="124">
        <f t="shared" si="8"/>
        <v>5</v>
      </c>
      <c r="N27" s="124">
        <f t="shared" si="8"/>
        <v>17</v>
      </c>
      <c r="O27" s="124">
        <f t="shared" si="8"/>
        <v>22</v>
      </c>
      <c r="P27" s="124">
        <f t="shared" si="8"/>
        <v>1</v>
      </c>
      <c r="Q27" s="124">
        <f t="shared" si="8"/>
        <v>21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21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22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13</v>
      </c>
      <c r="D28" s="110">
        <v>9</v>
      </c>
      <c r="E28" s="110">
        <v>13</v>
      </c>
      <c r="F28" s="110">
        <v>9</v>
      </c>
      <c r="G28" s="110">
        <v>0</v>
      </c>
      <c r="H28" s="110">
        <v>21</v>
      </c>
      <c r="I28" s="110">
        <v>1</v>
      </c>
      <c r="J28" s="110">
        <v>17</v>
      </c>
      <c r="K28" s="110">
        <v>5</v>
      </c>
      <c r="L28" s="110">
        <v>17</v>
      </c>
      <c r="M28" s="110">
        <v>5</v>
      </c>
      <c r="N28" s="110">
        <v>0</v>
      </c>
      <c r="O28" s="110">
        <v>21</v>
      </c>
      <c r="P28" s="110">
        <v>1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1</v>
      </c>
      <c r="AK28" s="110">
        <v>21</v>
      </c>
      <c r="AL28" s="110">
        <v>1</v>
      </c>
      <c r="AM28" s="110">
        <v>21</v>
      </c>
      <c r="AN28" s="110">
        <v>1</v>
      </c>
      <c r="AO28" s="110">
        <v>21</v>
      </c>
      <c r="AP28" s="110">
        <v>0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9</v>
      </c>
      <c r="D29" s="125">
        <f>C$28</f>
        <v>13</v>
      </c>
      <c r="E29" s="125">
        <f t="shared" ref="E29:AY29" si="9">D$28</f>
        <v>9</v>
      </c>
      <c r="F29" s="125">
        <f t="shared" si="9"/>
        <v>13</v>
      </c>
      <c r="G29" s="125">
        <f t="shared" si="9"/>
        <v>9</v>
      </c>
      <c r="H29" s="125">
        <f t="shared" si="9"/>
        <v>0</v>
      </c>
      <c r="I29" s="125">
        <f t="shared" si="9"/>
        <v>21</v>
      </c>
      <c r="J29" s="125">
        <f t="shared" si="9"/>
        <v>1</v>
      </c>
      <c r="K29" s="125">
        <f t="shared" si="9"/>
        <v>17</v>
      </c>
      <c r="L29" s="125">
        <f t="shared" si="9"/>
        <v>5</v>
      </c>
      <c r="M29" s="125">
        <f t="shared" si="9"/>
        <v>17</v>
      </c>
      <c r="N29" s="125">
        <f t="shared" si="9"/>
        <v>5</v>
      </c>
      <c r="O29" s="125">
        <f t="shared" si="9"/>
        <v>0</v>
      </c>
      <c r="P29" s="125">
        <f t="shared" si="9"/>
        <v>21</v>
      </c>
      <c r="Q29" s="125">
        <f t="shared" si="9"/>
        <v>1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1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0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90</v>
      </c>
      <c r="E30" s="117">
        <f t="shared" ref="E30:AY30" si="10">E$27*$B$30</f>
        <v>130</v>
      </c>
      <c r="F30" s="117">
        <f t="shared" si="10"/>
        <v>90</v>
      </c>
      <c r="G30" s="117">
        <f t="shared" si="10"/>
        <v>130</v>
      </c>
      <c r="H30" s="117">
        <f t="shared" si="10"/>
        <v>220</v>
      </c>
      <c r="I30" s="117">
        <f t="shared" si="10"/>
        <v>10</v>
      </c>
      <c r="J30" s="117">
        <f t="shared" si="10"/>
        <v>210</v>
      </c>
      <c r="K30" s="117">
        <f t="shared" si="10"/>
        <v>50</v>
      </c>
      <c r="L30" s="117">
        <f t="shared" si="10"/>
        <v>170</v>
      </c>
      <c r="M30" s="117">
        <f t="shared" si="10"/>
        <v>50</v>
      </c>
      <c r="N30" s="117">
        <f t="shared" si="10"/>
        <v>170</v>
      </c>
      <c r="O30" s="117">
        <f t="shared" si="10"/>
        <v>220</v>
      </c>
      <c r="P30" s="117">
        <f t="shared" si="10"/>
        <v>10</v>
      </c>
      <c r="Q30" s="117">
        <f t="shared" si="10"/>
        <v>210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210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220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5510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93.391327226798651</v>
      </c>
      <c r="E33" s="124">
        <f>E$21*shipping_manufacturing!$D$27/100</f>
        <v>116.73915903349825</v>
      </c>
      <c r="F33" s="124">
        <f>F$21*shipping_manufacturing!$D$27/100</f>
        <v>116.73915903349825</v>
      </c>
      <c r="G33" s="124">
        <f>G$21*shipping_manufacturing!$D$27/100</f>
        <v>0</v>
      </c>
      <c r="H33" s="124">
        <f>H$21*shipping_manufacturing!$D$27/100</f>
        <v>116.73915903349825</v>
      </c>
      <c r="I33" s="124">
        <f>I$21*shipping_manufacturing!$D$27/100</f>
        <v>93.391327226798623</v>
      </c>
      <c r="J33" s="124">
        <f>J$21*shipping_manufacturing!$D$27/100</f>
        <v>93.391327226798623</v>
      </c>
      <c r="K33" s="124">
        <f>K$21*shipping_manufacturing!$D$27/100</f>
        <v>93.391327226798623</v>
      </c>
      <c r="L33" s="124">
        <f>L$21*shipping_manufacturing!$D$27/100</f>
        <v>93.391327226798623</v>
      </c>
      <c r="M33" s="124">
        <f>M$21*shipping_manufacturing!$D$27/100</f>
        <v>116.73915903349825</v>
      </c>
      <c r="N33" s="124">
        <f>N$21*shipping_manufacturing!$D$27/100</f>
        <v>0</v>
      </c>
      <c r="O33" s="124">
        <f>O$21*shipping_manufacturing!$D$27/100</f>
        <v>116.73915903349825</v>
      </c>
      <c r="P33" s="124">
        <f>P$21*shipping_manufacturing!$D$27/100</f>
        <v>116.73915903349825</v>
      </c>
      <c r="Q33" s="124">
        <f>Q$21*shipping_manufacturing!$D$27/100</f>
        <v>116.73915903349825</v>
      </c>
      <c r="R33" s="124">
        <f>R$21*shipping_manufacturing!$D$27/100</f>
        <v>116.73915903349825</v>
      </c>
      <c r="S33" s="124">
        <f>S$21*shipping_manufacturing!$D$27/100</f>
        <v>116.73915903349825</v>
      </c>
      <c r="T33" s="124">
        <f>T$21*shipping_manufacturing!$D$27/100</f>
        <v>116.73915903349825</v>
      </c>
      <c r="U33" s="124">
        <f>U$21*shipping_manufacturing!$D$27/100</f>
        <v>116.73915903349825</v>
      </c>
      <c r="V33" s="124">
        <f>V$21*shipping_manufacturing!$D$27/100</f>
        <v>116.73915903349825</v>
      </c>
      <c r="W33" s="124">
        <f>W$21*shipping_manufacturing!$D$27/100</f>
        <v>116.73915903349825</v>
      </c>
      <c r="X33" s="124">
        <f>X$21*shipping_manufacturing!$D$27/100</f>
        <v>116.73915903349825</v>
      </c>
      <c r="Y33" s="124">
        <f>Y$21*shipping_manufacturing!$D$27/100</f>
        <v>116.73915903349825</v>
      </c>
      <c r="Z33" s="124">
        <f>Z$21*shipping_manufacturing!$D$27/100</f>
        <v>116.73915903349825</v>
      </c>
      <c r="AA33" s="124">
        <f>AA$21*shipping_manufacturing!$D$27/100</f>
        <v>116.73915903349825</v>
      </c>
      <c r="AB33" s="124">
        <f>AB$21*shipping_manufacturing!$D$27/100</f>
        <v>116.73915903349825</v>
      </c>
      <c r="AC33" s="124">
        <f>AC$21*shipping_manufacturing!$D$27/100</f>
        <v>116.73915903349825</v>
      </c>
      <c r="AD33" s="124">
        <f>AD$21*shipping_manufacturing!$D$27/100</f>
        <v>116.73915903349825</v>
      </c>
      <c r="AE33" s="124">
        <f>AE$21*shipping_manufacturing!$D$27/100</f>
        <v>116.73915903349825</v>
      </c>
      <c r="AF33" s="124">
        <f>AF$21*shipping_manufacturing!$D$27/100</f>
        <v>116.73915903349825</v>
      </c>
      <c r="AG33" s="124">
        <f>AG$21*shipping_manufacturing!$D$27/100</f>
        <v>116.73915903349825</v>
      </c>
      <c r="AH33" s="124">
        <f>AH$21*shipping_manufacturing!$D$27/100</f>
        <v>116.73915903349825</v>
      </c>
      <c r="AI33" s="124">
        <f>AI$21*shipping_manufacturing!$D$27/100</f>
        <v>116.73915903349825</v>
      </c>
      <c r="AJ33" s="124">
        <f>AJ$21*shipping_manufacturing!$D$27/100</f>
        <v>116.73915903349825</v>
      </c>
      <c r="AK33" s="124">
        <f>AK$21*shipping_manufacturing!$D$27/100</f>
        <v>116.73915903349825</v>
      </c>
      <c r="AL33" s="124">
        <f>AL$21*shipping_manufacturing!$D$27/100</f>
        <v>116.73915903349825</v>
      </c>
      <c r="AM33" s="124">
        <f>AM$21*shipping_manufacturing!$D$27/100</f>
        <v>116.73915903349825</v>
      </c>
      <c r="AN33" s="124">
        <f>AN$21*shipping_manufacturing!$D$27/100</f>
        <v>116.73915903349825</v>
      </c>
      <c r="AO33" s="124">
        <f>AO$21*shipping_manufacturing!$D$27/100</f>
        <v>116.73915903349825</v>
      </c>
      <c r="AP33" s="124">
        <f>AP$21*shipping_manufacturing!$D$27/100</f>
        <v>0</v>
      </c>
      <c r="AQ33" s="124">
        <f>AQ$21*shipping_manufacturing!$D$27/100</f>
        <v>116.73915903349825</v>
      </c>
      <c r="AR33" s="124">
        <f>AR$21*shipping_manufacturing!$D$27/100</f>
        <v>116.73915903349825</v>
      </c>
      <c r="AS33" s="124">
        <f>AS$21*shipping_manufacturing!$D$27/100</f>
        <v>116.73915903349825</v>
      </c>
      <c r="AT33" s="124">
        <f>AT$21*shipping_manufacturing!$D$27/100</f>
        <v>116.73915903349825</v>
      </c>
      <c r="AU33" s="124">
        <f>AU$21*shipping_manufacturing!$D$27/100</f>
        <v>116.73915903349825</v>
      </c>
      <c r="AV33" s="124">
        <f>AV$21*shipping_manufacturing!$D$27/100</f>
        <v>116.73915903349825</v>
      </c>
      <c r="AW33" s="124">
        <f>AW$21*shipping_manufacturing!$D$27/100</f>
        <v>116.73915903349825</v>
      </c>
      <c r="AX33" s="124">
        <f>AX$21*shipping_manufacturing!$D$27/100</f>
        <v>116.73915903349825</v>
      </c>
      <c r="AY33" s="124">
        <f>AY$21*shipping_manufacturing!$D$27/100</f>
        <v>116.73915903349825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94.945241259661827</v>
      </c>
      <c r="E34" s="110">
        <f>E$22*shipping_manufacturing!$E$27/100</f>
        <v>118.68155157457724</v>
      </c>
      <c r="F34" s="110">
        <f>F$22*shipping_manufacturing!$E$27/100</f>
        <v>118.68155157457724</v>
      </c>
      <c r="G34" s="110">
        <f>G$22*shipping_manufacturing!$E$27/100</f>
        <v>0</v>
      </c>
      <c r="H34" s="110">
        <f>H$22*shipping_manufacturing!$E$27/100</f>
        <v>118.68155157457724</v>
      </c>
      <c r="I34" s="110">
        <f>I$22*shipping_manufacturing!$E$27/100</f>
        <v>94.945241259661813</v>
      </c>
      <c r="J34" s="110">
        <f>J$22*shipping_manufacturing!$E$27/100</f>
        <v>94.945241259661813</v>
      </c>
      <c r="K34" s="110">
        <f>K$22*shipping_manufacturing!$E$27/100</f>
        <v>94.945241259661813</v>
      </c>
      <c r="L34" s="110">
        <f>L$22*shipping_manufacturing!$E$27/100</f>
        <v>94.945241259661813</v>
      </c>
      <c r="M34" s="110">
        <f>M$22*shipping_manufacturing!$E$27/100</f>
        <v>118.68155157457724</v>
      </c>
      <c r="N34" s="110">
        <f>N$22*shipping_manufacturing!$E$27/100</f>
        <v>0</v>
      </c>
      <c r="O34" s="110">
        <f>O$22*shipping_manufacturing!$E$27/100</f>
        <v>118.68155157457724</v>
      </c>
      <c r="P34" s="110">
        <f>P$22*shipping_manufacturing!$E$27/100</f>
        <v>118.68155157457724</v>
      </c>
      <c r="Q34" s="110">
        <f>Q$22*shipping_manufacturing!$E$27/100</f>
        <v>118.68155157457724</v>
      </c>
      <c r="R34" s="110">
        <f>R$22*shipping_manufacturing!$E$27/100</f>
        <v>118.68155157457724</v>
      </c>
      <c r="S34" s="110">
        <f>S$22*shipping_manufacturing!$E$27/100</f>
        <v>118.68155157457724</v>
      </c>
      <c r="T34" s="110">
        <f>T$22*shipping_manufacturing!$E$27/100</f>
        <v>118.68155157457724</v>
      </c>
      <c r="U34" s="110">
        <f>U$22*shipping_manufacturing!$E$27/100</f>
        <v>118.68155157457724</v>
      </c>
      <c r="V34" s="110">
        <f>V$22*shipping_manufacturing!$E$27/100</f>
        <v>118.68155157457724</v>
      </c>
      <c r="W34" s="110">
        <f>W$22*shipping_manufacturing!$E$27/100</f>
        <v>118.68155157457724</v>
      </c>
      <c r="X34" s="110">
        <f>X$22*shipping_manufacturing!$E$27/100</f>
        <v>118.68155157457724</v>
      </c>
      <c r="Y34" s="110">
        <f>Y$22*shipping_manufacturing!$E$27/100</f>
        <v>118.68155157457724</v>
      </c>
      <c r="Z34" s="110">
        <f>Z$22*shipping_manufacturing!$E$27/100</f>
        <v>118.68155157457724</v>
      </c>
      <c r="AA34" s="110">
        <f>AA$22*shipping_manufacturing!$E$27/100</f>
        <v>118.68155157457724</v>
      </c>
      <c r="AB34" s="110">
        <f>AB$22*shipping_manufacturing!$E$27/100</f>
        <v>118.68155157457724</v>
      </c>
      <c r="AC34" s="110">
        <f>AC$22*shipping_manufacturing!$E$27/100</f>
        <v>118.68155157457724</v>
      </c>
      <c r="AD34" s="110">
        <f>AD$22*shipping_manufacturing!$E$27/100</f>
        <v>118.68155157457724</v>
      </c>
      <c r="AE34" s="110">
        <f>AE$22*shipping_manufacturing!$E$27/100</f>
        <v>118.68155157457724</v>
      </c>
      <c r="AF34" s="110">
        <f>AF$22*shipping_manufacturing!$E$27/100</f>
        <v>118.68155157457724</v>
      </c>
      <c r="AG34" s="110">
        <f>AG$22*shipping_manufacturing!$E$27/100</f>
        <v>118.68155157457724</v>
      </c>
      <c r="AH34" s="110">
        <f>AH$22*shipping_manufacturing!$E$27/100</f>
        <v>118.68155157457724</v>
      </c>
      <c r="AI34" s="110">
        <f>AI$22*shipping_manufacturing!$E$27/100</f>
        <v>118.68155157457724</v>
      </c>
      <c r="AJ34" s="110">
        <f>AJ$22*shipping_manufacturing!$E$27/100</f>
        <v>118.68155157457724</v>
      </c>
      <c r="AK34" s="110">
        <f>AK$22*shipping_manufacturing!$E$27/100</f>
        <v>118.68155157457724</v>
      </c>
      <c r="AL34" s="110">
        <f>AL$22*shipping_manufacturing!$E$27/100</f>
        <v>118.68155157457724</v>
      </c>
      <c r="AM34" s="110">
        <f>AM$22*shipping_manufacturing!$E$27/100</f>
        <v>118.68155157457724</v>
      </c>
      <c r="AN34" s="110">
        <f>AN$22*shipping_manufacturing!$E$27/100</f>
        <v>118.68155157457724</v>
      </c>
      <c r="AO34" s="110">
        <f>AO$22*shipping_manufacturing!$E$27/100</f>
        <v>118.68155157457724</v>
      </c>
      <c r="AP34" s="110">
        <f>AP$22*shipping_manufacturing!$E$27/100</f>
        <v>0</v>
      </c>
      <c r="AQ34" s="110">
        <f>AQ$22*shipping_manufacturing!$E$27/100</f>
        <v>118.68155157457724</v>
      </c>
      <c r="AR34" s="110">
        <f>AR$22*shipping_manufacturing!$E$27/100</f>
        <v>118.68155157457724</v>
      </c>
      <c r="AS34" s="110">
        <f>AS$22*shipping_manufacturing!$E$27/100</f>
        <v>118.68155157457724</v>
      </c>
      <c r="AT34" s="110">
        <f>AT$22*shipping_manufacturing!$E$27/100</f>
        <v>118.68155157457724</v>
      </c>
      <c r="AU34" s="110">
        <f>AU$22*shipping_manufacturing!$E$27/100</f>
        <v>118.68155157457724</v>
      </c>
      <c r="AV34" s="110">
        <f>AV$22*shipping_manufacturing!$E$27/100</f>
        <v>118.68155157457724</v>
      </c>
      <c r="AW34" s="110">
        <f>AW$22*shipping_manufacturing!$E$27/100</f>
        <v>118.68155157457724</v>
      </c>
      <c r="AX34" s="110">
        <f>AX$22*shipping_manufacturing!$E$27/100</f>
        <v>118.68155157457724</v>
      </c>
      <c r="AY34" s="110">
        <f>AY$22*shipping_manufacturing!$E$27/100</f>
        <v>118.68155157457724</v>
      </c>
    </row>
    <row r="35" spans="1:52">
      <c r="A35" s="110">
        <v>1225</v>
      </c>
      <c r="B35" s="165" t="s">
        <v>343</v>
      </c>
      <c r="C35" s="110"/>
      <c r="D35" s="110">
        <f>SUM(D33:D34)</f>
        <v>188.33656848646046</v>
      </c>
      <c r="E35" s="110">
        <f t="shared" ref="E35:AY35" si="11">SUM(E33:E34)</f>
        <v>235.4207106080755</v>
      </c>
      <c r="F35" s="110">
        <f t="shared" si="11"/>
        <v>235.4207106080755</v>
      </c>
      <c r="G35" s="110">
        <f t="shared" si="11"/>
        <v>0</v>
      </c>
      <c r="H35" s="110">
        <f t="shared" si="11"/>
        <v>235.4207106080755</v>
      </c>
      <c r="I35" s="110">
        <f t="shared" si="11"/>
        <v>188.33656848646044</v>
      </c>
      <c r="J35" s="110">
        <f t="shared" si="11"/>
        <v>188.33656848646044</v>
      </c>
      <c r="K35" s="110">
        <f t="shared" si="11"/>
        <v>188.33656848646044</v>
      </c>
      <c r="L35" s="110">
        <f t="shared" si="11"/>
        <v>188.33656848646044</v>
      </c>
      <c r="M35" s="110">
        <f t="shared" si="11"/>
        <v>235.4207106080755</v>
      </c>
      <c r="N35" s="110">
        <f t="shared" si="11"/>
        <v>0</v>
      </c>
      <c r="O35" s="110">
        <f t="shared" si="11"/>
        <v>235.4207106080755</v>
      </c>
      <c r="P35" s="110">
        <f t="shared" si="11"/>
        <v>235.4207106080755</v>
      </c>
      <c r="Q35" s="110">
        <f t="shared" si="11"/>
        <v>235.4207106080755</v>
      </c>
      <c r="R35" s="110">
        <f t="shared" si="11"/>
        <v>235.4207106080755</v>
      </c>
      <c r="S35" s="110">
        <f t="shared" si="11"/>
        <v>235.4207106080755</v>
      </c>
      <c r="T35" s="110">
        <f t="shared" si="11"/>
        <v>235.4207106080755</v>
      </c>
      <c r="U35" s="110">
        <f t="shared" si="11"/>
        <v>235.4207106080755</v>
      </c>
      <c r="V35" s="110">
        <f t="shared" si="11"/>
        <v>235.4207106080755</v>
      </c>
      <c r="W35" s="110">
        <f t="shared" si="11"/>
        <v>235.4207106080755</v>
      </c>
      <c r="X35" s="110">
        <f t="shared" si="11"/>
        <v>235.4207106080755</v>
      </c>
      <c r="Y35" s="110">
        <f t="shared" si="11"/>
        <v>235.4207106080755</v>
      </c>
      <c r="Z35" s="110">
        <f t="shared" si="11"/>
        <v>235.4207106080755</v>
      </c>
      <c r="AA35" s="110">
        <f t="shared" si="11"/>
        <v>235.4207106080755</v>
      </c>
      <c r="AB35" s="110">
        <f t="shared" si="11"/>
        <v>235.4207106080755</v>
      </c>
      <c r="AC35" s="110">
        <f t="shared" si="11"/>
        <v>235.4207106080755</v>
      </c>
      <c r="AD35" s="110">
        <f t="shared" si="11"/>
        <v>235.4207106080755</v>
      </c>
      <c r="AE35" s="110">
        <f t="shared" si="11"/>
        <v>235.4207106080755</v>
      </c>
      <c r="AF35" s="110">
        <f t="shared" si="11"/>
        <v>235.4207106080755</v>
      </c>
      <c r="AG35" s="110">
        <f t="shared" si="11"/>
        <v>235.4207106080755</v>
      </c>
      <c r="AH35" s="110">
        <f t="shared" si="11"/>
        <v>235.4207106080755</v>
      </c>
      <c r="AI35" s="110">
        <f t="shared" si="11"/>
        <v>235.4207106080755</v>
      </c>
      <c r="AJ35" s="110">
        <f t="shared" si="11"/>
        <v>235.4207106080755</v>
      </c>
      <c r="AK35" s="110">
        <f t="shared" si="11"/>
        <v>235.4207106080755</v>
      </c>
      <c r="AL35" s="110">
        <f t="shared" si="11"/>
        <v>235.4207106080755</v>
      </c>
      <c r="AM35" s="110">
        <f t="shared" si="11"/>
        <v>235.4207106080755</v>
      </c>
      <c r="AN35" s="110">
        <f t="shared" si="11"/>
        <v>235.4207106080755</v>
      </c>
      <c r="AO35" s="110">
        <f t="shared" si="11"/>
        <v>235.4207106080755</v>
      </c>
      <c r="AP35" s="110">
        <f t="shared" si="11"/>
        <v>0</v>
      </c>
      <c r="AQ35" s="110">
        <f t="shared" si="11"/>
        <v>235.4207106080755</v>
      </c>
      <c r="AR35" s="110">
        <f t="shared" si="11"/>
        <v>235.4207106080755</v>
      </c>
      <c r="AS35" s="110">
        <f t="shared" si="11"/>
        <v>235.4207106080755</v>
      </c>
      <c r="AT35" s="110">
        <f t="shared" si="11"/>
        <v>235.4207106080755</v>
      </c>
      <c r="AU35" s="110">
        <f t="shared" si="11"/>
        <v>235.4207106080755</v>
      </c>
      <c r="AV35" s="110">
        <f t="shared" si="11"/>
        <v>235.4207106080755</v>
      </c>
      <c r="AW35" s="110">
        <f t="shared" si="11"/>
        <v>235.4207106080755</v>
      </c>
      <c r="AX35" s="110">
        <f t="shared" si="11"/>
        <v>235.4207106080755</v>
      </c>
      <c r="AY35" s="110">
        <f t="shared" si="11"/>
        <v>235.4207106080755</v>
      </c>
    </row>
    <row r="36" spans="1:52">
      <c r="A36" s="110"/>
      <c r="B36" s="165" t="s">
        <v>344</v>
      </c>
      <c r="C36" s="110"/>
      <c r="D36" s="110">
        <v>44.628717184130551</v>
      </c>
      <c r="E36" s="110">
        <v>59.504956245507387</v>
      </c>
      <c r="F36" s="110">
        <v>29.752478122753697</v>
      </c>
      <c r="G36" s="110"/>
      <c r="H36" s="110">
        <v>116.73915903349825</v>
      </c>
      <c r="I36" s="110"/>
      <c r="J36" s="110">
        <v>93.391327226798623</v>
      </c>
      <c r="K36" s="110">
        <v>14.876239061376848</v>
      </c>
      <c r="L36" s="110">
        <v>93.391327226798623</v>
      </c>
      <c r="M36" s="110"/>
      <c r="N36" s="110"/>
      <c r="O36" s="110">
        <v>116.73915903349825</v>
      </c>
      <c r="P36" s="110"/>
      <c r="Q36" s="110">
        <v>116.73915903349825</v>
      </c>
      <c r="R36" s="110"/>
      <c r="S36" s="110">
        <v>116.73915903349825</v>
      </c>
      <c r="T36" s="110"/>
      <c r="U36" s="110">
        <v>116.73915903349825</v>
      </c>
      <c r="V36" s="110"/>
      <c r="W36" s="110">
        <v>116.73915903349825</v>
      </c>
      <c r="X36" s="110"/>
      <c r="Y36" s="110">
        <v>116.73915903349825</v>
      </c>
      <c r="Z36" s="110"/>
      <c r="AA36" s="110">
        <v>116.73915903349825</v>
      </c>
      <c r="AB36" s="110"/>
      <c r="AC36" s="110">
        <v>116.73915903349825</v>
      </c>
      <c r="AD36" s="110"/>
      <c r="AE36" s="110">
        <v>116.73915903349825</v>
      </c>
      <c r="AF36" s="110"/>
      <c r="AG36" s="110">
        <v>116.73915903349825</v>
      </c>
      <c r="AH36" s="110"/>
      <c r="AI36" s="110">
        <v>116.73915903349825</v>
      </c>
      <c r="AJ36" s="110"/>
      <c r="AK36" s="110">
        <v>116.73915903349825</v>
      </c>
      <c r="AL36" s="110"/>
      <c r="AM36" s="110">
        <v>116.73915903349825</v>
      </c>
      <c r="AN36" s="110"/>
      <c r="AO36" s="110">
        <v>116.73915903349825</v>
      </c>
      <c r="AP36" s="110"/>
      <c r="AQ36" s="110">
        <v>116.73915903349825</v>
      </c>
      <c r="AR36" s="110"/>
      <c r="AS36" s="110">
        <v>116.73915903349825</v>
      </c>
      <c r="AT36" s="110"/>
      <c r="AU36" s="110">
        <v>116.73915903349825</v>
      </c>
      <c r="AV36" s="110"/>
      <c r="AW36" s="110">
        <v>116.73915903349825</v>
      </c>
      <c r="AX36" s="110"/>
      <c r="AY36" s="110">
        <v>116.73915903349825</v>
      </c>
    </row>
    <row r="37" spans="1:52">
      <c r="A37" s="110"/>
      <c r="B37" s="165" t="s">
        <v>345</v>
      </c>
      <c r="C37" s="110"/>
      <c r="D37" s="110">
        <v>45.371282815869456</v>
      </c>
      <c r="E37" s="110">
        <v>60.495043754492613</v>
      </c>
      <c r="F37" s="110">
        <v>30.247521877246303</v>
      </c>
      <c r="G37" s="110"/>
      <c r="H37" s="110">
        <v>118.68155157457724</v>
      </c>
      <c r="I37" s="110"/>
      <c r="J37" s="110">
        <v>94.945241259661813</v>
      </c>
      <c r="K37" s="110">
        <v>15.123760938623152</v>
      </c>
      <c r="L37" s="110">
        <v>94.945241259661813</v>
      </c>
      <c r="M37" s="110"/>
      <c r="N37" s="110"/>
      <c r="O37" s="110">
        <v>118.68155157457724</v>
      </c>
      <c r="P37" s="110"/>
      <c r="Q37" s="110">
        <v>118.68155157457724</v>
      </c>
      <c r="R37" s="110"/>
      <c r="S37" s="110">
        <v>118.68155157457724</v>
      </c>
      <c r="T37" s="110"/>
      <c r="U37" s="110">
        <v>118.68155157457724</v>
      </c>
      <c r="V37" s="110"/>
      <c r="W37" s="110">
        <v>118.68155157457724</v>
      </c>
      <c r="X37" s="110"/>
      <c r="Y37" s="110">
        <v>118.68155157457724</v>
      </c>
      <c r="Z37" s="110"/>
      <c r="AA37" s="110">
        <v>118.68155157457724</v>
      </c>
      <c r="AB37" s="110"/>
      <c r="AC37" s="110">
        <v>118.68155157457724</v>
      </c>
      <c r="AD37" s="110"/>
      <c r="AE37" s="110">
        <v>118.68155157457724</v>
      </c>
      <c r="AF37" s="110"/>
      <c r="AG37" s="110">
        <v>118.68155157457724</v>
      </c>
      <c r="AH37" s="110"/>
      <c r="AI37" s="110">
        <v>118.68155157457724</v>
      </c>
      <c r="AJ37" s="110"/>
      <c r="AK37" s="110">
        <v>118.68155157457724</v>
      </c>
      <c r="AL37" s="110"/>
      <c r="AM37" s="110">
        <v>118.68155157457724</v>
      </c>
      <c r="AN37" s="110"/>
      <c r="AO37" s="110">
        <v>118.68155157457724</v>
      </c>
      <c r="AP37" s="110"/>
      <c r="AQ37" s="110">
        <v>118.68155157457724</v>
      </c>
      <c r="AR37" s="110"/>
      <c r="AS37" s="110">
        <v>118.68155157457724</v>
      </c>
      <c r="AT37" s="110"/>
      <c r="AU37" s="110">
        <v>118.68155157457724</v>
      </c>
      <c r="AV37" s="110"/>
      <c r="AW37" s="110">
        <v>118.68155157457724</v>
      </c>
      <c r="AX37" s="110"/>
      <c r="AY37" s="110">
        <v>118.68155157457724</v>
      </c>
    </row>
    <row r="38" spans="1:52">
      <c r="A38" s="110"/>
      <c r="B38" s="165" t="s">
        <v>346</v>
      </c>
      <c r="C38" s="110"/>
      <c r="D38" s="110">
        <v>3</v>
      </c>
      <c r="E38" s="110">
        <v>4</v>
      </c>
      <c r="F38" s="110">
        <v>2</v>
      </c>
      <c r="G38" s="110"/>
      <c r="H38" s="110">
        <v>8</v>
      </c>
      <c r="I38" s="110"/>
      <c r="J38" s="110">
        <v>7</v>
      </c>
      <c r="K38" s="110">
        <v>1</v>
      </c>
      <c r="L38" s="110">
        <v>7</v>
      </c>
      <c r="M38" s="110"/>
      <c r="N38" s="110"/>
      <c r="O38" s="110">
        <v>8</v>
      </c>
      <c r="P38" s="110"/>
      <c r="Q38" s="110">
        <v>8</v>
      </c>
      <c r="R38" s="110"/>
      <c r="S38" s="110">
        <v>8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>
        <v>8</v>
      </c>
      <c r="AH38" s="110"/>
      <c r="AI38" s="110">
        <v>8</v>
      </c>
      <c r="AJ38" s="110"/>
      <c r="AK38" s="110">
        <v>8</v>
      </c>
      <c r="AL38" s="110"/>
      <c r="AM38" s="110">
        <v>8</v>
      </c>
      <c r="AN38" s="110"/>
      <c r="AO38" s="110">
        <v>8</v>
      </c>
      <c r="AP38" s="110"/>
      <c r="AQ38" s="110">
        <v>8</v>
      </c>
      <c r="AR38" s="110"/>
      <c r="AS38" s="110">
        <v>8</v>
      </c>
      <c r="AT38" s="110"/>
      <c r="AU38" s="110">
        <v>8</v>
      </c>
      <c r="AV38" s="110"/>
      <c r="AW38" s="110">
        <v>8</v>
      </c>
      <c r="AX38" s="110"/>
      <c r="AY38" s="110">
        <v>8</v>
      </c>
    </row>
    <row r="39" spans="1:52">
      <c r="A39" s="110"/>
      <c r="B39" s="165" t="s">
        <v>347</v>
      </c>
      <c r="C39" s="110"/>
      <c r="D39" s="110">
        <f>D33-D36</f>
        <v>48.762610042668101</v>
      </c>
      <c r="E39" s="110">
        <f t="shared" ref="E39:AY39" si="12">E33-E36</f>
        <v>57.234202787990867</v>
      </c>
      <c r="F39" s="110">
        <f t="shared" si="12"/>
        <v>86.986680910744553</v>
      </c>
      <c r="G39" s="110">
        <f t="shared" si="12"/>
        <v>0</v>
      </c>
      <c r="H39" s="110">
        <f t="shared" si="12"/>
        <v>0</v>
      </c>
      <c r="I39" s="110">
        <f t="shared" si="12"/>
        <v>93.391327226798623</v>
      </c>
      <c r="J39" s="110">
        <f t="shared" si="12"/>
        <v>0</v>
      </c>
      <c r="K39" s="110">
        <f t="shared" si="12"/>
        <v>78.515088165421773</v>
      </c>
      <c r="L39" s="110">
        <f t="shared" si="12"/>
        <v>0</v>
      </c>
      <c r="M39" s="110">
        <f t="shared" si="12"/>
        <v>116.73915903349825</v>
      </c>
      <c r="N39" s="110">
        <f t="shared" si="12"/>
        <v>0</v>
      </c>
      <c r="O39" s="110">
        <f t="shared" si="12"/>
        <v>0</v>
      </c>
      <c r="P39" s="110">
        <f t="shared" si="12"/>
        <v>116.73915903349825</v>
      </c>
      <c r="Q39" s="110">
        <f t="shared" si="12"/>
        <v>0</v>
      </c>
      <c r="R39" s="110">
        <f t="shared" si="12"/>
        <v>116.73915903349825</v>
      </c>
      <c r="S39" s="110">
        <f t="shared" si="12"/>
        <v>0</v>
      </c>
      <c r="T39" s="110">
        <f t="shared" si="12"/>
        <v>116.73915903349825</v>
      </c>
      <c r="U39" s="110">
        <f t="shared" si="12"/>
        <v>0</v>
      </c>
      <c r="V39" s="110">
        <f t="shared" si="12"/>
        <v>116.73915903349825</v>
      </c>
      <c r="W39" s="110">
        <f t="shared" si="12"/>
        <v>0</v>
      </c>
      <c r="X39" s="110">
        <f t="shared" si="12"/>
        <v>116.73915903349825</v>
      </c>
      <c r="Y39" s="110">
        <f t="shared" si="12"/>
        <v>0</v>
      </c>
      <c r="Z39" s="110">
        <f t="shared" si="12"/>
        <v>116.73915903349825</v>
      </c>
      <c r="AA39" s="110">
        <f t="shared" si="12"/>
        <v>0</v>
      </c>
      <c r="AB39" s="110">
        <f t="shared" si="12"/>
        <v>116.73915903349825</v>
      </c>
      <c r="AC39" s="110">
        <f t="shared" si="12"/>
        <v>0</v>
      </c>
      <c r="AD39" s="110">
        <f t="shared" si="12"/>
        <v>116.73915903349825</v>
      </c>
      <c r="AE39" s="110">
        <f t="shared" si="12"/>
        <v>0</v>
      </c>
      <c r="AF39" s="110">
        <f t="shared" si="12"/>
        <v>116.73915903349825</v>
      </c>
      <c r="AG39" s="110">
        <f t="shared" si="12"/>
        <v>0</v>
      </c>
      <c r="AH39" s="110">
        <f t="shared" si="12"/>
        <v>116.73915903349825</v>
      </c>
      <c r="AI39" s="110">
        <f t="shared" si="12"/>
        <v>0</v>
      </c>
      <c r="AJ39" s="110">
        <f t="shared" si="12"/>
        <v>116.73915903349825</v>
      </c>
      <c r="AK39" s="110">
        <f t="shared" si="12"/>
        <v>0</v>
      </c>
      <c r="AL39" s="110">
        <f t="shared" si="12"/>
        <v>116.73915903349825</v>
      </c>
      <c r="AM39" s="110">
        <f t="shared" si="12"/>
        <v>0</v>
      </c>
      <c r="AN39" s="110">
        <f t="shared" si="12"/>
        <v>116.73915903349825</v>
      </c>
      <c r="AO39" s="110">
        <f t="shared" si="12"/>
        <v>0</v>
      </c>
      <c r="AP39" s="110">
        <f t="shared" si="12"/>
        <v>0</v>
      </c>
      <c r="AQ39" s="110">
        <f t="shared" si="12"/>
        <v>0</v>
      </c>
      <c r="AR39" s="110">
        <f t="shared" si="12"/>
        <v>116.73915903349825</v>
      </c>
      <c r="AS39" s="110">
        <f t="shared" si="12"/>
        <v>0</v>
      </c>
      <c r="AT39" s="110">
        <f t="shared" si="12"/>
        <v>116.73915903349825</v>
      </c>
      <c r="AU39" s="110">
        <f t="shared" si="12"/>
        <v>0</v>
      </c>
      <c r="AV39" s="110">
        <f t="shared" si="12"/>
        <v>116.73915903349825</v>
      </c>
      <c r="AW39" s="110">
        <f t="shared" si="12"/>
        <v>0</v>
      </c>
      <c r="AX39" s="110">
        <f t="shared" si="12"/>
        <v>116.73915903349825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49.573958443792371</v>
      </c>
      <c r="E40" s="110">
        <f t="shared" ref="E40:AY40" si="13">E34-E37</f>
        <v>58.186507820084628</v>
      </c>
      <c r="F40" s="110">
        <f t="shared" si="13"/>
        <v>88.434029697330942</v>
      </c>
      <c r="G40" s="110">
        <f t="shared" si="13"/>
        <v>0</v>
      </c>
      <c r="H40" s="110">
        <f t="shared" si="13"/>
        <v>0</v>
      </c>
      <c r="I40" s="110">
        <f t="shared" si="13"/>
        <v>94.945241259661813</v>
      </c>
      <c r="J40" s="110">
        <f t="shared" si="13"/>
        <v>0</v>
      </c>
      <c r="K40" s="110">
        <f t="shared" si="13"/>
        <v>79.821480321038663</v>
      </c>
      <c r="L40" s="110">
        <f t="shared" si="13"/>
        <v>0</v>
      </c>
      <c r="M40" s="110">
        <f t="shared" si="13"/>
        <v>118.68155157457724</v>
      </c>
      <c r="N40" s="110">
        <f t="shared" si="13"/>
        <v>0</v>
      </c>
      <c r="O40" s="110">
        <f t="shared" si="13"/>
        <v>0</v>
      </c>
      <c r="P40" s="110">
        <f t="shared" si="13"/>
        <v>118.68155157457724</v>
      </c>
      <c r="Q40" s="110">
        <f t="shared" si="13"/>
        <v>0</v>
      </c>
      <c r="R40" s="110">
        <f t="shared" si="13"/>
        <v>118.68155157457724</v>
      </c>
      <c r="S40" s="110">
        <f t="shared" si="13"/>
        <v>0</v>
      </c>
      <c r="T40" s="110">
        <f t="shared" si="13"/>
        <v>118.68155157457724</v>
      </c>
      <c r="U40" s="110">
        <f t="shared" si="13"/>
        <v>0</v>
      </c>
      <c r="V40" s="110">
        <f t="shared" si="13"/>
        <v>118.68155157457724</v>
      </c>
      <c r="W40" s="110">
        <f t="shared" si="13"/>
        <v>0</v>
      </c>
      <c r="X40" s="110">
        <f t="shared" si="13"/>
        <v>118.68155157457724</v>
      </c>
      <c r="Y40" s="110">
        <f t="shared" si="13"/>
        <v>0</v>
      </c>
      <c r="Z40" s="110">
        <f t="shared" si="13"/>
        <v>118.68155157457724</v>
      </c>
      <c r="AA40" s="110">
        <f t="shared" si="13"/>
        <v>0</v>
      </c>
      <c r="AB40" s="110">
        <f t="shared" si="13"/>
        <v>118.68155157457724</v>
      </c>
      <c r="AC40" s="110">
        <f t="shared" si="13"/>
        <v>0</v>
      </c>
      <c r="AD40" s="110">
        <f t="shared" si="13"/>
        <v>118.68155157457724</v>
      </c>
      <c r="AE40" s="110">
        <f t="shared" si="13"/>
        <v>0</v>
      </c>
      <c r="AF40" s="110">
        <f t="shared" si="13"/>
        <v>118.68155157457724</v>
      </c>
      <c r="AG40" s="110">
        <f t="shared" si="13"/>
        <v>0</v>
      </c>
      <c r="AH40" s="110">
        <f t="shared" si="13"/>
        <v>118.68155157457724</v>
      </c>
      <c r="AI40" s="110">
        <f t="shared" si="13"/>
        <v>0</v>
      </c>
      <c r="AJ40" s="110">
        <f t="shared" si="13"/>
        <v>118.68155157457724</v>
      </c>
      <c r="AK40" s="110">
        <f t="shared" si="13"/>
        <v>0</v>
      </c>
      <c r="AL40" s="110">
        <f t="shared" si="13"/>
        <v>118.68155157457724</v>
      </c>
      <c r="AM40" s="110">
        <f t="shared" si="13"/>
        <v>0</v>
      </c>
      <c r="AN40" s="110">
        <f t="shared" si="13"/>
        <v>118.68155157457724</v>
      </c>
      <c r="AO40" s="110">
        <f t="shared" si="13"/>
        <v>0</v>
      </c>
      <c r="AP40" s="110">
        <f t="shared" si="13"/>
        <v>0</v>
      </c>
      <c r="AQ40" s="110">
        <f t="shared" si="13"/>
        <v>0</v>
      </c>
      <c r="AR40" s="110">
        <f t="shared" si="13"/>
        <v>118.68155157457724</v>
      </c>
      <c r="AS40" s="110">
        <f t="shared" si="13"/>
        <v>0</v>
      </c>
      <c r="AT40" s="110">
        <f t="shared" si="13"/>
        <v>118.68155157457724</v>
      </c>
      <c r="AU40" s="110">
        <f t="shared" si="13"/>
        <v>0</v>
      </c>
      <c r="AV40" s="110">
        <f t="shared" si="13"/>
        <v>118.68155157457724</v>
      </c>
      <c r="AW40" s="110">
        <f t="shared" si="13"/>
        <v>0</v>
      </c>
      <c r="AX40" s="110">
        <f t="shared" si="13"/>
        <v>118.68155157457724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1</v>
      </c>
      <c r="G41" s="110">
        <v>2</v>
      </c>
      <c r="H41" s="110">
        <v>2</v>
      </c>
      <c r="I41" s="110">
        <v>1</v>
      </c>
      <c r="J41" s="110">
        <v>1</v>
      </c>
      <c r="K41" s="110">
        <v>1</v>
      </c>
      <c r="L41" s="110">
        <v>1</v>
      </c>
      <c r="M41" s="110">
        <v>1</v>
      </c>
      <c r="N41" s="110">
        <v>1</v>
      </c>
      <c r="O41" s="110">
        <v>1</v>
      </c>
      <c r="P41" s="110">
        <v>1</v>
      </c>
      <c r="Q41" s="110">
        <v>2</v>
      </c>
      <c r="R41" s="110">
        <v>2</v>
      </c>
      <c r="S41" s="110">
        <v>2</v>
      </c>
      <c r="T41" s="110">
        <v>2</v>
      </c>
      <c r="U41" s="110">
        <v>2</v>
      </c>
      <c r="V41" s="110">
        <v>1</v>
      </c>
      <c r="W41" s="110">
        <v>1</v>
      </c>
      <c r="X41" s="110">
        <v>1</v>
      </c>
      <c r="Y41" s="110">
        <v>1</v>
      </c>
      <c r="Z41" s="110">
        <v>1</v>
      </c>
      <c r="AA41" s="110">
        <v>3</v>
      </c>
      <c r="AB41" s="110">
        <v>3</v>
      </c>
      <c r="AC41" s="110">
        <v>1</v>
      </c>
      <c r="AD41" s="110">
        <v>1</v>
      </c>
      <c r="AE41" s="110">
        <v>1</v>
      </c>
      <c r="AF41" s="110">
        <v>3</v>
      </c>
      <c r="AG41" s="110">
        <v>1</v>
      </c>
      <c r="AH41" s="110">
        <v>2</v>
      </c>
      <c r="AI41" s="110">
        <v>3</v>
      </c>
      <c r="AJ41" s="110">
        <v>1</v>
      </c>
      <c r="AK41" s="110">
        <v>1</v>
      </c>
      <c r="AL41" s="110">
        <v>1</v>
      </c>
      <c r="AM41" s="110">
        <v>1</v>
      </c>
      <c r="AN41" s="110">
        <v>3</v>
      </c>
      <c r="AO41" s="110">
        <v>2</v>
      </c>
      <c r="AP41" s="110">
        <v>1</v>
      </c>
      <c r="AQ41" s="110">
        <v>2</v>
      </c>
      <c r="AR41" s="110">
        <v>1</v>
      </c>
      <c r="AS41" s="110">
        <v>1</v>
      </c>
      <c r="AT41" s="110">
        <v>2</v>
      </c>
      <c r="AU41" s="110">
        <v>2</v>
      </c>
      <c r="AV41" s="110">
        <v>2</v>
      </c>
      <c r="AW41" s="110">
        <v>1</v>
      </c>
      <c r="AX41" s="110">
        <v>2</v>
      </c>
      <c r="AY41" s="110">
        <v>1</v>
      </c>
    </row>
    <row r="42" spans="1:52">
      <c r="A42" s="110"/>
      <c r="B42" s="178" t="s">
        <v>350</v>
      </c>
      <c r="C42" s="110"/>
      <c r="D42" s="110">
        <v>132300</v>
      </c>
      <c r="E42" s="110">
        <v>176400</v>
      </c>
      <c r="F42" s="110">
        <v>88200</v>
      </c>
      <c r="G42" s="110">
        <v>0</v>
      </c>
      <c r="H42" s="110">
        <v>352800</v>
      </c>
      <c r="I42" s="110">
        <v>0</v>
      </c>
      <c r="J42" s="110">
        <v>308700</v>
      </c>
      <c r="K42" s="110">
        <v>44100</v>
      </c>
      <c r="L42" s="110">
        <v>308700</v>
      </c>
      <c r="M42" s="110">
        <v>0</v>
      </c>
      <c r="N42" s="110">
        <v>0</v>
      </c>
      <c r="O42" s="110">
        <v>352800</v>
      </c>
      <c r="P42" s="110">
        <v>0</v>
      </c>
      <c r="Q42" s="110">
        <v>352800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352800</v>
      </c>
      <c r="AH42" s="110">
        <v>0</v>
      </c>
      <c r="AI42" s="110">
        <v>352800</v>
      </c>
      <c r="AJ42" s="110">
        <v>0</v>
      </c>
      <c r="AK42" s="110">
        <v>352800</v>
      </c>
      <c r="AL42" s="110">
        <v>0</v>
      </c>
      <c r="AM42" s="110">
        <v>352800</v>
      </c>
      <c r="AN42" s="110">
        <v>0</v>
      </c>
      <c r="AO42" s="110">
        <v>352800</v>
      </c>
      <c r="AP42" s="110">
        <v>0</v>
      </c>
      <c r="AQ42" s="110">
        <v>352800</v>
      </c>
      <c r="AR42" s="110">
        <v>0</v>
      </c>
      <c r="AS42" s="110">
        <v>352800</v>
      </c>
      <c r="AT42" s="110">
        <v>0</v>
      </c>
      <c r="AU42" s="110">
        <v>352800</v>
      </c>
      <c r="AV42" s="110">
        <v>0</v>
      </c>
      <c r="AW42" s="110">
        <v>352800</v>
      </c>
      <c r="AX42" s="110">
        <v>0</v>
      </c>
      <c r="AY42" s="110">
        <v>352800</v>
      </c>
      <c r="AZ42" s="100">
        <f>SUM($D$42:$AY$42)</f>
        <v>8114400</v>
      </c>
    </row>
    <row r="43" spans="1:52">
      <c r="A43" s="110"/>
      <c r="B43" s="178" t="s">
        <v>351</v>
      </c>
      <c r="C43" s="110"/>
      <c r="D43" s="110">
        <v>78300.492657344148</v>
      </c>
      <c r="E43" s="110">
        <v>91903.740821680112</v>
      </c>
      <c r="F43" s="110">
        <v>139678.74082168011</v>
      </c>
      <c r="G43" s="110">
        <v>0</v>
      </c>
      <c r="H43" s="110">
        <v>0</v>
      </c>
      <c r="I43" s="110">
        <v>149962.99265734415</v>
      </c>
      <c r="J43" s="110">
        <v>0</v>
      </c>
      <c r="K43" s="110">
        <v>126075.49265734413</v>
      </c>
      <c r="L43" s="110">
        <v>0</v>
      </c>
      <c r="M43" s="110">
        <v>187453.74082168011</v>
      </c>
      <c r="N43" s="110">
        <v>0</v>
      </c>
      <c r="O43" s="110">
        <v>0</v>
      </c>
      <c r="P43" s="110">
        <v>187453.74082168011</v>
      </c>
      <c r="Q43" s="110">
        <v>0</v>
      </c>
      <c r="R43" s="110">
        <v>187453.74082168011</v>
      </c>
      <c r="S43" s="110">
        <v>0</v>
      </c>
      <c r="T43" s="110">
        <v>187453.74082168011</v>
      </c>
      <c r="U43" s="110">
        <v>0</v>
      </c>
      <c r="V43" s="110">
        <v>187453.74082168011</v>
      </c>
      <c r="W43" s="110">
        <v>0</v>
      </c>
      <c r="X43" s="110">
        <v>187453.74082168011</v>
      </c>
      <c r="Y43" s="110">
        <v>0</v>
      </c>
      <c r="Z43" s="110">
        <v>187453.74082168011</v>
      </c>
      <c r="AA43" s="110">
        <v>0</v>
      </c>
      <c r="AB43" s="110">
        <v>187453.74082168011</v>
      </c>
      <c r="AC43" s="110">
        <v>0</v>
      </c>
      <c r="AD43" s="110">
        <v>187453.74082168011</v>
      </c>
      <c r="AE43" s="110">
        <v>0</v>
      </c>
      <c r="AF43" s="110">
        <v>187453.74082168011</v>
      </c>
      <c r="AG43" s="110">
        <v>0</v>
      </c>
      <c r="AH43" s="110">
        <v>187453.74082168011</v>
      </c>
      <c r="AI43" s="110">
        <v>0</v>
      </c>
      <c r="AJ43" s="110">
        <v>187453.74082168011</v>
      </c>
      <c r="AK43" s="110">
        <v>0</v>
      </c>
      <c r="AL43" s="110">
        <v>187453.74082168011</v>
      </c>
      <c r="AM43" s="110">
        <v>0</v>
      </c>
      <c r="AN43" s="110">
        <v>187453.74082168011</v>
      </c>
      <c r="AO43" s="110">
        <v>0</v>
      </c>
      <c r="AP43" s="110">
        <v>0</v>
      </c>
      <c r="AQ43" s="110">
        <v>0</v>
      </c>
      <c r="AR43" s="110">
        <v>187453.74082168011</v>
      </c>
      <c r="AS43" s="110">
        <v>0</v>
      </c>
      <c r="AT43" s="110">
        <v>187453.74082168011</v>
      </c>
      <c r="AU43" s="110">
        <v>0</v>
      </c>
      <c r="AV43" s="110">
        <v>187453.74082168011</v>
      </c>
      <c r="AW43" s="110">
        <v>0</v>
      </c>
      <c r="AX43" s="110">
        <v>187453.74082168011</v>
      </c>
      <c r="AY43" s="110">
        <v>0</v>
      </c>
      <c r="AZ43" s="100">
        <f>SUM($D$43:$AY$43)</f>
        <v>3960088.7944056336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122.35081128392824</v>
      </c>
      <c r="E44" s="124">
        <f>E$21*shipping_manufacturing!$D$28/100</f>
        <v>152.93851410491021</v>
      </c>
      <c r="F44" s="124">
        <f>F$21*shipping_manufacturing!$D$28/100</f>
        <v>152.93851410491021</v>
      </c>
      <c r="G44" s="124">
        <f>G$21*shipping_manufacturing!$D$28/100</f>
        <v>0</v>
      </c>
      <c r="H44" s="124">
        <f>H$21*shipping_manufacturing!$D$28/100</f>
        <v>152.93851410491021</v>
      </c>
      <c r="I44" s="124">
        <f>I$21*shipping_manufacturing!$D$28/100</f>
        <v>122.35081128392819</v>
      </c>
      <c r="J44" s="124">
        <f>J$21*shipping_manufacturing!$D$28/100</f>
        <v>122.35081128392819</v>
      </c>
      <c r="K44" s="124">
        <f>K$21*shipping_manufacturing!$D$28/100</f>
        <v>122.35081128392819</v>
      </c>
      <c r="L44" s="124">
        <f>L$21*shipping_manufacturing!$D$28/100</f>
        <v>122.35081128392819</v>
      </c>
      <c r="M44" s="124">
        <f>M$21*shipping_manufacturing!$D$28/100</f>
        <v>152.93851410491021</v>
      </c>
      <c r="N44" s="124">
        <f>N$21*shipping_manufacturing!$D$28/100</f>
        <v>0</v>
      </c>
      <c r="O44" s="124">
        <f>O$21*shipping_manufacturing!$D$28/100</f>
        <v>152.93851410491021</v>
      </c>
      <c r="P44" s="124">
        <f>P$21*shipping_manufacturing!$D$28/100</f>
        <v>152.93851410491021</v>
      </c>
      <c r="Q44" s="124">
        <f>Q$21*shipping_manufacturing!$D$28/100</f>
        <v>152.93851410491021</v>
      </c>
      <c r="R44" s="124">
        <f>R$21*shipping_manufacturing!$D$28/100</f>
        <v>152.93851410491021</v>
      </c>
      <c r="S44" s="124">
        <f>S$21*shipping_manufacturing!$D$28/100</f>
        <v>152.93851410491021</v>
      </c>
      <c r="T44" s="124">
        <f>T$21*shipping_manufacturing!$D$28/100</f>
        <v>152.93851410491021</v>
      </c>
      <c r="U44" s="124">
        <f>U$21*shipping_manufacturing!$D$28/100</f>
        <v>152.93851410491021</v>
      </c>
      <c r="V44" s="124">
        <f>V$21*shipping_manufacturing!$D$28/100</f>
        <v>152.93851410491021</v>
      </c>
      <c r="W44" s="124">
        <f>W$21*shipping_manufacturing!$D$28/100</f>
        <v>152.93851410491021</v>
      </c>
      <c r="X44" s="124">
        <f>X$21*shipping_manufacturing!$D$28/100</f>
        <v>152.93851410491021</v>
      </c>
      <c r="Y44" s="124">
        <f>Y$21*shipping_manufacturing!$D$28/100</f>
        <v>152.93851410491021</v>
      </c>
      <c r="Z44" s="124">
        <f>Z$21*shipping_manufacturing!$D$28/100</f>
        <v>152.93851410491021</v>
      </c>
      <c r="AA44" s="124">
        <f>AA$21*shipping_manufacturing!$D$28/100</f>
        <v>152.93851410491021</v>
      </c>
      <c r="AB44" s="124">
        <f>AB$21*shipping_manufacturing!$D$28/100</f>
        <v>152.93851410491021</v>
      </c>
      <c r="AC44" s="124">
        <f>AC$21*shipping_manufacturing!$D$28/100</f>
        <v>152.93851410491021</v>
      </c>
      <c r="AD44" s="124">
        <f>AD$21*shipping_manufacturing!$D$28/100</f>
        <v>152.93851410491021</v>
      </c>
      <c r="AE44" s="124">
        <f>AE$21*shipping_manufacturing!$D$28/100</f>
        <v>152.93851410491021</v>
      </c>
      <c r="AF44" s="124">
        <f>AF$21*shipping_manufacturing!$D$28/100</f>
        <v>152.93851410491021</v>
      </c>
      <c r="AG44" s="124">
        <f>AG$21*shipping_manufacturing!$D$28/100</f>
        <v>152.93851410491021</v>
      </c>
      <c r="AH44" s="124">
        <f>AH$21*shipping_manufacturing!$D$28/100</f>
        <v>152.93851410491021</v>
      </c>
      <c r="AI44" s="124">
        <f>AI$21*shipping_manufacturing!$D$28/100</f>
        <v>152.93851410491021</v>
      </c>
      <c r="AJ44" s="124">
        <f>AJ$21*shipping_manufacturing!$D$28/100</f>
        <v>152.93851410491021</v>
      </c>
      <c r="AK44" s="124">
        <f>AK$21*shipping_manufacturing!$D$28/100</f>
        <v>152.93851410491021</v>
      </c>
      <c r="AL44" s="124">
        <f>AL$21*shipping_manufacturing!$D$28/100</f>
        <v>152.93851410491021</v>
      </c>
      <c r="AM44" s="124">
        <f>AM$21*shipping_manufacturing!$D$28/100</f>
        <v>152.93851410491021</v>
      </c>
      <c r="AN44" s="124">
        <f>AN$21*shipping_manufacturing!$D$28/100</f>
        <v>152.93851410491021</v>
      </c>
      <c r="AO44" s="124">
        <f>AO$21*shipping_manufacturing!$D$28/100</f>
        <v>152.93851410491021</v>
      </c>
      <c r="AP44" s="124">
        <f>AP$21*shipping_manufacturing!$D$28/100</f>
        <v>0</v>
      </c>
      <c r="AQ44" s="124">
        <f>AQ$21*shipping_manufacturing!$D$28/100</f>
        <v>152.93851410491021</v>
      </c>
      <c r="AR44" s="124">
        <f>AR$21*shipping_manufacturing!$D$28/100</f>
        <v>152.93851410491021</v>
      </c>
      <c r="AS44" s="124">
        <f>AS$21*shipping_manufacturing!$D$28/100</f>
        <v>152.93851410491021</v>
      </c>
      <c r="AT44" s="124">
        <f>AT$21*shipping_manufacturing!$D$28/100</f>
        <v>152.93851410491021</v>
      </c>
      <c r="AU44" s="124">
        <f>AU$21*shipping_manufacturing!$D$28/100</f>
        <v>152.93851410491021</v>
      </c>
      <c r="AV44" s="124">
        <f>AV$21*shipping_manufacturing!$D$28/100</f>
        <v>152.93851410491021</v>
      </c>
      <c r="AW44" s="124">
        <f>AW$21*shipping_manufacturing!$D$28/100</f>
        <v>152.93851410491021</v>
      </c>
      <c r="AX44" s="124">
        <f>AX$21*shipping_manufacturing!$D$28/100</f>
        <v>152.93851410491021</v>
      </c>
      <c r="AY44" s="124">
        <f>AY$21*shipping_manufacturing!$D$28/100</f>
        <v>152.93851410491021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169.31262022961135</v>
      </c>
      <c r="E45" s="110">
        <f>E$22*shipping_manufacturing!$E$28/100</f>
        <v>211.64077528701407</v>
      </c>
      <c r="F45" s="110">
        <f>F$22*shipping_manufacturing!$E$28/100</f>
        <v>211.64077528701407</v>
      </c>
      <c r="G45" s="110">
        <f>G$22*shipping_manufacturing!$E$28/100</f>
        <v>0</v>
      </c>
      <c r="H45" s="110">
        <f>H$22*shipping_manufacturing!$E$28/100</f>
        <v>211.64077528701407</v>
      </c>
      <c r="I45" s="110">
        <f>I$22*shipping_manufacturing!$E$28/100</f>
        <v>169.3126202296113</v>
      </c>
      <c r="J45" s="110">
        <f>J$22*shipping_manufacturing!$E$28/100</f>
        <v>169.3126202296113</v>
      </c>
      <c r="K45" s="110">
        <f>K$22*shipping_manufacturing!$E$28/100</f>
        <v>169.3126202296113</v>
      </c>
      <c r="L45" s="110">
        <f>L$22*shipping_manufacturing!$E$28/100</f>
        <v>169.3126202296113</v>
      </c>
      <c r="M45" s="110">
        <f>M$22*shipping_manufacturing!$E$28/100</f>
        <v>211.64077528701407</v>
      </c>
      <c r="N45" s="110">
        <f>N$22*shipping_manufacturing!$E$28/100</f>
        <v>0</v>
      </c>
      <c r="O45" s="110">
        <f>O$22*shipping_manufacturing!$E$28/100</f>
        <v>211.64077528701407</v>
      </c>
      <c r="P45" s="110">
        <f>P$22*shipping_manufacturing!$E$28/100</f>
        <v>211.64077528701407</v>
      </c>
      <c r="Q45" s="110">
        <f>Q$22*shipping_manufacturing!$E$28/100</f>
        <v>211.64077528701407</v>
      </c>
      <c r="R45" s="110">
        <f>R$22*shipping_manufacturing!$E$28/100</f>
        <v>211.64077528701407</v>
      </c>
      <c r="S45" s="110">
        <f>S$22*shipping_manufacturing!$E$28/100</f>
        <v>211.64077528701407</v>
      </c>
      <c r="T45" s="110">
        <f>T$22*shipping_manufacturing!$E$28/100</f>
        <v>211.64077528701407</v>
      </c>
      <c r="U45" s="110">
        <f>U$22*shipping_manufacturing!$E$28/100</f>
        <v>211.64077528701407</v>
      </c>
      <c r="V45" s="110">
        <f>V$22*shipping_manufacturing!$E$28/100</f>
        <v>211.64077528701407</v>
      </c>
      <c r="W45" s="110">
        <f>W$22*shipping_manufacturing!$E$28/100</f>
        <v>211.64077528701407</v>
      </c>
      <c r="X45" s="110">
        <f>X$22*shipping_manufacturing!$E$28/100</f>
        <v>211.64077528701407</v>
      </c>
      <c r="Y45" s="110">
        <f>Y$22*shipping_manufacturing!$E$28/100</f>
        <v>211.64077528701407</v>
      </c>
      <c r="Z45" s="110">
        <f>Z$22*shipping_manufacturing!$E$28/100</f>
        <v>211.64077528701407</v>
      </c>
      <c r="AA45" s="110">
        <f>AA$22*shipping_manufacturing!$E$28/100</f>
        <v>211.64077528701407</v>
      </c>
      <c r="AB45" s="110">
        <f>AB$22*shipping_manufacturing!$E$28/100</f>
        <v>211.64077528701407</v>
      </c>
      <c r="AC45" s="110">
        <f>AC$22*shipping_manufacturing!$E$28/100</f>
        <v>211.64077528701407</v>
      </c>
      <c r="AD45" s="110">
        <f>AD$22*shipping_manufacturing!$E$28/100</f>
        <v>211.64077528701407</v>
      </c>
      <c r="AE45" s="110">
        <f>AE$22*shipping_manufacturing!$E$28/100</f>
        <v>211.64077528701407</v>
      </c>
      <c r="AF45" s="110">
        <f>AF$22*shipping_manufacturing!$E$28/100</f>
        <v>211.64077528701407</v>
      </c>
      <c r="AG45" s="110">
        <f>AG$22*shipping_manufacturing!$E$28/100</f>
        <v>211.64077528701407</v>
      </c>
      <c r="AH45" s="110">
        <f>AH$22*shipping_manufacturing!$E$28/100</f>
        <v>211.64077528701407</v>
      </c>
      <c r="AI45" s="110">
        <f>AI$22*shipping_manufacturing!$E$28/100</f>
        <v>211.64077528701407</v>
      </c>
      <c r="AJ45" s="110">
        <f>AJ$22*shipping_manufacturing!$E$28/100</f>
        <v>211.64077528701407</v>
      </c>
      <c r="AK45" s="110">
        <f>AK$22*shipping_manufacturing!$E$28/100</f>
        <v>211.64077528701407</v>
      </c>
      <c r="AL45" s="110">
        <f>AL$22*shipping_manufacturing!$E$28/100</f>
        <v>211.64077528701407</v>
      </c>
      <c r="AM45" s="110">
        <f>AM$22*shipping_manufacturing!$E$28/100</f>
        <v>211.64077528701407</v>
      </c>
      <c r="AN45" s="110">
        <f>AN$22*shipping_manufacturing!$E$28/100</f>
        <v>211.64077528701407</v>
      </c>
      <c r="AO45" s="110">
        <f>AO$22*shipping_manufacturing!$E$28/100</f>
        <v>211.64077528701407</v>
      </c>
      <c r="AP45" s="110">
        <f>AP$22*shipping_manufacturing!$E$28/100</f>
        <v>0</v>
      </c>
      <c r="AQ45" s="110">
        <f>AQ$22*shipping_manufacturing!$E$28/100</f>
        <v>211.64077528701407</v>
      </c>
      <c r="AR45" s="110">
        <f>AR$22*shipping_manufacturing!$E$28/100</f>
        <v>211.64077528701407</v>
      </c>
      <c r="AS45" s="110">
        <f>AS$22*shipping_manufacturing!$E$28/100</f>
        <v>211.64077528701407</v>
      </c>
      <c r="AT45" s="110">
        <f>AT$22*shipping_manufacturing!$E$28/100</f>
        <v>211.64077528701407</v>
      </c>
      <c r="AU45" s="110">
        <f>AU$22*shipping_manufacturing!$E$28/100</f>
        <v>211.64077528701407</v>
      </c>
      <c r="AV45" s="110">
        <f>AV$22*shipping_manufacturing!$E$28/100</f>
        <v>211.64077528701407</v>
      </c>
      <c r="AW45" s="110">
        <f>AW$22*shipping_manufacturing!$E$28/100</f>
        <v>211.64077528701407</v>
      </c>
      <c r="AX45" s="110">
        <f>AX$22*shipping_manufacturing!$E$28/100</f>
        <v>211.64077528701407</v>
      </c>
      <c r="AY45" s="110">
        <f>AY$22*shipping_manufacturing!$E$28/100</f>
        <v>211.64077528701407</v>
      </c>
    </row>
    <row r="46" spans="1:52">
      <c r="A46" s="110">
        <v>89</v>
      </c>
      <c r="B46" s="165" t="s">
        <v>343</v>
      </c>
      <c r="C46" s="110"/>
      <c r="D46" s="110">
        <f>SUM(D44:D45)</f>
        <v>291.66343151353959</v>
      </c>
      <c r="E46" s="110">
        <f t="shared" ref="E46:AY46" si="14">SUM(E44:E45)</f>
        <v>364.57928939192425</v>
      </c>
      <c r="F46" s="110">
        <f t="shared" si="14"/>
        <v>364.57928939192425</v>
      </c>
      <c r="G46" s="110">
        <f t="shared" si="14"/>
        <v>0</v>
      </c>
      <c r="H46" s="110">
        <f t="shared" si="14"/>
        <v>364.57928939192425</v>
      </c>
      <c r="I46" s="110">
        <f t="shared" si="14"/>
        <v>291.66343151353948</v>
      </c>
      <c r="J46" s="110">
        <f t="shared" si="14"/>
        <v>291.66343151353948</v>
      </c>
      <c r="K46" s="110">
        <f t="shared" si="14"/>
        <v>291.66343151353948</v>
      </c>
      <c r="L46" s="110">
        <f t="shared" si="14"/>
        <v>291.66343151353948</v>
      </c>
      <c r="M46" s="110">
        <f t="shared" si="14"/>
        <v>364.57928939192425</v>
      </c>
      <c r="N46" s="110">
        <f t="shared" si="14"/>
        <v>0</v>
      </c>
      <c r="O46" s="110">
        <f t="shared" si="14"/>
        <v>364.57928939192425</v>
      </c>
      <c r="P46" s="110">
        <f t="shared" si="14"/>
        <v>364.57928939192425</v>
      </c>
      <c r="Q46" s="110">
        <f t="shared" si="14"/>
        <v>364.57928939192425</v>
      </c>
      <c r="R46" s="110">
        <f t="shared" si="14"/>
        <v>364.57928939192425</v>
      </c>
      <c r="S46" s="110">
        <f t="shared" si="14"/>
        <v>364.57928939192425</v>
      </c>
      <c r="T46" s="110">
        <f t="shared" si="14"/>
        <v>364.57928939192425</v>
      </c>
      <c r="U46" s="110">
        <f t="shared" si="14"/>
        <v>364.57928939192425</v>
      </c>
      <c r="V46" s="110">
        <f t="shared" si="14"/>
        <v>364.57928939192425</v>
      </c>
      <c r="W46" s="110">
        <f t="shared" si="14"/>
        <v>364.57928939192425</v>
      </c>
      <c r="X46" s="110">
        <f t="shared" si="14"/>
        <v>364.57928939192425</v>
      </c>
      <c r="Y46" s="110">
        <f t="shared" si="14"/>
        <v>364.57928939192425</v>
      </c>
      <c r="Z46" s="110">
        <f t="shared" si="14"/>
        <v>364.57928939192425</v>
      </c>
      <c r="AA46" s="110">
        <f t="shared" si="14"/>
        <v>364.57928939192425</v>
      </c>
      <c r="AB46" s="110">
        <f t="shared" si="14"/>
        <v>364.57928939192425</v>
      </c>
      <c r="AC46" s="110">
        <f t="shared" si="14"/>
        <v>364.57928939192425</v>
      </c>
      <c r="AD46" s="110">
        <f t="shared" si="14"/>
        <v>364.57928939192425</v>
      </c>
      <c r="AE46" s="110">
        <f t="shared" si="14"/>
        <v>364.57928939192425</v>
      </c>
      <c r="AF46" s="110">
        <f t="shared" si="14"/>
        <v>364.57928939192425</v>
      </c>
      <c r="AG46" s="110">
        <f t="shared" si="14"/>
        <v>364.57928939192425</v>
      </c>
      <c r="AH46" s="110">
        <f t="shared" si="14"/>
        <v>364.57928939192425</v>
      </c>
      <c r="AI46" s="110">
        <f t="shared" si="14"/>
        <v>364.57928939192425</v>
      </c>
      <c r="AJ46" s="110">
        <f t="shared" si="14"/>
        <v>364.57928939192425</v>
      </c>
      <c r="AK46" s="110">
        <f t="shared" si="14"/>
        <v>364.57928939192425</v>
      </c>
      <c r="AL46" s="110">
        <f t="shared" si="14"/>
        <v>364.57928939192425</v>
      </c>
      <c r="AM46" s="110">
        <f t="shared" si="14"/>
        <v>364.57928939192425</v>
      </c>
      <c r="AN46" s="110">
        <f t="shared" si="14"/>
        <v>364.57928939192425</v>
      </c>
      <c r="AO46" s="110">
        <f t="shared" si="14"/>
        <v>364.57928939192425</v>
      </c>
      <c r="AP46" s="110">
        <f t="shared" si="14"/>
        <v>0</v>
      </c>
      <c r="AQ46" s="110">
        <f t="shared" si="14"/>
        <v>364.57928939192425</v>
      </c>
      <c r="AR46" s="110">
        <f t="shared" si="14"/>
        <v>364.57928939192425</v>
      </c>
      <c r="AS46" s="110">
        <f t="shared" si="14"/>
        <v>364.57928939192425</v>
      </c>
      <c r="AT46" s="110">
        <f t="shared" si="14"/>
        <v>364.57928939192425</v>
      </c>
      <c r="AU46" s="110">
        <f t="shared" si="14"/>
        <v>364.57928939192425</v>
      </c>
      <c r="AV46" s="110">
        <f t="shared" si="14"/>
        <v>364.57928939192425</v>
      </c>
      <c r="AW46" s="110">
        <f t="shared" si="14"/>
        <v>364.57928939192425</v>
      </c>
      <c r="AX46" s="110">
        <f t="shared" si="14"/>
        <v>364.57928939192425</v>
      </c>
      <c r="AY46" s="110">
        <f t="shared" si="14"/>
        <v>364.57928939192425</v>
      </c>
    </row>
    <row r="47" spans="1:52">
      <c r="A47" s="110"/>
      <c r="B47" s="165" t="s">
        <v>344</v>
      </c>
      <c r="C47" s="110"/>
      <c r="D47" s="110">
        <v>75.508766789245996</v>
      </c>
      <c r="E47" s="110">
        <v>113.26315018386902</v>
      </c>
      <c r="F47" s="110">
        <v>88.093561254120345</v>
      </c>
      <c r="G47" s="110"/>
      <c r="H47" s="110">
        <v>152.93851410491021</v>
      </c>
      <c r="I47" s="110">
        <v>12.584794464874333</v>
      </c>
      <c r="J47" s="110">
        <v>122.35081128392819</v>
      </c>
      <c r="K47" s="110">
        <v>50.339177859497333</v>
      </c>
      <c r="L47" s="110">
        <v>122.35081128392819</v>
      </c>
      <c r="M47" s="110">
        <v>62.923972324371675</v>
      </c>
      <c r="N47" s="110"/>
      <c r="O47" s="110">
        <v>152.93851410491021</v>
      </c>
      <c r="P47" s="110">
        <v>12.584794464874335</v>
      </c>
      <c r="Q47" s="110">
        <v>152.93851410491021</v>
      </c>
      <c r="R47" s="110">
        <v>12.584794464874335</v>
      </c>
      <c r="S47" s="110">
        <v>152.93851410491021</v>
      </c>
      <c r="T47" s="110">
        <v>12.584794464874335</v>
      </c>
      <c r="U47" s="110">
        <v>152.93851410491021</v>
      </c>
      <c r="V47" s="110">
        <v>12.584794464874335</v>
      </c>
      <c r="W47" s="110">
        <v>152.93851410491021</v>
      </c>
      <c r="X47" s="110">
        <v>12.584794464874335</v>
      </c>
      <c r="Y47" s="110">
        <v>152.93851410491021</v>
      </c>
      <c r="Z47" s="110">
        <v>12.584794464874335</v>
      </c>
      <c r="AA47" s="110">
        <v>152.93851410491021</v>
      </c>
      <c r="AB47" s="110">
        <v>12.584794464874335</v>
      </c>
      <c r="AC47" s="110">
        <v>152.93851410491021</v>
      </c>
      <c r="AD47" s="110">
        <v>12.584794464874335</v>
      </c>
      <c r="AE47" s="110">
        <v>152.93851410491021</v>
      </c>
      <c r="AF47" s="110">
        <v>12.584794464874335</v>
      </c>
      <c r="AG47" s="110">
        <v>152.93851410491021</v>
      </c>
      <c r="AH47" s="110">
        <v>12.584794464874335</v>
      </c>
      <c r="AI47" s="110">
        <v>152.93851410491021</v>
      </c>
      <c r="AJ47" s="110">
        <v>12.584794464874335</v>
      </c>
      <c r="AK47" s="110">
        <v>152.93851410491021</v>
      </c>
      <c r="AL47" s="110">
        <v>12.584794464874335</v>
      </c>
      <c r="AM47" s="110">
        <v>152.93851410491021</v>
      </c>
      <c r="AN47" s="110">
        <v>12.584794464874335</v>
      </c>
      <c r="AO47" s="110">
        <v>152.93851410491021</v>
      </c>
      <c r="AP47" s="110"/>
      <c r="AQ47" s="110">
        <v>152.93851410491021</v>
      </c>
      <c r="AR47" s="110">
        <v>12.584794464874335</v>
      </c>
      <c r="AS47" s="110">
        <v>152.93851410491021</v>
      </c>
      <c r="AT47" s="110">
        <v>12.584794464874335</v>
      </c>
      <c r="AU47" s="110">
        <v>152.93851410491021</v>
      </c>
      <c r="AV47" s="110">
        <v>12.584794464874335</v>
      </c>
      <c r="AW47" s="110">
        <v>152.93851410491021</v>
      </c>
      <c r="AX47" s="110">
        <v>12.584794464874335</v>
      </c>
      <c r="AY47" s="110">
        <v>152.93851410491021</v>
      </c>
    </row>
    <row r="48" spans="1:52">
      <c r="A48" s="110"/>
      <c r="B48" s="165" t="s">
        <v>345</v>
      </c>
      <c r="C48" s="110"/>
      <c r="D48" s="110">
        <v>104.491233210754</v>
      </c>
      <c r="E48" s="110">
        <v>156.73684981613101</v>
      </c>
      <c r="F48" s="110">
        <v>121.90643874587968</v>
      </c>
      <c r="G48" s="110"/>
      <c r="H48" s="110">
        <v>211.64077528701407</v>
      </c>
      <c r="I48" s="110">
        <v>17.415205535125668</v>
      </c>
      <c r="J48" s="110">
        <v>169.3126202296113</v>
      </c>
      <c r="K48" s="110">
        <v>69.660822140502674</v>
      </c>
      <c r="L48" s="110">
        <v>169.3126202296113</v>
      </c>
      <c r="M48" s="110">
        <v>87.076027675628339</v>
      </c>
      <c r="N48" s="110"/>
      <c r="O48" s="110">
        <v>211.64077528701407</v>
      </c>
      <c r="P48" s="110">
        <v>17.415205535125668</v>
      </c>
      <c r="Q48" s="110">
        <v>211.64077528701407</v>
      </c>
      <c r="R48" s="110">
        <v>17.415205535125668</v>
      </c>
      <c r="S48" s="110">
        <v>211.64077528701407</v>
      </c>
      <c r="T48" s="110">
        <v>17.415205535125668</v>
      </c>
      <c r="U48" s="110">
        <v>211.64077528701407</v>
      </c>
      <c r="V48" s="110">
        <v>17.415205535125668</v>
      </c>
      <c r="W48" s="110">
        <v>211.64077528701407</v>
      </c>
      <c r="X48" s="110">
        <v>17.415205535125668</v>
      </c>
      <c r="Y48" s="110">
        <v>211.64077528701407</v>
      </c>
      <c r="Z48" s="110">
        <v>17.415205535125668</v>
      </c>
      <c r="AA48" s="110">
        <v>211.64077528701407</v>
      </c>
      <c r="AB48" s="110">
        <v>17.415205535125668</v>
      </c>
      <c r="AC48" s="110">
        <v>211.64077528701407</v>
      </c>
      <c r="AD48" s="110">
        <v>17.415205535125668</v>
      </c>
      <c r="AE48" s="110">
        <v>211.64077528701407</v>
      </c>
      <c r="AF48" s="110">
        <v>17.415205535125668</v>
      </c>
      <c r="AG48" s="110">
        <v>211.64077528701407</v>
      </c>
      <c r="AH48" s="110">
        <v>17.415205535125668</v>
      </c>
      <c r="AI48" s="110">
        <v>211.64077528701407</v>
      </c>
      <c r="AJ48" s="110">
        <v>17.415205535125668</v>
      </c>
      <c r="AK48" s="110">
        <v>211.64077528701407</v>
      </c>
      <c r="AL48" s="110">
        <v>17.415205535125668</v>
      </c>
      <c r="AM48" s="110">
        <v>211.64077528701407</v>
      </c>
      <c r="AN48" s="110">
        <v>17.415205535125668</v>
      </c>
      <c r="AO48" s="110">
        <v>211.64077528701407</v>
      </c>
      <c r="AP48" s="110"/>
      <c r="AQ48" s="110">
        <v>211.64077528701407</v>
      </c>
      <c r="AR48" s="110">
        <v>17.415205535125668</v>
      </c>
      <c r="AS48" s="110">
        <v>211.64077528701407</v>
      </c>
      <c r="AT48" s="110">
        <v>17.415205535125668</v>
      </c>
      <c r="AU48" s="110">
        <v>211.64077528701407</v>
      </c>
      <c r="AV48" s="110">
        <v>17.415205535125668</v>
      </c>
      <c r="AW48" s="110">
        <v>211.64077528701407</v>
      </c>
      <c r="AX48" s="110">
        <v>17.415205535125668</v>
      </c>
      <c r="AY48" s="110">
        <v>211.64077528701407</v>
      </c>
    </row>
    <row r="49" spans="1:52">
      <c r="A49" s="110"/>
      <c r="B49" s="165" t="s">
        <v>346</v>
      </c>
      <c r="C49" s="110"/>
      <c r="D49" s="110">
        <v>6</v>
      </c>
      <c r="E49" s="110">
        <v>9</v>
      </c>
      <c r="F49" s="110">
        <v>7</v>
      </c>
      <c r="G49" s="110"/>
      <c r="H49" s="110">
        <v>13</v>
      </c>
      <c r="I49" s="110">
        <v>1</v>
      </c>
      <c r="J49" s="110">
        <v>10</v>
      </c>
      <c r="K49" s="110">
        <v>4</v>
      </c>
      <c r="L49" s="110">
        <v>10</v>
      </c>
      <c r="M49" s="110">
        <v>5</v>
      </c>
      <c r="N49" s="110"/>
      <c r="O49" s="110">
        <v>13</v>
      </c>
      <c r="P49" s="110">
        <v>1</v>
      </c>
      <c r="Q49" s="110">
        <v>13</v>
      </c>
      <c r="R49" s="110">
        <v>1</v>
      </c>
      <c r="S49" s="110">
        <v>13</v>
      </c>
      <c r="T49" s="110">
        <v>1</v>
      </c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13</v>
      </c>
      <c r="AD49" s="110">
        <v>1</v>
      </c>
      <c r="AE49" s="110">
        <v>13</v>
      </c>
      <c r="AF49" s="110">
        <v>1</v>
      </c>
      <c r="AG49" s="110">
        <v>13</v>
      </c>
      <c r="AH49" s="110">
        <v>1</v>
      </c>
      <c r="AI49" s="110">
        <v>13</v>
      </c>
      <c r="AJ49" s="110">
        <v>1</v>
      </c>
      <c r="AK49" s="110">
        <v>13</v>
      </c>
      <c r="AL49" s="110">
        <v>1</v>
      </c>
      <c r="AM49" s="110">
        <v>13</v>
      </c>
      <c r="AN49" s="110">
        <v>1</v>
      </c>
      <c r="AO49" s="110">
        <v>13</v>
      </c>
      <c r="AP49" s="110"/>
      <c r="AQ49" s="110">
        <v>13</v>
      </c>
      <c r="AR49" s="110">
        <v>1</v>
      </c>
      <c r="AS49" s="110">
        <v>13</v>
      </c>
      <c r="AT49" s="110">
        <v>1</v>
      </c>
      <c r="AU49" s="110">
        <v>13</v>
      </c>
      <c r="AV49" s="110">
        <v>1</v>
      </c>
      <c r="AW49" s="110">
        <v>13</v>
      </c>
      <c r="AX49" s="110">
        <v>1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46.842044494682241</v>
      </c>
      <c r="E50" s="110">
        <f t="shared" ref="E50:AY50" si="15">E44-E47</f>
        <v>39.675363921041196</v>
      </c>
      <c r="F50" s="110">
        <f t="shared" si="15"/>
        <v>64.844952850789866</v>
      </c>
      <c r="G50" s="110">
        <f t="shared" si="15"/>
        <v>0</v>
      </c>
      <c r="H50" s="110">
        <f t="shared" si="15"/>
        <v>0</v>
      </c>
      <c r="I50" s="110">
        <f t="shared" si="15"/>
        <v>109.76601681905386</v>
      </c>
      <c r="J50" s="110">
        <f t="shared" si="15"/>
        <v>0</v>
      </c>
      <c r="K50" s="110">
        <f t="shared" si="15"/>
        <v>72.011633424430869</v>
      </c>
      <c r="L50" s="110">
        <f t="shared" si="15"/>
        <v>0</v>
      </c>
      <c r="M50" s="110">
        <f t="shared" si="15"/>
        <v>90.014541780538536</v>
      </c>
      <c r="N50" s="110">
        <f t="shared" si="15"/>
        <v>0</v>
      </c>
      <c r="O50" s="110">
        <f t="shared" si="15"/>
        <v>0</v>
      </c>
      <c r="P50" s="110">
        <f t="shared" si="15"/>
        <v>140.35371964003588</v>
      </c>
      <c r="Q50" s="110">
        <f t="shared" si="15"/>
        <v>0</v>
      </c>
      <c r="R50" s="110">
        <f t="shared" si="15"/>
        <v>140.35371964003588</v>
      </c>
      <c r="S50" s="110">
        <f t="shared" si="15"/>
        <v>0</v>
      </c>
      <c r="T50" s="110">
        <f t="shared" si="15"/>
        <v>140.35371964003588</v>
      </c>
      <c r="U50" s="110">
        <f t="shared" si="15"/>
        <v>0</v>
      </c>
      <c r="V50" s="110">
        <f t="shared" si="15"/>
        <v>140.35371964003588</v>
      </c>
      <c r="W50" s="110">
        <f t="shared" si="15"/>
        <v>0</v>
      </c>
      <c r="X50" s="110">
        <f t="shared" si="15"/>
        <v>140.35371964003588</v>
      </c>
      <c r="Y50" s="110">
        <f t="shared" si="15"/>
        <v>0</v>
      </c>
      <c r="Z50" s="110">
        <f t="shared" si="15"/>
        <v>140.35371964003588</v>
      </c>
      <c r="AA50" s="110">
        <f t="shared" si="15"/>
        <v>0</v>
      </c>
      <c r="AB50" s="110">
        <f t="shared" si="15"/>
        <v>140.35371964003588</v>
      </c>
      <c r="AC50" s="110">
        <f t="shared" si="15"/>
        <v>0</v>
      </c>
      <c r="AD50" s="110">
        <f t="shared" si="15"/>
        <v>140.35371964003588</v>
      </c>
      <c r="AE50" s="110">
        <f t="shared" si="15"/>
        <v>0</v>
      </c>
      <c r="AF50" s="110">
        <f t="shared" si="15"/>
        <v>140.35371964003588</v>
      </c>
      <c r="AG50" s="110">
        <f t="shared" si="15"/>
        <v>0</v>
      </c>
      <c r="AH50" s="110">
        <f t="shared" si="15"/>
        <v>140.35371964003588</v>
      </c>
      <c r="AI50" s="110">
        <f t="shared" si="15"/>
        <v>0</v>
      </c>
      <c r="AJ50" s="110">
        <f t="shared" si="15"/>
        <v>140.35371964003588</v>
      </c>
      <c r="AK50" s="110">
        <f t="shared" si="15"/>
        <v>0</v>
      </c>
      <c r="AL50" s="110">
        <f t="shared" si="15"/>
        <v>140.35371964003588</v>
      </c>
      <c r="AM50" s="110">
        <f t="shared" si="15"/>
        <v>0</v>
      </c>
      <c r="AN50" s="110">
        <f t="shared" si="15"/>
        <v>140.35371964003588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140.35371964003588</v>
      </c>
      <c r="AS50" s="110">
        <f t="shared" si="15"/>
        <v>0</v>
      </c>
      <c r="AT50" s="110">
        <f t="shared" si="15"/>
        <v>140.35371964003588</v>
      </c>
      <c r="AU50" s="110">
        <f t="shared" si="15"/>
        <v>0</v>
      </c>
      <c r="AV50" s="110">
        <f t="shared" si="15"/>
        <v>140.35371964003588</v>
      </c>
      <c r="AW50" s="110">
        <f t="shared" si="15"/>
        <v>0</v>
      </c>
      <c r="AX50" s="110">
        <f t="shared" si="15"/>
        <v>140.35371964003588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64.821387018857351</v>
      </c>
      <c r="E51" s="110">
        <f t="shared" ref="E51:AY51" si="16">E45-E48</f>
        <v>54.903925470883053</v>
      </c>
      <c r="F51" s="110">
        <f t="shared" si="16"/>
        <v>89.734336541134383</v>
      </c>
      <c r="G51" s="110">
        <f t="shared" si="16"/>
        <v>0</v>
      </c>
      <c r="H51" s="110">
        <f t="shared" si="16"/>
        <v>0</v>
      </c>
      <c r="I51" s="110">
        <f t="shared" si="16"/>
        <v>151.89741469448563</v>
      </c>
      <c r="J51" s="110">
        <f t="shared" si="16"/>
        <v>0</v>
      </c>
      <c r="K51" s="110">
        <f t="shared" si="16"/>
        <v>99.651798089108624</v>
      </c>
      <c r="L51" s="110">
        <f t="shared" si="16"/>
        <v>0</v>
      </c>
      <c r="M51" s="110">
        <f t="shared" si="16"/>
        <v>124.56474761138573</v>
      </c>
      <c r="N51" s="110">
        <f t="shared" si="16"/>
        <v>0</v>
      </c>
      <c r="O51" s="110">
        <f t="shared" si="16"/>
        <v>0</v>
      </c>
      <c r="P51" s="110">
        <f t="shared" si="16"/>
        <v>194.2255697518884</v>
      </c>
      <c r="Q51" s="110">
        <f t="shared" si="16"/>
        <v>0</v>
      </c>
      <c r="R51" s="110">
        <f t="shared" si="16"/>
        <v>194.2255697518884</v>
      </c>
      <c r="S51" s="110">
        <f t="shared" si="16"/>
        <v>0</v>
      </c>
      <c r="T51" s="110">
        <f t="shared" si="16"/>
        <v>194.2255697518884</v>
      </c>
      <c r="U51" s="110">
        <f t="shared" si="16"/>
        <v>0</v>
      </c>
      <c r="V51" s="110">
        <f t="shared" si="16"/>
        <v>194.2255697518884</v>
      </c>
      <c r="W51" s="110">
        <f t="shared" si="16"/>
        <v>0</v>
      </c>
      <c r="X51" s="110">
        <f t="shared" si="16"/>
        <v>194.2255697518884</v>
      </c>
      <c r="Y51" s="110">
        <f t="shared" si="16"/>
        <v>0</v>
      </c>
      <c r="Z51" s="110">
        <f t="shared" si="16"/>
        <v>194.2255697518884</v>
      </c>
      <c r="AA51" s="110">
        <f t="shared" si="16"/>
        <v>0</v>
      </c>
      <c r="AB51" s="110">
        <f t="shared" si="16"/>
        <v>194.2255697518884</v>
      </c>
      <c r="AC51" s="110">
        <f t="shared" si="16"/>
        <v>0</v>
      </c>
      <c r="AD51" s="110">
        <f t="shared" si="16"/>
        <v>194.2255697518884</v>
      </c>
      <c r="AE51" s="110">
        <f t="shared" si="16"/>
        <v>0</v>
      </c>
      <c r="AF51" s="110">
        <f t="shared" si="16"/>
        <v>194.2255697518884</v>
      </c>
      <c r="AG51" s="110">
        <f t="shared" si="16"/>
        <v>0</v>
      </c>
      <c r="AH51" s="110">
        <f t="shared" si="16"/>
        <v>194.2255697518884</v>
      </c>
      <c r="AI51" s="110">
        <f t="shared" si="16"/>
        <v>0</v>
      </c>
      <c r="AJ51" s="110">
        <f t="shared" si="16"/>
        <v>194.2255697518884</v>
      </c>
      <c r="AK51" s="110">
        <f t="shared" si="16"/>
        <v>0</v>
      </c>
      <c r="AL51" s="110">
        <f t="shared" si="16"/>
        <v>194.2255697518884</v>
      </c>
      <c r="AM51" s="110">
        <f t="shared" si="16"/>
        <v>0</v>
      </c>
      <c r="AN51" s="110">
        <f t="shared" si="16"/>
        <v>194.2255697518884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194.2255697518884</v>
      </c>
      <c r="AS51" s="110">
        <f t="shared" si="16"/>
        <v>0</v>
      </c>
      <c r="AT51" s="110">
        <f t="shared" si="16"/>
        <v>194.2255697518884</v>
      </c>
      <c r="AU51" s="110">
        <f t="shared" si="16"/>
        <v>0</v>
      </c>
      <c r="AV51" s="110">
        <f t="shared" si="16"/>
        <v>194.2255697518884</v>
      </c>
      <c r="AW51" s="110">
        <f t="shared" si="16"/>
        <v>0</v>
      </c>
      <c r="AX51" s="110">
        <f t="shared" si="16"/>
        <v>194.2255697518884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2</v>
      </c>
      <c r="G52" s="110">
        <v>1</v>
      </c>
      <c r="H52" s="110">
        <v>1</v>
      </c>
      <c r="I52" s="110">
        <v>1</v>
      </c>
      <c r="J52" s="110">
        <v>2</v>
      </c>
      <c r="K52" s="110">
        <v>1</v>
      </c>
      <c r="L52" s="110">
        <v>1</v>
      </c>
      <c r="M52" s="110">
        <v>2</v>
      </c>
      <c r="N52" s="110">
        <v>2</v>
      </c>
      <c r="O52" s="110">
        <v>1</v>
      </c>
      <c r="P52" s="110">
        <v>1</v>
      </c>
      <c r="Q52" s="110">
        <v>1</v>
      </c>
      <c r="R52" s="110">
        <v>2</v>
      </c>
      <c r="S52" s="110">
        <v>2</v>
      </c>
      <c r="T52" s="110">
        <v>1</v>
      </c>
      <c r="U52" s="110">
        <v>1</v>
      </c>
      <c r="V52" s="110">
        <v>1</v>
      </c>
      <c r="W52" s="110">
        <v>3</v>
      </c>
      <c r="X52" s="110">
        <v>2</v>
      </c>
      <c r="Y52" s="110">
        <v>2</v>
      </c>
      <c r="Z52" s="110">
        <v>3</v>
      </c>
      <c r="AA52" s="110">
        <v>1</v>
      </c>
      <c r="AB52" s="110">
        <v>1</v>
      </c>
      <c r="AC52" s="110">
        <v>2</v>
      </c>
      <c r="AD52" s="110">
        <v>1</v>
      </c>
      <c r="AE52" s="110">
        <v>2</v>
      </c>
      <c r="AF52" s="110">
        <v>2</v>
      </c>
      <c r="AG52" s="110">
        <v>1</v>
      </c>
      <c r="AH52" s="110">
        <v>1</v>
      </c>
      <c r="AI52" s="110">
        <v>1</v>
      </c>
      <c r="AJ52" s="110">
        <v>1</v>
      </c>
      <c r="AK52" s="110">
        <v>2</v>
      </c>
      <c r="AL52" s="110">
        <v>1</v>
      </c>
      <c r="AM52" s="110">
        <v>1</v>
      </c>
      <c r="AN52" s="110">
        <v>1</v>
      </c>
      <c r="AO52" s="110">
        <v>3</v>
      </c>
      <c r="AP52" s="110">
        <v>2</v>
      </c>
      <c r="AQ52" s="110">
        <v>2</v>
      </c>
      <c r="AR52" s="110">
        <v>1</v>
      </c>
      <c r="AS52" s="110">
        <v>1</v>
      </c>
      <c r="AT52" s="110">
        <v>2</v>
      </c>
      <c r="AU52" s="110">
        <v>1</v>
      </c>
      <c r="AV52" s="110">
        <v>1</v>
      </c>
      <c r="AW52" s="110">
        <v>2</v>
      </c>
      <c r="AX52" s="110">
        <v>1</v>
      </c>
      <c r="AY52" s="110">
        <v>3</v>
      </c>
    </row>
    <row r="53" spans="1:52">
      <c r="A53" s="110"/>
      <c r="B53" s="178" t="s">
        <v>350</v>
      </c>
      <c r="C53" s="110"/>
      <c r="D53" s="110">
        <v>19224</v>
      </c>
      <c r="E53" s="110">
        <v>28836</v>
      </c>
      <c r="F53" s="110">
        <v>22428</v>
      </c>
      <c r="G53" s="110">
        <v>0</v>
      </c>
      <c r="H53" s="110">
        <v>41652</v>
      </c>
      <c r="I53" s="110">
        <v>3204</v>
      </c>
      <c r="J53" s="110">
        <v>32040</v>
      </c>
      <c r="K53" s="110">
        <v>12816</v>
      </c>
      <c r="L53" s="110">
        <v>32040</v>
      </c>
      <c r="M53" s="110">
        <v>16020</v>
      </c>
      <c r="N53" s="110">
        <v>0</v>
      </c>
      <c r="O53" s="110">
        <v>41652</v>
      </c>
      <c r="P53" s="110">
        <v>3204</v>
      </c>
      <c r="Q53" s="110">
        <v>41652</v>
      </c>
      <c r="R53" s="110">
        <v>3204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41652</v>
      </c>
      <c r="AD53" s="110">
        <v>3204</v>
      </c>
      <c r="AE53" s="110">
        <v>41652</v>
      </c>
      <c r="AF53" s="110">
        <v>3204</v>
      </c>
      <c r="AG53" s="110">
        <v>41652</v>
      </c>
      <c r="AH53" s="110">
        <v>3204</v>
      </c>
      <c r="AI53" s="110">
        <v>41652</v>
      </c>
      <c r="AJ53" s="110">
        <v>3204</v>
      </c>
      <c r="AK53" s="110">
        <v>41652</v>
      </c>
      <c r="AL53" s="110">
        <v>3204</v>
      </c>
      <c r="AM53" s="110">
        <v>41652</v>
      </c>
      <c r="AN53" s="110">
        <v>3204</v>
      </c>
      <c r="AO53" s="110">
        <v>41652</v>
      </c>
      <c r="AP53" s="110">
        <v>0</v>
      </c>
      <c r="AQ53" s="110">
        <v>41652</v>
      </c>
      <c r="AR53" s="110">
        <v>3204</v>
      </c>
      <c r="AS53" s="110">
        <v>41652</v>
      </c>
      <c r="AT53" s="110">
        <v>3204</v>
      </c>
      <c r="AU53" s="110">
        <v>41652</v>
      </c>
      <c r="AV53" s="110">
        <v>3204</v>
      </c>
      <c r="AW53" s="110">
        <v>41652</v>
      </c>
      <c r="AX53" s="110">
        <v>3204</v>
      </c>
      <c r="AY53" s="110">
        <v>41652</v>
      </c>
      <c r="AZ53" s="100">
        <f>SUM($D$53:$AY$53)</f>
        <v>1054116</v>
      </c>
    </row>
    <row r="54" spans="1:52">
      <c r="A54" s="110"/>
      <c r="B54" s="178" t="s">
        <v>351</v>
      </c>
      <c r="C54" s="110"/>
      <c r="D54" s="110">
        <v>6459.7295130582661</v>
      </c>
      <c r="E54" s="110">
        <v>5471.4118913228176</v>
      </c>
      <c r="F54" s="110">
        <v>8942.4118913228176</v>
      </c>
      <c r="G54" s="110">
        <v>0</v>
      </c>
      <c r="H54" s="110">
        <v>0</v>
      </c>
      <c r="I54" s="110">
        <v>15137.229513058261</v>
      </c>
      <c r="J54" s="110">
        <v>0</v>
      </c>
      <c r="K54" s="110">
        <v>9930.7295130582588</v>
      </c>
      <c r="L54" s="110">
        <v>0</v>
      </c>
      <c r="M54" s="110">
        <v>12413.411891322818</v>
      </c>
      <c r="N54" s="110">
        <v>0</v>
      </c>
      <c r="O54" s="110">
        <v>0</v>
      </c>
      <c r="P54" s="110">
        <v>19355.411891322819</v>
      </c>
      <c r="Q54" s="110">
        <v>0</v>
      </c>
      <c r="R54" s="110">
        <v>19355.411891322819</v>
      </c>
      <c r="S54" s="110">
        <v>0</v>
      </c>
      <c r="T54" s="110">
        <v>19355.411891322819</v>
      </c>
      <c r="U54" s="110">
        <v>0</v>
      </c>
      <c r="V54" s="110">
        <v>19355.411891322819</v>
      </c>
      <c r="W54" s="110">
        <v>0</v>
      </c>
      <c r="X54" s="110">
        <v>19355.411891322819</v>
      </c>
      <c r="Y54" s="110">
        <v>0</v>
      </c>
      <c r="Z54" s="110">
        <v>19355.411891322819</v>
      </c>
      <c r="AA54" s="110">
        <v>0</v>
      </c>
      <c r="AB54" s="110">
        <v>19355.411891322819</v>
      </c>
      <c r="AC54" s="110">
        <v>0</v>
      </c>
      <c r="AD54" s="110">
        <v>19355.411891322819</v>
      </c>
      <c r="AE54" s="110">
        <v>0</v>
      </c>
      <c r="AF54" s="110">
        <v>19355.411891322819</v>
      </c>
      <c r="AG54" s="110">
        <v>0</v>
      </c>
      <c r="AH54" s="110">
        <v>19355.411891322819</v>
      </c>
      <c r="AI54" s="110">
        <v>0</v>
      </c>
      <c r="AJ54" s="110">
        <v>19355.411891322819</v>
      </c>
      <c r="AK54" s="110">
        <v>0</v>
      </c>
      <c r="AL54" s="110">
        <v>19355.411891322819</v>
      </c>
      <c r="AM54" s="110">
        <v>0</v>
      </c>
      <c r="AN54" s="110">
        <v>19355.411891322819</v>
      </c>
      <c r="AO54" s="110">
        <v>0</v>
      </c>
      <c r="AP54" s="110">
        <v>0</v>
      </c>
      <c r="AQ54" s="110">
        <v>0</v>
      </c>
      <c r="AR54" s="110">
        <v>19355.411891322819</v>
      </c>
      <c r="AS54" s="110">
        <v>0</v>
      </c>
      <c r="AT54" s="110">
        <v>19355.411891322819</v>
      </c>
      <c r="AU54" s="110">
        <v>0</v>
      </c>
      <c r="AV54" s="110">
        <v>19355.411891322819</v>
      </c>
      <c r="AW54" s="110">
        <v>0</v>
      </c>
      <c r="AX54" s="110">
        <v>19355.411891322819</v>
      </c>
      <c r="AY54" s="110">
        <v>0</v>
      </c>
      <c r="AZ54" s="100">
        <f>SUM($D$54:$AY$54)</f>
        <v>387396.92636563111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3</v>
      </c>
      <c r="F63" s="110">
        <v>2</v>
      </c>
      <c r="G63" s="110">
        <v>2</v>
      </c>
      <c r="H63" s="110">
        <v>2</v>
      </c>
      <c r="I63" s="110">
        <v>2</v>
      </c>
      <c r="J63" s="110">
        <v>3</v>
      </c>
      <c r="K63" s="110">
        <v>2</v>
      </c>
      <c r="L63" s="110">
        <v>4</v>
      </c>
      <c r="M63" s="110">
        <v>2</v>
      </c>
      <c r="N63" s="110">
        <v>3</v>
      </c>
      <c r="O63" s="110">
        <v>2</v>
      </c>
      <c r="P63" s="110">
        <v>2</v>
      </c>
      <c r="Q63" s="110">
        <v>2</v>
      </c>
      <c r="R63" s="110">
        <v>3</v>
      </c>
      <c r="S63" s="110">
        <v>2</v>
      </c>
      <c r="T63" s="110">
        <v>2</v>
      </c>
      <c r="U63" s="110">
        <v>2</v>
      </c>
      <c r="V63" s="110">
        <v>3</v>
      </c>
      <c r="W63" s="110">
        <v>4</v>
      </c>
      <c r="X63" s="110">
        <v>2</v>
      </c>
      <c r="Y63" s="110">
        <v>2</v>
      </c>
      <c r="Z63" s="110">
        <v>4</v>
      </c>
      <c r="AA63" s="110">
        <v>2</v>
      </c>
      <c r="AB63" s="110">
        <v>3</v>
      </c>
      <c r="AC63" s="110">
        <v>2</v>
      </c>
      <c r="AD63" s="110">
        <v>2</v>
      </c>
      <c r="AE63" s="110">
        <v>2</v>
      </c>
      <c r="AF63" s="110">
        <v>3</v>
      </c>
      <c r="AG63" s="110">
        <v>3</v>
      </c>
      <c r="AH63" s="110">
        <v>2</v>
      </c>
      <c r="AI63" s="110">
        <v>2</v>
      </c>
      <c r="AJ63" s="110">
        <v>3</v>
      </c>
      <c r="AK63" s="110">
        <v>4</v>
      </c>
      <c r="AL63" s="110">
        <v>2</v>
      </c>
      <c r="AM63" s="110">
        <v>2</v>
      </c>
      <c r="AN63" s="110">
        <v>3</v>
      </c>
      <c r="AO63" s="110">
        <v>2</v>
      </c>
      <c r="AP63" s="110">
        <v>3</v>
      </c>
      <c r="AQ63" s="110">
        <v>2</v>
      </c>
      <c r="AR63" s="110">
        <v>3</v>
      </c>
      <c r="AS63" s="110">
        <v>2</v>
      </c>
      <c r="AT63" s="110">
        <v>2</v>
      </c>
      <c r="AU63" s="110">
        <v>2</v>
      </c>
      <c r="AV63" s="110">
        <v>4</v>
      </c>
      <c r="AW63" s="110">
        <v>2</v>
      </c>
      <c r="AX63" s="110">
        <v>2</v>
      </c>
      <c r="AY63" s="110">
        <v>3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1237.9768492388064</v>
      </c>
      <c r="E7" s="144">
        <v>1237.9768492388064</v>
      </c>
      <c r="F7" s="144">
        <v>1237.9768492388064</v>
      </c>
      <c r="G7" s="144">
        <v>1237.9768492388064</v>
      </c>
      <c r="H7" s="144">
        <v>1547.4592874177147</v>
      </c>
      <c r="I7" s="144">
        <v>1547.4592874177147</v>
      </c>
      <c r="J7" s="144">
        <v>1547.4592874177147</v>
      </c>
      <c r="K7" s="144">
        <v>1547.4592874177147</v>
      </c>
      <c r="L7" s="144">
        <v>1547.4592874177147</v>
      </c>
      <c r="M7" s="144">
        <v>1547.4592874177147</v>
      </c>
      <c r="N7" s="144">
        <v>1547.4592874177147</v>
      </c>
      <c r="O7" s="144">
        <v>1547.4592874177147</v>
      </c>
      <c r="P7" s="144">
        <v>1547.4592874177147</v>
      </c>
      <c r="Q7" s="144">
        <v>1547.4592874177147</v>
      </c>
      <c r="R7" s="144">
        <v>1547.4592874177147</v>
      </c>
      <c r="S7" s="144">
        <v>1547.4592874177147</v>
      </c>
      <c r="T7" s="144">
        <v>1547.4592874177147</v>
      </c>
      <c r="U7" s="144">
        <v>1547.4592874177147</v>
      </c>
      <c r="V7" s="144">
        <v>1547.4592874177147</v>
      </c>
      <c r="W7" s="144">
        <v>1547.4592874177147</v>
      </c>
      <c r="X7" s="144">
        <v>1547.4592874177147</v>
      </c>
      <c r="Y7" s="144">
        <v>1547.4592874177147</v>
      </c>
      <c r="Z7" s="144">
        <v>1547.4592874177147</v>
      </c>
      <c r="AA7" s="144">
        <v>1547.4592874177147</v>
      </c>
      <c r="AB7" s="144">
        <v>1547.4592874177147</v>
      </c>
      <c r="AC7" s="144">
        <v>1547.4592874177147</v>
      </c>
      <c r="AD7" s="144">
        <v>1547.4592874177147</v>
      </c>
      <c r="AE7" s="144">
        <v>1547.4592874177147</v>
      </c>
      <c r="AF7" s="144">
        <v>1547.4592874177147</v>
      </c>
      <c r="AG7" s="144">
        <v>1547.4592874177147</v>
      </c>
      <c r="AH7" s="144">
        <v>1547.4592874177147</v>
      </c>
      <c r="AI7" s="144">
        <v>1547.4592874177147</v>
      </c>
      <c r="AJ7" s="144">
        <v>1547.4592874177147</v>
      </c>
      <c r="AK7" s="144">
        <v>1547.4592874177147</v>
      </c>
      <c r="AL7" s="144">
        <v>1547.4592874177147</v>
      </c>
      <c r="AM7" s="144">
        <v>1547.4592874177147</v>
      </c>
      <c r="AN7" s="144">
        <v>1547.4592874177147</v>
      </c>
      <c r="AO7" s="144">
        <v>1547.4592874177147</v>
      </c>
      <c r="AP7" s="144">
        <v>1547.4592874177147</v>
      </c>
      <c r="AQ7" s="144">
        <v>1547.4592874177147</v>
      </c>
      <c r="AR7" s="144">
        <v>1547.4592874177147</v>
      </c>
      <c r="AS7" s="144">
        <v>1547.4592874177147</v>
      </c>
      <c r="AT7" s="144">
        <v>1547.4592874177147</v>
      </c>
      <c r="AU7" s="144">
        <v>1547.4592874177147</v>
      </c>
      <c r="AV7" s="144">
        <v>1547.4592874177147</v>
      </c>
      <c r="AW7" s="144">
        <v>1547.4592874177147</v>
      </c>
      <c r="AX7" s="144">
        <v>1547.4592874177147</v>
      </c>
      <c r="AY7" s="144">
        <v>1547.4592874177147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1551.6577183807105</v>
      </c>
      <c r="D13" s="138">
        <f t="shared" ref="D13:AY13" si="1">D$7-D$10</f>
        <v>1237.9768492388064</v>
      </c>
      <c r="E13" s="138">
        <f t="shared" si="1"/>
        <v>1237.9768492388064</v>
      </c>
      <c r="F13" s="138">
        <f t="shared" si="1"/>
        <v>1237.9768492388064</v>
      </c>
      <c r="G13" s="138">
        <f t="shared" si="1"/>
        <v>1237.9768492388064</v>
      </c>
      <c r="H13" s="138">
        <f t="shared" si="1"/>
        <v>1547.4592874177147</v>
      </c>
      <c r="I13" s="138">
        <f t="shared" si="1"/>
        <v>1547.4592874177147</v>
      </c>
      <c r="J13" s="138">
        <f t="shared" si="1"/>
        <v>1547.4592874177147</v>
      </c>
      <c r="K13" s="138">
        <f t="shared" si="1"/>
        <v>1547.4592874177147</v>
      </c>
      <c r="L13" s="138">
        <f t="shared" si="1"/>
        <v>1547.4592874177147</v>
      </c>
      <c r="M13" s="138">
        <f t="shared" si="1"/>
        <v>1547.4592874177147</v>
      </c>
      <c r="N13" s="138">
        <f t="shared" si="1"/>
        <v>1547.4592874177147</v>
      </c>
      <c r="O13" s="138">
        <f t="shared" si="1"/>
        <v>1547.4592874177147</v>
      </c>
      <c r="P13" s="138">
        <f t="shared" si="1"/>
        <v>1547.4592874177147</v>
      </c>
      <c r="Q13" s="138">
        <f t="shared" si="1"/>
        <v>1547.4592874177147</v>
      </c>
      <c r="R13" s="138">
        <f t="shared" si="1"/>
        <v>1547.4592874177147</v>
      </c>
      <c r="S13" s="138">
        <f t="shared" si="1"/>
        <v>1547.4592874177147</v>
      </c>
      <c r="T13" s="138">
        <f t="shared" si="1"/>
        <v>1547.4592874177147</v>
      </c>
      <c r="U13" s="138">
        <f t="shared" si="1"/>
        <v>1547.4592874177147</v>
      </c>
      <c r="V13" s="138">
        <f t="shared" si="1"/>
        <v>1547.4592874177147</v>
      </c>
      <c r="W13" s="138">
        <f t="shared" si="1"/>
        <v>1547.4592874177147</v>
      </c>
      <c r="X13" s="138">
        <f t="shared" si="1"/>
        <v>1547.4592874177147</v>
      </c>
      <c r="Y13" s="138">
        <f t="shared" si="1"/>
        <v>1547.4592874177147</v>
      </c>
      <c r="Z13" s="138">
        <f t="shared" si="1"/>
        <v>1547.4592874177147</v>
      </c>
      <c r="AA13" s="138">
        <f t="shared" si="1"/>
        <v>1547.4592874177147</v>
      </c>
      <c r="AB13" s="138">
        <f t="shared" si="1"/>
        <v>1547.4592874177147</v>
      </c>
      <c r="AC13" s="138">
        <f t="shared" si="1"/>
        <v>1547.4592874177147</v>
      </c>
      <c r="AD13" s="138">
        <f t="shared" si="1"/>
        <v>1547.4592874177147</v>
      </c>
      <c r="AE13" s="138">
        <f t="shared" si="1"/>
        <v>1547.4592874177147</v>
      </c>
      <c r="AF13" s="138">
        <f t="shared" si="1"/>
        <v>1547.4592874177147</v>
      </c>
      <c r="AG13" s="138">
        <f t="shared" si="1"/>
        <v>1547.4592874177147</v>
      </c>
      <c r="AH13" s="138">
        <f t="shared" si="1"/>
        <v>1547.4592874177147</v>
      </c>
      <c r="AI13" s="138">
        <f t="shared" si="1"/>
        <v>1547.4592874177147</v>
      </c>
      <c r="AJ13" s="138">
        <f t="shared" si="1"/>
        <v>1547.4592874177147</v>
      </c>
      <c r="AK13" s="138">
        <f t="shared" si="1"/>
        <v>1547.4592874177147</v>
      </c>
      <c r="AL13" s="138">
        <f t="shared" si="1"/>
        <v>1547.4592874177147</v>
      </c>
      <c r="AM13" s="138">
        <f t="shared" si="1"/>
        <v>1547.4592874177147</v>
      </c>
      <c r="AN13" s="138">
        <f t="shared" si="1"/>
        <v>1547.4592874177147</v>
      </c>
      <c r="AO13" s="138">
        <f t="shared" si="1"/>
        <v>1547.4592874177147</v>
      </c>
      <c r="AP13" s="138">
        <f t="shared" si="1"/>
        <v>1547.4592874177147</v>
      </c>
      <c r="AQ13" s="138">
        <f t="shared" si="1"/>
        <v>1547.4592874177147</v>
      </c>
      <c r="AR13" s="138">
        <f t="shared" si="1"/>
        <v>1547.4592874177147</v>
      </c>
      <c r="AS13" s="138">
        <f t="shared" si="1"/>
        <v>1547.4592874177147</v>
      </c>
      <c r="AT13" s="138">
        <f t="shared" si="1"/>
        <v>1547.4592874177147</v>
      </c>
      <c r="AU13" s="138">
        <f t="shared" si="1"/>
        <v>1547.4592874177147</v>
      </c>
      <c r="AV13" s="138">
        <f t="shared" si="1"/>
        <v>1547.4592874177147</v>
      </c>
      <c r="AW13" s="138">
        <f t="shared" si="1"/>
        <v>1547.4592874177147</v>
      </c>
      <c r="AX13" s="138">
        <f t="shared" si="1"/>
        <v>1547.4592874177147</v>
      </c>
      <c r="AY13" s="138">
        <f t="shared" si="1"/>
        <v>1547.4592874177147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1547.4592874177147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 t="s">
        <v>339</v>
      </c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0.42789260555896891</v>
      </c>
      <c r="C21" s="156" t="s">
        <v>293</v>
      </c>
      <c r="D21" s="106">
        <f>IF(C$20="Yes",0,SUM(C$13:C$16)*$B$21)</f>
        <v>663.94286405360708</v>
      </c>
      <c r="E21" s="106">
        <f t="shared" ref="E21:AY21" si="3">IF(D$20="Yes",0,SUM(D$13:D$16)*$B$21)</f>
        <v>529.72113964247569</v>
      </c>
      <c r="F21" s="106">
        <f t="shared" si="3"/>
        <v>529.72113964247569</v>
      </c>
      <c r="G21" s="106">
        <f t="shared" si="3"/>
        <v>529.72113964247569</v>
      </c>
      <c r="H21" s="106">
        <f t="shared" si="3"/>
        <v>529.72113964247569</v>
      </c>
      <c r="I21" s="106">
        <f t="shared" si="3"/>
        <v>662.14638648959124</v>
      </c>
      <c r="J21" s="106">
        <f t="shared" si="3"/>
        <v>662.14638648959124</v>
      </c>
      <c r="K21" s="106">
        <f t="shared" si="3"/>
        <v>662.14638648959124</v>
      </c>
      <c r="L21" s="106">
        <f t="shared" si="3"/>
        <v>662.14638648959124</v>
      </c>
      <c r="M21" s="106">
        <f t="shared" si="3"/>
        <v>662.14638648959124</v>
      </c>
      <c r="N21" s="106">
        <f t="shared" si="3"/>
        <v>662.14638648959124</v>
      </c>
      <c r="O21" s="106">
        <f t="shared" si="3"/>
        <v>662.14638648959124</v>
      </c>
      <c r="P21" s="106">
        <f t="shared" si="3"/>
        <v>662.14638648959124</v>
      </c>
      <c r="Q21" s="106">
        <f t="shared" si="3"/>
        <v>662.14638648959124</v>
      </c>
      <c r="R21" s="106">
        <f t="shared" si="3"/>
        <v>662.14638648959124</v>
      </c>
      <c r="S21" s="106">
        <f t="shared" si="3"/>
        <v>662.14638648959124</v>
      </c>
      <c r="T21" s="106">
        <f t="shared" si="3"/>
        <v>662.14638648959124</v>
      </c>
      <c r="U21" s="106">
        <f t="shared" si="3"/>
        <v>662.14638648959124</v>
      </c>
      <c r="V21" s="106">
        <f t="shared" si="3"/>
        <v>662.14638648959124</v>
      </c>
      <c r="W21" s="106">
        <f t="shared" si="3"/>
        <v>662.14638648959124</v>
      </c>
      <c r="X21" s="106">
        <f t="shared" si="3"/>
        <v>662.14638648959124</v>
      </c>
      <c r="Y21" s="106">
        <f t="shared" si="3"/>
        <v>662.14638648959124</v>
      </c>
      <c r="Z21" s="106">
        <f t="shared" si="3"/>
        <v>662.14638648959124</v>
      </c>
      <c r="AA21" s="106">
        <f t="shared" si="3"/>
        <v>662.14638648959124</v>
      </c>
      <c r="AB21" s="106">
        <f t="shared" si="3"/>
        <v>662.14638648959124</v>
      </c>
      <c r="AC21" s="106">
        <f t="shared" si="3"/>
        <v>662.14638648959124</v>
      </c>
      <c r="AD21" s="106">
        <f t="shared" si="3"/>
        <v>662.14638648959124</v>
      </c>
      <c r="AE21" s="106">
        <f t="shared" si="3"/>
        <v>662.14638648959124</v>
      </c>
      <c r="AF21" s="106">
        <f t="shared" si="3"/>
        <v>662.14638648959124</v>
      </c>
      <c r="AG21" s="106">
        <f t="shared" si="3"/>
        <v>662.14638648959124</v>
      </c>
      <c r="AH21" s="106">
        <f t="shared" si="3"/>
        <v>0</v>
      </c>
      <c r="AI21" s="106">
        <f t="shared" si="3"/>
        <v>1324.2927729791825</v>
      </c>
      <c r="AJ21" s="106">
        <f t="shared" si="3"/>
        <v>662.14638648959124</v>
      </c>
      <c r="AK21" s="106">
        <f t="shared" si="3"/>
        <v>662.14638648959124</v>
      </c>
      <c r="AL21" s="106">
        <f t="shared" si="3"/>
        <v>662.14638648959124</v>
      </c>
      <c r="AM21" s="106">
        <f t="shared" si="3"/>
        <v>662.14638648959124</v>
      </c>
      <c r="AN21" s="106">
        <f t="shared" si="3"/>
        <v>662.14638648959124</v>
      </c>
      <c r="AO21" s="106">
        <f t="shared" si="3"/>
        <v>662.14638648959124</v>
      </c>
      <c r="AP21" s="106">
        <f t="shared" si="3"/>
        <v>662.14638648959124</v>
      </c>
      <c r="AQ21" s="106">
        <f t="shared" si="3"/>
        <v>662.14638648959124</v>
      </c>
      <c r="AR21" s="106">
        <f t="shared" si="3"/>
        <v>662.14638648959124</v>
      </c>
      <c r="AS21" s="106">
        <f t="shared" si="3"/>
        <v>662.14638648959124</v>
      </c>
      <c r="AT21" s="106">
        <f t="shared" si="3"/>
        <v>662.14638648959124</v>
      </c>
      <c r="AU21" s="106">
        <f t="shared" si="3"/>
        <v>662.14638648959124</v>
      </c>
      <c r="AV21" s="106">
        <f t="shared" si="3"/>
        <v>662.14638648959124</v>
      </c>
      <c r="AW21" s="106">
        <f t="shared" si="3"/>
        <v>662.14638648959124</v>
      </c>
      <c r="AX21" s="106">
        <f t="shared" si="3"/>
        <v>662.14638648959124</v>
      </c>
      <c r="AY21" s="106">
        <f t="shared" si="3"/>
        <v>662.14638648959124</v>
      </c>
      <c r="AZ21" s="157">
        <f>SUM($D21:$AY21)</f>
        <v>31255.122041675942</v>
      </c>
    </row>
    <row r="22" spans="1:52" s="110" customFormat="1">
      <c r="A22" s="158" t="s">
        <v>123</v>
      </c>
      <c r="B22" s="159">
        <f>1-$B$21</f>
        <v>0.57210739444103109</v>
      </c>
      <c r="C22" s="159" t="s">
        <v>293</v>
      </c>
      <c r="D22" s="114">
        <f>IF(C$20="Yes",0,SUM(C$13:C$16)*$B$22)</f>
        <v>887.71485432710347</v>
      </c>
      <c r="E22" s="114">
        <f t="shared" ref="E22:AY22" si="4">IF(D$20="Yes",0,SUM(D$13:D$16)*$B$22)</f>
        <v>708.25570959633069</v>
      </c>
      <c r="F22" s="114">
        <f t="shared" si="4"/>
        <v>708.25570959633069</v>
      </c>
      <c r="G22" s="114">
        <f t="shared" si="4"/>
        <v>708.25570959633069</v>
      </c>
      <c r="H22" s="114">
        <f t="shared" si="4"/>
        <v>708.25570959633069</v>
      </c>
      <c r="I22" s="114">
        <f t="shared" si="4"/>
        <v>885.31290092812344</v>
      </c>
      <c r="J22" s="114">
        <f t="shared" si="4"/>
        <v>885.31290092812344</v>
      </c>
      <c r="K22" s="114">
        <f t="shared" si="4"/>
        <v>885.31290092812344</v>
      </c>
      <c r="L22" s="114">
        <f t="shared" si="4"/>
        <v>885.31290092812344</v>
      </c>
      <c r="M22" s="114">
        <f t="shared" si="4"/>
        <v>885.31290092812344</v>
      </c>
      <c r="N22" s="114">
        <f t="shared" si="4"/>
        <v>885.31290092812344</v>
      </c>
      <c r="O22" s="114">
        <f t="shared" si="4"/>
        <v>885.31290092812344</v>
      </c>
      <c r="P22" s="114">
        <f t="shared" si="4"/>
        <v>885.31290092812344</v>
      </c>
      <c r="Q22" s="114">
        <f t="shared" si="4"/>
        <v>885.31290092812344</v>
      </c>
      <c r="R22" s="114">
        <f t="shared" si="4"/>
        <v>885.31290092812344</v>
      </c>
      <c r="S22" s="114">
        <f t="shared" si="4"/>
        <v>885.31290092812344</v>
      </c>
      <c r="T22" s="114">
        <f t="shared" si="4"/>
        <v>885.31290092812344</v>
      </c>
      <c r="U22" s="114">
        <f t="shared" si="4"/>
        <v>885.31290092812344</v>
      </c>
      <c r="V22" s="114">
        <f t="shared" si="4"/>
        <v>885.31290092812344</v>
      </c>
      <c r="W22" s="114">
        <f t="shared" si="4"/>
        <v>885.31290092812344</v>
      </c>
      <c r="X22" s="114">
        <f t="shared" si="4"/>
        <v>885.31290092812344</v>
      </c>
      <c r="Y22" s="114">
        <f t="shared" si="4"/>
        <v>885.31290092812344</v>
      </c>
      <c r="Z22" s="114">
        <f t="shared" si="4"/>
        <v>885.31290092812344</v>
      </c>
      <c r="AA22" s="114">
        <f t="shared" si="4"/>
        <v>885.31290092812344</v>
      </c>
      <c r="AB22" s="114">
        <f t="shared" si="4"/>
        <v>885.31290092812344</v>
      </c>
      <c r="AC22" s="114">
        <f t="shared" si="4"/>
        <v>885.31290092812344</v>
      </c>
      <c r="AD22" s="114">
        <f t="shared" si="4"/>
        <v>885.31290092812344</v>
      </c>
      <c r="AE22" s="114">
        <f t="shared" si="4"/>
        <v>885.31290092812344</v>
      </c>
      <c r="AF22" s="114">
        <f t="shared" si="4"/>
        <v>885.31290092812344</v>
      </c>
      <c r="AG22" s="114">
        <f t="shared" si="4"/>
        <v>885.31290092812344</v>
      </c>
      <c r="AH22" s="114">
        <f t="shared" si="4"/>
        <v>0</v>
      </c>
      <c r="AI22" s="114">
        <f t="shared" si="4"/>
        <v>1770.6258018562469</v>
      </c>
      <c r="AJ22" s="114">
        <f t="shared" si="4"/>
        <v>885.31290092812344</v>
      </c>
      <c r="AK22" s="114">
        <f t="shared" si="4"/>
        <v>885.31290092812344</v>
      </c>
      <c r="AL22" s="114">
        <f t="shared" si="4"/>
        <v>885.31290092812344</v>
      </c>
      <c r="AM22" s="114">
        <f t="shared" si="4"/>
        <v>885.31290092812344</v>
      </c>
      <c r="AN22" s="114">
        <f t="shared" si="4"/>
        <v>885.31290092812344</v>
      </c>
      <c r="AO22" s="114">
        <f t="shared" si="4"/>
        <v>885.31290092812344</v>
      </c>
      <c r="AP22" s="114">
        <f t="shared" si="4"/>
        <v>885.31290092812344</v>
      </c>
      <c r="AQ22" s="114">
        <f t="shared" si="4"/>
        <v>885.31290092812344</v>
      </c>
      <c r="AR22" s="114">
        <f t="shared" si="4"/>
        <v>885.31290092812344</v>
      </c>
      <c r="AS22" s="114">
        <f t="shared" si="4"/>
        <v>885.31290092812344</v>
      </c>
      <c r="AT22" s="114">
        <f t="shared" si="4"/>
        <v>885.31290092812344</v>
      </c>
      <c r="AU22" s="114">
        <f t="shared" si="4"/>
        <v>885.31290092812344</v>
      </c>
      <c r="AV22" s="114">
        <f t="shared" si="4"/>
        <v>885.31290092812344</v>
      </c>
      <c r="AW22" s="114">
        <f t="shared" si="4"/>
        <v>885.31290092812344</v>
      </c>
      <c r="AX22" s="114">
        <f t="shared" si="4"/>
        <v>885.31290092812344</v>
      </c>
      <c r="AY22" s="114">
        <f t="shared" si="4"/>
        <v>885.31290092812344</v>
      </c>
      <c r="AZ22" s="141">
        <f t="shared" ref="AZ22:AZ30" si="5">SUM($D22:$AY22)</f>
        <v>41789.192432621741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1327885.7281072142</v>
      </c>
      <c r="E23" s="100">
        <f t="shared" ref="E23:AY23" si="6">E$21*$B$23</f>
        <v>1059442.2792849513</v>
      </c>
      <c r="F23" s="100">
        <f t="shared" si="6"/>
        <v>1059442.2792849513</v>
      </c>
      <c r="G23" s="100">
        <f t="shared" si="6"/>
        <v>1059442.2792849513</v>
      </c>
      <c r="H23" s="100">
        <f t="shared" si="6"/>
        <v>1059442.2792849513</v>
      </c>
      <c r="I23" s="100">
        <f t="shared" si="6"/>
        <v>1324292.7729791824</v>
      </c>
      <c r="J23" s="100">
        <f t="shared" si="6"/>
        <v>1324292.7729791824</v>
      </c>
      <c r="K23" s="100">
        <f t="shared" si="6"/>
        <v>1324292.7729791824</v>
      </c>
      <c r="L23" s="100">
        <f t="shared" si="6"/>
        <v>1324292.7729791824</v>
      </c>
      <c r="M23" s="100">
        <f t="shared" si="6"/>
        <v>1324292.7729791824</v>
      </c>
      <c r="N23" s="100">
        <f t="shared" si="6"/>
        <v>1324292.7729791824</v>
      </c>
      <c r="O23" s="100">
        <f t="shared" si="6"/>
        <v>1324292.7729791824</v>
      </c>
      <c r="P23" s="100">
        <f t="shared" si="6"/>
        <v>1324292.7729791824</v>
      </c>
      <c r="Q23" s="100">
        <f t="shared" si="6"/>
        <v>1324292.7729791824</v>
      </c>
      <c r="R23" s="100">
        <f t="shared" si="6"/>
        <v>1324292.7729791824</v>
      </c>
      <c r="S23" s="100">
        <f t="shared" si="6"/>
        <v>1324292.7729791824</v>
      </c>
      <c r="T23" s="100">
        <f t="shared" si="6"/>
        <v>1324292.7729791824</v>
      </c>
      <c r="U23" s="100">
        <f t="shared" si="6"/>
        <v>1324292.7729791824</v>
      </c>
      <c r="V23" s="100">
        <f t="shared" si="6"/>
        <v>1324292.7729791824</v>
      </c>
      <c r="W23" s="100">
        <f t="shared" si="6"/>
        <v>1324292.7729791824</v>
      </c>
      <c r="X23" s="100">
        <f t="shared" si="6"/>
        <v>1324292.7729791824</v>
      </c>
      <c r="Y23" s="100">
        <f t="shared" si="6"/>
        <v>1324292.7729791824</v>
      </c>
      <c r="Z23" s="100">
        <f t="shared" si="6"/>
        <v>1324292.7729791824</v>
      </c>
      <c r="AA23" s="100">
        <f t="shared" si="6"/>
        <v>1324292.7729791824</v>
      </c>
      <c r="AB23" s="100">
        <f t="shared" si="6"/>
        <v>1324292.7729791824</v>
      </c>
      <c r="AC23" s="100">
        <f t="shared" si="6"/>
        <v>1324292.7729791824</v>
      </c>
      <c r="AD23" s="100">
        <f t="shared" si="6"/>
        <v>1324292.7729791824</v>
      </c>
      <c r="AE23" s="100">
        <f t="shared" si="6"/>
        <v>1324292.7729791824</v>
      </c>
      <c r="AF23" s="100">
        <f t="shared" si="6"/>
        <v>1324292.7729791824</v>
      </c>
      <c r="AG23" s="100">
        <f t="shared" si="6"/>
        <v>1324292.7729791824</v>
      </c>
      <c r="AH23" s="100">
        <f t="shared" si="6"/>
        <v>0</v>
      </c>
      <c r="AI23" s="100">
        <f t="shared" si="6"/>
        <v>2648585.5459583648</v>
      </c>
      <c r="AJ23" s="100">
        <f t="shared" si="6"/>
        <v>1324292.7729791824</v>
      </c>
      <c r="AK23" s="100">
        <f t="shared" si="6"/>
        <v>1324292.7729791824</v>
      </c>
      <c r="AL23" s="100">
        <f t="shared" si="6"/>
        <v>1324292.7729791824</v>
      </c>
      <c r="AM23" s="100">
        <f t="shared" si="6"/>
        <v>1324292.7729791824</v>
      </c>
      <c r="AN23" s="100">
        <f t="shared" si="6"/>
        <v>1324292.7729791824</v>
      </c>
      <c r="AO23" s="100">
        <f t="shared" si="6"/>
        <v>1324292.7729791824</v>
      </c>
      <c r="AP23" s="100">
        <f t="shared" si="6"/>
        <v>1324292.7729791824</v>
      </c>
      <c r="AQ23" s="100">
        <f t="shared" si="6"/>
        <v>1324292.7729791824</v>
      </c>
      <c r="AR23" s="100">
        <f t="shared" si="6"/>
        <v>1324292.7729791824</v>
      </c>
      <c r="AS23" s="100">
        <f t="shared" si="6"/>
        <v>1324292.7729791824</v>
      </c>
      <c r="AT23" s="100">
        <f t="shared" si="6"/>
        <v>1324292.7729791824</v>
      </c>
      <c r="AU23" s="100">
        <f t="shared" si="6"/>
        <v>1324292.7729791824</v>
      </c>
      <c r="AV23" s="100">
        <f t="shared" si="6"/>
        <v>1324292.7729791824</v>
      </c>
      <c r="AW23" s="100">
        <f t="shared" si="6"/>
        <v>1324292.7729791824</v>
      </c>
      <c r="AX23" s="100">
        <f t="shared" si="6"/>
        <v>1324292.7729791824</v>
      </c>
      <c r="AY23" s="100">
        <f t="shared" si="6"/>
        <v>1324292.7729791824</v>
      </c>
      <c r="AZ23" s="139">
        <f t="shared" si="5"/>
        <v>62510244.083351903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887714.85432710347</v>
      </c>
      <c r="E24" s="106">
        <f t="shared" ref="E24:AY24" si="7">E$22*$B$24</f>
        <v>708255.70959633065</v>
      </c>
      <c r="F24" s="106">
        <f t="shared" si="7"/>
        <v>708255.70959633065</v>
      </c>
      <c r="G24" s="106">
        <f t="shared" si="7"/>
        <v>708255.70959633065</v>
      </c>
      <c r="H24" s="106">
        <f t="shared" si="7"/>
        <v>708255.70959633065</v>
      </c>
      <c r="I24" s="106">
        <f t="shared" si="7"/>
        <v>885312.90092812339</v>
      </c>
      <c r="J24" s="106">
        <f t="shared" si="7"/>
        <v>885312.90092812339</v>
      </c>
      <c r="K24" s="106">
        <f t="shared" si="7"/>
        <v>885312.90092812339</v>
      </c>
      <c r="L24" s="106">
        <f t="shared" si="7"/>
        <v>885312.90092812339</v>
      </c>
      <c r="M24" s="106">
        <f t="shared" si="7"/>
        <v>885312.90092812339</v>
      </c>
      <c r="N24" s="106">
        <f t="shared" si="7"/>
        <v>885312.90092812339</v>
      </c>
      <c r="O24" s="106">
        <f t="shared" si="7"/>
        <v>885312.90092812339</v>
      </c>
      <c r="P24" s="106">
        <f t="shared" si="7"/>
        <v>885312.90092812339</v>
      </c>
      <c r="Q24" s="106">
        <f t="shared" si="7"/>
        <v>885312.90092812339</v>
      </c>
      <c r="R24" s="106">
        <f t="shared" si="7"/>
        <v>885312.90092812339</v>
      </c>
      <c r="S24" s="106">
        <f t="shared" si="7"/>
        <v>885312.90092812339</v>
      </c>
      <c r="T24" s="106">
        <f t="shared" si="7"/>
        <v>885312.90092812339</v>
      </c>
      <c r="U24" s="106">
        <f t="shared" si="7"/>
        <v>885312.90092812339</v>
      </c>
      <c r="V24" s="106">
        <f t="shared" si="7"/>
        <v>885312.90092812339</v>
      </c>
      <c r="W24" s="106">
        <f t="shared" si="7"/>
        <v>885312.90092812339</v>
      </c>
      <c r="X24" s="106">
        <f t="shared" si="7"/>
        <v>885312.90092812339</v>
      </c>
      <c r="Y24" s="106">
        <f t="shared" si="7"/>
        <v>885312.90092812339</v>
      </c>
      <c r="Z24" s="106">
        <f t="shared" si="7"/>
        <v>885312.90092812339</v>
      </c>
      <c r="AA24" s="106">
        <f t="shared" si="7"/>
        <v>885312.90092812339</v>
      </c>
      <c r="AB24" s="106">
        <f t="shared" si="7"/>
        <v>885312.90092812339</v>
      </c>
      <c r="AC24" s="106">
        <f t="shared" si="7"/>
        <v>885312.90092812339</v>
      </c>
      <c r="AD24" s="106">
        <f t="shared" si="7"/>
        <v>885312.90092812339</v>
      </c>
      <c r="AE24" s="106">
        <f t="shared" si="7"/>
        <v>885312.90092812339</v>
      </c>
      <c r="AF24" s="106">
        <f t="shared" si="7"/>
        <v>885312.90092812339</v>
      </c>
      <c r="AG24" s="106">
        <f t="shared" si="7"/>
        <v>885312.90092812339</v>
      </c>
      <c r="AH24" s="106">
        <f t="shared" si="7"/>
        <v>0</v>
      </c>
      <c r="AI24" s="106">
        <f t="shared" si="7"/>
        <v>1770625.8018562468</v>
      </c>
      <c r="AJ24" s="106">
        <f t="shared" si="7"/>
        <v>885312.90092812339</v>
      </c>
      <c r="AK24" s="106">
        <f t="shared" si="7"/>
        <v>885312.90092812339</v>
      </c>
      <c r="AL24" s="106">
        <f t="shared" si="7"/>
        <v>885312.90092812339</v>
      </c>
      <c r="AM24" s="106">
        <f t="shared" si="7"/>
        <v>885312.90092812339</v>
      </c>
      <c r="AN24" s="106">
        <f t="shared" si="7"/>
        <v>885312.90092812339</v>
      </c>
      <c r="AO24" s="106">
        <f t="shared" si="7"/>
        <v>885312.90092812339</v>
      </c>
      <c r="AP24" s="106">
        <f t="shared" si="7"/>
        <v>885312.90092812339</v>
      </c>
      <c r="AQ24" s="106">
        <f t="shared" si="7"/>
        <v>885312.90092812339</v>
      </c>
      <c r="AR24" s="106">
        <f t="shared" si="7"/>
        <v>885312.90092812339</v>
      </c>
      <c r="AS24" s="106">
        <f t="shared" si="7"/>
        <v>885312.90092812339</v>
      </c>
      <c r="AT24" s="106">
        <f t="shared" si="7"/>
        <v>885312.90092812339</v>
      </c>
      <c r="AU24" s="106">
        <f t="shared" si="7"/>
        <v>885312.90092812339</v>
      </c>
      <c r="AV24" s="106">
        <f t="shared" si="7"/>
        <v>885312.90092812339</v>
      </c>
      <c r="AW24" s="106">
        <f t="shared" si="7"/>
        <v>885312.90092812339</v>
      </c>
      <c r="AX24" s="106">
        <f t="shared" si="7"/>
        <v>885312.90092812339</v>
      </c>
      <c r="AY24" s="106">
        <f t="shared" si="7"/>
        <v>885312.90092812339</v>
      </c>
      <c r="AZ24" s="141">
        <f t="shared" si="5"/>
        <v>41789192.432621762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55.516340129079417</v>
      </c>
      <c r="E33" s="124">
        <f>E$21*shipping_manufacturing!$F$27/100</f>
        <v>44.293237496985618</v>
      </c>
      <c r="F33" s="124">
        <f>F$21*shipping_manufacturing!$F$27/100</f>
        <v>44.293237496985618</v>
      </c>
      <c r="G33" s="124">
        <f>G$21*shipping_manufacturing!$F$27/100</f>
        <v>44.293237496985618</v>
      </c>
      <c r="H33" s="124">
        <f>H$21*shipping_manufacturing!$F$27/100</f>
        <v>44.293237496985618</v>
      </c>
      <c r="I33" s="124">
        <f>I$21*shipping_manufacturing!$F$27/100</f>
        <v>55.366125607803824</v>
      </c>
      <c r="J33" s="124">
        <f>J$21*shipping_manufacturing!$F$27/100</f>
        <v>55.366125607803824</v>
      </c>
      <c r="K33" s="124">
        <f>K$21*shipping_manufacturing!$F$27/100</f>
        <v>55.366125607803824</v>
      </c>
      <c r="L33" s="124">
        <f>L$21*shipping_manufacturing!$F$27/100</f>
        <v>55.366125607803824</v>
      </c>
      <c r="M33" s="124">
        <f>M$21*shipping_manufacturing!$F$27/100</f>
        <v>55.366125607803824</v>
      </c>
      <c r="N33" s="124">
        <f>N$21*shipping_manufacturing!$F$27/100</f>
        <v>55.366125607803824</v>
      </c>
      <c r="O33" s="124">
        <f>O$21*shipping_manufacturing!$F$27/100</f>
        <v>55.366125607803824</v>
      </c>
      <c r="P33" s="124">
        <f>P$21*shipping_manufacturing!$F$27/100</f>
        <v>55.366125607803824</v>
      </c>
      <c r="Q33" s="124">
        <f>Q$21*shipping_manufacturing!$F$27/100</f>
        <v>55.366125607803824</v>
      </c>
      <c r="R33" s="124">
        <f>R$21*shipping_manufacturing!$F$27/100</f>
        <v>55.366125607803824</v>
      </c>
      <c r="S33" s="124">
        <f>S$21*shipping_manufacturing!$F$27/100</f>
        <v>55.366125607803824</v>
      </c>
      <c r="T33" s="124">
        <f>T$21*shipping_manufacturing!$F$27/100</f>
        <v>55.366125607803824</v>
      </c>
      <c r="U33" s="124">
        <f>U$21*shipping_manufacturing!$F$27/100</f>
        <v>55.366125607803824</v>
      </c>
      <c r="V33" s="124">
        <f>V$21*shipping_manufacturing!$F$27/100</f>
        <v>55.366125607803824</v>
      </c>
      <c r="W33" s="124">
        <f>W$21*shipping_manufacturing!$F$27/100</f>
        <v>55.366125607803824</v>
      </c>
      <c r="X33" s="124">
        <f>X$21*shipping_manufacturing!$F$27/100</f>
        <v>55.366125607803824</v>
      </c>
      <c r="Y33" s="124">
        <f>Y$21*shipping_manufacturing!$F$27/100</f>
        <v>55.366125607803824</v>
      </c>
      <c r="Z33" s="124">
        <f>Z$21*shipping_manufacturing!$F$27/100</f>
        <v>55.366125607803824</v>
      </c>
      <c r="AA33" s="124">
        <f>AA$21*shipping_manufacturing!$F$27/100</f>
        <v>55.366125607803824</v>
      </c>
      <c r="AB33" s="124">
        <f>AB$21*shipping_manufacturing!$F$27/100</f>
        <v>55.366125607803824</v>
      </c>
      <c r="AC33" s="124">
        <f>AC$21*shipping_manufacturing!$F$27/100</f>
        <v>55.366125607803824</v>
      </c>
      <c r="AD33" s="124">
        <f>AD$21*shipping_manufacturing!$F$27/100</f>
        <v>55.366125607803824</v>
      </c>
      <c r="AE33" s="124">
        <f>AE$21*shipping_manufacturing!$F$27/100</f>
        <v>55.366125607803824</v>
      </c>
      <c r="AF33" s="124">
        <f>AF$21*shipping_manufacturing!$F$27/100</f>
        <v>55.366125607803824</v>
      </c>
      <c r="AG33" s="124">
        <f>AG$21*shipping_manufacturing!$F$27/100</f>
        <v>55.366125607803824</v>
      </c>
      <c r="AH33" s="124">
        <f>AH$21*shipping_manufacturing!$F$27/100</f>
        <v>0</v>
      </c>
      <c r="AI33" s="124">
        <f>AI$21*shipping_manufacturing!$F$27/100</f>
        <v>110.73225121560765</v>
      </c>
      <c r="AJ33" s="124">
        <f>AJ$21*shipping_manufacturing!$F$27/100</f>
        <v>55.366125607803824</v>
      </c>
      <c r="AK33" s="124">
        <f>AK$21*shipping_manufacturing!$F$27/100</f>
        <v>55.366125607803824</v>
      </c>
      <c r="AL33" s="124">
        <f>AL$21*shipping_manufacturing!$F$27/100</f>
        <v>55.366125607803824</v>
      </c>
      <c r="AM33" s="124">
        <f>AM$21*shipping_manufacturing!$F$27/100</f>
        <v>55.366125607803824</v>
      </c>
      <c r="AN33" s="124">
        <f>AN$21*shipping_manufacturing!$F$27/100</f>
        <v>55.366125607803824</v>
      </c>
      <c r="AO33" s="124">
        <f>AO$21*shipping_manufacturing!$F$27/100</f>
        <v>55.366125607803824</v>
      </c>
      <c r="AP33" s="124">
        <f>AP$21*shipping_manufacturing!$F$27/100</f>
        <v>55.366125607803824</v>
      </c>
      <c r="AQ33" s="124">
        <f>AQ$21*shipping_manufacturing!$F$27/100</f>
        <v>55.366125607803824</v>
      </c>
      <c r="AR33" s="124">
        <f>AR$21*shipping_manufacturing!$F$27/100</f>
        <v>55.366125607803824</v>
      </c>
      <c r="AS33" s="124">
        <f>AS$21*shipping_manufacturing!$F$27/100</f>
        <v>55.366125607803824</v>
      </c>
      <c r="AT33" s="124">
        <f>AT$21*shipping_manufacturing!$F$27/100</f>
        <v>55.366125607803824</v>
      </c>
      <c r="AU33" s="124">
        <f>AU$21*shipping_manufacturing!$F$27/100</f>
        <v>55.366125607803824</v>
      </c>
      <c r="AV33" s="124">
        <f>AV$21*shipping_manufacturing!$F$27/100</f>
        <v>55.366125607803824</v>
      </c>
      <c r="AW33" s="124">
        <f>AW$21*shipping_manufacturing!$F$27/100</f>
        <v>55.366125607803824</v>
      </c>
      <c r="AX33" s="124">
        <f>AX$21*shipping_manufacturing!$F$27/100</f>
        <v>55.366125607803824</v>
      </c>
      <c r="AY33" s="124">
        <f>AY$21*shipping_manufacturing!$F$27/100</f>
        <v>55.366125607803824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57.466028793583725</v>
      </c>
      <c r="E34" s="110">
        <f>E$22*shipping_manufacturing!$G$27/100</f>
        <v>45.848779934784687</v>
      </c>
      <c r="F34" s="110">
        <f>F$22*shipping_manufacturing!$G$27/100</f>
        <v>45.848779934784687</v>
      </c>
      <c r="G34" s="110">
        <f>G$22*shipping_manufacturing!$G$27/100</f>
        <v>45.848779934784687</v>
      </c>
      <c r="H34" s="110">
        <f>H$22*shipping_manufacturing!$G$27/100</f>
        <v>45.848779934784687</v>
      </c>
      <c r="I34" s="110">
        <f>I$22*shipping_manufacturing!$G$27/100</f>
        <v>57.31053886062405</v>
      </c>
      <c r="J34" s="110">
        <f>J$22*shipping_manufacturing!$G$27/100</f>
        <v>57.31053886062405</v>
      </c>
      <c r="K34" s="110">
        <f>K$22*shipping_manufacturing!$G$27/100</f>
        <v>57.31053886062405</v>
      </c>
      <c r="L34" s="110">
        <f>L$22*shipping_manufacturing!$G$27/100</f>
        <v>57.31053886062405</v>
      </c>
      <c r="M34" s="110">
        <f>M$22*shipping_manufacturing!$G$27/100</f>
        <v>57.31053886062405</v>
      </c>
      <c r="N34" s="110">
        <f>N$22*shipping_manufacturing!$G$27/100</f>
        <v>57.31053886062405</v>
      </c>
      <c r="O34" s="110">
        <f>O$22*shipping_manufacturing!$G$27/100</f>
        <v>57.31053886062405</v>
      </c>
      <c r="P34" s="110">
        <f>P$22*shipping_manufacturing!$G$27/100</f>
        <v>57.31053886062405</v>
      </c>
      <c r="Q34" s="110">
        <f>Q$22*shipping_manufacturing!$G$27/100</f>
        <v>57.31053886062405</v>
      </c>
      <c r="R34" s="110">
        <f>R$22*shipping_manufacturing!$G$27/100</f>
        <v>57.31053886062405</v>
      </c>
      <c r="S34" s="110">
        <f>S$22*shipping_manufacturing!$G$27/100</f>
        <v>57.31053886062405</v>
      </c>
      <c r="T34" s="110">
        <f>T$22*shipping_manufacturing!$G$27/100</f>
        <v>57.31053886062405</v>
      </c>
      <c r="U34" s="110">
        <f>U$22*shipping_manufacturing!$G$27/100</f>
        <v>57.31053886062405</v>
      </c>
      <c r="V34" s="110">
        <f>V$22*shipping_manufacturing!$G$27/100</f>
        <v>57.31053886062405</v>
      </c>
      <c r="W34" s="110">
        <f>W$22*shipping_manufacturing!$G$27/100</f>
        <v>57.31053886062405</v>
      </c>
      <c r="X34" s="110">
        <f>X$22*shipping_manufacturing!$G$27/100</f>
        <v>57.31053886062405</v>
      </c>
      <c r="Y34" s="110">
        <f>Y$22*shipping_manufacturing!$G$27/100</f>
        <v>57.31053886062405</v>
      </c>
      <c r="Z34" s="110">
        <f>Z$22*shipping_manufacturing!$G$27/100</f>
        <v>57.31053886062405</v>
      </c>
      <c r="AA34" s="110">
        <f>AA$22*shipping_manufacturing!$G$27/100</f>
        <v>57.31053886062405</v>
      </c>
      <c r="AB34" s="110">
        <f>AB$22*shipping_manufacturing!$G$27/100</f>
        <v>57.31053886062405</v>
      </c>
      <c r="AC34" s="110">
        <f>AC$22*shipping_manufacturing!$G$27/100</f>
        <v>57.31053886062405</v>
      </c>
      <c r="AD34" s="110">
        <f>AD$22*shipping_manufacturing!$G$27/100</f>
        <v>57.31053886062405</v>
      </c>
      <c r="AE34" s="110">
        <f>AE$22*shipping_manufacturing!$G$27/100</f>
        <v>57.31053886062405</v>
      </c>
      <c r="AF34" s="110">
        <f>AF$22*shipping_manufacturing!$G$27/100</f>
        <v>57.31053886062405</v>
      </c>
      <c r="AG34" s="110">
        <f>AG$22*shipping_manufacturing!$G$27/100</f>
        <v>57.31053886062405</v>
      </c>
      <c r="AH34" s="110">
        <f>AH$22*shipping_manufacturing!$G$27/100</f>
        <v>0</v>
      </c>
      <c r="AI34" s="110">
        <f>AI$22*shipping_manufacturing!$G$27/100</f>
        <v>114.6210777212481</v>
      </c>
      <c r="AJ34" s="110">
        <f>AJ$22*shipping_manufacturing!$G$27/100</f>
        <v>57.31053886062405</v>
      </c>
      <c r="AK34" s="110">
        <f>AK$22*shipping_manufacturing!$G$27/100</f>
        <v>57.31053886062405</v>
      </c>
      <c r="AL34" s="110">
        <f>AL$22*shipping_manufacturing!$G$27/100</f>
        <v>57.31053886062405</v>
      </c>
      <c r="AM34" s="110">
        <f>AM$22*shipping_manufacturing!$G$27/100</f>
        <v>57.31053886062405</v>
      </c>
      <c r="AN34" s="110">
        <f>AN$22*shipping_manufacturing!$G$27/100</f>
        <v>57.31053886062405</v>
      </c>
      <c r="AO34" s="110">
        <f>AO$22*shipping_manufacturing!$G$27/100</f>
        <v>57.31053886062405</v>
      </c>
      <c r="AP34" s="110">
        <f>AP$22*shipping_manufacturing!$G$27/100</f>
        <v>57.31053886062405</v>
      </c>
      <c r="AQ34" s="110">
        <f>AQ$22*shipping_manufacturing!$G$27/100</f>
        <v>57.31053886062405</v>
      </c>
      <c r="AR34" s="110">
        <f>AR$22*shipping_manufacturing!$G$27/100</f>
        <v>57.31053886062405</v>
      </c>
      <c r="AS34" s="110">
        <f>AS$22*shipping_manufacturing!$G$27/100</f>
        <v>57.31053886062405</v>
      </c>
      <c r="AT34" s="110">
        <f>AT$22*shipping_manufacturing!$G$27/100</f>
        <v>57.31053886062405</v>
      </c>
      <c r="AU34" s="110">
        <f>AU$22*shipping_manufacturing!$G$27/100</f>
        <v>57.31053886062405</v>
      </c>
      <c r="AV34" s="110">
        <f>AV$22*shipping_manufacturing!$G$27/100</f>
        <v>57.31053886062405</v>
      </c>
      <c r="AW34" s="110">
        <f>AW$22*shipping_manufacturing!$G$27/100</f>
        <v>57.31053886062405</v>
      </c>
      <c r="AX34" s="110">
        <f>AX$22*shipping_manufacturing!$G$27/100</f>
        <v>57.31053886062405</v>
      </c>
      <c r="AY34" s="110">
        <f>AY$22*shipping_manufacturing!$G$27/100</f>
        <v>57.31053886062405</v>
      </c>
    </row>
    <row r="35" spans="1:52">
      <c r="A35" s="110">
        <v>1245</v>
      </c>
      <c r="B35" s="165" t="s">
        <v>343</v>
      </c>
      <c r="C35" s="110"/>
      <c r="D35" s="110">
        <f>SUM(D33:D34)</f>
        <v>112.98236892266314</v>
      </c>
      <c r="E35" s="110">
        <f t="shared" ref="E35:AY35" si="11">SUM(E33:E34)</f>
        <v>90.142017431770313</v>
      </c>
      <c r="F35" s="110">
        <f t="shared" si="11"/>
        <v>90.142017431770313</v>
      </c>
      <c r="G35" s="110">
        <f t="shared" si="11"/>
        <v>90.142017431770313</v>
      </c>
      <c r="H35" s="110">
        <f t="shared" si="11"/>
        <v>90.142017431770313</v>
      </c>
      <c r="I35" s="110">
        <f t="shared" si="11"/>
        <v>112.67666446842787</v>
      </c>
      <c r="J35" s="110">
        <f t="shared" si="11"/>
        <v>112.67666446842787</v>
      </c>
      <c r="K35" s="110">
        <f t="shared" si="11"/>
        <v>112.67666446842787</v>
      </c>
      <c r="L35" s="110">
        <f t="shared" si="11"/>
        <v>112.67666446842787</v>
      </c>
      <c r="M35" s="110">
        <f t="shared" si="11"/>
        <v>112.67666446842787</v>
      </c>
      <c r="N35" s="110">
        <f t="shared" si="11"/>
        <v>112.67666446842787</v>
      </c>
      <c r="O35" s="110">
        <f t="shared" si="11"/>
        <v>112.67666446842787</v>
      </c>
      <c r="P35" s="110">
        <f t="shared" si="11"/>
        <v>112.67666446842787</v>
      </c>
      <c r="Q35" s="110">
        <f t="shared" si="11"/>
        <v>112.67666446842787</v>
      </c>
      <c r="R35" s="110">
        <f t="shared" si="11"/>
        <v>112.67666446842787</v>
      </c>
      <c r="S35" s="110">
        <f t="shared" si="11"/>
        <v>112.67666446842787</v>
      </c>
      <c r="T35" s="110">
        <f t="shared" si="11"/>
        <v>112.67666446842787</v>
      </c>
      <c r="U35" s="110">
        <f t="shared" si="11"/>
        <v>112.67666446842787</v>
      </c>
      <c r="V35" s="110">
        <f t="shared" si="11"/>
        <v>112.67666446842787</v>
      </c>
      <c r="W35" s="110">
        <f t="shared" si="11"/>
        <v>112.67666446842787</v>
      </c>
      <c r="X35" s="110">
        <f t="shared" si="11"/>
        <v>112.67666446842787</v>
      </c>
      <c r="Y35" s="110">
        <f t="shared" si="11"/>
        <v>112.67666446842787</v>
      </c>
      <c r="Z35" s="110">
        <f t="shared" si="11"/>
        <v>112.67666446842787</v>
      </c>
      <c r="AA35" s="110">
        <f t="shared" si="11"/>
        <v>112.67666446842787</v>
      </c>
      <c r="AB35" s="110">
        <f t="shared" si="11"/>
        <v>112.67666446842787</v>
      </c>
      <c r="AC35" s="110">
        <f t="shared" si="11"/>
        <v>112.67666446842787</v>
      </c>
      <c r="AD35" s="110">
        <f t="shared" si="11"/>
        <v>112.67666446842787</v>
      </c>
      <c r="AE35" s="110">
        <f t="shared" si="11"/>
        <v>112.67666446842787</v>
      </c>
      <c r="AF35" s="110">
        <f t="shared" si="11"/>
        <v>112.67666446842787</v>
      </c>
      <c r="AG35" s="110">
        <f t="shared" si="11"/>
        <v>112.67666446842787</v>
      </c>
      <c r="AH35" s="110">
        <f t="shared" si="11"/>
        <v>0</v>
      </c>
      <c r="AI35" s="110">
        <f t="shared" si="11"/>
        <v>225.35332893685575</v>
      </c>
      <c r="AJ35" s="110">
        <f t="shared" si="11"/>
        <v>112.67666446842787</v>
      </c>
      <c r="AK35" s="110">
        <f t="shared" si="11"/>
        <v>112.67666446842787</v>
      </c>
      <c r="AL35" s="110">
        <f t="shared" si="11"/>
        <v>112.67666446842787</v>
      </c>
      <c r="AM35" s="110">
        <f t="shared" si="11"/>
        <v>112.67666446842787</v>
      </c>
      <c r="AN35" s="110">
        <f t="shared" si="11"/>
        <v>112.67666446842787</v>
      </c>
      <c r="AO35" s="110">
        <f t="shared" si="11"/>
        <v>112.67666446842787</v>
      </c>
      <c r="AP35" s="110">
        <f t="shared" si="11"/>
        <v>112.67666446842787</v>
      </c>
      <c r="AQ35" s="110">
        <f t="shared" si="11"/>
        <v>112.67666446842787</v>
      </c>
      <c r="AR35" s="110">
        <f t="shared" si="11"/>
        <v>112.67666446842787</v>
      </c>
      <c r="AS35" s="110">
        <f t="shared" si="11"/>
        <v>112.67666446842787</v>
      </c>
      <c r="AT35" s="110">
        <f t="shared" si="11"/>
        <v>112.67666446842787</v>
      </c>
      <c r="AU35" s="110">
        <f t="shared" si="11"/>
        <v>112.67666446842787</v>
      </c>
      <c r="AV35" s="110">
        <f t="shared" si="11"/>
        <v>112.67666446842787</v>
      </c>
      <c r="AW35" s="110">
        <f t="shared" si="11"/>
        <v>112.67666446842787</v>
      </c>
      <c r="AX35" s="110">
        <f t="shared" si="11"/>
        <v>112.67666446842787</v>
      </c>
      <c r="AY35" s="110">
        <f t="shared" si="11"/>
        <v>112.67666446842787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55.516340129079417</v>
      </c>
      <c r="E39" s="110">
        <f t="shared" ref="E39:AY39" si="12">E33-E36</f>
        <v>44.293237496985618</v>
      </c>
      <c r="F39" s="110">
        <f t="shared" si="12"/>
        <v>44.293237496985618</v>
      </c>
      <c r="G39" s="110">
        <f t="shared" si="12"/>
        <v>44.293237496985618</v>
      </c>
      <c r="H39" s="110">
        <f t="shared" si="12"/>
        <v>44.293237496985618</v>
      </c>
      <c r="I39" s="110">
        <f t="shared" si="12"/>
        <v>55.366125607803824</v>
      </c>
      <c r="J39" s="110">
        <f t="shared" si="12"/>
        <v>55.366125607803824</v>
      </c>
      <c r="K39" s="110">
        <f t="shared" si="12"/>
        <v>55.366125607803824</v>
      </c>
      <c r="L39" s="110">
        <f t="shared" si="12"/>
        <v>55.366125607803824</v>
      </c>
      <c r="M39" s="110">
        <f t="shared" si="12"/>
        <v>55.366125607803824</v>
      </c>
      <c r="N39" s="110">
        <f t="shared" si="12"/>
        <v>55.366125607803824</v>
      </c>
      <c r="O39" s="110">
        <f t="shared" si="12"/>
        <v>55.366125607803824</v>
      </c>
      <c r="P39" s="110">
        <f t="shared" si="12"/>
        <v>55.366125607803824</v>
      </c>
      <c r="Q39" s="110">
        <f t="shared" si="12"/>
        <v>55.366125607803824</v>
      </c>
      <c r="R39" s="110">
        <f t="shared" si="12"/>
        <v>55.366125607803824</v>
      </c>
      <c r="S39" s="110">
        <f t="shared" si="12"/>
        <v>55.366125607803824</v>
      </c>
      <c r="T39" s="110">
        <f t="shared" si="12"/>
        <v>55.366125607803824</v>
      </c>
      <c r="U39" s="110">
        <f t="shared" si="12"/>
        <v>55.366125607803824</v>
      </c>
      <c r="V39" s="110">
        <f t="shared" si="12"/>
        <v>55.366125607803824</v>
      </c>
      <c r="W39" s="110">
        <f t="shared" si="12"/>
        <v>55.366125607803824</v>
      </c>
      <c r="X39" s="110">
        <f t="shared" si="12"/>
        <v>55.366125607803824</v>
      </c>
      <c r="Y39" s="110">
        <f t="shared" si="12"/>
        <v>55.366125607803824</v>
      </c>
      <c r="Z39" s="110">
        <f t="shared" si="12"/>
        <v>55.366125607803824</v>
      </c>
      <c r="AA39" s="110">
        <f t="shared" si="12"/>
        <v>55.366125607803824</v>
      </c>
      <c r="AB39" s="110">
        <f t="shared" si="12"/>
        <v>55.366125607803824</v>
      </c>
      <c r="AC39" s="110">
        <f t="shared" si="12"/>
        <v>55.366125607803824</v>
      </c>
      <c r="AD39" s="110">
        <f t="shared" si="12"/>
        <v>55.366125607803824</v>
      </c>
      <c r="AE39" s="110">
        <f t="shared" si="12"/>
        <v>55.366125607803824</v>
      </c>
      <c r="AF39" s="110">
        <f t="shared" si="12"/>
        <v>55.366125607803824</v>
      </c>
      <c r="AG39" s="110">
        <f t="shared" si="12"/>
        <v>55.366125607803824</v>
      </c>
      <c r="AH39" s="110">
        <f t="shared" si="12"/>
        <v>0</v>
      </c>
      <c r="AI39" s="110">
        <f t="shared" si="12"/>
        <v>110.73225121560765</v>
      </c>
      <c r="AJ39" s="110">
        <f t="shared" si="12"/>
        <v>55.366125607803824</v>
      </c>
      <c r="AK39" s="110">
        <f t="shared" si="12"/>
        <v>55.366125607803824</v>
      </c>
      <c r="AL39" s="110">
        <f t="shared" si="12"/>
        <v>55.366125607803824</v>
      </c>
      <c r="AM39" s="110">
        <f t="shared" si="12"/>
        <v>55.366125607803824</v>
      </c>
      <c r="AN39" s="110">
        <f t="shared" si="12"/>
        <v>55.366125607803824</v>
      </c>
      <c r="AO39" s="110">
        <f t="shared" si="12"/>
        <v>55.366125607803824</v>
      </c>
      <c r="AP39" s="110">
        <f t="shared" si="12"/>
        <v>55.366125607803824</v>
      </c>
      <c r="AQ39" s="110">
        <f t="shared" si="12"/>
        <v>55.366125607803824</v>
      </c>
      <c r="AR39" s="110">
        <f t="shared" si="12"/>
        <v>55.366125607803824</v>
      </c>
      <c r="AS39" s="110">
        <f t="shared" si="12"/>
        <v>55.366125607803824</v>
      </c>
      <c r="AT39" s="110">
        <f t="shared" si="12"/>
        <v>55.366125607803824</v>
      </c>
      <c r="AU39" s="110">
        <f t="shared" si="12"/>
        <v>55.366125607803824</v>
      </c>
      <c r="AV39" s="110">
        <f t="shared" si="12"/>
        <v>55.366125607803824</v>
      </c>
      <c r="AW39" s="110">
        <f t="shared" si="12"/>
        <v>55.366125607803824</v>
      </c>
      <c r="AX39" s="110">
        <f t="shared" si="12"/>
        <v>55.366125607803824</v>
      </c>
      <c r="AY39" s="110">
        <f t="shared" si="12"/>
        <v>55.366125607803824</v>
      </c>
    </row>
    <row r="40" spans="1:52">
      <c r="A40" s="110"/>
      <c r="B40" s="165" t="s">
        <v>348</v>
      </c>
      <c r="C40" s="110"/>
      <c r="D40" s="110">
        <f>D34-D37</f>
        <v>57.466028793583725</v>
      </c>
      <c r="E40" s="110">
        <f t="shared" ref="E40:AY40" si="13">E34-E37</f>
        <v>45.848779934784687</v>
      </c>
      <c r="F40" s="110">
        <f t="shared" si="13"/>
        <v>45.848779934784687</v>
      </c>
      <c r="G40" s="110">
        <f t="shared" si="13"/>
        <v>45.848779934784687</v>
      </c>
      <c r="H40" s="110">
        <f t="shared" si="13"/>
        <v>45.848779934784687</v>
      </c>
      <c r="I40" s="110">
        <f t="shared" si="13"/>
        <v>57.31053886062405</v>
      </c>
      <c r="J40" s="110">
        <f t="shared" si="13"/>
        <v>57.31053886062405</v>
      </c>
      <c r="K40" s="110">
        <f t="shared" si="13"/>
        <v>57.31053886062405</v>
      </c>
      <c r="L40" s="110">
        <f t="shared" si="13"/>
        <v>57.31053886062405</v>
      </c>
      <c r="M40" s="110">
        <f t="shared" si="13"/>
        <v>57.31053886062405</v>
      </c>
      <c r="N40" s="110">
        <f t="shared" si="13"/>
        <v>57.31053886062405</v>
      </c>
      <c r="O40" s="110">
        <f t="shared" si="13"/>
        <v>57.31053886062405</v>
      </c>
      <c r="P40" s="110">
        <f t="shared" si="13"/>
        <v>57.31053886062405</v>
      </c>
      <c r="Q40" s="110">
        <f t="shared" si="13"/>
        <v>57.31053886062405</v>
      </c>
      <c r="R40" s="110">
        <f t="shared" si="13"/>
        <v>57.31053886062405</v>
      </c>
      <c r="S40" s="110">
        <f t="shared" si="13"/>
        <v>57.31053886062405</v>
      </c>
      <c r="T40" s="110">
        <f t="shared" si="13"/>
        <v>57.31053886062405</v>
      </c>
      <c r="U40" s="110">
        <f t="shared" si="13"/>
        <v>57.31053886062405</v>
      </c>
      <c r="V40" s="110">
        <f t="shared" si="13"/>
        <v>57.31053886062405</v>
      </c>
      <c r="W40" s="110">
        <f t="shared" si="13"/>
        <v>57.31053886062405</v>
      </c>
      <c r="X40" s="110">
        <f t="shared" si="13"/>
        <v>57.31053886062405</v>
      </c>
      <c r="Y40" s="110">
        <f t="shared" si="13"/>
        <v>57.31053886062405</v>
      </c>
      <c r="Z40" s="110">
        <f t="shared" si="13"/>
        <v>57.31053886062405</v>
      </c>
      <c r="AA40" s="110">
        <f t="shared" si="13"/>
        <v>57.31053886062405</v>
      </c>
      <c r="AB40" s="110">
        <f t="shared" si="13"/>
        <v>57.31053886062405</v>
      </c>
      <c r="AC40" s="110">
        <f t="shared" si="13"/>
        <v>57.31053886062405</v>
      </c>
      <c r="AD40" s="110">
        <f t="shared" si="13"/>
        <v>57.31053886062405</v>
      </c>
      <c r="AE40" s="110">
        <f t="shared" si="13"/>
        <v>57.31053886062405</v>
      </c>
      <c r="AF40" s="110">
        <f t="shared" si="13"/>
        <v>57.31053886062405</v>
      </c>
      <c r="AG40" s="110">
        <f t="shared" si="13"/>
        <v>57.31053886062405</v>
      </c>
      <c r="AH40" s="110">
        <f t="shared" si="13"/>
        <v>0</v>
      </c>
      <c r="AI40" s="110">
        <f t="shared" si="13"/>
        <v>114.6210777212481</v>
      </c>
      <c r="AJ40" s="110">
        <f t="shared" si="13"/>
        <v>57.31053886062405</v>
      </c>
      <c r="AK40" s="110">
        <f t="shared" si="13"/>
        <v>57.31053886062405</v>
      </c>
      <c r="AL40" s="110">
        <f t="shared" si="13"/>
        <v>57.31053886062405</v>
      </c>
      <c r="AM40" s="110">
        <f t="shared" si="13"/>
        <v>57.31053886062405</v>
      </c>
      <c r="AN40" s="110">
        <f t="shared" si="13"/>
        <v>57.31053886062405</v>
      </c>
      <c r="AO40" s="110">
        <f t="shared" si="13"/>
        <v>57.31053886062405</v>
      </c>
      <c r="AP40" s="110">
        <f t="shared" si="13"/>
        <v>57.31053886062405</v>
      </c>
      <c r="AQ40" s="110">
        <f t="shared" si="13"/>
        <v>57.31053886062405</v>
      </c>
      <c r="AR40" s="110">
        <f t="shared" si="13"/>
        <v>57.31053886062405</v>
      </c>
      <c r="AS40" s="110">
        <f t="shared" si="13"/>
        <v>57.31053886062405</v>
      </c>
      <c r="AT40" s="110">
        <f t="shared" si="13"/>
        <v>57.31053886062405</v>
      </c>
      <c r="AU40" s="110">
        <f t="shared" si="13"/>
        <v>57.31053886062405</v>
      </c>
      <c r="AV40" s="110">
        <f t="shared" si="13"/>
        <v>57.31053886062405</v>
      </c>
      <c r="AW40" s="110">
        <f t="shared" si="13"/>
        <v>57.31053886062405</v>
      </c>
      <c r="AX40" s="110">
        <f t="shared" si="13"/>
        <v>57.31053886062405</v>
      </c>
      <c r="AY40" s="110">
        <f t="shared" si="13"/>
        <v>57.31053886062405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3</v>
      </c>
      <c r="H41" s="110">
        <v>1</v>
      </c>
      <c r="I41" s="110">
        <v>2</v>
      </c>
      <c r="J41" s="110">
        <v>3</v>
      </c>
      <c r="K41" s="110">
        <v>1</v>
      </c>
      <c r="L41" s="110">
        <v>3</v>
      </c>
      <c r="M41" s="110">
        <v>1</v>
      </c>
      <c r="N41" s="110">
        <v>1</v>
      </c>
      <c r="O41" s="110">
        <v>1</v>
      </c>
      <c r="P41" s="110">
        <v>1</v>
      </c>
      <c r="Q41" s="110">
        <v>2</v>
      </c>
      <c r="R41" s="110">
        <v>1</v>
      </c>
      <c r="S41" s="110">
        <v>2</v>
      </c>
      <c r="T41" s="110">
        <v>1</v>
      </c>
      <c r="U41" s="110">
        <v>1</v>
      </c>
      <c r="V41" s="110">
        <v>1</v>
      </c>
      <c r="W41" s="110">
        <v>2</v>
      </c>
      <c r="X41" s="110">
        <v>1</v>
      </c>
      <c r="Y41" s="110">
        <v>2</v>
      </c>
      <c r="Z41" s="110">
        <v>1</v>
      </c>
      <c r="AA41" s="110">
        <v>3</v>
      </c>
      <c r="AB41" s="110">
        <v>1</v>
      </c>
      <c r="AC41" s="110">
        <v>1</v>
      </c>
      <c r="AD41" s="110">
        <v>1</v>
      </c>
      <c r="AE41" s="110">
        <v>2</v>
      </c>
      <c r="AF41" s="110">
        <v>3</v>
      </c>
      <c r="AG41" s="110">
        <v>2</v>
      </c>
      <c r="AH41" s="110">
        <v>3</v>
      </c>
      <c r="AI41" s="110">
        <v>1</v>
      </c>
      <c r="AJ41" s="110">
        <v>3</v>
      </c>
      <c r="AK41" s="110">
        <v>1</v>
      </c>
      <c r="AL41" s="110">
        <v>2</v>
      </c>
      <c r="AM41" s="110">
        <v>1</v>
      </c>
      <c r="AN41" s="110">
        <v>2</v>
      </c>
      <c r="AO41" s="110">
        <v>1</v>
      </c>
      <c r="AP41" s="110">
        <v>1</v>
      </c>
      <c r="AQ41" s="110">
        <v>1</v>
      </c>
      <c r="AR41" s="110">
        <v>1</v>
      </c>
      <c r="AS41" s="110">
        <v>1</v>
      </c>
      <c r="AT41" s="110">
        <v>1</v>
      </c>
      <c r="AU41" s="110">
        <v>2</v>
      </c>
      <c r="AV41" s="110">
        <v>1</v>
      </c>
      <c r="AW41" s="110">
        <v>1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91430.982050665159</v>
      </c>
      <c r="E43" s="110">
        <v>72947.427606660131</v>
      </c>
      <c r="F43" s="110">
        <v>72947.427606660131</v>
      </c>
      <c r="G43" s="110">
        <v>72947.427606660131</v>
      </c>
      <c r="H43" s="110">
        <v>72947.427606660131</v>
      </c>
      <c r="I43" s="110">
        <v>91183.590721075263</v>
      </c>
      <c r="J43" s="110">
        <v>91183.590721075263</v>
      </c>
      <c r="K43" s="110">
        <v>91183.590721075263</v>
      </c>
      <c r="L43" s="110">
        <v>91183.590721075263</v>
      </c>
      <c r="M43" s="110">
        <v>91183.590721075263</v>
      </c>
      <c r="N43" s="110">
        <v>91183.590721075263</v>
      </c>
      <c r="O43" s="110">
        <v>91183.590721075263</v>
      </c>
      <c r="P43" s="110">
        <v>91183.590721075263</v>
      </c>
      <c r="Q43" s="110">
        <v>91183.590721075263</v>
      </c>
      <c r="R43" s="110">
        <v>91183.590721075263</v>
      </c>
      <c r="S43" s="110">
        <v>91183.590721075263</v>
      </c>
      <c r="T43" s="110">
        <v>91183.590721075263</v>
      </c>
      <c r="U43" s="110">
        <v>91183.590721075263</v>
      </c>
      <c r="V43" s="110">
        <v>91183.590721075263</v>
      </c>
      <c r="W43" s="110">
        <v>91183.590721075263</v>
      </c>
      <c r="X43" s="110">
        <v>91183.590721075263</v>
      </c>
      <c r="Y43" s="110">
        <v>91183.590721075263</v>
      </c>
      <c r="Z43" s="110">
        <v>91183.590721075263</v>
      </c>
      <c r="AA43" s="110">
        <v>91183.590721075263</v>
      </c>
      <c r="AB43" s="110">
        <v>91183.590721075263</v>
      </c>
      <c r="AC43" s="110">
        <v>91183.590721075263</v>
      </c>
      <c r="AD43" s="110">
        <v>91183.590721075263</v>
      </c>
      <c r="AE43" s="110">
        <v>91183.590721075263</v>
      </c>
      <c r="AF43" s="110">
        <v>91183.590721075263</v>
      </c>
      <c r="AG43" s="110">
        <v>91183.590721075263</v>
      </c>
      <c r="AH43" s="110">
        <v>0</v>
      </c>
      <c r="AI43" s="110">
        <v>182367.18144215053</v>
      </c>
      <c r="AJ43" s="110">
        <v>91183.590721075263</v>
      </c>
      <c r="AK43" s="110">
        <v>91183.590721075263</v>
      </c>
      <c r="AL43" s="110">
        <v>91183.590721075263</v>
      </c>
      <c r="AM43" s="110">
        <v>91183.590721075263</v>
      </c>
      <c r="AN43" s="110">
        <v>91183.590721075263</v>
      </c>
      <c r="AO43" s="110">
        <v>91183.590721075263</v>
      </c>
      <c r="AP43" s="110">
        <v>91183.590721075263</v>
      </c>
      <c r="AQ43" s="110">
        <v>91183.590721075263</v>
      </c>
      <c r="AR43" s="110">
        <v>91183.590721075263</v>
      </c>
      <c r="AS43" s="110">
        <v>91183.590721075263</v>
      </c>
      <c r="AT43" s="110">
        <v>91183.590721075263</v>
      </c>
      <c r="AU43" s="110">
        <v>91183.590721075263</v>
      </c>
      <c r="AV43" s="110">
        <v>91183.590721075263</v>
      </c>
      <c r="AW43" s="110">
        <v>91183.590721075263</v>
      </c>
      <c r="AX43" s="110">
        <v>91183.590721075263</v>
      </c>
      <c r="AY43" s="110">
        <v>91183.590721075263</v>
      </c>
      <c r="AZ43" s="100">
        <f>SUM($D$43:$AY$43)</f>
        <v>4304115.0934835449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2</v>
      </c>
      <c r="G52" s="110">
        <v>1</v>
      </c>
      <c r="H52" s="110">
        <v>1</v>
      </c>
      <c r="I52" s="110">
        <v>1</v>
      </c>
      <c r="J52" s="110">
        <v>2</v>
      </c>
      <c r="K52" s="110">
        <v>2</v>
      </c>
      <c r="L52" s="110">
        <v>2</v>
      </c>
      <c r="M52" s="110">
        <v>1</v>
      </c>
      <c r="N52" s="110">
        <v>2</v>
      </c>
      <c r="O52" s="110">
        <v>2</v>
      </c>
      <c r="P52" s="110">
        <v>1</v>
      </c>
      <c r="Q52" s="110">
        <v>1</v>
      </c>
      <c r="R52" s="110">
        <v>1</v>
      </c>
      <c r="S52" s="110">
        <v>1</v>
      </c>
      <c r="T52" s="110">
        <v>2</v>
      </c>
      <c r="U52" s="110">
        <v>2</v>
      </c>
      <c r="V52" s="110">
        <v>3</v>
      </c>
      <c r="W52" s="110">
        <v>2</v>
      </c>
      <c r="X52" s="110">
        <v>1</v>
      </c>
      <c r="Y52" s="110">
        <v>1</v>
      </c>
      <c r="Z52" s="110">
        <v>1</v>
      </c>
      <c r="AA52" s="110">
        <v>1</v>
      </c>
      <c r="AB52" s="110">
        <v>1</v>
      </c>
      <c r="AC52" s="110">
        <v>2</v>
      </c>
      <c r="AD52" s="110">
        <v>1</v>
      </c>
      <c r="AE52" s="110">
        <v>1</v>
      </c>
      <c r="AF52" s="110">
        <v>1</v>
      </c>
      <c r="AG52" s="110">
        <v>1</v>
      </c>
      <c r="AH52" s="110">
        <v>1</v>
      </c>
      <c r="AI52" s="110">
        <v>2</v>
      </c>
      <c r="AJ52" s="110">
        <v>1</v>
      </c>
      <c r="AK52" s="110">
        <v>1</v>
      </c>
      <c r="AL52" s="110">
        <v>1</v>
      </c>
      <c r="AM52" s="110">
        <v>2</v>
      </c>
      <c r="AN52" s="110">
        <v>1</v>
      </c>
      <c r="AO52" s="110">
        <v>2</v>
      </c>
      <c r="AP52" s="110">
        <v>2</v>
      </c>
      <c r="AQ52" s="110">
        <v>1</v>
      </c>
      <c r="AR52" s="110">
        <v>2</v>
      </c>
      <c r="AS52" s="110">
        <v>1</v>
      </c>
      <c r="AT52" s="110">
        <v>1</v>
      </c>
      <c r="AU52" s="110">
        <v>3</v>
      </c>
      <c r="AV52" s="110">
        <v>3</v>
      </c>
      <c r="AW52" s="110">
        <v>2</v>
      </c>
      <c r="AX52" s="110">
        <v>1</v>
      </c>
      <c r="AY52" s="110">
        <v>3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608.4265239245276</v>
      </c>
      <c r="E55" s="124">
        <f>E$21*shipping_manufacturing!$F$29/100</f>
        <v>485.42790214549007</v>
      </c>
      <c r="F55" s="124">
        <f>F$21*shipping_manufacturing!$F$29/100</f>
        <v>485.42790214549007</v>
      </c>
      <c r="G55" s="124">
        <f>G$21*shipping_manufacturing!$F$29/100</f>
        <v>485.42790214549007</v>
      </c>
      <c r="H55" s="124">
        <f>H$21*shipping_manufacturing!$F$29/100</f>
        <v>485.42790214549007</v>
      </c>
      <c r="I55" s="124">
        <f>I$21*shipping_manufacturing!$F$29/100</f>
        <v>606.7802608817874</v>
      </c>
      <c r="J55" s="124">
        <f>J$21*shipping_manufacturing!$F$29/100</f>
        <v>606.7802608817874</v>
      </c>
      <c r="K55" s="124">
        <f>K$21*shipping_manufacturing!$F$29/100</f>
        <v>606.7802608817874</v>
      </c>
      <c r="L55" s="124">
        <f>L$21*shipping_manufacturing!$F$29/100</f>
        <v>606.7802608817874</v>
      </c>
      <c r="M55" s="124">
        <f>M$21*shipping_manufacturing!$F$29/100</f>
        <v>606.7802608817874</v>
      </c>
      <c r="N55" s="124">
        <f>N$21*shipping_manufacturing!$F$29/100</f>
        <v>606.7802608817874</v>
      </c>
      <c r="O55" s="124">
        <f>O$21*shipping_manufacturing!$F$29/100</f>
        <v>606.7802608817874</v>
      </c>
      <c r="P55" s="124">
        <f>P$21*shipping_manufacturing!$F$29/100</f>
        <v>606.7802608817874</v>
      </c>
      <c r="Q55" s="124">
        <f>Q$21*shipping_manufacturing!$F$29/100</f>
        <v>606.7802608817874</v>
      </c>
      <c r="R55" s="124">
        <f>R$21*shipping_manufacturing!$F$29/100</f>
        <v>606.7802608817874</v>
      </c>
      <c r="S55" s="124">
        <f>S$21*shipping_manufacturing!$F$29/100</f>
        <v>606.7802608817874</v>
      </c>
      <c r="T55" s="124">
        <f>T$21*shipping_manufacturing!$F$29/100</f>
        <v>606.7802608817874</v>
      </c>
      <c r="U55" s="124">
        <f>U$21*shipping_manufacturing!$F$29/100</f>
        <v>606.7802608817874</v>
      </c>
      <c r="V55" s="124">
        <f>V$21*shipping_manufacturing!$F$29/100</f>
        <v>606.7802608817874</v>
      </c>
      <c r="W55" s="124">
        <f>W$21*shipping_manufacturing!$F$29/100</f>
        <v>606.7802608817874</v>
      </c>
      <c r="X55" s="124">
        <f>X$21*shipping_manufacturing!$F$29/100</f>
        <v>606.7802608817874</v>
      </c>
      <c r="Y55" s="124">
        <f>Y$21*shipping_manufacturing!$F$29/100</f>
        <v>606.7802608817874</v>
      </c>
      <c r="Z55" s="124">
        <f>Z$21*shipping_manufacturing!$F$29/100</f>
        <v>606.7802608817874</v>
      </c>
      <c r="AA55" s="124">
        <f>AA$21*shipping_manufacturing!$F$29/100</f>
        <v>606.7802608817874</v>
      </c>
      <c r="AB55" s="124">
        <f>AB$21*shipping_manufacturing!$F$29/100</f>
        <v>606.7802608817874</v>
      </c>
      <c r="AC55" s="124">
        <f>AC$21*shipping_manufacturing!$F$29/100</f>
        <v>606.7802608817874</v>
      </c>
      <c r="AD55" s="124">
        <f>AD$21*shipping_manufacturing!$F$29/100</f>
        <v>606.7802608817874</v>
      </c>
      <c r="AE55" s="124">
        <f>AE$21*shipping_manufacturing!$F$29/100</f>
        <v>606.7802608817874</v>
      </c>
      <c r="AF55" s="124">
        <f>AF$21*shipping_manufacturing!$F$29/100</f>
        <v>606.7802608817874</v>
      </c>
      <c r="AG55" s="124">
        <f>AG$21*shipping_manufacturing!$F$29/100</f>
        <v>606.7802608817874</v>
      </c>
      <c r="AH55" s="124">
        <f>AH$21*shipping_manufacturing!$F$29/100</f>
        <v>0</v>
      </c>
      <c r="AI55" s="124">
        <f>AI$21*shipping_manufacturing!$F$29/100</f>
        <v>1213.5605217635748</v>
      </c>
      <c r="AJ55" s="124">
        <f>AJ$21*shipping_manufacturing!$F$29/100</f>
        <v>606.7802608817874</v>
      </c>
      <c r="AK55" s="124">
        <f>AK$21*shipping_manufacturing!$F$29/100</f>
        <v>606.7802608817874</v>
      </c>
      <c r="AL55" s="124">
        <f>AL$21*shipping_manufacturing!$F$29/100</f>
        <v>606.7802608817874</v>
      </c>
      <c r="AM55" s="124">
        <f>AM$21*shipping_manufacturing!$F$29/100</f>
        <v>606.7802608817874</v>
      </c>
      <c r="AN55" s="124">
        <f>AN$21*shipping_manufacturing!$F$29/100</f>
        <v>606.7802608817874</v>
      </c>
      <c r="AO55" s="124">
        <f>AO$21*shipping_manufacturing!$F$29/100</f>
        <v>606.7802608817874</v>
      </c>
      <c r="AP55" s="124">
        <f>AP$21*shipping_manufacturing!$F$29/100</f>
        <v>606.7802608817874</v>
      </c>
      <c r="AQ55" s="124">
        <f>AQ$21*shipping_manufacturing!$F$29/100</f>
        <v>606.7802608817874</v>
      </c>
      <c r="AR55" s="124">
        <f>AR$21*shipping_manufacturing!$F$29/100</f>
        <v>606.7802608817874</v>
      </c>
      <c r="AS55" s="124">
        <f>AS$21*shipping_manufacturing!$F$29/100</f>
        <v>606.7802608817874</v>
      </c>
      <c r="AT55" s="124">
        <f>AT$21*shipping_manufacturing!$F$29/100</f>
        <v>606.7802608817874</v>
      </c>
      <c r="AU55" s="124">
        <f>AU$21*shipping_manufacturing!$F$29/100</f>
        <v>606.7802608817874</v>
      </c>
      <c r="AV55" s="124">
        <f>AV$21*shipping_manufacturing!$F$29/100</f>
        <v>606.7802608817874</v>
      </c>
      <c r="AW55" s="124">
        <f>AW$21*shipping_manufacturing!$F$29/100</f>
        <v>606.7802608817874</v>
      </c>
      <c r="AX55" s="124">
        <f>AX$21*shipping_manufacturing!$F$29/100</f>
        <v>606.7802608817874</v>
      </c>
      <c r="AY55" s="124">
        <f>AY$21*shipping_manufacturing!$F$29/100</f>
        <v>606.7802608817874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830.24882553351972</v>
      </c>
      <c r="E56" s="110">
        <f>E$22*shipping_manufacturing!$G$29/100</f>
        <v>662.40692966154597</v>
      </c>
      <c r="F56" s="110">
        <f>F$22*shipping_manufacturing!$G$29/100</f>
        <v>662.40692966154597</v>
      </c>
      <c r="G56" s="110">
        <f>G$22*shipping_manufacturing!$G$29/100</f>
        <v>662.40692966154597</v>
      </c>
      <c r="H56" s="110">
        <f>H$22*shipping_manufacturing!$G$29/100</f>
        <v>662.40692966154597</v>
      </c>
      <c r="I56" s="110">
        <f>I$22*shipping_manufacturing!$G$29/100</f>
        <v>828.00236206749935</v>
      </c>
      <c r="J56" s="110">
        <f>J$22*shipping_manufacturing!$G$29/100</f>
        <v>828.00236206749935</v>
      </c>
      <c r="K56" s="110">
        <f>K$22*shipping_manufacturing!$G$29/100</f>
        <v>828.00236206749935</v>
      </c>
      <c r="L56" s="110">
        <f>L$22*shipping_manufacturing!$G$29/100</f>
        <v>828.00236206749935</v>
      </c>
      <c r="M56" s="110">
        <f>M$22*shipping_manufacturing!$G$29/100</f>
        <v>828.00236206749935</v>
      </c>
      <c r="N56" s="110">
        <f>N$22*shipping_manufacturing!$G$29/100</f>
        <v>828.00236206749935</v>
      </c>
      <c r="O56" s="110">
        <f>O$22*shipping_manufacturing!$G$29/100</f>
        <v>828.00236206749935</v>
      </c>
      <c r="P56" s="110">
        <f>P$22*shipping_manufacturing!$G$29/100</f>
        <v>828.00236206749935</v>
      </c>
      <c r="Q56" s="110">
        <f>Q$22*shipping_manufacturing!$G$29/100</f>
        <v>828.00236206749935</v>
      </c>
      <c r="R56" s="110">
        <f>R$22*shipping_manufacturing!$G$29/100</f>
        <v>828.00236206749935</v>
      </c>
      <c r="S56" s="110">
        <f>S$22*shipping_manufacturing!$G$29/100</f>
        <v>828.00236206749935</v>
      </c>
      <c r="T56" s="110">
        <f>T$22*shipping_manufacturing!$G$29/100</f>
        <v>828.00236206749935</v>
      </c>
      <c r="U56" s="110">
        <f>U$22*shipping_manufacturing!$G$29/100</f>
        <v>828.00236206749935</v>
      </c>
      <c r="V56" s="110">
        <f>V$22*shipping_manufacturing!$G$29/100</f>
        <v>828.00236206749935</v>
      </c>
      <c r="W56" s="110">
        <f>W$22*shipping_manufacturing!$G$29/100</f>
        <v>828.00236206749935</v>
      </c>
      <c r="X56" s="110">
        <f>X$22*shipping_manufacturing!$G$29/100</f>
        <v>828.00236206749935</v>
      </c>
      <c r="Y56" s="110">
        <f>Y$22*shipping_manufacturing!$G$29/100</f>
        <v>828.00236206749935</v>
      </c>
      <c r="Z56" s="110">
        <f>Z$22*shipping_manufacturing!$G$29/100</f>
        <v>828.00236206749935</v>
      </c>
      <c r="AA56" s="110">
        <f>AA$22*shipping_manufacturing!$G$29/100</f>
        <v>828.00236206749935</v>
      </c>
      <c r="AB56" s="110">
        <f>AB$22*shipping_manufacturing!$G$29/100</f>
        <v>828.00236206749935</v>
      </c>
      <c r="AC56" s="110">
        <f>AC$22*shipping_manufacturing!$G$29/100</f>
        <v>828.00236206749935</v>
      </c>
      <c r="AD56" s="110">
        <f>AD$22*shipping_manufacturing!$G$29/100</f>
        <v>828.00236206749935</v>
      </c>
      <c r="AE56" s="110">
        <f>AE$22*shipping_manufacturing!$G$29/100</f>
        <v>828.00236206749935</v>
      </c>
      <c r="AF56" s="110">
        <f>AF$22*shipping_manufacturing!$G$29/100</f>
        <v>828.00236206749935</v>
      </c>
      <c r="AG56" s="110">
        <f>AG$22*shipping_manufacturing!$G$29/100</f>
        <v>828.00236206749935</v>
      </c>
      <c r="AH56" s="110">
        <f>AH$22*shipping_manufacturing!$G$29/100</f>
        <v>0</v>
      </c>
      <c r="AI56" s="110">
        <f>AI$22*shipping_manufacturing!$G$29/100</f>
        <v>1656.0047241349987</v>
      </c>
      <c r="AJ56" s="110">
        <f>AJ$22*shipping_manufacturing!$G$29/100</f>
        <v>828.00236206749935</v>
      </c>
      <c r="AK56" s="110">
        <f>AK$22*shipping_manufacturing!$G$29/100</f>
        <v>828.00236206749935</v>
      </c>
      <c r="AL56" s="110">
        <f>AL$22*shipping_manufacturing!$G$29/100</f>
        <v>828.00236206749935</v>
      </c>
      <c r="AM56" s="110">
        <f>AM$22*shipping_manufacturing!$G$29/100</f>
        <v>828.00236206749935</v>
      </c>
      <c r="AN56" s="110">
        <f>AN$22*shipping_manufacturing!$G$29/100</f>
        <v>828.00236206749935</v>
      </c>
      <c r="AO56" s="110">
        <f>AO$22*shipping_manufacturing!$G$29/100</f>
        <v>828.00236206749935</v>
      </c>
      <c r="AP56" s="110">
        <f>AP$22*shipping_manufacturing!$G$29/100</f>
        <v>828.00236206749935</v>
      </c>
      <c r="AQ56" s="110">
        <f>AQ$22*shipping_manufacturing!$G$29/100</f>
        <v>828.00236206749935</v>
      </c>
      <c r="AR56" s="110">
        <f>AR$22*shipping_manufacturing!$G$29/100</f>
        <v>828.00236206749935</v>
      </c>
      <c r="AS56" s="110">
        <f>AS$22*shipping_manufacturing!$G$29/100</f>
        <v>828.00236206749935</v>
      </c>
      <c r="AT56" s="110">
        <f>AT$22*shipping_manufacturing!$G$29/100</f>
        <v>828.00236206749935</v>
      </c>
      <c r="AU56" s="110">
        <f>AU$22*shipping_manufacturing!$G$29/100</f>
        <v>828.00236206749935</v>
      </c>
      <c r="AV56" s="110">
        <f>AV$22*shipping_manufacturing!$G$29/100</f>
        <v>828.00236206749935</v>
      </c>
      <c r="AW56" s="110">
        <f>AW$22*shipping_manufacturing!$G$29/100</f>
        <v>828.00236206749935</v>
      </c>
      <c r="AX56" s="110">
        <f>AX$22*shipping_manufacturing!$G$29/100</f>
        <v>828.00236206749935</v>
      </c>
      <c r="AY56" s="110">
        <f>AY$22*shipping_manufacturing!$G$29/100</f>
        <v>828.00236206749935</v>
      </c>
    </row>
    <row r="57" spans="1:52">
      <c r="A57" s="110">
        <v>495</v>
      </c>
      <c r="B57" s="165" t="s">
        <v>343</v>
      </c>
      <c r="C57" s="110"/>
      <c r="D57" s="110">
        <f>SUM(D55:D56)</f>
        <v>1438.6753494580473</v>
      </c>
      <c r="E57" s="110">
        <f t="shared" ref="E57:AY57" si="17">SUM(E55:E56)</f>
        <v>1147.8348318070362</v>
      </c>
      <c r="F57" s="110">
        <f t="shared" si="17"/>
        <v>1147.8348318070362</v>
      </c>
      <c r="G57" s="110">
        <f t="shared" si="17"/>
        <v>1147.8348318070362</v>
      </c>
      <c r="H57" s="110">
        <f t="shared" si="17"/>
        <v>1147.8348318070362</v>
      </c>
      <c r="I57" s="110">
        <f t="shared" si="17"/>
        <v>1434.7826229492866</v>
      </c>
      <c r="J57" s="110">
        <f t="shared" si="17"/>
        <v>1434.7826229492866</v>
      </c>
      <c r="K57" s="110">
        <f t="shared" si="17"/>
        <v>1434.7826229492866</v>
      </c>
      <c r="L57" s="110">
        <f t="shared" si="17"/>
        <v>1434.7826229492866</v>
      </c>
      <c r="M57" s="110">
        <f t="shared" si="17"/>
        <v>1434.7826229492866</v>
      </c>
      <c r="N57" s="110">
        <f t="shared" si="17"/>
        <v>1434.7826229492866</v>
      </c>
      <c r="O57" s="110">
        <f t="shared" si="17"/>
        <v>1434.7826229492866</v>
      </c>
      <c r="P57" s="110">
        <f t="shared" si="17"/>
        <v>1434.7826229492866</v>
      </c>
      <c r="Q57" s="110">
        <f t="shared" si="17"/>
        <v>1434.7826229492866</v>
      </c>
      <c r="R57" s="110">
        <f t="shared" si="17"/>
        <v>1434.7826229492866</v>
      </c>
      <c r="S57" s="110">
        <f t="shared" si="17"/>
        <v>1434.7826229492866</v>
      </c>
      <c r="T57" s="110">
        <f t="shared" si="17"/>
        <v>1434.7826229492866</v>
      </c>
      <c r="U57" s="110">
        <f t="shared" si="17"/>
        <v>1434.7826229492866</v>
      </c>
      <c r="V57" s="110">
        <f t="shared" si="17"/>
        <v>1434.7826229492866</v>
      </c>
      <c r="W57" s="110">
        <f t="shared" si="17"/>
        <v>1434.7826229492866</v>
      </c>
      <c r="X57" s="110">
        <f t="shared" si="17"/>
        <v>1434.7826229492866</v>
      </c>
      <c r="Y57" s="110">
        <f t="shared" si="17"/>
        <v>1434.7826229492866</v>
      </c>
      <c r="Z57" s="110">
        <f t="shared" si="17"/>
        <v>1434.7826229492866</v>
      </c>
      <c r="AA57" s="110">
        <f t="shared" si="17"/>
        <v>1434.7826229492866</v>
      </c>
      <c r="AB57" s="110">
        <f t="shared" si="17"/>
        <v>1434.7826229492866</v>
      </c>
      <c r="AC57" s="110">
        <f t="shared" si="17"/>
        <v>1434.7826229492866</v>
      </c>
      <c r="AD57" s="110">
        <f t="shared" si="17"/>
        <v>1434.7826229492866</v>
      </c>
      <c r="AE57" s="110">
        <f t="shared" si="17"/>
        <v>1434.7826229492866</v>
      </c>
      <c r="AF57" s="110">
        <f t="shared" si="17"/>
        <v>1434.7826229492866</v>
      </c>
      <c r="AG57" s="110">
        <f t="shared" si="17"/>
        <v>1434.7826229492866</v>
      </c>
      <c r="AH57" s="110">
        <f t="shared" si="17"/>
        <v>0</v>
      </c>
      <c r="AI57" s="110">
        <f t="shared" si="17"/>
        <v>2869.5652458985733</v>
      </c>
      <c r="AJ57" s="110">
        <f t="shared" si="17"/>
        <v>1434.7826229492866</v>
      </c>
      <c r="AK57" s="110">
        <f t="shared" si="17"/>
        <v>1434.7826229492866</v>
      </c>
      <c r="AL57" s="110">
        <f t="shared" si="17"/>
        <v>1434.7826229492866</v>
      </c>
      <c r="AM57" s="110">
        <f t="shared" si="17"/>
        <v>1434.7826229492866</v>
      </c>
      <c r="AN57" s="110">
        <f t="shared" si="17"/>
        <v>1434.7826229492866</v>
      </c>
      <c r="AO57" s="110">
        <f t="shared" si="17"/>
        <v>1434.7826229492866</v>
      </c>
      <c r="AP57" s="110">
        <f t="shared" si="17"/>
        <v>1434.7826229492866</v>
      </c>
      <c r="AQ57" s="110">
        <f t="shared" si="17"/>
        <v>1434.7826229492866</v>
      </c>
      <c r="AR57" s="110">
        <f t="shared" si="17"/>
        <v>1434.7826229492866</v>
      </c>
      <c r="AS57" s="110">
        <f t="shared" si="17"/>
        <v>1434.7826229492866</v>
      </c>
      <c r="AT57" s="110">
        <f t="shared" si="17"/>
        <v>1434.7826229492866</v>
      </c>
      <c r="AU57" s="110">
        <f t="shared" si="17"/>
        <v>1434.7826229492866</v>
      </c>
      <c r="AV57" s="110">
        <f t="shared" si="17"/>
        <v>1434.7826229492866</v>
      </c>
      <c r="AW57" s="110">
        <f t="shared" si="17"/>
        <v>1434.7826229492866</v>
      </c>
      <c r="AX57" s="110">
        <f t="shared" si="17"/>
        <v>1434.7826229492866</v>
      </c>
      <c r="AY57" s="110">
        <f t="shared" si="17"/>
        <v>1434.7826229492866</v>
      </c>
    </row>
    <row r="58" spans="1:52">
      <c r="A58" s="110"/>
      <c r="B58" s="165" t="s">
        <v>344</v>
      </c>
      <c r="C58" s="110"/>
      <c r="D58" s="110"/>
      <c r="E58" s="110">
        <v>190.30835265869783</v>
      </c>
      <c r="F58" s="110"/>
      <c r="G58" s="110">
        <v>190.30835265869783</v>
      </c>
      <c r="H58" s="110"/>
      <c r="I58" s="110">
        <v>190.30835265869783</v>
      </c>
      <c r="J58" s="110"/>
      <c r="K58" s="110">
        <v>190.30835265869783</v>
      </c>
      <c r="L58" s="110"/>
      <c r="M58" s="110">
        <v>190.30835265869783</v>
      </c>
      <c r="N58" s="110"/>
      <c r="O58" s="110">
        <v>190.30835265869783</v>
      </c>
      <c r="P58" s="110"/>
      <c r="Q58" s="110">
        <v>190.30835265869783</v>
      </c>
      <c r="R58" s="110"/>
      <c r="S58" s="110">
        <v>190.30835265869783</v>
      </c>
      <c r="T58" s="110"/>
      <c r="U58" s="110">
        <v>190.30835265869783</v>
      </c>
      <c r="V58" s="110"/>
      <c r="W58" s="110">
        <v>190.30835265869783</v>
      </c>
      <c r="X58" s="110"/>
      <c r="Y58" s="110">
        <v>190.30835265869783</v>
      </c>
      <c r="Z58" s="110"/>
      <c r="AA58" s="110">
        <v>190.30835265869783</v>
      </c>
      <c r="AB58" s="110"/>
      <c r="AC58" s="110">
        <v>190.30835265869783</v>
      </c>
      <c r="AD58" s="110"/>
      <c r="AE58" s="110">
        <v>190.30835265869783</v>
      </c>
      <c r="AF58" s="110"/>
      <c r="AG58" s="110">
        <v>190.30835265869783</v>
      </c>
      <c r="AH58" s="110"/>
      <c r="AI58" s="110">
        <v>190.30835265869791</v>
      </c>
      <c r="AJ58" s="110"/>
      <c r="AK58" s="110">
        <v>190.30835265869783</v>
      </c>
      <c r="AL58" s="110"/>
      <c r="AM58" s="110">
        <v>190.30835265869783</v>
      </c>
      <c r="AN58" s="110"/>
      <c r="AO58" s="110">
        <v>190.30835265869783</v>
      </c>
      <c r="AP58" s="110"/>
      <c r="AQ58" s="110">
        <v>190.30835265869783</v>
      </c>
      <c r="AR58" s="110"/>
      <c r="AS58" s="110">
        <v>190.30835265869783</v>
      </c>
      <c r="AT58" s="110"/>
      <c r="AU58" s="110">
        <v>190.30835265869783</v>
      </c>
      <c r="AV58" s="110"/>
      <c r="AW58" s="110">
        <v>190.30835265869783</v>
      </c>
      <c r="AX58" s="110"/>
      <c r="AY58" s="110">
        <v>190.30835265869783</v>
      </c>
    </row>
    <row r="59" spans="1:52">
      <c r="A59" s="110"/>
      <c r="B59" s="165" t="s">
        <v>345</v>
      </c>
      <c r="C59" s="110"/>
      <c r="D59" s="110"/>
      <c r="E59" s="110">
        <v>259.6916473413022</v>
      </c>
      <c r="F59" s="110"/>
      <c r="G59" s="110">
        <v>259.6916473413022</v>
      </c>
      <c r="H59" s="110"/>
      <c r="I59" s="110">
        <v>259.6916473413022</v>
      </c>
      <c r="J59" s="110"/>
      <c r="K59" s="110">
        <v>259.6916473413022</v>
      </c>
      <c r="L59" s="110"/>
      <c r="M59" s="110">
        <v>259.6916473413022</v>
      </c>
      <c r="N59" s="110"/>
      <c r="O59" s="110">
        <v>259.6916473413022</v>
      </c>
      <c r="P59" s="110"/>
      <c r="Q59" s="110">
        <v>259.6916473413022</v>
      </c>
      <c r="R59" s="110"/>
      <c r="S59" s="110">
        <v>259.6916473413022</v>
      </c>
      <c r="T59" s="110"/>
      <c r="U59" s="110">
        <v>259.6916473413022</v>
      </c>
      <c r="V59" s="110"/>
      <c r="W59" s="110">
        <v>259.6916473413022</v>
      </c>
      <c r="X59" s="110"/>
      <c r="Y59" s="110">
        <v>259.6916473413022</v>
      </c>
      <c r="Z59" s="110"/>
      <c r="AA59" s="110">
        <v>259.6916473413022</v>
      </c>
      <c r="AB59" s="110"/>
      <c r="AC59" s="110">
        <v>259.6916473413022</v>
      </c>
      <c r="AD59" s="110"/>
      <c r="AE59" s="110">
        <v>259.6916473413022</v>
      </c>
      <c r="AF59" s="110"/>
      <c r="AG59" s="110">
        <v>259.6916473413022</v>
      </c>
      <c r="AH59" s="110"/>
      <c r="AI59" s="110">
        <v>259.69164734130214</v>
      </c>
      <c r="AJ59" s="110"/>
      <c r="AK59" s="110">
        <v>259.6916473413022</v>
      </c>
      <c r="AL59" s="110"/>
      <c r="AM59" s="110">
        <v>259.6916473413022</v>
      </c>
      <c r="AN59" s="110"/>
      <c r="AO59" s="110">
        <v>259.6916473413022</v>
      </c>
      <c r="AP59" s="110"/>
      <c r="AQ59" s="110">
        <v>259.6916473413022</v>
      </c>
      <c r="AR59" s="110"/>
      <c r="AS59" s="110">
        <v>259.6916473413022</v>
      </c>
      <c r="AT59" s="110"/>
      <c r="AU59" s="110">
        <v>259.6916473413022</v>
      </c>
      <c r="AV59" s="110"/>
      <c r="AW59" s="110">
        <v>259.6916473413022</v>
      </c>
      <c r="AX59" s="110"/>
      <c r="AY59" s="110">
        <v>259.6916473413022</v>
      </c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608.4265239245276</v>
      </c>
      <c r="E61" s="110">
        <f t="shared" ref="E61:AY61" si="18">E55-E58</f>
        <v>295.11954948679227</v>
      </c>
      <c r="F61" s="110">
        <f t="shared" si="18"/>
        <v>485.42790214549007</v>
      </c>
      <c r="G61" s="110">
        <f t="shared" si="18"/>
        <v>295.11954948679227</v>
      </c>
      <c r="H61" s="110">
        <f t="shared" si="18"/>
        <v>485.42790214549007</v>
      </c>
      <c r="I61" s="110">
        <f t="shared" si="18"/>
        <v>416.4719082230896</v>
      </c>
      <c r="J61" s="110">
        <f t="shared" si="18"/>
        <v>606.7802608817874</v>
      </c>
      <c r="K61" s="110">
        <f t="shared" si="18"/>
        <v>416.4719082230896</v>
      </c>
      <c r="L61" s="110">
        <f t="shared" si="18"/>
        <v>606.7802608817874</v>
      </c>
      <c r="M61" s="110">
        <f t="shared" si="18"/>
        <v>416.4719082230896</v>
      </c>
      <c r="N61" s="110">
        <f t="shared" si="18"/>
        <v>606.7802608817874</v>
      </c>
      <c r="O61" s="110">
        <f t="shared" si="18"/>
        <v>416.4719082230896</v>
      </c>
      <c r="P61" s="110">
        <f t="shared" si="18"/>
        <v>606.7802608817874</v>
      </c>
      <c r="Q61" s="110">
        <f t="shared" si="18"/>
        <v>416.4719082230896</v>
      </c>
      <c r="R61" s="110">
        <f t="shared" si="18"/>
        <v>606.7802608817874</v>
      </c>
      <c r="S61" s="110">
        <f t="shared" si="18"/>
        <v>416.4719082230896</v>
      </c>
      <c r="T61" s="110">
        <f t="shared" si="18"/>
        <v>606.7802608817874</v>
      </c>
      <c r="U61" s="110">
        <f t="shared" si="18"/>
        <v>416.4719082230896</v>
      </c>
      <c r="V61" s="110">
        <f t="shared" si="18"/>
        <v>606.7802608817874</v>
      </c>
      <c r="W61" s="110">
        <f t="shared" si="18"/>
        <v>416.4719082230896</v>
      </c>
      <c r="X61" s="110">
        <f t="shared" si="18"/>
        <v>606.7802608817874</v>
      </c>
      <c r="Y61" s="110">
        <f t="shared" si="18"/>
        <v>416.4719082230896</v>
      </c>
      <c r="Z61" s="110">
        <f t="shared" si="18"/>
        <v>606.7802608817874</v>
      </c>
      <c r="AA61" s="110">
        <f t="shared" si="18"/>
        <v>416.4719082230896</v>
      </c>
      <c r="AB61" s="110">
        <f t="shared" si="18"/>
        <v>606.7802608817874</v>
      </c>
      <c r="AC61" s="110">
        <f t="shared" si="18"/>
        <v>416.4719082230896</v>
      </c>
      <c r="AD61" s="110">
        <f t="shared" si="18"/>
        <v>606.7802608817874</v>
      </c>
      <c r="AE61" s="110">
        <f t="shared" si="18"/>
        <v>416.4719082230896</v>
      </c>
      <c r="AF61" s="110">
        <f t="shared" si="18"/>
        <v>606.7802608817874</v>
      </c>
      <c r="AG61" s="110">
        <f t="shared" si="18"/>
        <v>416.4719082230896</v>
      </c>
      <c r="AH61" s="110">
        <f t="shared" si="18"/>
        <v>0</v>
      </c>
      <c r="AI61" s="110">
        <f t="shared" si="18"/>
        <v>1023.2521691048769</v>
      </c>
      <c r="AJ61" s="110">
        <f t="shared" si="18"/>
        <v>606.7802608817874</v>
      </c>
      <c r="AK61" s="110">
        <f t="shared" si="18"/>
        <v>416.4719082230896</v>
      </c>
      <c r="AL61" s="110">
        <f t="shared" si="18"/>
        <v>606.7802608817874</v>
      </c>
      <c r="AM61" s="110">
        <f t="shared" si="18"/>
        <v>416.4719082230896</v>
      </c>
      <c r="AN61" s="110">
        <f t="shared" si="18"/>
        <v>606.7802608817874</v>
      </c>
      <c r="AO61" s="110">
        <f t="shared" si="18"/>
        <v>416.4719082230896</v>
      </c>
      <c r="AP61" s="110">
        <f t="shared" si="18"/>
        <v>606.7802608817874</v>
      </c>
      <c r="AQ61" s="110">
        <f t="shared" si="18"/>
        <v>416.4719082230896</v>
      </c>
      <c r="AR61" s="110">
        <f t="shared" si="18"/>
        <v>606.7802608817874</v>
      </c>
      <c r="AS61" s="110">
        <f t="shared" si="18"/>
        <v>416.4719082230896</v>
      </c>
      <c r="AT61" s="110">
        <f t="shared" si="18"/>
        <v>606.7802608817874</v>
      </c>
      <c r="AU61" s="110">
        <f t="shared" si="18"/>
        <v>416.4719082230896</v>
      </c>
      <c r="AV61" s="110">
        <f t="shared" si="18"/>
        <v>606.7802608817874</v>
      </c>
      <c r="AW61" s="110">
        <f t="shared" si="18"/>
        <v>416.4719082230896</v>
      </c>
      <c r="AX61" s="110">
        <f t="shared" si="18"/>
        <v>606.7802608817874</v>
      </c>
      <c r="AY61" s="110">
        <f t="shared" si="18"/>
        <v>416.4719082230896</v>
      </c>
    </row>
    <row r="62" spans="1:52">
      <c r="A62" s="110"/>
      <c r="B62" s="165" t="s">
        <v>348</v>
      </c>
      <c r="C62" s="110"/>
      <c r="D62" s="110">
        <f>D56-D59</f>
        <v>830.24882553351972</v>
      </c>
      <c r="E62" s="110">
        <f t="shared" ref="E62:AY62" si="19">E56-E59</f>
        <v>402.71528232024377</v>
      </c>
      <c r="F62" s="110">
        <f t="shared" si="19"/>
        <v>662.40692966154597</v>
      </c>
      <c r="G62" s="110">
        <f t="shared" si="19"/>
        <v>402.71528232024377</v>
      </c>
      <c r="H62" s="110">
        <f t="shared" si="19"/>
        <v>662.40692966154597</v>
      </c>
      <c r="I62" s="110">
        <f t="shared" si="19"/>
        <v>568.31071472619715</v>
      </c>
      <c r="J62" s="110">
        <f t="shared" si="19"/>
        <v>828.00236206749935</v>
      </c>
      <c r="K62" s="110">
        <f t="shared" si="19"/>
        <v>568.31071472619715</v>
      </c>
      <c r="L62" s="110">
        <f t="shared" si="19"/>
        <v>828.00236206749935</v>
      </c>
      <c r="M62" s="110">
        <f t="shared" si="19"/>
        <v>568.31071472619715</v>
      </c>
      <c r="N62" s="110">
        <f t="shared" si="19"/>
        <v>828.00236206749935</v>
      </c>
      <c r="O62" s="110">
        <f t="shared" si="19"/>
        <v>568.31071472619715</v>
      </c>
      <c r="P62" s="110">
        <f t="shared" si="19"/>
        <v>828.00236206749935</v>
      </c>
      <c r="Q62" s="110">
        <f t="shared" si="19"/>
        <v>568.31071472619715</v>
      </c>
      <c r="R62" s="110">
        <f t="shared" si="19"/>
        <v>828.00236206749935</v>
      </c>
      <c r="S62" s="110">
        <f t="shared" si="19"/>
        <v>568.31071472619715</v>
      </c>
      <c r="T62" s="110">
        <f t="shared" si="19"/>
        <v>828.00236206749935</v>
      </c>
      <c r="U62" s="110">
        <f t="shared" si="19"/>
        <v>568.31071472619715</v>
      </c>
      <c r="V62" s="110">
        <f t="shared" si="19"/>
        <v>828.00236206749935</v>
      </c>
      <c r="W62" s="110">
        <f t="shared" si="19"/>
        <v>568.31071472619715</v>
      </c>
      <c r="X62" s="110">
        <f t="shared" si="19"/>
        <v>828.00236206749935</v>
      </c>
      <c r="Y62" s="110">
        <f t="shared" si="19"/>
        <v>568.31071472619715</v>
      </c>
      <c r="Z62" s="110">
        <f t="shared" si="19"/>
        <v>828.00236206749935</v>
      </c>
      <c r="AA62" s="110">
        <f t="shared" si="19"/>
        <v>568.31071472619715</v>
      </c>
      <c r="AB62" s="110">
        <f t="shared" si="19"/>
        <v>828.00236206749935</v>
      </c>
      <c r="AC62" s="110">
        <f t="shared" si="19"/>
        <v>568.31071472619715</v>
      </c>
      <c r="AD62" s="110">
        <f t="shared" si="19"/>
        <v>828.00236206749935</v>
      </c>
      <c r="AE62" s="110">
        <f t="shared" si="19"/>
        <v>568.31071472619715</v>
      </c>
      <c r="AF62" s="110">
        <f t="shared" si="19"/>
        <v>828.00236206749935</v>
      </c>
      <c r="AG62" s="110">
        <f t="shared" si="19"/>
        <v>568.31071472619715</v>
      </c>
      <c r="AH62" s="110">
        <f t="shared" si="19"/>
        <v>0</v>
      </c>
      <c r="AI62" s="110">
        <f t="shared" si="19"/>
        <v>1396.3130767936966</v>
      </c>
      <c r="AJ62" s="110">
        <f t="shared" si="19"/>
        <v>828.00236206749935</v>
      </c>
      <c r="AK62" s="110">
        <f t="shared" si="19"/>
        <v>568.31071472619715</v>
      </c>
      <c r="AL62" s="110">
        <f t="shared" si="19"/>
        <v>828.00236206749935</v>
      </c>
      <c r="AM62" s="110">
        <f t="shared" si="19"/>
        <v>568.31071472619715</v>
      </c>
      <c r="AN62" s="110">
        <f t="shared" si="19"/>
        <v>828.00236206749935</v>
      </c>
      <c r="AO62" s="110">
        <f t="shared" si="19"/>
        <v>568.31071472619715</v>
      </c>
      <c r="AP62" s="110">
        <f t="shared" si="19"/>
        <v>828.00236206749935</v>
      </c>
      <c r="AQ62" s="110">
        <f t="shared" si="19"/>
        <v>568.31071472619715</v>
      </c>
      <c r="AR62" s="110">
        <f t="shared" si="19"/>
        <v>828.00236206749935</v>
      </c>
      <c r="AS62" s="110">
        <f t="shared" si="19"/>
        <v>568.31071472619715</v>
      </c>
      <c r="AT62" s="110">
        <f t="shared" si="19"/>
        <v>828.00236206749935</v>
      </c>
      <c r="AU62" s="110">
        <f t="shared" si="19"/>
        <v>568.31071472619715</v>
      </c>
      <c r="AV62" s="110">
        <f t="shared" si="19"/>
        <v>828.00236206749935</v>
      </c>
      <c r="AW62" s="110">
        <f t="shared" si="19"/>
        <v>568.31071472619715</v>
      </c>
      <c r="AX62" s="110">
        <f t="shared" si="19"/>
        <v>828.00236206749935</v>
      </c>
      <c r="AY62" s="110">
        <f t="shared" si="19"/>
        <v>568.31071472619715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1</v>
      </c>
      <c r="G63" s="110">
        <v>1</v>
      </c>
      <c r="H63" s="110">
        <v>1</v>
      </c>
      <c r="I63" s="110">
        <v>2</v>
      </c>
      <c r="J63" s="110">
        <v>1</v>
      </c>
      <c r="K63" s="110">
        <v>3</v>
      </c>
      <c r="L63" s="110">
        <v>2</v>
      </c>
      <c r="M63" s="110">
        <v>1</v>
      </c>
      <c r="N63" s="110">
        <v>1</v>
      </c>
      <c r="O63" s="110">
        <v>1</v>
      </c>
      <c r="P63" s="110">
        <v>1</v>
      </c>
      <c r="Q63" s="110">
        <v>1</v>
      </c>
      <c r="R63" s="110">
        <v>2</v>
      </c>
      <c r="S63" s="110">
        <v>1</v>
      </c>
      <c r="T63" s="110">
        <v>1</v>
      </c>
      <c r="U63" s="110">
        <v>3</v>
      </c>
      <c r="V63" s="110">
        <v>2</v>
      </c>
      <c r="W63" s="110">
        <v>1</v>
      </c>
      <c r="X63" s="110">
        <v>1</v>
      </c>
      <c r="Y63" s="110">
        <v>3</v>
      </c>
      <c r="Z63" s="110">
        <v>3</v>
      </c>
      <c r="AA63" s="110">
        <v>3</v>
      </c>
      <c r="AB63" s="110">
        <v>2</v>
      </c>
      <c r="AC63" s="110">
        <v>2</v>
      </c>
      <c r="AD63" s="110">
        <v>2</v>
      </c>
      <c r="AE63" s="110">
        <v>1</v>
      </c>
      <c r="AF63" s="110">
        <v>1</v>
      </c>
      <c r="AG63" s="110">
        <v>2</v>
      </c>
      <c r="AH63" s="110">
        <v>1</v>
      </c>
      <c r="AI63" s="110">
        <v>2</v>
      </c>
      <c r="AJ63" s="110">
        <v>1</v>
      </c>
      <c r="AK63" s="110">
        <v>1</v>
      </c>
      <c r="AL63" s="110">
        <v>2</v>
      </c>
      <c r="AM63" s="110">
        <v>2</v>
      </c>
      <c r="AN63" s="110">
        <v>1</v>
      </c>
      <c r="AO63" s="110">
        <v>1</v>
      </c>
      <c r="AP63" s="110">
        <v>2</v>
      </c>
      <c r="AQ63" s="110">
        <v>3</v>
      </c>
      <c r="AR63" s="110">
        <v>2</v>
      </c>
      <c r="AS63" s="110">
        <v>1</v>
      </c>
      <c r="AT63" s="110">
        <v>1</v>
      </c>
      <c r="AU63" s="110">
        <v>2</v>
      </c>
      <c r="AV63" s="110">
        <v>2</v>
      </c>
      <c r="AW63" s="110">
        <v>3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6415200</v>
      </c>
    </row>
    <row r="65" spans="1:52">
      <c r="A65" s="125"/>
      <c r="B65" s="140" t="s">
        <v>351</v>
      </c>
      <c r="C65" s="125"/>
      <c r="D65" s="125">
        <v>462893.79368812678</v>
      </c>
      <c r="E65" s="125">
        <v>224528.35713391384</v>
      </c>
      <c r="F65" s="125">
        <v>369315.8571339139</v>
      </c>
      <c r="G65" s="125">
        <v>224528.35713391384</v>
      </c>
      <c r="H65" s="125">
        <v>369315.8571339139</v>
      </c>
      <c r="I65" s="125">
        <v>316853.80893393303</v>
      </c>
      <c r="J65" s="125">
        <v>461641.30893393297</v>
      </c>
      <c r="K65" s="125">
        <v>316853.80893393303</v>
      </c>
      <c r="L65" s="125">
        <v>461641.30893393297</v>
      </c>
      <c r="M65" s="125">
        <v>316853.80893393303</v>
      </c>
      <c r="N65" s="125">
        <v>461641.30893393297</v>
      </c>
      <c r="O65" s="125">
        <v>316853.80893393303</v>
      </c>
      <c r="P65" s="125">
        <v>461641.30893393297</v>
      </c>
      <c r="Q65" s="125">
        <v>316853.80893393303</v>
      </c>
      <c r="R65" s="125">
        <v>461641.30893393297</v>
      </c>
      <c r="S65" s="125">
        <v>316853.80893393303</v>
      </c>
      <c r="T65" s="125">
        <v>461641.30893393297</v>
      </c>
      <c r="U65" s="125">
        <v>316853.80893393303</v>
      </c>
      <c r="V65" s="125">
        <v>461641.30893393297</v>
      </c>
      <c r="W65" s="125">
        <v>316853.80893393303</v>
      </c>
      <c r="X65" s="125">
        <v>461641.30893393297</v>
      </c>
      <c r="Y65" s="125">
        <v>316853.80893393303</v>
      </c>
      <c r="Z65" s="125">
        <v>461641.30893393297</v>
      </c>
      <c r="AA65" s="125">
        <v>316853.80893393303</v>
      </c>
      <c r="AB65" s="125">
        <v>461641.30893393297</v>
      </c>
      <c r="AC65" s="125">
        <v>316853.80893393303</v>
      </c>
      <c r="AD65" s="125">
        <v>461641.30893393297</v>
      </c>
      <c r="AE65" s="125">
        <v>316853.80893393303</v>
      </c>
      <c r="AF65" s="125">
        <v>461641.30893393297</v>
      </c>
      <c r="AG65" s="125">
        <v>316853.80893393303</v>
      </c>
      <c r="AH65" s="125">
        <v>0</v>
      </c>
      <c r="AI65" s="125">
        <v>778495.11786786595</v>
      </c>
      <c r="AJ65" s="125">
        <v>461641.30893393297</v>
      </c>
      <c r="AK65" s="125">
        <v>316853.80893393303</v>
      </c>
      <c r="AL65" s="125">
        <v>461641.30893393297</v>
      </c>
      <c r="AM65" s="125">
        <v>316853.80893393303</v>
      </c>
      <c r="AN65" s="125">
        <v>461641.30893393297</v>
      </c>
      <c r="AO65" s="125">
        <v>316853.80893393303</v>
      </c>
      <c r="AP65" s="125">
        <v>461641.30893393297</v>
      </c>
      <c r="AQ65" s="125">
        <v>316853.80893393303</v>
      </c>
      <c r="AR65" s="125">
        <v>461641.30893393297</v>
      </c>
      <c r="AS65" s="125">
        <v>316853.80893393303</v>
      </c>
      <c r="AT65" s="125">
        <v>461641.30893393297</v>
      </c>
      <c r="AU65" s="125">
        <v>316853.80893393303</v>
      </c>
      <c r="AV65" s="125">
        <v>461641.30893393297</v>
      </c>
      <c r="AW65" s="125">
        <v>316853.80893393303</v>
      </c>
      <c r="AX65" s="125">
        <v>461641.30893393297</v>
      </c>
      <c r="AY65" s="125">
        <v>316853.80893393303</v>
      </c>
      <c r="AZ65" s="100">
        <f>SUM($D$65:$AY$65)</f>
        <v>18315833.50638289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160</v>
      </c>
      <c r="E9" s="117">
        <v>160</v>
      </c>
      <c r="F9" s="117">
        <v>160</v>
      </c>
      <c r="G9" s="117">
        <v>160</v>
      </c>
      <c r="H9" s="117">
        <v>160</v>
      </c>
      <c r="I9" s="117">
        <v>160</v>
      </c>
      <c r="J9" s="117">
        <v>160</v>
      </c>
      <c r="K9" s="117">
        <v>160</v>
      </c>
      <c r="L9" s="117">
        <v>160</v>
      </c>
      <c r="M9" s="117">
        <v>160</v>
      </c>
      <c r="N9" s="117">
        <v>160</v>
      </c>
      <c r="O9" s="117">
        <v>160</v>
      </c>
      <c r="P9" s="117">
        <v>160</v>
      </c>
      <c r="Q9" s="117">
        <v>160</v>
      </c>
      <c r="R9" s="117">
        <v>160</v>
      </c>
      <c r="S9" s="117">
        <v>160</v>
      </c>
      <c r="T9" s="117">
        <v>160</v>
      </c>
      <c r="U9" s="117">
        <v>160</v>
      </c>
      <c r="V9" s="117">
        <v>160</v>
      </c>
      <c r="W9" s="117">
        <v>160</v>
      </c>
      <c r="X9" s="117">
        <v>160</v>
      </c>
      <c r="Y9" s="117">
        <v>160</v>
      </c>
      <c r="Z9" s="117">
        <v>160</v>
      </c>
      <c r="AA9" s="117">
        <v>160</v>
      </c>
      <c r="AB9" s="117">
        <v>160</v>
      </c>
      <c r="AC9" s="117">
        <v>160</v>
      </c>
      <c r="AD9" s="117">
        <v>160</v>
      </c>
      <c r="AE9" s="117">
        <v>160</v>
      </c>
      <c r="AF9" s="117">
        <v>160</v>
      </c>
      <c r="AG9" s="117">
        <v>160</v>
      </c>
      <c r="AH9" s="117">
        <v>160</v>
      </c>
      <c r="AI9" s="117">
        <v>160</v>
      </c>
      <c r="AJ9" s="117">
        <v>160</v>
      </c>
      <c r="AK9" s="117">
        <v>160</v>
      </c>
      <c r="AL9" s="117">
        <v>160</v>
      </c>
      <c r="AM9" s="117">
        <v>160</v>
      </c>
      <c r="AN9" s="117">
        <v>160</v>
      </c>
      <c r="AO9" s="117">
        <v>160</v>
      </c>
      <c r="AP9" s="117">
        <v>160</v>
      </c>
      <c r="AQ9" s="117">
        <v>160</v>
      </c>
      <c r="AR9" s="117">
        <v>160</v>
      </c>
      <c r="AS9" s="117">
        <v>160</v>
      </c>
      <c r="AT9" s="117">
        <v>160</v>
      </c>
      <c r="AU9" s="117">
        <v>160</v>
      </c>
      <c r="AV9" s="117">
        <v>160</v>
      </c>
      <c r="AW9" s="117">
        <v>160</v>
      </c>
      <c r="AX9" s="117">
        <v>160</v>
      </c>
      <c r="AY9" s="117">
        <v>160</v>
      </c>
    </row>
    <row r="10" spans="1:53">
      <c r="A10" s="118" t="s">
        <v>133</v>
      </c>
      <c r="B10" s="119">
        <v>1</v>
      </c>
      <c r="C10" s="106" t="s">
        <v>293</v>
      </c>
      <c r="D10" s="100">
        <v>74.276006220075729</v>
      </c>
      <c r="E10" s="100">
        <v>100.14505731320997</v>
      </c>
      <c r="F10" s="100">
        <v>161.03239653048388</v>
      </c>
      <c r="G10" s="100">
        <v>161.03239653048388</v>
      </c>
      <c r="H10" s="100">
        <v>0</v>
      </c>
      <c r="I10" s="100">
        <v>161.03239653048388</v>
      </c>
      <c r="J10" s="100">
        <v>93.391327226798623</v>
      </c>
      <c r="K10" s="100">
        <v>93.391327226798623</v>
      </c>
      <c r="L10" s="100">
        <v>148.75745283460245</v>
      </c>
      <c r="M10" s="100">
        <v>93.391327226798623</v>
      </c>
      <c r="N10" s="100">
        <v>172.10528464130209</v>
      </c>
      <c r="O10" s="100">
        <v>55.366125607803824</v>
      </c>
      <c r="P10" s="100">
        <v>172.10528464130209</v>
      </c>
      <c r="Q10" s="100">
        <v>172.10528464130209</v>
      </c>
      <c r="R10" s="100">
        <v>116.73915903349825</v>
      </c>
      <c r="S10" s="100">
        <v>55.366125607803824</v>
      </c>
      <c r="T10" s="100">
        <v>116.73915903349825</v>
      </c>
      <c r="U10" s="100">
        <v>55.366125607803824</v>
      </c>
      <c r="V10" s="100">
        <v>172.10528464130209</v>
      </c>
      <c r="W10" s="100">
        <v>172.10528464130209</v>
      </c>
      <c r="X10" s="100">
        <v>116.73915903349825</v>
      </c>
      <c r="Y10" s="100">
        <v>172.10528464130209</v>
      </c>
      <c r="Z10" s="100">
        <v>116.73915903349825</v>
      </c>
      <c r="AA10" s="100">
        <v>172.10528464130209</v>
      </c>
      <c r="AB10" s="100">
        <v>116.73915903349825</v>
      </c>
      <c r="AC10" s="100">
        <v>55.366125607803824</v>
      </c>
      <c r="AD10" s="100">
        <v>172.10528464130209</v>
      </c>
      <c r="AE10" s="100">
        <v>172.10528464130209</v>
      </c>
      <c r="AF10" s="100">
        <v>116.73915903349825</v>
      </c>
      <c r="AG10" s="100">
        <v>0</v>
      </c>
      <c r="AH10" s="100">
        <v>116.73915903349825</v>
      </c>
      <c r="AI10" s="100">
        <v>0</v>
      </c>
      <c r="AJ10" s="100">
        <v>227.4714102491059</v>
      </c>
      <c r="AK10" s="100">
        <v>116.73915903349825</v>
      </c>
      <c r="AL10" s="100">
        <v>172.10528464130209</v>
      </c>
      <c r="AM10" s="100">
        <v>116.73915903349825</v>
      </c>
      <c r="AN10" s="100">
        <v>172.10528464130209</v>
      </c>
      <c r="AO10" s="100">
        <v>0</v>
      </c>
      <c r="AP10" s="100">
        <v>172.10528464130209</v>
      </c>
      <c r="AQ10" s="100">
        <v>55.366125607803824</v>
      </c>
      <c r="AR10" s="100">
        <v>172.10528464130209</v>
      </c>
      <c r="AS10" s="100">
        <v>172.10528464130209</v>
      </c>
      <c r="AT10" s="100">
        <v>172.10528464130209</v>
      </c>
      <c r="AU10" s="100">
        <v>55.366125607803824</v>
      </c>
      <c r="AV10" s="100">
        <v>116.73915903349825</v>
      </c>
      <c r="AW10" s="100">
        <v>55.366125607803824</v>
      </c>
      <c r="AX10" s="100">
        <v>172.10528464130209</v>
      </c>
      <c r="AY10" s="100">
        <v>55.366125607803824</v>
      </c>
      <c r="AZ10" s="100">
        <v>116.73915903349825</v>
      </c>
    </row>
    <row r="11" spans="1:53">
      <c r="B11" s="119">
        <v>2</v>
      </c>
      <c r="C11" s="106" t="s">
        <v>293</v>
      </c>
      <c r="D11" s="100">
        <v>0</v>
      </c>
      <c r="E11" s="100">
        <v>74.365108347957914</v>
      </c>
      <c r="F11" s="100">
        <v>48.762610042668101</v>
      </c>
      <c r="I11" s="100">
        <v>0</v>
      </c>
      <c r="J11" s="100">
        <v>0</v>
      </c>
      <c r="K11" s="100">
        <v>55.366125607803824</v>
      </c>
      <c r="S11" s="100">
        <v>55.366125607803824</v>
      </c>
      <c r="T11" s="100">
        <v>116.73915903349825</v>
      </c>
      <c r="U11" s="100">
        <v>55.366125607803824</v>
      </c>
      <c r="V11" s="100">
        <v>116.73915903349825</v>
      </c>
      <c r="W11" s="100">
        <v>0</v>
      </c>
      <c r="Y11" s="100">
        <v>55.366125607803824</v>
      </c>
      <c r="AA11" s="100">
        <v>55.366125607803824</v>
      </c>
      <c r="AG11" s="100">
        <v>55.366125607803824</v>
      </c>
      <c r="AI11" s="100">
        <v>55.366125607803824</v>
      </c>
      <c r="AJ11" s="100">
        <v>116.73915903349825</v>
      </c>
      <c r="AN11" s="100">
        <v>55.366125607803824</v>
      </c>
      <c r="AP11" s="100">
        <v>55.366125607803824</v>
      </c>
      <c r="AQ11" s="100">
        <v>0</v>
      </c>
      <c r="AS11" s="100">
        <v>0</v>
      </c>
      <c r="AV11" s="100">
        <v>116.73915903349825</v>
      </c>
      <c r="AW11" s="100">
        <v>55.366125607803824</v>
      </c>
      <c r="AX11" s="100">
        <v>116.73915903349825</v>
      </c>
      <c r="AZ11" s="100">
        <v>116.73915903349825</v>
      </c>
      <c r="BA11" s="100">
        <v>55.366125607803824</v>
      </c>
    </row>
    <row r="12" spans="1:53">
      <c r="B12" s="120">
        <v>3</v>
      </c>
      <c r="C12" s="106" t="s">
        <v>293</v>
      </c>
      <c r="J12" s="100">
        <v>44.293237496985618</v>
      </c>
      <c r="M12" s="100">
        <v>55.366125607803824</v>
      </c>
      <c r="O12" s="100">
        <v>55.366125607803824</v>
      </c>
      <c r="AD12" s="100">
        <v>55.366125607803824</v>
      </c>
      <c r="AE12" s="100">
        <v>116.73915903349825</v>
      </c>
      <c r="AI12" s="100">
        <v>172.10528464130209</v>
      </c>
      <c r="AK12" s="100">
        <v>0</v>
      </c>
      <c r="AL12" s="100">
        <v>0</v>
      </c>
      <c r="AM12" s="100">
        <v>55.366125607803824</v>
      </c>
      <c r="AQ12" s="100">
        <v>116.73915903349825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69.047520043862747</v>
      </c>
      <c r="E14" s="117">
        <f t="shared" ref="E14:AZ14" si="0">D$172*SUM(D$122:D$169)</f>
        <v>31.004937372369419</v>
      </c>
      <c r="F14" s="117">
        <f t="shared" si="0"/>
        <v>73.61353119312183</v>
      </c>
      <c r="G14" s="117">
        <f t="shared" si="0"/>
        <v>87.652443428837913</v>
      </c>
      <c r="H14" s="117">
        <f t="shared" si="0"/>
        <v>67.358794774752226</v>
      </c>
      <c r="I14" s="117">
        <f t="shared" si="0"/>
        <v>6.4822823587776636E-3</v>
      </c>
      <c r="J14" s="117">
        <f t="shared" si="0"/>
        <v>67.358794774752226</v>
      </c>
      <c r="K14" s="117">
        <f t="shared" si="0"/>
        <v>63.421828415979867</v>
      </c>
      <c r="L14" s="117">
        <f t="shared" si="0"/>
        <v>62.334071288955634</v>
      </c>
      <c r="M14" s="117">
        <f t="shared" si="0"/>
        <v>62.33407128895562</v>
      </c>
      <c r="N14" s="117">
        <f t="shared" si="0"/>
        <v>62.33407128895562</v>
      </c>
      <c r="O14" s="117">
        <f t="shared" si="0"/>
        <v>72.050792668415298</v>
      </c>
      <c r="P14" s="117">
        <f t="shared" si="0"/>
        <v>46.927889259874924</v>
      </c>
      <c r="Q14" s="117">
        <f t="shared" si="0"/>
        <v>72.050792668415298</v>
      </c>
      <c r="R14" s="117">
        <f t="shared" si="0"/>
        <v>72.050792668415298</v>
      </c>
      <c r="S14" s="117">
        <f t="shared" si="0"/>
        <v>48.590089179657227</v>
      </c>
      <c r="T14" s="117">
        <f t="shared" si="0"/>
        <v>46.927889259874924</v>
      </c>
      <c r="U14" s="117">
        <f t="shared" si="0"/>
        <v>97.173696076955679</v>
      </c>
      <c r="V14" s="117">
        <f t="shared" si="0"/>
        <v>46.927889259874924</v>
      </c>
      <c r="W14" s="117">
        <f t="shared" si="0"/>
        <v>120.63439956571376</v>
      </c>
      <c r="X14" s="117">
        <f t="shared" si="0"/>
        <v>99.531470167727534</v>
      </c>
      <c r="Y14" s="117">
        <f t="shared" si="0"/>
        <v>48.590089179657227</v>
      </c>
      <c r="Z14" s="117">
        <f t="shared" si="0"/>
        <v>95.511496157173369</v>
      </c>
      <c r="AA14" s="117">
        <f t="shared" si="0"/>
        <v>64.066790145987369</v>
      </c>
      <c r="AB14" s="117">
        <f t="shared" si="0"/>
        <v>95.511496157173369</v>
      </c>
      <c r="AC14" s="117">
        <f t="shared" si="0"/>
        <v>48.590089179657227</v>
      </c>
      <c r="AD14" s="117">
        <f t="shared" si="0"/>
        <v>23.467185771116853</v>
      </c>
      <c r="AE14" s="117">
        <f t="shared" si="0"/>
        <v>95.511496157173369</v>
      </c>
      <c r="AF14" s="117">
        <f t="shared" si="0"/>
        <v>130.8792431955136</v>
      </c>
      <c r="AG14" s="117">
        <f t="shared" si="0"/>
        <v>64.488304945254271</v>
      </c>
      <c r="AH14" s="117">
        <f t="shared" si="0"/>
        <v>23.467185771116853</v>
      </c>
      <c r="AI14" s="117">
        <f t="shared" si="0"/>
        <v>48.590089179657227</v>
      </c>
      <c r="AJ14" s="117">
        <f t="shared" si="0"/>
        <v>95.511496157173383</v>
      </c>
      <c r="AK14" s="117">
        <f t="shared" si="0"/>
        <v>144.09510305447182</v>
      </c>
      <c r="AL14" s="117">
        <f t="shared" si="0"/>
        <v>73.931550554837187</v>
      </c>
      <c r="AM14" s="117">
        <f t="shared" si="0"/>
        <v>72.050792668415298</v>
      </c>
      <c r="AN14" s="117">
        <f t="shared" si="0"/>
        <v>72.050792668415312</v>
      </c>
      <c r="AO14" s="117">
        <f t="shared" si="0"/>
        <v>95.511496157173369</v>
      </c>
      <c r="AP14" s="117">
        <f t="shared" si="0"/>
        <v>6.482282358783481E-3</v>
      </c>
      <c r="AQ14" s="117">
        <f t="shared" si="0"/>
        <v>95.511496157173369</v>
      </c>
      <c r="AR14" s="117">
        <f t="shared" si="0"/>
        <v>72.050792668415298</v>
      </c>
      <c r="AS14" s="117">
        <f t="shared" si="0"/>
        <v>72.442605611421016</v>
      </c>
      <c r="AT14" s="117">
        <f t="shared" si="0"/>
        <v>72.050792668415298</v>
      </c>
      <c r="AU14" s="117">
        <f t="shared" si="0"/>
        <v>72.050792668415298</v>
      </c>
      <c r="AV14" s="117">
        <f t="shared" si="0"/>
        <v>24.67772085337214</v>
      </c>
      <c r="AW14" s="117">
        <f t="shared" si="0"/>
        <v>97.173696076955679</v>
      </c>
      <c r="AX14" s="117">
        <f t="shared" si="0"/>
        <v>46.927889259874924</v>
      </c>
      <c r="AY14" s="117">
        <f t="shared" si="0"/>
        <v>120.63439956571376</v>
      </c>
      <c r="AZ14" s="110">
        <f t="shared" si="0"/>
        <v>45.201586169067916</v>
      </c>
      <c r="BA14" s="107">
        <f>SUM($E14:$AZ14)</f>
        <v>3310.8376779651162</v>
      </c>
    </row>
    <row r="15" spans="1:53">
      <c r="A15" s="122" t="s">
        <v>123</v>
      </c>
      <c r="B15" s="123">
        <v>1</v>
      </c>
      <c r="C15" s="124" t="s">
        <v>293</v>
      </c>
      <c r="D15" s="124">
        <v>75.739828901629238</v>
      </c>
      <c r="E15" s="124">
        <v>102.85314673115813</v>
      </c>
      <c r="F15" s="124">
        <v>164.54616663106688</v>
      </c>
      <c r="G15" s="124">
        <v>164.54616663106688</v>
      </c>
      <c r="H15" s="124">
        <v>1.5835121704951528E-2</v>
      </c>
      <c r="I15" s="124">
        <v>164.54616663106688</v>
      </c>
      <c r="J15" s="124">
        <v>94.961076381366766</v>
      </c>
      <c r="K15" s="124">
        <v>94.961076381366766</v>
      </c>
      <c r="L15" s="124">
        <v>152.27161524199082</v>
      </c>
      <c r="M15" s="124">
        <v>94.961076381366766</v>
      </c>
      <c r="N15" s="124">
        <v>176.00792555690623</v>
      </c>
      <c r="O15" s="124">
        <v>57.326373982329002</v>
      </c>
      <c r="P15" s="124">
        <v>176.00792555690623</v>
      </c>
      <c r="Q15" s="124">
        <v>176.00792555690623</v>
      </c>
      <c r="R15" s="124">
        <v>118.69738669628219</v>
      </c>
      <c r="S15" s="124">
        <v>57.326373982329002</v>
      </c>
      <c r="T15" s="124">
        <v>118.69738669628219</v>
      </c>
      <c r="U15" s="124">
        <v>57.326373982329002</v>
      </c>
      <c r="V15" s="124">
        <v>176.00792555690623</v>
      </c>
      <c r="W15" s="124">
        <v>176.00792555690623</v>
      </c>
      <c r="X15" s="124">
        <v>118.69738669628219</v>
      </c>
      <c r="Y15" s="124">
        <v>176.00792555690623</v>
      </c>
      <c r="Z15" s="124">
        <v>118.69738669628219</v>
      </c>
      <c r="AA15" s="124">
        <v>176.00792555690623</v>
      </c>
      <c r="AB15" s="124">
        <v>118.69738669628219</v>
      </c>
      <c r="AC15" s="124">
        <v>57.326373982329002</v>
      </c>
      <c r="AD15" s="124">
        <v>176.00792555690623</v>
      </c>
      <c r="AE15" s="124">
        <v>176.00792555690623</v>
      </c>
      <c r="AF15" s="124">
        <v>118.69738669628219</v>
      </c>
      <c r="AG15" s="124">
        <v>1.5835121704951528E-2</v>
      </c>
      <c r="AH15" s="124">
        <v>118.69738669628219</v>
      </c>
      <c r="AI15" s="124">
        <v>1.5835121704951528E-2</v>
      </c>
      <c r="AJ15" s="124">
        <v>233.31846441753029</v>
      </c>
      <c r="AK15" s="124">
        <v>118.69738669628219</v>
      </c>
      <c r="AL15" s="124">
        <v>176.00792555690623</v>
      </c>
      <c r="AM15" s="124">
        <v>118.69738669628219</v>
      </c>
      <c r="AN15" s="124">
        <v>176.00792555690623</v>
      </c>
      <c r="AO15" s="124">
        <v>1.5835121704951528E-2</v>
      </c>
      <c r="AP15" s="124">
        <v>176.00792555690623</v>
      </c>
      <c r="AQ15" s="124">
        <v>57.326373982329002</v>
      </c>
      <c r="AR15" s="124">
        <v>176.00792555690623</v>
      </c>
      <c r="AS15" s="124">
        <v>176.00792555690623</v>
      </c>
      <c r="AT15" s="124">
        <v>176.00792555690623</v>
      </c>
      <c r="AU15" s="124">
        <v>57.326373982329002</v>
      </c>
      <c r="AV15" s="124">
        <v>118.69738669628219</v>
      </c>
      <c r="AW15" s="124">
        <v>57.326373982329002</v>
      </c>
      <c r="AX15" s="124">
        <v>176.00792555690623</v>
      </c>
      <c r="AY15" s="124">
        <v>57.326373982329002</v>
      </c>
      <c r="AZ15" s="100">
        <v>118.68155157457724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76.972285278276445</v>
      </c>
      <c r="F16" s="110">
        <v>49.573958443792371</v>
      </c>
      <c r="G16" s="110"/>
      <c r="H16" s="110"/>
      <c r="I16" s="110">
        <v>0</v>
      </c>
      <c r="J16" s="110">
        <v>0</v>
      </c>
      <c r="K16" s="110">
        <v>57.31053886062405</v>
      </c>
      <c r="L16" s="110"/>
      <c r="M16" s="110"/>
      <c r="N16" s="110"/>
      <c r="O16" s="110"/>
      <c r="P16" s="110"/>
      <c r="Q16" s="110"/>
      <c r="R16" s="110"/>
      <c r="S16" s="110">
        <v>57.31053886062405</v>
      </c>
      <c r="T16" s="110">
        <v>118.68155157457724</v>
      </c>
      <c r="U16" s="110">
        <v>57.31053886062405</v>
      </c>
      <c r="V16" s="110">
        <v>118.68155157457724</v>
      </c>
      <c r="W16" s="110">
        <v>0</v>
      </c>
      <c r="X16" s="110"/>
      <c r="Y16" s="110">
        <v>57.31053886062405</v>
      </c>
      <c r="Z16" s="110"/>
      <c r="AA16" s="110">
        <v>57.31053886062405</v>
      </c>
      <c r="AB16" s="110"/>
      <c r="AC16" s="110"/>
      <c r="AD16" s="110"/>
      <c r="AE16" s="110"/>
      <c r="AF16" s="110"/>
      <c r="AG16" s="110">
        <v>57.31053886062405</v>
      </c>
      <c r="AH16" s="110"/>
      <c r="AI16" s="110">
        <v>57.31053886062405</v>
      </c>
      <c r="AJ16" s="110">
        <v>118.68155157457724</v>
      </c>
      <c r="AK16" s="110"/>
      <c r="AL16" s="110"/>
      <c r="AM16" s="110"/>
      <c r="AN16" s="110">
        <v>57.31053886062405</v>
      </c>
      <c r="AO16" s="110"/>
      <c r="AP16" s="110">
        <v>57.31053886062405</v>
      </c>
      <c r="AQ16" s="110">
        <v>0</v>
      </c>
      <c r="AR16" s="110"/>
      <c r="AS16" s="110">
        <v>0</v>
      </c>
      <c r="AT16" s="110"/>
      <c r="AU16" s="110"/>
      <c r="AV16" s="110">
        <v>118.68155157457724</v>
      </c>
      <c r="AW16" s="110">
        <v>57.31053886062405</v>
      </c>
      <c r="AX16" s="110">
        <v>118.68155157457724</v>
      </c>
      <c r="AY16" s="110"/>
      <c r="AZ16" s="100">
        <v>118.68155157457724</v>
      </c>
      <c r="BA16" s="100">
        <v>57.31053886062405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>
        <v>45.848779934784687</v>
      </c>
      <c r="K17" s="110"/>
      <c r="L17" s="110"/>
      <c r="M17" s="110">
        <v>57.31053886062405</v>
      </c>
      <c r="N17" s="110"/>
      <c r="O17" s="110">
        <v>57.31053886062405</v>
      </c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>
        <v>57.31053886062405</v>
      </c>
      <c r="AE17" s="110">
        <v>118.68155157457724</v>
      </c>
      <c r="AF17" s="110"/>
      <c r="AG17" s="110"/>
      <c r="AH17" s="110"/>
      <c r="AI17" s="110">
        <v>175.99209043520131</v>
      </c>
      <c r="AJ17" s="110"/>
      <c r="AK17" s="110">
        <v>0</v>
      </c>
      <c r="AL17" s="110">
        <v>0</v>
      </c>
      <c r="AM17" s="110">
        <v>57.31053886062405</v>
      </c>
      <c r="AN17" s="110"/>
      <c r="AO17" s="110"/>
      <c r="AP17" s="110"/>
      <c r="AQ17" s="110">
        <v>118.68155157457724</v>
      </c>
      <c r="AR17" s="110"/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125</v>
      </c>
      <c r="D95" s="110">
        <v>160</v>
      </c>
      <c r="E95" s="110">
        <v>160</v>
      </c>
      <c r="F95" s="110">
        <v>160</v>
      </c>
      <c r="G95" s="110">
        <v>160</v>
      </c>
      <c r="H95" s="110">
        <v>160</v>
      </c>
      <c r="I95" s="110">
        <v>160</v>
      </c>
      <c r="J95" s="110">
        <v>160</v>
      </c>
      <c r="K95" s="110">
        <v>160</v>
      </c>
      <c r="L95" s="110">
        <v>160</v>
      </c>
      <c r="M95" s="110">
        <v>160</v>
      </c>
      <c r="N95" s="110">
        <v>160</v>
      </c>
      <c r="O95" s="110">
        <v>160</v>
      </c>
      <c r="P95" s="110">
        <v>160</v>
      </c>
      <c r="Q95" s="110">
        <v>160</v>
      </c>
      <c r="R95" s="110">
        <v>160</v>
      </c>
      <c r="S95" s="110">
        <v>160</v>
      </c>
      <c r="T95" s="110">
        <v>160</v>
      </c>
      <c r="U95" s="110">
        <v>160</v>
      </c>
      <c r="V95" s="110">
        <v>160</v>
      </c>
      <c r="W95" s="110">
        <v>160</v>
      </c>
      <c r="X95" s="110">
        <v>160</v>
      </c>
      <c r="Y95" s="110">
        <v>160</v>
      </c>
      <c r="Z95" s="110">
        <v>160</v>
      </c>
      <c r="AA95" s="110">
        <v>160</v>
      </c>
      <c r="AB95" s="110">
        <v>160</v>
      </c>
      <c r="AC95" s="110">
        <v>160</v>
      </c>
      <c r="AD95" s="110">
        <v>160</v>
      </c>
      <c r="AE95" s="110">
        <v>160</v>
      </c>
      <c r="AF95" s="110">
        <v>160</v>
      </c>
      <c r="AG95" s="110">
        <v>160</v>
      </c>
      <c r="AH95" s="110">
        <v>160</v>
      </c>
      <c r="AI95" s="110">
        <v>160</v>
      </c>
      <c r="AJ95" s="110">
        <v>160</v>
      </c>
      <c r="AK95" s="110">
        <v>160</v>
      </c>
      <c r="AL95" s="110">
        <v>160</v>
      </c>
      <c r="AM95" s="110">
        <v>160</v>
      </c>
      <c r="AN95" s="110">
        <v>160</v>
      </c>
      <c r="AO95" s="110">
        <v>160</v>
      </c>
      <c r="AP95" s="110">
        <v>160</v>
      </c>
      <c r="AQ95" s="110">
        <v>160</v>
      </c>
      <c r="AR95" s="110">
        <v>160</v>
      </c>
      <c r="AS95" s="110">
        <v>160</v>
      </c>
      <c r="AT95" s="110">
        <v>160</v>
      </c>
      <c r="AU95" s="110">
        <v>160</v>
      </c>
      <c r="AV95" s="110">
        <v>160</v>
      </c>
      <c r="AW95" s="110">
        <v>160</v>
      </c>
      <c r="AX95" s="110">
        <v>160</v>
      </c>
      <c r="AY95" s="110">
        <v>160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53</v>
      </c>
      <c r="F96" s="110">
        <v>95</v>
      </c>
      <c r="G96" s="110">
        <v>142</v>
      </c>
      <c r="H96" s="110">
        <v>129</v>
      </c>
      <c r="I96" s="110">
        <v>139</v>
      </c>
      <c r="J96" s="110">
        <v>160</v>
      </c>
      <c r="K96" s="110">
        <v>160</v>
      </c>
      <c r="L96" s="110">
        <v>160</v>
      </c>
      <c r="M96" s="110">
        <v>160</v>
      </c>
      <c r="N96" s="110">
        <v>160</v>
      </c>
      <c r="O96" s="110">
        <v>160</v>
      </c>
      <c r="P96" s="110">
        <v>160</v>
      </c>
      <c r="Q96" s="110">
        <v>160</v>
      </c>
      <c r="R96" s="110">
        <v>160</v>
      </c>
      <c r="S96" s="110">
        <v>160</v>
      </c>
      <c r="T96" s="110">
        <v>160</v>
      </c>
      <c r="U96" s="110">
        <v>160</v>
      </c>
      <c r="V96" s="110">
        <v>160</v>
      </c>
      <c r="W96" s="110">
        <v>160</v>
      </c>
      <c r="X96" s="110">
        <v>160</v>
      </c>
      <c r="Y96" s="110">
        <v>160</v>
      </c>
      <c r="Z96" s="110">
        <v>160</v>
      </c>
      <c r="AA96" s="110">
        <v>160</v>
      </c>
      <c r="AB96" s="110">
        <v>160</v>
      </c>
      <c r="AC96" s="110">
        <v>160</v>
      </c>
      <c r="AD96" s="110">
        <v>160</v>
      </c>
      <c r="AE96" s="110">
        <v>160</v>
      </c>
      <c r="AF96" s="110">
        <v>160</v>
      </c>
      <c r="AG96" s="110">
        <v>160</v>
      </c>
      <c r="AH96" s="110">
        <v>160</v>
      </c>
      <c r="AI96" s="110">
        <v>160</v>
      </c>
      <c r="AJ96" s="110">
        <v>160</v>
      </c>
      <c r="AK96" s="110">
        <v>160</v>
      </c>
      <c r="AL96" s="110">
        <v>160</v>
      </c>
      <c r="AM96" s="110">
        <v>160</v>
      </c>
      <c r="AN96" s="110">
        <v>160</v>
      </c>
      <c r="AO96" s="110">
        <v>160</v>
      </c>
      <c r="AP96" s="110">
        <v>160</v>
      </c>
      <c r="AQ96" s="110">
        <v>160</v>
      </c>
      <c r="AR96" s="110">
        <v>160</v>
      </c>
      <c r="AS96" s="110">
        <v>160</v>
      </c>
      <c r="AT96" s="110">
        <v>160</v>
      </c>
      <c r="AU96" s="110">
        <v>160</v>
      </c>
      <c r="AV96" s="110">
        <v>160</v>
      </c>
      <c r="AW96" s="110">
        <v>160</v>
      </c>
      <c r="AX96" s="110">
        <v>160</v>
      </c>
      <c r="AY96" s="110">
        <v>160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28</v>
      </c>
      <c r="K97" s="110">
        <v>40</v>
      </c>
      <c r="L97" s="110">
        <v>49</v>
      </c>
      <c r="M97" s="110">
        <v>89</v>
      </c>
      <c r="N97" s="110">
        <v>81</v>
      </c>
      <c r="O97" s="110">
        <v>92</v>
      </c>
      <c r="P97" s="110">
        <v>136</v>
      </c>
      <c r="Q97" s="110">
        <v>146</v>
      </c>
      <c r="R97" s="110">
        <v>160</v>
      </c>
      <c r="S97" s="110">
        <v>160</v>
      </c>
      <c r="T97" s="110">
        <v>160</v>
      </c>
      <c r="U97" s="110">
        <v>160</v>
      </c>
      <c r="V97" s="110">
        <v>160</v>
      </c>
      <c r="W97" s="110">
        <v>160</v>
      </c>
      <c r="X97" s="110">
        <v>160</v>
      </c>
      <c r="Y97" s="110">
        <v>160</v>
      </c>
      <c r="Z97" s="110">
        <v>160</v>
      </c>
      <c r="AA97" s="110">
        <v>160</v>
      </c>
      <c r="AB97" s="110">
        <v>160</v>
      </c>
      <c r="AC97" s="110">
        <v>160</v>
      </c>
      <c r="AD97" s="110">
        <v>160</v>
      </c>
      <c r="AE97" s="110">
        <v>160</v>
      </c>
      <c r="AF97" s="110">
        <v>160</v>
      </c>
      <c r="AG97" s="110">
        <v>160</v>
      </c>
      <c r="AH97" s="110">
        <v>160</v>
      </c>
      <c r="AI97" s="110">
        <v>160</v>
      </c>
      <c r="AJ97" s="110">
        <v>160</v>
      </c>
      <c r="AK97" s="110">
        <v>160</v>
      </c>
      <c r="AL97" s="110">
        <v>160</v>
      </c>
      <c r="AM97" s="110">
        <v>160</v>
      </c>
      <c r="AN97" s="110">
        <v>160</v>
      </c>
      <c r="AO97" s="110">
        <v>160</v>
      </c>
      <c r="AP97" s="110">
        <v>160</v>
      </c>
      <c r="AQ97" s="110">
        <v>160</v>
      </c>
      <c r="AR97" s="110">
        <v>160</v>
      </c>
      <c r="AS97" s="110">
        <v>160</v>
      </c>
      <c r="AT97" s="110">
        <v>160</v>
      </c>
      <c r="AU97" s="110">
        <v>160</v>
      </c>
      <c r="AV97" s="110">
        <v>160</v>
      </c>
      <c r="AW97" s="110">
        <v>160</v>
      </c>
      <c r="AX97" s="110">
        <v>160</v>
      </c>
      <c r="AY97" s="110">
        <v>160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2</v>
      </c>
      <c r="S98" s="110">
        <v>15</v>
      </c>
      <c r="T98" s="110">
        <v>13</v>
      </c>
      <c r="U98" s="110">
        <v>29</v>
      </c>
      <c r="V98" s="110">
        <v>46</v>
      </c>
      <c r="W98" s="110">
        <v>68</v>
      </c>
      <c r="X98" s="110">
        <v>112</v>
      </c>
      <c r="Y98" s="110">
        <v>159</v>
      </c>
      <c r="Z98" s="110">
        <v>126</v>
      </c>
      <c r="AA98" s="110">
        <v>160</v>
      </c>
      <c r="AB98" s="110">
        <v>155</v>
      </c>
      <c r="AC98" s="110">
        <v>160</v>
      </c>
      <c r="AD98" s="110">
        <v>160</v>
      </c>
      <c r="AE98" s="110">
        <v>160</v>
      </c>
      <c r="AF98" s="110">
        <v>160</v>
      </c>
      <c r="AG98" s="110">
        <v>160</v>
      </c>
      <c r="AH98" s="110">
        <v>160</v>
      </c>
      <c r="AI98" s="110">
        <v>160</v>
      </c>
      <c r="AJ98" s="110">
        <v>137</v>
      </c>
      <c r="AK98" s="110">
        <v>136</v>
      </c>
      <c r="AL98" s="110">
        <v>160</v>
      </c>
      <c r="AM98" s="110">
        <v>136</v>
      </c>
      <c r="AN98" s="110">
        <v>124</v>
      </c>
      <c r="AO98" s="110">
        <v>160</v>
      </c>
      <c r="AP98" s="110">
        <v>132</v>
      </c>
      <c r="AQ98" s="110">
        <v>160</v>
      </c>
      <c r="AR98" s="110">
        <v>160</v>
      </c>
      <c r="AS98" s="110">
        <v>160</v>
      </c>
      <c r="AT98" s="110">
        <v>157</v>
      </c>
      <c r="AU98" s="110">
        <v>118</v>
      </c>
      <c r="AV98" s="110">
        <v>156</v>
      </c>
      <c r="AW98" s="110">
        <v>160</v>
      </c>
      <c r="AX98" s="110">
        <v>141</v>
      </c>
      <c r="AY98" s="110">
        <v>160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17</v>
      </c>
      <c r="AB99" s="125">
        <v>0</v>
      </c>
      <c r="AC99" s="125">
        <v>37</v>
      </c>
      <c r="AD99" s="125">
        <v>23</v>
      </c>
      <c r="AE99" s="125">
        <v>44</v>
      </c>
      <c r="AF99" s="125">
        <v>13</v>
      </c>
      <c r="AG99" s="125">
        <v>9</v>
      </c>
      <c r="AH99" s="125">
        <v>10</v>
      </c>
      <c r="AI99" s="125">
        <v>8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4</v>
      </c>
      <c r="AR99" s="125">
        <v>14</v>
      </c>
      <c r="AS99" s="125">
        <v>40</v>
      </c>
      <c r="AT99" s="125">
        <v>0</v>
      </c>
      <c r="AU99" s="125">
        <v>0</v>
      </c>
      <c r="AV99" s="125">
        <v>0</v>
      </c>
      <c r="AW99" s="125">
        <v>20</v>
      </c>
      <c r="AX99" s="125">
        <v>0</v>
      </c>
      <c r="AY99" s="125">
        <v>15</v>
      </c>
      <c r="AZ99" s="107">
        <f>SUM($D99:$AY99)</f>
        <v>254</v>
      </c>
    </row>
    <row r="100" spans="1:52">
      <c r="A100" s="131" t="s">
        <v>133</v>
      </c>
      <c r="B100" s="119">
        <v>1</v>
      </c>
      <c r="C100" s="106">
        <v>104.2129219105413</v>
      </c>
      <c r="D100" s="106">
        <v>74.276006220075729</v>
      </c>
      <c r="E100" s="106">
        <v>100.14505731320997</v>
      </c>
      <c r="F100" s="106">
        <v>161.03239653048388</v>
      </c>
      <c r="G100" s="106">
        <v>161.03239653048388</v>
      </c>
      <c r="H100" s="106">
        <v>0</v>
      </c>
      <c r="I100" s="106">
        <v>161.03239653048388</v>
      </c>
      <c r="J100" s="106">
        <v>93.391327226798623</v>
      </c>
      <c r="K100" s="106">
        <v>93.391327226798623</v>
      </c>
      <c r="L100" s="106">
        <v>148.75745283460245</v>
      </c>
      <c r="M100" s="106">
        <v>93.391327226798623</v>
      </c>
      <c r="N100" s="106">
        <v>172.10528464130209</v>
      </c>
      <c r="O100" s="106">
        <v>55.366125607803824</v>
      </c>
      <c r="P100" s="106">
        <v>172.10528464130209</v>
      </c>
      <c r="Q100" s="106">
        <v>172.10528464130209</v>
      </c>
      <c r="R100" s="106">
        <v>116.73915903349825</v>
      </c>
      <c r="S100" s="106">
        <v>55.366125607803824</v>
      </c>
      <c r="T100" s="106">
        <v>116.73915903349825</v>
      </c>
      <c r="U100" s="106">
        <v>55.366125607803824</v>
      </c>
      <c r="V100" s="106">
        <v>172.10528464130209</v>
      </c>
      <c r="W100" s="106">
        <v>172.10528464130209</v>
      </c>
      <c r="X100" s="106">
        <v>116.73915903349825</v>
      </c>
      <c r="Y100" s="106">
        <v>172.10528464130209</v>
      </c>
      <c r="Z100" s="106">
        <v>116.73915903349825</v>
      </c>
      <c r="AA100" s="106">
        <v>172.10528464130209</v>
      </c>
      <c r="AB100" s="106">
        <v>116.73915903349825</v>
      </c>
      <c r="AC100" s="106">
        <v>55.366125607803824</v>
      </c>
      <c r="AD100" s="106">
        <v>172.10528464130209</v>
      </c>
      <c r="AE100" s="106">
        <v>172.10528464130209</v>
      </c>
      <c r="AF100" s="106">
        <v>116.73915903349825</v>
      </c>
      <c r="AG100" s="106">
        <v>0</v>
      </c>
      <c r="AH100" s="106">
        <v>116.73915903349825</v>
      </c>
      <c r="AI100" s="106">
        <v>0</v>
      </c>
      <c r="AJ100" s="106">
        <v>227.4714102491059</v>
      </c>
      <c r="AK100" s="106">
        <v>116.73915903349825</v>
      </c>
      <c r="AL100" s="106">
        <v>172.10528464130209</v>
      </c>
      <c r="AM100" s="106">
        <v>116.73915903349825</v>
      </c>
      <c r="AN100" s="106">
        <v>172.10528464130209</v>
      </c>
      <c r="AO100" s="106">
        <v>0</v>
      </c>
      <c r="AP100" s="106">
        <v>172.10528464130209</v>
      </c>
      <c r="AQ100" s="106">
        <v>55.366125607803824</v>
      </c>
      <c r="AR100" s="106">
        <v>172.10528464130209</v>
      </c>
      <c r="AS100" s="106">
        <v>172.10528464130209</v>
      </c>
      <c r="AT100" s="106">
        <v>172.10528464130209</v>
      </c>
      <c r="AU100" s="106">
        <v>55.366125607803824</v>
      </c>
      <c r="AV100" s="106">
        <v>116.73915903349825</v>
      </c>
      <c r="AW100" s="106">
        <v>55.366125607803824</v>
      </c>
      <c r="AX100" s="106">
        <v>172.10528464130209</v>
      </c>
      <c r="AY100" s="106">
        <v>55.366125607803824</v>
      </c>
    </row>
    <row r="101" spans="1:52">
      <c r="A101" s="109"/>
      <c r="B101" s="119">
        <v>2</v>
      </c>
      <c r="C101" s="106">
        <v>56.013731334831562</v>
      </c>
      <c r="D101" s="106">
        <v>11.226653245372859</v>
      </c>
      <c r="E101" s="106">
        <v>74.3651083479579</v>
      </c>
      <c r="F101" s="106">
        <v>62.272775703835961</v>
      </c>
      <c r="G101" s="106">
        <v>41.305172234319841</v>
      </c>
      <c r="H101" s="106">
        <v>46.33756876480372</v>
      </c>
      <c r="I101" s="106">
        <v>0</v>
      </c>
      <c r="J101" s="106">
        <v>0</v>
      </c>
      <c r="K101" s="106">
        <v>55.366125607803838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29.105284641302092</v>
      </c>
      <c r="R101" s="106">
        <v>0</v>
      </c>
      <c r="S101" s="106">
        <v>55.366125607803838</v>
      </c>
      <c r="T101" s="106">
        <v>116.73915903349827</v>
      </c>
      <c r="U101" s="106">
        <v>151.84444367480035</v>
      </c>
      <c r="V101" s="106">
        <v>146.94972831610244</v>
      </c>
      <c r="W101" s="106">
        <v>165.05501295740453</v>
      </c>
      <c r="X101" s="106">
        <v>112.16029759870662</v>
      </c>
      <c r="Y101" s="106">
        <v>110.26558224000871</v>
      </c>
      <c r="Z101" s="106">
        <v>102.3708668813108</v>
      </c>
      <c r="AA101" s="106">
        <v>55.366125607803838</v>
      </c>
      <c r="AB101" s="106">
        <v>0</v>
      </c>
      <c r="AC101" s="106">
        <v>0</v>
      </c>
      <c r="AD101" s="106">
        <v>0</v>
      </c>
      <c r="AE101" s="106">
        <v>27.471410249105929</v>
      </c>
      <c r="AF101" s="106">
        <v>68.315853923906275</v>
      </c>
      <c r="AG101" s="106">
        <v>55.366125607803838</v>
      </c>
      <c r="AH101" s="106">
        <v>0</v>
      </c>
      <c r="AI101" s="106">
        <v>55.366125607803838</v>
      </c>
      <c r="AJ101" s="106">
        <v>116.73915903349825</v>
      </c>
      <c r="AK101" s="106">
        <v>167.68197953171008</v>
      </c>
      <c r="AL101" s="106">
        <v>115.42113856520834</v>
      </c>
      <c r="AM101" s="106">
        <v>81.52642320651043</v>
      </c>
      <c r="AN101" s="106">
        <v>135.99783345561633</v>
      </c>
      <c r="AO101" s="106">
        <v>110.10311809691842</v>
      </c>
      <c r="AP101" s="106">
        <v>55.366125607803824</v>
      </c>
      <c r="AQ101" s="106">
        <v>45.471410249105915</v>
      </c>
      <c r="AR101" s="106">
        <v>25.576694890408007</v>
      </c>
      <c r="AS101" s="106">
        <v>0</v>
      </c>
      <c r="AT101" s="106">
        <v>0</v>
      </c>
      <c r="AU101" s="106">
        <v>1.1052846413020916</v>
      </c>
      <c r="AV101" s="106">
        <v>116.73915903349827</v>
      </c>
      <c r="AW101" s="106">
        <v>55.366125607803852</v>
      </c>
      <c r="AX101" s="106">
        <v>116.73915903349827</v>
      </c>
      <c r="AY101" s="106">
        <v>43.844443674800345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44.293237496985618</v>
      </c>
      <c r="K102" s="106">
        <v>0</v>
      </c>
      <c r="L102" s="106">
        <v>0</v>
      </c>
      <c r="M102" s="106">
        <v>55.366125607803824</v>
      </c>
      <c r="N102" s="106">
        <v>0</v>
      </c>
      <c r="O102" s="106">
        <v>55.366125607803824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55.366125607803824</v>
      </c>
      <c r="AE102" s="106">
        <v>116.73915903349825</v>
      </c>
      <c r="AF102" s="106">
        <v>0</v>
      </c>
      <c r="AG102" s="106">
        <v>0</v>
      </c>
      <c r="AH102" s="106">
        <v>0</v>
      </c>
      <c r="AI102" s="106">
        <v>172.10528464130209</v>
      </c>
      <c r="AJ102" s="106">
        <v>55.366125607803838</v>
      </c>
      <c r="AK102" s="106">
        <v>0</v>
      </c>
      <c r="AL102" s="106">
        <v>0</v>
      </c>
      <c r="AM102" s="106">
        <v>55.366125607803809</v>
      </c>
      <c r="AN102" s="106">
        <v>0</v>
      </c>
      <c r="AO102" s="106">
        <v>0</v>
      </c>
      <c r="AP102" s="106">
        <v>0</v>
      </c>
      <c r="AQ102" s="106">
        <v>116.73915903349827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3.1052846413020916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85.772470017642817</v>
      </c>
      <c r="D109" s="106">
        <v>69.047520043862747</v>
      </c>
      <c r="E109" s="106">
        <v>31.004937372369419</v>
      </c>
      <c r="F109" s="106">
        <v>73.61353119312183</v>
      </c>
      <c r="G109" s="106">
        <v>87.652443428837913</v>
      </c>
      <c r="H109" s="106">
        <v>67.358794774752226</v>
      </c>
      <c r="I109" s="106">
        <v>6.4822823587776636E-3</v>
      </c>
      <c r="J109" s="106">
        <v>67.358794774752226</v>
      </c>
      <c r="K109" s="106">
        <v>63.421828415979867</v>
      </c>
      <c r="L109" s="106">
        <v>62.334071288955634</v>
      </c>
      <c r="M109" s="106">
        <v>62.33407128895562</v>
      </c>
      <c r="N109" s="106">
        <v>62.33407128895562</v>
      </c>
      <c r="O109" s="106">
        <v>72.050792668415298</v>
      </c>
      <c r="P109" s="106">
        <v>46.927889259874924</v>
      </c>
      <c r="Q109" s="106">
        <v>72.050792668415298</v>
      </c>
      <c r="R109" s="106">
        <v>72.050792668415298</v>
      </c>
      <c r="S109" s="106">
        <v>48.590089179657227</v>
      </c>
      <c r="T109" s="106">
        <v>46.927889259874924</v>
      </c>
      <c r="U109" s="106">
        <v>97.173696076955679</v>
      </c>
      <c r="V109" s="106">
        <v>46.927889259874924</v>
      </c>
      <c r="W109" s="106">
        <v>120.63439956571376</v>
      </c>
      <c r="X109" s="106">
        <v>99.531470167727534</v>
      </c>
      <c r="Y109" s="106">
        <v>48.590089179657227</v>
      </c>
      <c r="Z109" s="106">
        <v>95.511496157173369</v>
      </c>
      <c r="AA109" s="106">
        <v>64.066790145987369</v>
      </c>
      <c r="AB109" s="106">
        <v>95.511496157173369</v>
      </c>
      <c r="AC109" s="106">
        <v>48.590089179657227</v>
      </c>
      <c r="AD109" s="106">
        <v>23.467185771116853</v>
      </c>
      <c r="AE109" s="106">
        <v>95.511496157173369</v>
      </c>
      <c r="AF109" s="106">
        <v>130.8792431955136</v>
      </c>
      <c r="AG109" s="106">
        <v>64.488304945254271</v>
      </c>
      <c r="AH109" s="106">
        <v>23.467185771116853</v>
      </c>
      <c r="AI109" s="106">
        <v>48.590089179657227</v>
      </c>
      <c r="AJ109" s="106">
        <v>95.511496157173383</v>
      </c>
      <c r="AK109" s="106">
        <v>144.09510305447182</v>
      </c>
      <c r="AL109" s="106">
        <v>73.931550554837187</v>
      </c>
      <c r="AM109" s="106">
        <v>72.050792668415298</v>
      </c>
      <c r="AN109" s="106">
        <v>72.050792668415312</v>
      </c>
      <c r="AO109" s="106">
        <v>95.511496157173369</v>
      </c>
      <c r="AP109" s="106">
        <v>6.482282358783481E-3</v>
      </c>
      <c r="AQ109" s="106">
        <v>95.511496157173369</v>
      </c>
      <c r="AR109" s="106">
        <v>72.050792668415298</v>
      </c>
      <c r="AS109" s="106">
        <v>72.442605611421016</v>
      </c>
      <c r="AT109" s="106">
        <v>72.050792668415298</v>
      </c>
      <c r="AU109" s="106">
        <v>72.050792668415298</v>
      </c>
      <c r="AV109" s="106">
        <v>24.67772085337214</v>
      </c>
      <c r="AW109" s="106">
        <v>97.173696076955679</v>
      </c>
      <c r="AX109" s="106">
        <v>46.927889259874924</v>
      </c>
      <c r="AY109" s="106">
        <v>120.63439956571376</v>
      </c>
    </row>
    <row r="110" spans="1:52">
      <c r="A110" s="109"/>
      <c r="B110" s="119">
        <v>2</v>
      </c>
      <c r="C110" s="106">
        <v>16.412434876099411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5.5845284314651877</v>
      </c>
      <c r="M110" s="106">
        <v>7.1054273576010019E-15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42.634399565713764</v>
      </c>
      <c r="Y110" s="106">
        <v>53.165869733441298</v>
      </c>
      <c r="Z110" s="106">
        <v>41.755958913098524</v>
      </c>
      <c r="AA110" s="106">
        <v>32.166806556254159</v>
      </c>
      <c r="AB110" s="106">
        <v>0</v>
      </c>
      <c r="AC110" s="106">
        <v>31.918995904374121</v>
      </c>
      <c r="AD110" s="106">
        <v>7.1054273576010019E-15</v>
      </c>
      <c r="AE110" s="106">
        <v>0</v>
      </c>
      <c r="AF110" s="106">
        <v>35.511496157173369</v>
      </c>
      <c r="AG110" s="106">
        <v>71.963901408162513</v>
      </c>
      <c r="AH110" s="106">
        <v>35.539195525483962</v>
      </c>
      <c r="AI110" s="106">
        <v>0</v>
      </c>
      <c r="AJ110" s="106">
        <v>0</v>
      </c>
      <c r="AK110" s="106">
        <v>19.511496157173383</v>
      </c>
      <c r="AL110" s="106">
        <v>91.606599211645204</v>
      </c>
      <c r="AM110" s="106">
        <v>73.931550554837187</v>
      </c>
      <c r="AN110" s="106">
        <v>64.588942434897689</v>
      </c>
      <c r="AO110" s="106">
        <v>65.639735103313001</v>
      </c>
      <c r="AP110" s="106">
        <v>72.528046877276296</v>
      </c>
      <c r="AQ110" s="106">
        <v>0</v>
      </c>
      <c r="AR110" s="106">
        <v>33.511496157173369</v>
      </c>
      <c r="AS110" s="106">
        <v>26.029679533635388</v>
      </c>
      <c r="AT110" s="106">
        <v>21.824927986455208</v>
      </c>
      <c r="AU110" s="106">
        <v>4.8757206548705057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23.606599211645204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107.41674285721334</v>
      </c>
      <c r="D122" s="106">
        <v>75.739828901629238</v>
      </c>
      <c r="E122" s="106">
        <v>102.85314673115813</v>
      </c>
      <c r="F122" s="106">
        <v>164.54616663106688</v>
      </c>
      <c r="G122" s="106">
        <v>164.54616663106688</v>
      </c>
      <c r="H122" s="106">
        <v>1.5835121704951528E-2</v>
      </c>
      <c r="I122" s="106">
        <v>164.54616663106688</v>
      </c>
      <c r="J122" s="106">
        <v>94.961076381366766</v>
      </c>
      <c r="K122" s="106">
        <v>94.961076381366766</v>
      </c>
      <c r="L122" s="106">
        <v>152.27161524199082</v>
      </c>
      <c r="M122" s="106">
        <v>94.961076381366766</v>
      </c>
      <c r="N122" s="106">
        <v>176.00792555690623</v>
      </c>
      <c r="O122" s="106">
        <v>57.326373982329002</v>
      </c>
      <c r="P122" s="106">
        <v>176.00792555690623</v>
      </c>
      <c r="Q122" s="106">
        <v>176.00792555690623</v>
      </c>
      <c r="R122" s="106">
        <v>118.69738669628219</v>
      </c>
      <c r="S122" s="106">
        <v>57.326373982329002</v>
      </c>
      <c r="T122" s="106">
        <v>118.69738669628219</v>
      </c>
      <c r="U122" s="106">
        <v>57.326373982329002</v>
      </c>
      <c r="V122" s="106">
        <v>176.00792555690623</v>
      </c>
      <c r="W122" s="106">
        <v>176.00792555690623</v>
      </c>
      <c r="X122" s="106">
        <v>118.69738669628219</v>
      </c>
      <c r="Y122" s="106">
        <v>176.00792555690623</v>
      </c>
      <c r="Z122" s="106">
        <v>118.69738669628219</v>
      </c>
      <c r="AA122" s="106">
        <v>176.00792555690623</v>
      </c>
      <c r="AB122" s="106">
        <v>118.69738669628219</v>
      </c>
      <c r="AC122" s="106">
        <v>57.326373982329002</v>
      </c>
      <c r="AD122" s="106">
        <v>176.00792555690623</v>
      </c>
      <c r="AE122" s="106">
        <v>176.00792555690623</v>
      </c>
      <c r="AF122" s="106">
        <v>118.69738669628219</v>
      </c>
      <c r="AG122" s="106">
        <v>1.5835121704951528E-2</v>
      </c>
      <c r="AH122" s="106">
        <v>118.69738669628219</v>
      </c>
      <c r="AI122" s="106">
        <v>1.5835121704951528E-2</v>
      </c>
      <c r="AJ122" s="106">
        <v>233.31846441753029</v>
      </c>
      <c r="AK122" s="106">
        <v>118.69738669628219</v>
      </c>
      <c r="AL122" s="106">
        <v>176.00792555690623</v>
      </c>
      <c r="AM122" s="106">
        <v>118.69738669628219</v>
      </c>
      <c r="AN122" s="106">
        <v>176.00792555690623</v>
      </c>
      <c r="AO122" s="106">
        <v>1.5835121704951528E-2</v>
      </c>
      <c r="AP122" s="106">
        <v>176.00792555690623</v>
      </c>
      <c r="AQ122" s="106">
        <v>57.326373982329002</v>
      </c>
      <c r="AR122" s="106">
        <v>176.00792555690623</v>
      </c>
      <c r="AS122" s="106">
        <v>176.00792555690623</v>
      </c>
      <c r="AT122" s="106">
        <v>176.00792555690623</v>
      </c>
      <c r="AU122" s="106">
        <v>57.326373982329002</v>
      </c>
      <c r="AV122" s="106">
        <v>118.69738669628219</v>
      </c>
      <c r="AW122" s="106">
        <v>57.326373982329002</v>
      </c>
      <c r="AX122" s="106">
        <v>176.00792555690623</v>
      </c>
      <c r="AY122" s="106">
        <v>57.326373982329002</v>
      </c>
    </row>
    <row r="123" spans="1:52">
      <c r="A123" s="109"/>
      <c r="B123" s="119">
        <v>2</v>
      </c>
      <c r="C123" s="106">
        <v>62.230417849367342</v>
      </c>
      <c r="D123" s="106">
        <v>0</v>
      </c>
      <c r="E123" s="106">
        <v>76.972285278276445</v>
      </c>
      <c r="F123" s="106">
        <v>49.573958443792392</v>
      </c>
      <c r="G123" s="106">
        <v>0</v>
      </c>
      <c r="H123" s="106">
        <v>0</v>
      </c>
      <c r="I123" s="106">
        <v>0</v>
      </c>
      <c r="J123" s="106">
        <v>14.118965992503675</v>
      </c>
      <c r="K123" s="106">
        <v>57.310538860624064</v>
      </c>
      <c r="L123" s="106">
        <v>0</v>
      </c>
      <c r="M123" s="106">
        <v>0</v>
      </c>
      <c r="N123" s="106">
        <v>0</v>
      </c>
      <c r="O123" s="106">
        <v>0</v>
      </c>
      <c r="P123" s="106">
        <v>7.1054273576010019E-15</v>
      </c>
      <c r="Q123" s="106">
        <v>0</v>
      </c>
      <c r="R123" s="106">
        <v>0</v>
      </c>
      <c r="S123" s="106">
        <v>57.31053886062405</v>
      </c>
      <c r="T123" s="106">
        <v>118.68155157457724</v>
      </c>
      <c r="U123" s="106">
        <v>57.31053886062405</v>
      </c>
      <c r="V123" s="106">
        <v>118.68155157457724</v>
      </c>
      <c r="W123" s="106">
        <v>67.130656866077729</v>
      </c>
      <c r="X123" s="106">
        <v>0</v>
      </c>
      <c r="Y123" s="106">
        <v>57.31053886062405</v>
      </c>
      <c r="Z123" s="106">
        <v>37.806968260356911</v>
      </c>
      <c r="AA123" s="106">
        <v>57.31053886062405</v>
      </c>
      <c r="AB123" s="106">
        <v>0</v>
      </c>
      <c r="AC123" s="106">
        <v>0</v>
      </c>
      <c r="AD123" s="106">
        <v>0</v>
      </c>
      <c r="AE123" s="106">
        <v>25.02642383456265</v>
      </c>
      <c r="AF123" s="106">
        <v>38.836657770532497</v>
      </c>
      <c r="AG123" s="106">
        <v>57.31053886062405</v>
      </c>
      <c r="AH123" s="106">
        <v>2.8275992658421956E-15</v>
      </c>
      <c r="AI123" s="106">
        <v>57.31053886062405</v>
      </c>
      <c r="AJ123" s="106">
        <v>118.68155157457724</v>
      </c>
      <c r="AK123" s="106">
        <v>61.9049129376357</v>
      </c>
      <c r="AL123" s="106">
        <v>1.4210854715202004E-14</v>
      </c>
      <c r="AM123" s="106">
        <v>1.4210854715202004E-14</v>
      </c>
      <c r="AN123" s="106">
        <v>57.310538860624064</v>
      </c>
      <c r="AO123" s="106">
        <v>1.4210854715202004E-14</v>
      </c>
      <c r="AP123" s="106">
        <v>57.31053886062405</v>
      </c>
      <c r="AQ123" s="106">
        <v>0</v>
      </c>
      <c r="AR123" s="106">
        <v>0.95713288849093914</v>
      </c>
      <c r="AS123" s="106">
        <v>0</v>
      </c>
      <c r="AT123" s="106">
        <v>0</v>
      </c>
      <c r="AU123" s="106">
        <v>2.957132888490932</v>
      </c>
      <c r="AV123" s="106">
        <v>118.68155157457724</v>
      </c>
      <c r="AW123" s="106">
        <v>57.31053886062405</v>
      </c>
      <c r="AX123" s="106">
        <v>118.68155157457724</v>
      </c>
      <c r="AY123" s="106">
        <v>53.093471779992029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45.848779934784687</v>
      </c>
      <c r="K124" s="106">
        <v>0</v>
      </c>
      <c r="L124" s="106">
        <v>0</v>
      </c>
      <c r="M124" s="106">
        <v>57.31053886062405</v>
      </c>
      <c r="N124" s="106">
        <v>0</v>
      </c>
      <c r="O124" s="106">
        <v>57.31053886062405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57.31053886062405</v>
      </c>
      <c r="AE124" s="106">
        <v>118.68155157457724</v>
      </c>
      <c r="AF124" s="106">
        <v>0</v>
      </c>
      <c r="AG124" s="106">
        <v>0</v>
      </c>
      <c r="AH124" s="106">
        <v>0</v>
      </c>
      <c r="AI124" s="106">
        <v>175.99209043520131</v>
      </c>
      <c r="AJ124" s="106">
        <v>0</v>
      </c>
      <c r="AK124" s="106">
        <v>0</v>
      </c>
      <c r="AL124" s="106">
        <v>0</v>
      </c>
      <c r="AM124" s="106">
        <v>57.31053886062405</v>
      </c>
      <c r="AN124" s="106">
        <v>0</v>
      </c>
      <c r="AO124" s="106">
        <v>0</v>
      </c>
      <c r="AP124" s="106">
        <v>0</v>
      </c>
      <c r="AQ124" s="106">
        <v>118.68155157457723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0.40700663516135327</v>
      </c>
      <c r="D172" s="134">
        <v>0.40936106962478858</v>
      </c>
      <c r="E172" s="134">
        <v>0.40936106962478858</v>
      </c>
      <c r="F172" s="134">
        <v>0.40936106962478858</v>
      </c>
      <c r="G172" s="134">
        <v>0.40936106962478858</v>
      </c>
      <c r="H172" s="134">
        <v>0.40936106962478858</v>
      </c>
      <c r="I172" s="134">
        <v>0.40936106962478858</v>
      </c>
      <c r="J172" s="134">
        <v>0.40936106962478858</v>
      </c>
      <c r="K172" s="134">
        <v>0.40936106962478858</v>
      </c>
      <c r="L172" s="134">
        <v>0.40936106962478858</v>
      </c>
      <c r="M172" s="134">
        <v>0.40936106962478858</v>
      </c>
      <c r="N172" s="134">
        <v>0.40936106962478858</v>
      </c>
      <c r="O172" s="134">
        <v>0.40936106962478858</v>
      </c>
      <c r="P172" s="134">
        <v>0.40936106962478858</v>
      </c>
      <c r="Q172" s="134">
        <v>0.40936106962478858</v>
      </c>
      <c r="R172" s="134">
        <v>0.40936106962478858</v>
      </c>
      <c r="S172" s="134">
        <v>0.40936106962478858</v>
      </c>
      <c r="T172" s="134">
        <v>0.40936106962478858</v>
      </c>
      <c r="U172" s="134">
        <v>0.40936106962478858</v>
      </c>
      <c r="V172" s="134">
        <v>0.40936106962478858</v>
      </c>
      <c r="W172" s="134">
        <v>0.40936106962478858</v>
      </c>
      <c r="X172" s="134">
        <v>0.40936106962478858</v>
      </c>
      <c r="Y172" s="134">
        <v>0.40936106962478858</v>
      </c>
      <c r="Z172" s="134">
        <v>0.40936106962478858</v>
      </c>
      <c r="AA172" s="134">
        <v>0.40936106962478858</v>
      </c>
      <c r="AB172" s="134">
        <v>0.40936106962478858</v>
      </c>
      <c r="AC172" s="134">
        <v>0.40936106962478858</v>
      </c>
      <c r="AD172" s="134">
        <v>0.40936106962478858</v>
      </c>
      <c r="AE172" s="134">
        <v>0.40936106962478858</v>
      </c>
      <c r="AF172" s="134">
        <v>0.40936106962478858</v>
      </c>
      <c r="AG172" s="134">
        <v>0.40936106962478858</v>
      </c>
      <c r="AH172" s="134">
        <v>0.40936106962478858</v>
      </c>
      <c r="AI172" s="134">
        <v>0.40936106962478858</v>
      </c>
      <c r="AJ172" s="134">
        <v>0.40936106962478858</v>
      </c>
      <c r="AK172" s="134">
        <v>0.40936106962478858</v>
      </c>
      <c r="AL172" s="134">
        <v>0.40936106962478858</v>
      </c>
      <c r="AM172" s="134">
        <v>0.40936106962478858</v>
      </c>
      <c r="AN172" s="134">
        <v>0.40936106962478858</v>
      </c>
      <c r="AO172" s="134">
        <v>0.40936106962478858</v>
      </c>
      <c r="AP172" s="134">
        <v>0.40936106962478858</v>
      </c>
      <c r="AQ172" s="134">
        <v>0.40936106962478858</v>
      </c>
      <c r="AR172" s="134">
        <v>0.40936106962478858</v>
      </c>
      <c r="AS172" s="134">
        <v>0.40936106962478858</v>
      </c>
      <c r="AT172" s="134">
        <v>0.40936106962478858</v>
      </c>
      <c r="AU172" s="134">
        <v>0.40936106962478858</v>
      </c>
      <c r="AV172" s="134">
        <v>0.40936106962478858</v>
      </c>
      <c r="AW172" s="134">
        <v>0.40936106962478858</v>
      </c>
      <c r="AX172" s="134">
        <v>0.40936106962478858</v>
      </c>
      <c r="AY172" s="134">
        <v>0.40936106962478858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160</v>
      </c>
      <c r="E175" s="124">
        <f t="shared" si="1"/>
        <v>213</v>
      </c>
      <c r="F175" s="124">
        <f t="shared" si="1"/>
        <v>255</v>
      </c>
      <c r="G175" s="124">
        <f t="shared" si="1"/>
        <v>302</v>
      </c>
      <c r="H175" s="124">
        <f t="shared" si="1"/>
        <v>289</v>
      </c>
      <c r="I175" s="124">
        <f t="shared" si="1"/>
        <v>299</v>
      </c>
      <c r="J175" s="124">
        <f t="shared" si="1"/>
        <v>348</v>
      </c>
      <c r="K175" s="124">
        <f t="shared" si="1"/>
        <v>360</v>
      </c>
      <c r="L175" s="124">
        <f t="shared" si="1"/>
        <v>369</v>
      </c>
      <c r="M175" s="124">
        <f t="shared" si="1"/>
        <v>409</v>
      </c>
      <c r="N175" s="124">
        <f t="shared" si="1"/>
        <v>401</v>
      </c>
      <c r="O175" s="124">
        <f t="shared" si="1"/>
        <v>412</v>
      </c>
      <c r="P175" s="124">
        <f t="shared" si="1"/>
        <v>456</v>
      </c>
      <c r="Q175" s="124">
        <f t="shared" si="1"/>
        <v>466</v>
      </c>
      <c r="R175" s="124">
        <f t="shared" si="1"/>
        <v>482</v>
      </c>
      <c r="S175" s="124">
        <f t="shared" si="1"/>
        <v>495</v>
      </c>
      <c r="T175" s="124">
        <f t="shared" si="1"/>
        <v>493</v>
      </c>
      <c r="U175" s="124">
        <f t="shared" si="1"/>
        <v>509</v>
      </c>
      <c r="V175" s="124">
        <f t="shared" si="1"/>
        <v>526</v>
      </c>
      <c r="W175" s="124">
        <f t="shared" si="1"/>
        <v>548</v>
      </c>
      <c r="X175" s="124">
        <f t="shared" si="1"/>
        <v>592</v>
      </c>
      <c r="Y175" s="124">
        <f t="shared" si="1"/>
        <v>639</v>
      </c>
      <c r="Z175" s="124">
        <f t="shared" si="1"/>
        <v>606</v>
      </c>
      <c r="AA175" s="124">
        <f t="shared" si="1"/>
        <v>640</v>
      </c>
      <c r="AB175" s="124">
        <f t="shared" si="1"/>
        <v>635</v>
      </c>
      <c r="AC175" s="124">
        <f t="shared" si="1"/>
        <v>640</v>
      </c>
      <c r="AD175" s="124">
        <f t="shared" si="1"/>
        <v>640</v>
      </c>
      <c r="AE175" s="124">
        <f t="shared" si="1"/>
        <v>640</v>
      </c>
      <c r="AF175" s="124">
        <f t="shared" si="1"/>
        <v>640</v>
      </c>
      <c r="AG175" s="124">
        <f t="shared" si="1"/>
        <v>640</v>
      </c>
      <c r="AH175" s="124">
        <f t="shared" si="1"/>
        <v>640</v>
      </c>
      <c r="AI175" s="124">
        <f t="shared" si="1"/>
        <v>640</v>
      </c>
      <c r="AJ175" s="124">
        <f t="shared" si="1"/>
        <v>617</v>
      </c>
      <c r="AK175" s="124">
        <f t="shared" si="1"/>
        <v>616</v>
      </c>
      <c r="AL175" s="124">
        <f t="shared" si="1"/>
        <v>640</v>
      </c>
      <c r="AM175" s="124">
        <f t="shared" si="1"/>
        <v>616</v>
      </c>
      <c r="AN175" s="124">
        <f t="shared" si="1"/>
        <v>604</v>
      </c>
      <c r="AO175" s="124">
        <f t="shared" si="1"/>
        <v>640</v>
      </c>
      <c r="AP175" s="124">
        <f t="shared" si="1"/>
        <v>612</v>
      </c>
      <c r="AQ175" s="124">
        <f t="shared" si="1"/>
        <v>640</v>
      </c>
      <c r="AR175" s="124">
        <f t="shared" si="1"/>
        <v>640</v>
      </c>
      <c r="AS175" s="124">
        <f t="shared" si="1"/>
        <v>640</v>
      </c>
      <c r="AT175" s="124">
        <f t="shared" si="1"/>
        <v>637</v>
      </c>
      <c r="AU175" s="124">
        <f t="shared" si="1"/>
        <v>598</v>
      </c>
      <c r="AV175" s="124">
        <f t="shared" si="1"/>
        <v>636</v>
      </c>
      <c r="AW175" s="124">
        <f t="shared" si="1"/>
        <v>640</v>
      </c>
      <c r="AX175" s="124">
        <f t="shared" si="1"/>
        <v>621</v>
      </c>
      <c r="AY175" s="124">
        <f t="shared" si="1"/>
        <v>640</v>
      </c>
    </row>
    <row r="176" spans="1:52">
      <c r="A176" s="125"/>
      <c r="B176" s="136" t="s">
        <v>299</v>
      </c>
      <c r="C176" s="125" t="s">
        <v>293</v>
      </c>
      <c r="D176" s="125">
        <v>107</v>
      </c>
      <c r="E176" s="125">
        <v>118</v>
      </c>
      <c r="F176" s="125">
        <v>113</v>
      </c>
      <c r="G176" s="125">
        <v>173</v>
      </c>
      <c r="H176" s="125">
        <v>150</v>
      </c>
      <c r="I176" s="125">
        <v>111</v>
      </c>
      <c r="J176" s="125">
        <v>148</v>
      </c>
      <c r="K176" s="125">
        <v>151</v>
      </c>
      <c r="L176" s="125">
        <v>120</v>
      </c>
      <c r="M176" s="125">
        <v>168</v>
      </c>
      <c r="N176" s="125">
        <v>149</v>
      </c>
      <c r="O176" s="125">
        <v>116</v>
      </c>
      <c r="P176" s="125">
        <v>150</v>
      </c>
      <c r="Q176" s="125">
        <v>144</v>
      </c>
      <c r="R176" s="125">
        <v>147</v>
      </c>
      <c r="S176" s="125">
        <v>162</v>
      </c>
      <c r="T176" s="125">
        <v>144</v>
      </c>
      <c r="U176" s="125">
        <v>143</v>
      </c>
      <c r="V176" s="125">
        <v>138</v>
      </c>
      <c r="W176" s="125">
        <v>116</v>
      </c>
      <c r="X176" s="125">
        <v>113</v>
      </c>
      <c r="Y176" s="125">
        <v>193</v>
      </c>
      <c r="Z176" s="125">
        <v>109</v>
      </c>
      <c r="AA176" s="125">
        <v>165</v>
      </c>
      <c r="AB176" s="125">
        <v>118</v>
      </c>
      <c r="AC176" s="125">
        <v>137</v>
      </c>
      <c r="AD176" s="125">
        <v>116</v>
      </c>
      <c r="AE176" s="125">
        <v>147</v>
      </c>
      <c r="AF176" s="125">
        <v>151</v>
      </c>
      <c r="AG176" s="125">
        <v>150</v>
      </c>
      <c r="AH176" s="125">
        <v>152</v>
      </c>
      <c r="AI176" s="125">
        <v>183</v>
      </c>
      <c r="AJ176" s="125">
        <v>161</v>
      </c>
      <c r="AK176" s="125">
        <v>136</v>
      </c>
      <c r="AL176" s="125">
        <v>184</v>
      </c>
      <c r="AM176" s="125">
        <v>172</v>
      </c>
      <c r="AN176" s="125">
        <v>124</v>
      </c>
      <c r="AO176" s="125">
        <v>188</v>
      </c>
      <c r="AP176" s="125">
        <v>128</v>
      </c>
      <c r="AQ176" s="125">
        <v>146</v>
      </c>
      <c r="AR176" s="125">
        <v>120</v>
      </c>
      <c r="AS176" s="125">
        <v>163</v>
      </c>
      <c r="AT176" s="125">
        <v>199</v>
      </c>
      <c r="AU176" s="125">
        <v>122</v>
      </c>
      <c r="AV176" s="125">
        <v>136</v>
      </c>
      <c r="AW176" s="125">
        <v>179</v>
      </c>
      <c r="AX176" s="125">
        <v>126</v>
      </c>
      <c r="AY176" s="125">
        <v>160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85.502659465448588</v>
      </c>
      <c r="E177" s="124">
        <f t="shared" si="2"/>
        <v>174.51016566116789</v>
      </c>
      <c r="F177" s="124">
        <f t="shared" si="2"/>
        <v>223.30517223431985</v>
      </c>
      <c r="G177" s="124">
        <f t="shared" si="2"/>
        <v>202.33756876480373</v>
      </c>
      <c r="H177" s="124">
        <f t="shared" si="2"/>
        <v>46.33756876480372</v>
      </c>
      <c r="I177" s="124">
        <f t="shared" si="2"/>
        <v>161.03239653048388</v>
      </c>
      <c r="J177" s="124">
        <f t="shared" si="2"/>
        <v>137.68456472378423</v>
      </c>
      <c r="K177" s="124">
        <f t="shared" si="2"/>
        <v>148.75745283460247</v>
      </c>
      <c r="L177" s="124">
        <f t="shared" si="2"/>
        <v>148.75745283460245</v>
      </c>
      <c r="M177" s="124">
        <f t="shared" si="2"/>
        <v>148.75745283460245</v>
      </c>
      <c r="N177" s="124">
        <f t="shared" si="2"/>
        <v>172.10528464130209</v>
      </c>
      <c r="O177" s="124">
        <f t="shared" si="2"/>
        <v>110.73225121560765</v>
      </c>
      <c r="P177" s="124">
        <f t="shared" si="2"/>
        <v>172.10528464130209</v>
      </c>
      <c r="Q177" s="124">
        <f t="shared" si="2"/>
        <v>201.21056928260418</v>
      </c>
      <c r="R177" s="124">
        <f t="shared" si="2"/>
        <v>116.73915903349825</v>
      </c>
      <c r="S177" s="124">
        <f t="shared" si="2"/>
        <v>110.73225121560766</v>
      </c>
      <c r="T177" s="124">
        <f t="shared" si="2"/>
        <v>233.47831806699651</v>
      </c>
      <c r="U177" s="124">
        <f t="shared" si="2"/>
        <v>207.21056928260418</v>
      </c>
      <c r="V177" s="124">
        <f t="shared" si="2"/>
        <v>319.05501295740453</v>
      </c>
      <c r="W177" s="124">
        <f t="shared" si="2"/>
        <v>337.16029759870662</v>
      </c>
      <c r="X177" s="124">
        <f t="shared" si="2"/>
        <v>228.89945663220487</v>
      </c>
      <c r="Y177" s="124">
        <f t="shared" si="2"/>
        <v>282.3708668813108</v>
      </c>
      <c r="Z177" s="124">
        <f t="shared" si="2"/>
        <v>219.11002591480906</v>
      </c>
      <c r="AA177" s="124">
        <f t="shared" si="2"/>
        <v>227.47141024910593</v>
      </c>
      <c r="AB177" s="124">
        <f t="shared" si="2"/>
        <v>116.73915903349825</v>
      </c>
      <c r="AC177" s="124">
        <f t="shared" si="2"/>
        <v>55.366125607803824</v>
      </c>
      <c r="AD177" s="124">
        <f t="shared" si="2"/>
        <v>227.47141024910593</v>
      </c>
      <c r="AE177" s="124">
        <f t="shared" si="2"/>
        <v>316.31585392390627</v>
      </c>
      <c r="AF177" s="124">
        <f t="shared" si="2"/>
        <v>185.05501295740453</v>
      </c>
      <c r="AG177" s="124">
        <f t="shared" si="2"/>
        <v>55.366125607803838</v>
      </c>
      <c r="AH177" s="124">
        <f t="shared" si="2"/>
        <v>116.73915903349825</v>
      </c>
      <c r="AI177" s="124">
        <f t="shared" si="2"/>
        <v>227.47141024910593</v>
      </c>
      <c r="AJ177" s="124">
        <f t="shared" si="2"/>
        <v>402.68197953171011</v>
      </c>
      <c r="AK177" s="124">
        <f t="shared" si="2"/>
        <v>284.42113856520837</v>
      </c>
      <c r="AL177" s="124">
        <f t="shared" si="2"/>
        <v>287.52642320651046</v>
      </c>
      <c r="AM177" s="124">
        <f t="shared" si="2"/>
        <v>253.63170784781249</v>
      </c>
      <c r="AN177" s="124">
        <f t="shared" si="2"/>
        <v>308.10311809691842</v>
      </c>
      <c r="AO177" s="124">
        <f t="shared" si="2"/>
        <v>110.10311809691842</v>
      </c>
      <c r="AP177" s="124">
        <f t="shared" si="2"/>
        <v>227.47141024910593</v>
      </c>
      <c r="AQ177" s="124">
        <f t="shared" si="2"/>
        <v>217.57669489040802</v>
      </c>
      <c r="AR177" s="124">
        <f t="shared" si="2"/>
        <v>197.68197953171011</v>
      </c>
      <c r="AS177" s="124">
        <f t="shared" si="2"/>
        <v>172.10528464130209</v>
      </c>
      <c r="AT177" s="124">
        <f t="shared" si="2"/>
        <v>172.10528464130209</v>
      </c>
      <c r="AU177" s="124">
        <f t="shared" si="2"/>
        <v>56.471410249105915</v>
      </c>
      <c r="AV177" s="124">
        <f t="shared" si="2"/>
        <v>233.47831806699651</v>
      </c>
      <c r="AW177" s="124">
        <f t="shared" si="2"/>
        <v>110.73225121560768</v>
      </c>
      <c r="AX177" s="124">
        <f t="shared" si="2"/>
        <v>288.84444367480035</v>
      </c>
      <c r="AY177" s="124">
        <f t="shared" si="2"/>
        <v>99.210569282604169</v>
      </c>
    </row>
    <row r="178" spans="1:51">
      <c r="A178" s="125"/>
      <c r="B178" s="136" t="s">
        <v>299</v>
      </c>
      <c r="C178" s="125" t="s">
        <v>293</v>
      </c>
      <c r="D178" s="125">
        <v>85.502659465448588</v>
      </c>
      <c r="E178" s="125">
        <v>161</v>
      </c>
      <c r="F178" s="125">
        <v>182</v>
      </c>
      <c r="G178" s="125">
        <v>156</v>
      </c>
      <c r="H178" s="125">
        <v>46.33756876480372</v>
      </c>
      <c r="I178" s="125">
        <v>161.03239653048388</v>
      </c>
      <c r="J178" s="125">
        <v>137.68456472378423</v>
      </c>
      <c r="K178" s="125">
        <v>148.75745283460247</v>
      </c>
      <c r="L178" s="125">
        <v>148.75745283460245</v>
      </c>
      <c r="M178" s="125">
        <v>148.75745283460245</v>
      </c>
      <c r="N178" s="125">
        <v>172.10528464130209</v>
      </c>
      <c r="O178" s="125">
        <v>110.73225121560765</v>
      </c>
      <c r="P178" s="125">
        <v>143</v>
      </c>
      <c r="Q178" s="125">
        <v>201.21056928260418</v>
      </c>
      <c r="R178" s="125">
        <v>116.73915903349825</v>
      </c>
      <c r="S178" s="125">
        <v>110.73225121560766</v>
      </c>
      <c r="T178" s="125">
        <v>137</v>
      </c>
      <c r="U178" s="125">
        <v>177</v>
      </c>
      <c r="V178" s="125">
        <v>154</v>
      </c>
      <c r="W178" s="125">
        <v>225</v>
      </c>
      <c r="X178" s="125">
        <v>174</v>
      </c>
      <c r="Y178" s="125">
        <v>180</v>
      </c>
      <c r="Z178" s="125">
        <v>219.11002591480906</v>
      </c>
      <c r="AA178" s="125">
        <v>227.47141024910593</v>
      </c>
      <c r="AB178" s="125">
        <v>116.73915903349825</v>
      </c>
      <c r="AC178" s="125">
        <v>55.366125607803824</v>
      </c>
      <c r="AD178" s="125">
        <v>200</v>
      </c>
      <c r="AE178" s="125">
        <v>248</v>
      </c>
      <c r="AF178" s="125">
        <v>185.05501295740453</v>
      </c>
      <c r="AG178" s="125">
        <v>55.366125607803838</v>
      </c>
      <c r="AH178" s="125">
        <v>116.73915903349825</v>
      </c>
      <c r="AI178" s="125">
        <v>169</v>
      </c>
      <c r="AJ178" s="125">
        <v>235</v>
      </c>
      <c r="AK178" s="125">
        <v>169</v>
      </c>
      <c r="AL178" s="125">
        <v>206</v>
      </c>
      <c r="AM178" s="125">
        <v>173</v>
      </c>
      <c r="AN178" s="125">
        <v>198</v>
      </c>
      <c r="AO178" s="125">
        <v>110.10311809691842</v>
      </c>
      <c r="AP178" s="125">
        <v>182</v>
      </c>
      <c r="AQ178" s="125">
        <v>192</v>
      </c>
      <c r="AR178" s="125">
        <v>197.68197953171011</v>
      </c>
      <c r="AS178" s="125">
        <v>172.10528464130209</v>
      </c>
      <c r="AT178" s="125">
        <v>171</v>
      </c>
      <c r="AU178" s="125">
        <v>56.471410249105915</v>
      </c>
      <c r="AV178" s="125">
        <v>233.47831806699651</v>
      </c>
      <c r="AW178" s="125">
        <v>110.73225121560768</v>
      </c>
      <c r="AX178" s="125">
        <v>245</v>
      </c>
      <c r="AY178" s="125">
        <v>99.210569282604169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69.047520043862747</v>
      </c>
      <c r="E179" s="124">
        <f t="shared" si="3"/>
        <v>31.004937372369419</v>
      </c>
      <c r="F179" s="124">
        <f t="shared" si="3"/>
        <v>73.61353119312183</v>
      </c>
      <c r="G179" s="124">
        <f t="shared" si="3"/>
        <v>87.652443428837913</v>
      </c>
      <c r="H179" s="124">
        <f t="shared" si="3"/>
        <v>67.358794774752226</v>
      </c>
      <c r="I179" s="124">
        <f t="shared" si="3"/>
        <v>6.4822823587776636E-3</v>
      </c>
      <c r="J179" s="124">
        <f t="shared" si="3"/>
        <v>67.358794774752226</v>
      </c>
      <c r="K179" s="124">
        <f t="shared" si="3"/>
        <v>63.421828415979867</v>
      </c>
      <c r="L179" s="124">
        <f t="shared" si="3"/>
        <v>67.918599720420815</v>
      </c>
      <c r="M179" s="124">
        <f t="shared" si="3"/>
        <v>62.334071288955627</v>
      </c>
      <c r="N179" s="124">
        <f t="shared" si="3"/>
        <v>62.33407128895562</v>
      </c>
      <c r="O179" s="124">
        <f t="shared" si="3"/>
        <v>72.050792668415298</v>
      </c>
      <c r="P179" s="124">
        <f t="shared" si="3"/>
        <v>46.927889259874924</v>
      </c>
      <c r="Q179" s="124">
        <f t="shared" si="3"/>
        <v>72.050792668415298</v>
      </c>
      <c r="R179" s="124">
        <f t="shared" si="3"/>
        <v>72.050792668415298</v>
      </c>
      <c r="S179" s="124">
        <f t="shared" si="3"/>
        <v>48.590089179657227</v>
      </c>
      <c r="T179" s="124">
        <f t="shared" si="3"/>
        <v>46.927889259874924</v>
      </c>
      <c r="U179" s="124">
        <f t="shared" si="3"/>
        <v>97.173696076955679</v>
      </c>
      <c r="V179" s="124">
        <f t="shared" si="3"/>
        <v>46.927889259874924</v>
      </c>
      <c r="W179" s="124">
        <f t="shared" si="3"/>
        <v>120.63439956571376</v>
      </c>
      <c r="X179" s="124">
        <f t="shared" si="3"/>
        <v>142.1658697334413</v>
      </c>
      <c r="Y179" s="124">
        <f t="shared" si="3"/>
        <v>101.75595891309852</v>
      </c>
      <c r="Z179" s="124">
        <f t="shared" si="3"/>
        <v>137.26745507027189</v>
      </c>
      <c r="AA179" s="124">
        <f t="shared" si="3"/>
        <v>96.233596702241528</v>
      </c>
      <c r="AB179" s="124">
        <f t="shared" si="3"/>
        <v>95.511496157173369</v>
      </c>
      <c r="AC179" s="124">
        <f t="shared" si="3"/>
        <v>80.509085084031341</v>
      </c>
      <c r="AD179" s="124">
        <f t="shared" si="3"/>
        <v>23.46718577111686</v>
      </c>
      <c r="AE179" s="124">
        <f t="shared" si="3"/>
        <v>95.511496157173369</v>
      </c>
      <c r="AF179" s="124">
        <f t="shared" si="3"/>
        <v>166.39073935268698</v>
      </c>
      <c r="AG179" s="124">
        <f t="shared" si="3"/>
        <v>136.45220635341678</v>
      </c>
      <c r="AH179" s="124">
        <f t="shared" si="3"/>
        <v>59.006381296600814</v>
      </c>
      <c r="AI179" s="124">
        <f t="shared" si="3"/>
        <v>48.590089179657227</v>
      </c>
      <c r="AJ179" s="124">
        <f t="shared" si="3"/>
        <v>95.511496157173383</v>
      </c>
      <c r="AK179" s="124">
        <f t="shared" si="3"/>
        <v>163.6065992116452</v>
      </c>
      <c r="AL179" s="124">
        <f t="shared" si="3"/>
        <v>165.53814976648238</v>
      </c>
      <c r="AM179" s="124">
        <f t="shared" si="3"/>
        <v>169.58894243489769</v>
      </c>
      <c r="AN179" s="124">
        <f t="shared" si="3"/>
        <v>136.639735103313</v>
      </c>
      <c r="AO179" s="124">
        <f t="shared" si="3"/>
        <v>161.15123126048638</v>
      </c>
      <c r="AP179" s="124">
        <f t="shared" si="3"/>
        <v>72.534529159635085</v>
      </c>
      <c r="AQ179" s="124">
        <f t="shared" si="3"/>
        <v>95.511496157173369</v>
      </c>
      <c r="AR179" s="124">
        <f t="shared" si="3"/>
        <v>105.56228882558867</v>
      </c>
      <c r="AS179" s="124">
        <f t="shared" si="3"/>
        <v>98.472285145056404</v>
      </c>
      <c r="AT179" s="124">
        <f t="shared" si="3"/>
        <v>93.875720654870506</v>
      </c>
      <c r="AU179" s="124">
        <f t="shared" si="3"/>
        <v>76.926513323285803</v>
      </c>
      <c r="AV179" s="124">
        <f t="shared" si="3"/>
        <v>24.67772085337214</v>
      </c>
      <c r="AW179" s="124">
        <f t="shared" si="3"/>
        <v>97.173696076955679</v>
      </c>
      <c r="AX179" s="124">
        <f t="shared" si="3"/>
        <v>46.927889259874924</v>
      </c>
      <c r="AY179" s="124">
        <f t="shared" si="3"/>
        <v>120.63439956571376</v>
      </c>
    </row>
    <row r="180" spans="1:51">
      <c r="A180" s="125"/>
      <c r="B180" s="136" t="s">
        <v>299</v>
      </c>
      <c r="C180" s="125" t="s">
        <v>293</v>
      </c>
      <c r="D180" s="125">
        <v>69.047520043862747</v>
      </c>
      <c r="E180" s="125">
        <v>31.004937372369419</v>
      </c>
      <c r="F180" s="125">
        <v>73.61353119312183</v>
      </c>
      <c r="G180" s="125">
        <v>87.652443428837913</v>
      </c>
      <c r="H180" s="125">
        <v>67.358794774752226</v>
      </c>
      <c r="I180" s="125">
        <v>6.4822823587776636E-3</v>
      </c>
      <c r="J180" s="125">
        <v>67.358794774752226</v>
      </c>
      <c r="K180" s="125">
        <v>57.837299984514679</v>
      </c>
      <c r="L180" s="125">
        <v>67.918599720420815</v>
      </c>
      <c r="M180" s="125">
        <v>62.334071288955627</v>
      </c>
      <c r="N180" s="125">
        <v>62.33407128895562</v>
      </c>
      <c r="O180" s="125">
        <v>72.050792668415298</v>
      </c>
      <c r="P180" s="125">
        <v>46.927889259874924</v>
      </c>
      <c r="Q180" s="125">
        <v>72.050792668415298</v>
      </c>
      <c r="R180" s="125">
        <v>72.050792668415298</v>
      </c>
      <c r="S180" s="125">
        <v>48.590089179657227</v>
      </c>
      <c r="T180" s="125">
        <v>46.927889259874924</v>
      </c>
      <c r="U180" s="125">
        <v>97.173696076955679</v>
      </c>
      <c r="V180" s="125">
        <v>46.927889259874924</v>
      </c>
      <c r="W180" s="125">
        <v>78</v>
      </c>
      <c r="X180" s="125">
        <v>89</v>
      </c>
      <c r="Y180" s="125">
        <v>60</v>
      </c>
      <c r="Z180" s="125">
        <v>105.10064851401773</v>
      </c>
      <c r="AA180" s="125">
        <v>96.233596702241528</v>
      </c>
      <c r="AB180" s="125">
        <v>63.592500252799248</v>
      </c>
      <c r="AC180" s="125">
        <v>80.509085084031341</v>
      </c>
      <c r="AD180" s="125">
        <v>23.46718577111686</v>
      </c>
      <c r="AE180" s="125">
        <v>60</v>
      </c>
      <c r="AF180" s="125">
        <v>94.426837944524451</v>
      </c>
      <c r="AG180" s="125">
        <v>100.91301082793282</v>
      </c>
      <c r="AH180" s="125">
        <v>59.006381296600814</v>
      </c>
      <c r="AI180" s="125">
        <v>48.590089179657227</v>
      </c>
      <c r="AJ180" s="125">
        <v>76</v>
      </c>
      <c r="AK180" s="125">
        <v>72</v>
      </c>
      <c r="AL180" s="125">
        <v>68</v>
      </c>
      <c r="AM180" s="125">
        <v>105</v>
      </c>
      <c r="AN180" s="125">
        <v>71</v>
      </c>
      <c r="AO180" s="125">
        <v>88.623184383210074</v>
      </c>
      <c r="AP180" s="125">
        <v>72.534529159635085</v>
      </c>
      <c r="AQ180" s="125">
        <v>62</v>
      </c>
      <c r="AR180" s="125">
        <v>79.532609291953278</v>
      </c>
      <c r="AS180" s="125">
        <v>76.647357158601196</v>
      </c>
      <c r="AT180" s="125">
        <v>89</v>
      </c>
      <c r="AU180" s="125">
        <v>76.926513323285803</v>
      </c>
      <c r="AV180" s="125">
        <v>24.67772085337214</v>
      </c>
      <c r="AW180" s="125">
        <v>97.173696076955679</v>
      </c>
      <c r="AX180" s="125">
        <v>46.927889259874924</v>
      </c>
      <c r="AY180" s="125">
        <v>98.4136330584994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44.734891529259819</v>
      </c>
      <c r="E181" s="124">
        <f t="shared" si="4"/>
        <v>106.21190081631273</v>
      </c>
      <c r="F181" s="124">
        <f t="shared" si="4"/>
        <v>126.46768164602138</v>
      </c>
      <c r="G181" s="124">
        <f t="shared" si="4"/>
        <v>97.187371856314655</v>
      </c>
      <c r="H181" s="124">
        <f t="shared" si="4"/>
        <v>9.3528393461738656E-3</v>
      </c>
      <c r="I181" s="124">
        <f t="shared" si="4"/>
        <v>97.187371856314655</v>
      </c>
      <c r="J181" s="124">
        <f t="shared" si="4"/>
        <v>91.506993892675254</v>
      </c>
      <c r="K181" s="124">
        <f t="shared" si="4"/>
        <v>89.937543953035217</v>
      </c>
      <c r="L181" s="124">
        <f t="shared" si="4"/>
        <v>89.937543953035203</v>
      </c>
      <c r="M181" s="124">
        <f t="shared" si="4"/>
        <v>89.937543953035203</v>
      </c>
      <c r="N181" s="124">
        <f t="shared" si="4"/>
        <v>103.95713288849093</v>
      </c>
      <c r="O181" s="124">
        <f t="shared" si="4"/>
        <v>67.709023583078121</v>
      </c>
      <c r="P181" s="124">
        <f t="shared" si="4"/>
        <v>103.95713288849093</v>
      </c>
      <c r="Q181" s="124">
        <f t="shared" si="4"/>
        <v>103.95713288849093</v>
      </c>
      <c r="R181" s="124">
        <f t="shared" si="4"/>
        <v>70.107297516624968</v>
      </c>
      <c r="S181" s="124">
        <f t="shared" si="4"/>
        <v>67.709023583078121</v>
      </c>
      <c r="T181" s="124">
        <f t="shared" si="4"/>
        <v>140.20524219390376</v>
      </c>
      <c r="U181" s="124">
        <f t="shared" si="4"/>
        <v>67.709023583078121</v>
      </c>
      <c r="V181" s="124">
        <f t="shared" si="4"/>
        <v>174.05507756576975</v>
      </c>
      <c r="W181" s="124">
        <f t="shared" si="4"/>
        <v>143.60711225525642</v>
      </c>
      <c r="X181" s="124">
        <f t="shared" si="4"/>
        <v>70.107297516624968</v>
      </c>
      <c r="Y181" s="124">
        <f t="shared" si="4"/>
        <v>137.80696826035691</v>
      </c>
      <c r="Z181" s="124">
        <f t="shared" si="4"/>
        <v>92.437564810651736</v>
      </c>
      <c r="AA181" s="124">
        <f t="shared" si="4"/>
        <v>137.80696826035691</v>
      </c>
      <c r="AB181" s="124">
        <f t="shared" si="4"/>
        <v>70.107297516624968</v>
      </c>
      <c r="AC181" s="124">
        <f t="shared" si="4"/>
        <v>33.85918821121215</v>
      </c>
      <c r="AD181" s="124">
        <f t="shared" si="4"/>
        <v>137.80696826035691</v>
      </c>
      <c r="AE181" s="124">
        <f t="shared" si="4"/>
        <v>188.8366577705325</v>
      </c>
      <c r="AF181" s="124">
        <f t="shared" si="4"/>
        <v>93.045739521560421</v>
      </c>
      <c r="AG181" s="124">
        <f t="shared" si="4"/>
        <v>33.85918821121215</v>
      </c>
      <c r="AH181" s="124">
        <f t="shared" si="4"/>
        <v>70.107297516624968</v>
      </c>
      <c r="AI181" s="124">
        <f t="shared" si="4"/>
        <v>137.80696826035694</v>
      </c>
      <c r="AJ181" s="124">
        <f t="shared" si="4"/>
        <v>207.90491293763571</v>
      </c>
      <c r="AK181" s="124">
        <f t="shared" si="4"/>
        <v>106.67074907908069</v>
      </c>
      <c r="AL181" s="124">
        <f t="shared" si="4"/>
        <v>103.95713288849093</v>
      </c>
      <c r="AM181" s="124">
        <f t="shared" si="4"/>
        <v>103.95713288849095</v>
      </c>
      <c r="AN181" s="124">
        <f t="shared" si="4"/>
        <v>137.80696826035691</v>
      </c>
      <c r="AO181" s="124">
        <f t="shared" si="4"/>
        <v>9.3528393461822582E-3</v>
      </c>
      <c r="AP181" s="124">
        <f t="shared" si="4"/>
        <v>137.80696826035691</v>
      </c>
      <c r="AQ181" s="124">
        <f t="shared" si="4"/>
        <v>103.95713288849093</v>
      </c>
      <c r="AR181" s="124">
        <f t="shared" si="4"/>
        <v>104.52245283397616</v>
      </c>
      <c r="AS181" s="124">
        <f t="shared" si="4"/>
        <v>103.95713288849093</v>
      </c>
      <c r="AT181" s="124">
        <f t="shared" si="4"/>
        <v>103.95713288849093</v>
      </c>
      <c r="AU181" s="124">
        <f t="shared" si="4"/>
        <v>35.605786017447798</v>
      </c>
      <c r="AV181" s="124">
        <f t="shared" si="4"/>
        <v>140.20524219390376</v>
      </c>
      <c r="AW181" s="124">
        <f t="shared" si="4"/>
        <v>67.709023583078121</v>
      </c>
      <c r="AX181" s="124">
        <f t="shared" si="4"/>
        <v>174.05507756576975</v>
      </c>
      <c r="AY181" s="124">
        <f t="shared" si="4"/>
        <v>65.218259593253123</v>
      </c>
    </row>
    <row r="182" spans="1:51">
      <c r="A182" s="125"/>
      <c r="B182" s="136" t="s">
        <v>299</v>
      </c>
      <c r="C182" s="125" t="s">
        <v>293</v>
      </c>
      <c r="D182" s="125">
        <v>44.734891529259819</v>
      </c>
      <c r="E182" s="125">
        <v>106.21190081631273</v>
      </c>
      <c r="F182" s="125">
        <v>126.46768164602138</v>
      </c>
      <c r="G182" s="125">
        <v>97.187371856314655</v>
      </c>
      <c r="H182" s="125">
        <v>9.3528393461738656E-3</v>
      </c>
      <c r="I182" s="125">
        <v>83.06840586381098</v>
      </c>
      <c r="J182" s="125">
        <v>91.506993892675254</v>
      </c>
      <c r="K182" s="125">
        <v>89.937543953035217</v>
      </c>
      <c r="L182" s="125">
        <v>89.937543953035203</v>
      </c>
      <c r="M182" s="125">
        <v>89.937543953035203</v>
      </c>
      <c r="N182" s="125">
        <v>103.95713288849093</v>
      </c>
      <c r="O182" s="125">
        <v>67.709023583078121</v>
      </c>
      <c r="P182" s="125">
        <v>103.95713288849093</v>
      </c>
      <c r="Q182" s="125">
        <v>103.95713288849093</v>
      </c>
      <c r="R182" s="125">
        <v>70.107297516624968</v>
      </c>
      <c r="S182" s="125">
        <v>67.709023583078121</v>
      </c>
      <c r="T182" s="125">
        <v>140.20524219390376</v>
      </c>
      <c r="U182" s="125">
        <v>67.709023583078121</v>
      </c>
      <c r="V182" s="125">
        <v>106.92442069969199</v>
      </c>
      <c r="W182" s="125">
        <v>143.60711225525642</v>
      </c>
      <c r="X182" s="125">
        <v>70.107297516624968</v>
      </c>
      <c r="Y182" s="125">
        <v>100</v>
      </c>
      <c r="Z182" s="125">
        <v>92.437564810651736</v>
      </c>
      <c r="AA182" s="125">
        <v>137.80696826035691</v>
      </c>
      <c r="AB182" s="125">
        <v>70.107297516624968</v>
      </c>
      <c r="AC182" s="125">
        <v>33.85918821121215</v>
      </c>
      <c r="AD182" s="125">
        <v>112.78054442579426</v>
      </c>
      <c r="AE182" s="125">
        <v>150</v>
      </c>
      <c r="AF182" s="125">
        <v>93.045739521560421</v>
      </c>
      <c r="AG182" s="125">
        <v>33.85918821121215</v>
      </c>
      <c r="AH182" s="125">
        <v>70.107297516624968</v>
      </c>
      <c r="AI182" s="125">
        <v>137.80696826035694</v>
      </c>
      <c r="AJ182" s="125">
        <v>146</v>
      </c>
      <c r="AK182" s="125">
        <v>106.67074907908069</v>
      </c>
      <c r="AL182" s="125">
        <v>103.95713288849093</v>
      </c>
      <c r="AM182" s="125">
        <v>103.95713288849095</v>
      </c>
      <c r="AN182" s="125">
        <v>137.80696826035691</v>
      </c>
      <c r="AO182" s="125">
        <v>9.3528393461822582E-3</v>
      </c>
      <c r="AP182" s="125">
        <v>137.80696826035691</v>
      </c>
      <c r="AQ182" s="125">
        <v>103</v>
      </c>
      <c r="AR182" s="125">
        <v>104.52245283397616</v>
      </c>
      <c r="AS182" s="125">
        <v>103.95713288849093</v>
      </c>
      <c r="AT182" s="125">
        <v>101</v>
      </c>
      <c r="AU182" s="125">
        <v>35.605786017447798</v>
      </c>
      <c r="AV182" s="125">
        <v>140.20524219390376</v>
      </c>
      <c r="AW182" s="125">
        <v>67.709023583078121</v>
      </c>
      <c r="AX182" s="125">
        <v>120.96160578577769</v>
      </c>
      <c r="AY182" s="125">
        <v>65.218259593253123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125</v>
      </c>
      <c r="D185" s="124">
        <v>107</v>
      </c>
      <c r="E185" s="124">
        <v>65</v>
      </c>
      <c r="F185" s="124">
        <v>18</v>
      </c>
      <c r="G185" s="124">
        <v>31</v>
      </c>
      <c r="H185" s="124">
        <v>21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53</v>
      </c>
      <c r="F186" s="106">
        <v>95</v>
      </c>
      <c r="G186" s="106">
        <v>142</v>
      </c>
      <c r="H186" s="106">
        <v>129</v>
      </c>
      <c r="I186" s="106">
        <v>111</v>
      </c>
      <c r="J186" s="106">
        <v>120</v>
      </c>
      <c r="K186" s="106">
        <v>111</v>
      </c>
      <c r="L186" s="106">
        <v>71</v>
      </c>
      <c r="M186" s="106">
        <v>79</v>
      </c>
      <c r="N186" s="106">
        <v>68</v>
      </c>
      <c r="O186" s="106">
        <v>24</v>
      </c>
      <c r="P186" s="106">
        <v>14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28</v>
      </c>
      <c r="K187" s="106">
        <v>40</v>
      </c>
      <c r="L187" s="106">
        <v>49</v>
      </c>
      <c r="M187" s="106">
        <v>89</v>
      </c>
      <c r="N187" s="106">
        <v>81</v>
      </c>
      <c r="O187" s="106">
        <v>92</v>
      </c>
      <c r="P187" s="106">
        <v>136</v>
      </c>
      <c r="Q187" s="106">
        <v>144</v>
      </c>
      <c r="R187" s="106">
        <v>145</v>
      </c>
      <c r="S187" s="106">
        <v>147</v>
      </c>
      <c r="T187" s="106">
        <v>131</v>
      </c>
      <c r="U187" s="106">
        <v>114</v>
      </c>
      <c r="V187" s="106">
        <v>92</v>
      </c>
      <c r="W187" s="106">
        <v>48</v>
      </c>
      <c r="X187" s="106">
        <v>1</v>
      </c>
      <c r="Y187" s="106">
        <v>34</v>
      </c>
      <c r="Z187" s="106">
        <v>0</v>
      </c>
      <c r="AA187" s="106">
        <v>5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23</v>
      </c>
      <c r="AJ187" s="106">
        <v>24</v>
      </c>
      <c r="AK187" s="106">
        <v>0</v>
      </c>
      <c r="AL187" s="106">
        <v>24</v>
      </c>
      <c r="AM187" s="106">
        <v>36</v>
      </c>
      <c r="AN187" s="106">
        <v>0</v>
      </c>
      <c r="AO187" s="106">
        <v>28</v>
      </c>
      <c r="AP187" s="106">
        <v>0</v>
      </c>
      <c r="AQ187" s="106">
        <v>0</v>
      </c>
      <c r="AR187" s="106">
        <v>0</v>
      </c>
      <c r="AS187" s="106">
        <v>3</v>
      </c>
      <c r="AT187" s="106">
        <v>42</v>
      </c>
      <c r="AU187" s="106">
        <v>4</v>
      </c>
      <c r="AV187" s="106">
        <v>0</v>
      </c>
      <c r="AW187" s="106">
        <v>19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2</v>
      </c>
      <c r="S188" s="106">
        <v>15</v>
      </c>
      <c r="T188" s="106">
        <v>13</v>
      </c>
      <c r="U188" s="106">
        <v>29</v>
      </c>
      <c r="V188" s="106">
        <v>46</v>
      </c>
      <c r="W188" s="106">
        <v>68</v>
      </c>
      <c r="X188" s="106">
        <v>112</v>
      </c>
      <c r="Y188" s="106">
        <v>159</v>
      </c>
      <c r="Z188" s="106">
        <v>109</v>
      </c>
      <c r="AA188" s="106">
        <v>160</v>
      </c>
      <c r="AB188" s="106">
        <v>118</v>
      </c>
      <c r="AC188" s="106">
        <v>137</v>
      </c>
      <c r="AD188" s="106">
        <v>116</v>
      </c>
      <c r="AE188" s="106">
        <v>147</v>
      </c>
      <c r="AF188" s="106">
        <v>151</v>
      </c>
      <c r="AG188" s="106">
        <v>150</v>
      </c>
      <c r="AH188" s="106">
        <v>152</v>
      </c>
      <c r="AI188" s="106">
        <v>160</v>
      </c>
      <c r="AJ188" s="106">
        <v>137</v>
      </c>
      <c r="AK188" s="106">
        <v>136</v>
      </c>
      <c r="AL188" s="106">
        <v>160</v>
      </c>
      <c r="AM188" s="106">
        <v>136</v>
      </c>
      <c r="AN188" s="106">
        <v>124</v>
      </c>
      <c r="AO188" s="106">
        <v>160</v>
      </c>
      <c r="AP188" s="106">
        <v>128</v>
      </c>
      <c r="AQ188" s="106">
        <v>146</v>
      </c>
      <c r="AR188" s="106">
        <v>120</v>
      </c>
      <c r="AS188" s="106">
        <v>160</v>
      </c>
      <c r="AT188" s="106">
        <v>157</v>
      </c>
      <c r="AU188" s="106">
        <v>118</v>
      </c>
      <c r="AV188" s="106">
        <v>136</v>
      </c>
      <c r="AW188" s="106">
        <v>160</v>
      </c>
      <c r="AX188" s="106">
        <v>126</v>
      </c>
      <c r="AY188" s="106">
        <v>160</v>
      </c>
    </row>
    <row r="189" spans="1:51">
      <c r="A189" s="126" t="s">
        <v>133</v>
      </c>
      <c r="B189" s="123">
        <v>1</v>
      </c>
      <c r="C189" s="124">
        <v>92.986268665168438</v>
      </c>
      <c r="D189" s="124">
        <v>74.276006220075729</v>
      </c>
      <c r="E189" s="124">
        <v>86.6348916520421</v>
      </c>
      <c r="F189" s="124">
        <v>119.72722429616404</v>
      </c>
      <c r="G189" s="124">
        <v>114.69482776568016</v>
      </c>
      <c r="H189" s="124">
        <v>0</v>
      </c>
      <c r="I189" s="124">
        <v>161.03239653048388</v>
      </c>
      <c r="J189" s="124">
        <v>93.391327226798609</v>
      </c>
      <c r="K189" s="124">
        <v>93.391327226798623</v>
      </c>
      <c r="L189" s="124">
        <v>148.75745283460245</v>
      </c>
      <c r="M189" s="124">
        <v>93.391327226798623</v>
      </c>
      <c r="N189" s="124">
        <v>172.10528464130209</v>
      </c>
      <c r="O189" s="124">
        <v>55.366125607803824</v>
      </c>
      <c r="P189" s="124">
        <v>143</v>
      </c>
      <c r="Q189" s="124">
        <v>172.10528464130209</v>
      </c>
      <c r="R189" s="124">
        <v>116.73915903349825</v>
      </c>
      <c r="S189" s="124">
        <v>55.366125607803824</v>
      </c>
      <c r="T189" s="124">
        <v>20.260840966501732</v>
      </c>
      <c r="U189" s="124">
        <v>25.155556325199655</v>
      </c>
      <c r="V189" s="124">
        <v>7.050271683897563</v>
      </c>
      <c r="W189" s="124">
        <v>59.944987042595471</v>
      </c>
      <c r="X189" s="124">
        <v>61.83970240129338</v>
      </c>
      <c r="Y189" s="124">
        <v>69.734417759991288</v>
      </c>
      <c r="Z189" s="124">
        <v>116.73915903349825</v>
      </c>
      <c r="AA189" s="124">
        <v>172.10528464130209</v>
      </c>
      <c r="AB189" s="124">
        <v>116.73915903349825</v>
      </c>
      <c r="AC189" s="124">
        <v>55.366125607803824</v>
      </c>
      <c r="AD189" s="124">
        <v>144.63387439219616</v>
      </c>
      <c r="AE189" s="124">
        <v>103.78943071739582</v>
      </c>
      <c r="AF189" s="124">
        <v>116.73915903349825</v>
      </c>
      <c r="AG189" s="124">
        <v>0</v>
      </c>
      <c r="AH189" s="124">
        <v>116.73915903349825</v>
      </c>
      <c r="AI189" s="124">
        <v>0</v>
      </c>
      <c r="AJ189" s="124">
        <v>59.789430717395817</v>
      </c>
      <c r="AK189" s="124">
        <v>1.3180204682899159</v>
      </c>
      <c r="AL189" s="124">
        <v>90.578861434791662</v>
      </c>
      <c r="AM189" s="124">
        <v>36.107451185685761</v>
      </c>
      <c r="AN189" s="124">
        <v>62.00216654438367</v>
      </c>
      <c r="AO189" s="124">
        <v>0</v>
      </c>
      <c r="AP189" s="124">
        <v>126.63387439219618</v>
      </c>
      <c r="AQ189" s="124">
        <v>29.789430717395817</v>
      </c>
      <c r="AR189" s="124">
        <v>172.10528464130209</v>
      </c>
      <c r="AS189" s="124">
        <v>172.10528464130209</v>
      </c>
      <c r="AT189" s="124">
        <v>171</v>
      </c>
      <c r="AU189" s="124">
        <v>55.366125607803824</v>
      </c>
      <c r="AV189" s="124">
        <v>116.73915903349824</v>
      </c>
      <c r="AW189" s="124">
        <v>55.366125607803824</v>
      </c>
      <c r="AX189" s="124">
        <v>128.26084096650175</v>
      </c>
      <c r="AY189" s="124">
        <v>55.366125607803824</v>
      </c>
    </row>
    <row r="190" spans="1:51">
      <c r="A190" s="109"/>
      <c r="B190" s="119">
        <v>2</v>
      </c>
      <c r="C190" s="106">
        <v>56.013731334831562</v>
      </c>
      <c r="D190" s="106">
        <v>11.226653245372859</v>
      </c>
      <c r="E190" s="106">
        <v>74.3651083479579</v>
      </c>
      <c r="F190" s="106">
        <v>62.272775703835961</v>
      </c>
      <c r="G190" s="106">
        <v>41.305172234319841</v>
      </c>
      <c r="H190" s="106">
        <v>46.33756876480372</v>
      </c>
      <c r="I190" s="106">
        <v>0</v>
      </c>
      <c r="J190" s="106">
        <v>0</v>
      </c>
      <c r="K190" s="106">
        <v>55.366125607803838</v>
      </c>
      <c r="L190" s="106">
        <v>0</v>
      </c>
      <c r="M190" s="106">
        <v>0</v>
      </c>
      <c r="N190" s="106">
        <v>0</v>
      </c>
      <c r="O190" s="106">
        <v>0</v>
      </c>
      <c r="P190" s="106">
        <v>0</v>
      </c>
      <c r="Q190" s="106">
        <v>29.105284641302092</v>
      </c>
      <c r="R190" s="106">
        <v>0</v>
      </c>
      <c r="S190" s="106">
        <v>55.366125607803838</v>
      </c>
      <c r="T190" s="106">
        <v>116.73915903349827</v>
      </c>
      <c r="U190" s="106">
        <v>151.84444367480035</v>
      </c>
      <c r="V190" s="106">
        <v>146.94972831610244</v>
      </c>
      <c r="W190" s="106">
        <v>165.05501295740453</v>
      </c>
      <c r="X190" s="106">
        <v>112.16029759870662</v>
      </c>
      <c r="Y190" s="106">
        <v>110.26558224000871</v>
      </c>
      <c r="Z190" s="106">
        <v>102.3708668813108</v>
      </c>
      <c r="AA190" s="106">
        <v>55.366125607803838</v>
      </c>
      <c r="AB190" s="106">
        <v>0</v>
      </c>
      <c r="AC190" s="106">
        <v>0</v>
      </c>
      <c r="AD190" s="106">
        <v>0</v>
      </c>
      <c r="AE190" s="106">
        <v>27.471410249105929</v>
      </c>
      <c r="AF190" s="106">
        <v>68.315853923906275</v>
      </c>
      <c r="AG190" s="106">
        <v>55.366125607803838</v>
      </c>
      <c r="AH190" s="106">
        <v>0</v>
      </c>
      <c r="AI190" s="106">
        <v>0</v>
      </c>
      <c r="AJ190" s="106">
        <v>116.73915903349825</v>
      </c>
      <c r="AK190" s="106">
        <v>167.68197953171008</v>
      </c>
      <c r="AL190" s="106">
        <v>115.42113856520834</v>
      </c>
      <c r="AM190" s="106">
        <v>81.52642320651043</v>
      </c>
      <c r="AN190" s="106">
        <v>135.99783345561633</v>
      </c>
      <c r="AO190" s="106">
        <v>110.10311809691842</v>
      </c>
      <c r="AP190" s="106">
        <v>55.366125607803824</v>
      </c>
      <c r="AQ190" s="106">
        <v>45.471410249105915</v>
      </c>
      <c r="AR190" s="106">
        <v>25.576694890408007</v>
      </c>
      <c r="AS190" s="106">
        <v>0</v>
      </c>
      <c r="AT190" s="106">
        <v>0</v>
      </c>
      <c r="AU190" s="106">
        <v>1.1052846413020916</v>
      </c>
      <c r="AV190" s="106">
        <v>116.73915903349827</v>
      </c>
      <c r="AW190" s="106">
        <v>55.366125607803852</v>
      </c>
      <c r="AX190" s="106">
        <v>116.73915903349827</v>
      </c>
      <c r="AY190" s="106">
        <v>43.844443674800345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44.293237496985618</v>
      </c>
      <c r="K191" s="106">
        <v>0</v>
      </c>
      <c r="L191" s="106">
        <v>0</v>
      </c>
      <c r="M191" s="106">
        <v>55.366125607803824</v>
      </c>
      <c r="N191" s="106">
        <v>0</v>
      </c>
      <c r="O191" s="106">
        <v>55.366125607803824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55.366125607803824</v>
      </c>
      <c r="AE191" s="106">
        <v>116.73915903349825</v>
      </c>
      <c r="AF191" s="106">
        <v>0</v>
      </c>
      <c r="AG191" s="106">
        <v>0</v>
      </c>
      <c r="AH191" s="106">
        <v>0</v>
      </c>
      <c r="AI191" s="106">
        <v>169</v>
      </c>
      <c r="AJ191" s="106">
        <v>55.366125607803838</v>
      </c>
      <c r="AK191" s="106">
        <v>0</v>
      </c>
      <c r="AL191" s="106">
        <v>0</v>
      </c>
      <c r="AM191" s="106">
        <v>55.366125607803809</v>
      </c>
      <c r="AN191" s="106">
        <v>0</v>
      </c>
      <c r="AO191" s="106">
        <v>0</v>
      </c>
      <c r="AP191" s="106">
        <v>0</v>
      </c>
      <c r="AQ191" s="106">
        <v>116.73915903349827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3.1052846413020916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85.772470017642817</v>
      </c>
      <c r="D197" s="106">
        <v>69.047520043862747</v>
      </c>
      <c r="E197" s="106">
        <v>31.004937372369419</v>
      </c>
      <c r="F197" s="106">
        <v>73.61353119312183</v>
      </c>
      <c r="G197" s="106">
        <v>87.652443428837913</v>
      </c>
      <c r="H197" s="106">
        <v>67.358794774752226</v>
      </c>
      <c r="I197" s="106">
        <v>6.4822823587776636E-3</v>
      </c>
      <c r="J197" s="106">
        <v>67.358794774752226</v>
      </c>
      <c r="K197" s="106">
        <v>57.837299984514679</v>
      </c>
      <c r="L197" s="106">
        <v>62.334071288955627</v>
      </c>
      <c r="M197" s="106">
        <v>62.33407128895562</v>
      </c>
      <c r="N197" s="106">
        <v>62.33407128895562</v>
      </c>
      <c r="O197" s="106">
        <v>72.050792668415298</v>
      </c>
      <c r="P197" s="106">
        <v>46.927889259874924</v>
      </c>
      <c r="Q197" s="106">
        <v>72.050792668415298</v>
      </c>
      <c r="R197" s="106">
        <v>72.050792668415298</v>
      </c>
      <c r="S197" s="106">
        <v>48.590089179657227</v>
      </c>
      <c r="T197" s="106">
        <v>46.927889259874924</v>
      </c>
      <c r="U197" s="106">
        <v>97.173696076955679</v>
      </c>
      <c r="V197" s="106">
        <v>46.927889259874924</v>
      </c>
      <c r="W197" s="106">
        <v>78</v>
      </c>
      <c r="X197" s="106">
        <v>46.365600434286236</v>
      </c>
      <c r="Y197" s="106">
        <v>6.8341302665587023</v>
      </c>
      <c r="Z197" s="106">
        <v>63.34468960091921</v>
      </c>
      <c r="AA197" s="106">
        <v>64.066790145987369</v>
      </c>
      <c r="AB197" s="106">
        <v>63.592500252799248</v>
      </c>
      <c r="AC197" s="106">
        <v>48.59008917965722</v>
      </c>
      <c r="AD197" s="106">
        <v>23.467185771116853</v>
      </c>
      <c r="AE197" s="106">
        <v>60</v>
      </c>
      <c r="AF197" s="106">
        <v>58.915341787351082</v>
      </c>
      <c r="AG197" s="106">
        <v>28.949109419770309</v>
      </c>
      <c r="AH197" s="106">
        <v>23.467185771116853</v>
      </c>
      <c r="AI197" s="106">
        <v>48.590089179657227</v>
      </c>
      <c r="AJ197" s="106">
        <v>76</v>
      </c>
      <c r="AK197" s="106">
        <v>52.488503842826617</v>
      </c>
      <c r="AL197" s="106">
        <v>0</v>
      </c>
      <c r="AM197" s="106">
        <v>7.4618502335176089</v>
      </c>
      <c r="AN197" s="106">
        <v>6.4110575651023112</v>
      </c>
      <c r="AO197" s="106">
        <v>22.983449279897073</v>
      </c>
      <c r="AP197" s="106">
        <v>6.482282358783481E-3</v>
      </c>
      <c r="AQ197" s="106">
        <v>62</v>
      </c>
      <c r="AR197" s="106">
        <v>46.02111313477991</v>
      </c>
      <c r="AS197" s="106">
        <v>50.617677624965808</v>
      </c>
      <c r="AT197" s="106">
        <v>67.175072013544792</v>
      </c>
      <c r="AU197" s="106">
        <v>72.050792668415298</v>
      </c>
      <c r="AV197" s="106">
        <v>24.67772085337214</v>
      </c>
      <c r="AW197" s="106">
        <v>97.173696076955679</v>
      </c>
      <c r="AX197" s="106">
        <v>46.927889259874924</v>
      </c>
      <c r="AY197" s="106">
        <v>98.4136330584994</v>
      </c>
    </row>
    <row r="198" spans="1:51">
      <c r="A198" s="109"/>
      <c r="B198" s="119">
        <v>2</v>
      </c>
      <c r="C198" s="106">
        <v>16.412434876099411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5.5845284314651877</v>
      </c>
      <c r="M198" s="106">
        <v>7.1054273576010019E-15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42.634399565713764</v>
      </c>
      <c r="Y198" s="106">
        <v>53.165869733441298</v>
      </c>
      <c r="Z198" s="106">
        <v>41.755958913098524</v>
      </c>
      <c r="AA198" s="106">
        <v>32.166806556254159</v>
      </c>
      <c r="AB198" s="106">
        <v>0</v>
      </c>
      <c r="AC198" s="106">
        <v>31.918995904374121</v>
      </c>
      <c r="AD198" s="106">
        <v>7.1054273576010019E-15</v>
      </c>
      <c r="AE198" s="106">
        <v>0</v>
      </c>
      <c r="AF198" s="106">
        <v>35.511496157173369</v>
      </c>
      <c r="AG198" s="106">
        <v>71.963901408162513</v>
      </c>
      <c r="AH198" s="106">
        <v>35.539195525483962</v>
      </c>
      <c r="AI198" s="106">
        <v>0</v>
      </c>
      <c r="AJ198" s="106">
        <v>0</v>
      </c>
      <c r="AK198" s="106">
        <v>19.511496157173383</v>
      </c>
      <c r="AL198" s="106">
        <v>68</v>
      </c>
      <c r="AM198" s="106">
        <v>73.931550554837187</v>
      </c>
      <c r="AN198" s="106">
        <v>64.588942434897689</v>
      </c>
      <c r="AO198" s="106">
        <v>65.639735103313001</v>
      </c>
      <c r="AP198" s="106">
        <v>72.528046877276296</v>
      </c>
      <c r="AQ198" s="106">
        <v>0</v>
      </c>
      <c r="AR198" s="106">
        <v>33.511496157173369</v>
      </c>
      <c r="AS198" s="106">
        <v>26.029679533635388</v>
      </c>
      <c r="AT198" s="106">
        <v>21.824927986455208</v>
      </c>
      <c r="AU198" s="106">
        <v>4.8757206548705057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23.606599211645204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63.69741578690661</v>
      </c>
      <c r="D209" s="124">
        <v>44.734891529259819</v>
      </c>
      <c r="E209" s="124">
        <v>60.749072571015901</v>
      </c>
      <c r="F209" s="124">
        <v>97.187371856314655</v>
      </c>
      <c r="G209" s="124">
        <v>97.187371856314655</v>
      </c>
      <c r="H209" s="124">
        <v>9.3528393461738656E-3</v>
      </c>
      <c r="I209" s="124">
        <v>83.06840586381098</v>
      </c>
      <c r="J209" s="124">
        <v>56.08770858116921</v>
      </c>
      <c r="K209" s="124">
        <v>56.087708581169217</v>
      </c>
      <c r="L209" s="124">
        <v>89.937543953035203</v>
      </c>
      <c r="M209" s="124">
        <v>56.087708581169217</v>
      </c>
      <c r="N209" s="124">
        <v>103.95713288849093</v>
      </c>
      <c r="O209" s="124">
        <v>33.859188211212143</v>
      </c>
      <c r="P209" s="124">
        <v>103.95713288849093</v>
      </c>
      <c r="Q209" s="124">
        <v>103.95713288849093</v>
      </c>
      <c r="R209" s="124">
        <v>70.107297516624968</v>
      </c>
      <c r="S209" s="124">
        <v>33.859188211212143</v>
      </c>
      <c r="T209" s="124">
        <v>70.107297516624968</v>
      </c>
      <c r="U209" s="124">
        <v>33.859188211212143</v>
      </c>
      <c r="V209" s="124">
        <v>36.826476022413203</v>
      </c>
      <c r="W209" s="124">
        <v>103.95713288849093</v>
      </c>
      <c r="X209" s="124">
        <v>70.107297516624968</v>
      </c>
      <c r="Y209" s="124">
        <v>66.150164628134021</v>
      </c>
      <c r="Z209" s="124">
        <v>70.107297516624968</v>
      </c>
      <c r="AA209" s="124">
        <v>103.95713288849093</v>
      </c>
      <c r="AB209" s="124">
        <v>70.107297516624968</v>
      </c>
      <c r="AC209" s="124">
        <v>33.85918821121215</v>
      </c>
      <c r="AD209" s="124">
        <v>78.930709053928283</v>
      </c>
      <c r="AE209" s="124">
        <v>65.120475117958435</v>
      </c>
      <c r="AF209" s="124">
        <v>70.107297516624968</v>
      </c>
      <c r="AG209" s="124">
        <v>9.352839346171038E-3</v>
      </c>
      <c r="AH209" s="124">
        <v>70.107297516624968</v>
      </c>
      <c r="AI209" s="124">
        <v>9.3528393461738656E-3</v>
      </c>
      <c r="AJ209" s="124">
        <v>75.90205532272121</v>
      </c>
      <c r="AK209" s="124">
        <v>70.107297516624953</v>
      </c>
      <c r="AL209" s="124">
        <v>103.95713288849092</v>
      </c>
      <c r="AM209" s="124">
        <v>70.107297516624953</v>
      </c>
      <c r="AN209" s="124">
        <v>103.95713288849092</v>
      </c>
      <c r="AO209" s="124">
        <v>9.3528393461738638E-3</v>
      </c>
      <c r="AP209" s="124">
        <v>103.95713288849093</v>
      </c>
      <c r="AQ209" s="124">
        <v>32.90205532272121</v>
      </c>
      <c r="AR209" s="124">
        <v>103.95713288849093</v>
      </c>
      <c r="AS209" s="124">
        <v>103.95713288849093</v>
      </c>
      <c r="AT209" s="124">
        <v>101</v>
      </c>
      <c r="AU209" s="124">
        <v>33.85918821121215</v>
      </c>
      <c r="AV209" s="124">
        <v>70.107297516624968</v>
      </c>
      <c r="AW209" s="124">
        <v>33.859188211212143</v>
      </c>
      <c r="AX209" s="124">
        <v>50.863661108498903</v>
      </c>
      <c r="AY209" s="124">
        <v>33.85918821121215</v>
      </c>
    </row>
    <row r="210" spans="1:51">
      <c r="A210" s="109"/>
      <c r="B210" s="119">
        <v>2</v>
      </c>
      <c r="C210" s="106">
        <v>36.902224875811321</v>
      </c>
      <c r="D210" s="110">
        <v>0</v>
      </c>
      <c r="E210" s="110">
        <v>45.462828245296834</v>
      </c>
      <c r="F210" s="110">
        <v>29.28030978970672</v>
      </c>
      <c r="G210" s="110">
        <v>0</v>
      </c>
      <c r="H210" s="110">
        <v>0</v>
      </c>
      <c r="I210" s="110">
        <v>0</v>
      </c>
      <c r="J210" s="110">
        <v>8.3392109718163567</v>
      </c>
      <c r="K210" s="110">
        <v>33.849835371865986</v>
      </c>
      <c r="L210" s="110">
        <v>0</v>
      </c>
      <c r="M210" s="110">
        <v>0</v>
      </c>
      <c r="N210" s="110">
        <v>0</v>
      </c>
      <c r="O210" s="110">
        <v>0</v>
      </c>
      <c r="P210" s="110">
        <v>4.1967420143522206E-15</v>
      </c>
      <c r="Q210" s="110">
        <v>0</v>
      </c>
      <c r="R210" s="110">
        <v>0</v>
      </c>
      <c r="S210" s="110">
        <v>33.849835371865979</v>
      </c>
      <c r="T210" s="110">
        <v>70.09794467727879</v>
      </c>
      <c r="U210" s="110">
        <v>33.849835371865979</v>
      </c>
      <c r="V210" s="110">
        <v>70.09794467727879</v>
      </c>
      <c r="W210" s="110">
        <v>39.649979366765493</v>
      </c>
      <c r="X210" s="110">
        <v>0</v>
      </c>
      <c r="Y210" s="110">
        <v>33.849835371865979</v>
      </c>
      <c r="Z210" s="110">
        <v>22.330267294026772</v>
      </c>
      <c r="AA210" s="110">
        <v>33.849835371865979</v>
      </c>
      <c r="AB210" s="110">
        <v>0</v>
      </c>
      <c r="AC210" s="110">
        <v>0</v>
      </c>
      <c r="AD210" s="110">
        <v>0</v>
      </c>
      <c r="AE210" s="110">
        <v>14.781580204762781</v>
      </c>
      <c r="AF210" s="110">
        <v>22.938442004935457</v>
      </c>
      <c r="AG210" s="110">
        <v>33.849835371865979</v>
      </c>
      <c r="AH210" s="110">
        <v>1.6700902059067675E-15</v>
      </c>
      <c r="AI210" s="110">
        <v>33.849835371865979</v>
      </c>
      <c r="AJ210" s="110">
        <v>70.09794467727879</v>
      </c>
      <c r="AK210" s="110">
        <v>36.563451562455739</v>
      </c>
      <c r="AL210" s="110">
        <v>8.3934840287044412E-15</v>
      </c>
      <c r="AM210" s="110">
        <v>8.3934840287044412E-15</v>
      </c>
      <c r="AN210" s="110">
        <v>33.849835371865986</v>
      </c>
      <c r="AO210" s="110">
        <v>8.3934840287044412E-15</v>
      </c>
      <c r="AP210" s="110">
        <v>33.849835371865979</v>
      </c>
      <c r="AQ210" s="110">
        <v>0</v>
      </c>
      <c r="AR210" s="110">
        <v>0.5653199454852248</v>
      </c>
      <c r="AS210" s="110">
        <v>0</v>
      </c>
      <c r="AT210" s="110">
        <v>0</v>
      </c>
      <c r="AU210" s="110">
        <v>1.7465978062356435</v>
      </c>
      <c r="AV210" s="110">
        <v>70.09794467727879</v>
      </c>
      <c r="AW210" s="110">
        <v>33.849835371865979</v>
      </c>
      <c r="AX210" s="110">
        <v>70.09794467727879</v>
      </c>
      <c r="AY210" s="110">
        <v>31.359071382040966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27.080074339689684</v>
      </c>
      <c r="K211" s="110">
        <v>0</v>
      </c>
      <c r="L211" s="110">
        <v>0</v>
      </c>
      <c r="M211" s="110">
        <v>33.849835371865979</v>
      </c>
      <c r="N211" s="110">
        <v>0</v>
      </c>
      <c r="O211" s="110">
        <v>33.849835371865979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33.849835371865979</v>
      </c>
      <c r="AE211" s="110">
        <v>70.09794467727879</v>
      </c>
      <c r="AF211" s="110">
        <v>0</v>
      </c>
      <c r="AG211" s="110">
        <v>0</v>
      </c>
      <c r="AH211" s="110">
        <v>0</v>
      </c>
      <c r="AI211" s="110">
        <v>103.94778004914478</v>
      </c>
      <c r="AJ211" s="110">
        <v>0</v>
      </c>
      <c r="AK211" s="110">
        <v>0</v>
      </c>
      <c r="AL211" s="110">
        <v>0</v>
      </c>
      <c r="AM211" s="110">
        <v>33.849835371865979</v>
      </c>
      <c r="AN211" s="110">
        <v>0</v>
      </c>
      <c r="AO211" s="110">
        <v>0</v>
      </c>
      <c r="AP211" s="110">
        <v>0</v>
      </c>
      <c r="AQ211" s="110">
        <v>70.09794467727879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20153.209292040123</v>
      </c>
      <c r="E259" s="124">
        <f t="shared" ref="E259:AX259" si="5">F$14*$B$259</f>
        <v>47848.795275529192</v>
      </c>
      <c r="F259" s="124">
        <f t="shared" si="5"/>
        <v>56974.088228744644</v>
      </c>
      <c r="G259" s="124">
        <f t="shared" si="5"/>
        <v>43783.216603588946</v>
      </c>
      <c r="H259" s="124">
        <f t="shared" si="5"/>
        <v>4.2134835332054816</v>
      </c>
      <c r="I259" s="124">
        <f t="shared" si="5"/>
        <v>43783.216603588946</v>
      </c>
      <c r="J259" s="124">
        <f t="shared" si="5"/>
        <v>41224.188470386915</v>
      </c>
      <c r="K259" s="124">
        <f t="shared" si="5"/>
        <v>40517.146337821163</v>
      </c>
      <c r="L259" s="124">
        <f t="shared" si="5"/>
        <v>40517.146337821156</v>
      </c>
      <c r="M259" s="124">
        <f t="shared" si="5"/>
        <v>40517.146337821156</v>
      </c>
      <c r="N259" s="124">
        <f t="shared" si="5"/>
        <v>46833.015234469945</v>
      </c>
      <c r="O259" s="124">
        <f t="shared" si="5"/>
        <v>30503.128018918702</v>
      </c>
      <c r="P259" s="124">
        <f t="shared" si="5"/>
        <v>46833.015234469945</v>
      </c>
      <c r="Q259" s="124">
        <f t="shared" si="5"/>
        <v>46833.015234469945</v>
      </c>
      <c r="R259" s="124">
        <f t="shared" si="5"/>
        <v>31583.557966777196</v>
      </c>
      <c r="S259" s="124">
        <f t="shared" si="5"/>
        <v>30503.128018918702</v>
      </c>
      <c r="T259" s="124">
        <f t="shared" si="5"/>
        <v>63162.902450021189</v>
      </c>
      <c r="U259" s="124">
        <f t="shared" si="5"/>
        <v>30503.128018918702</v>
      </c>
      <c r="V259" s="124">
        <f t="shared" si="5"/>
        <v>78412.359717713945</v>
      </c>
      <c r="W259" s="124">
        <f t="shared" si="5"/>
        <v>64695.455609022894</v>
      </c>
      <c r="X259" s="124">
        <f t="shared" si="5"/>
        <v>31583.557966777196</v>
      </c>
      <c r="Y259" s="124">
        <f t="shared" si="5"/>
        <v>62082.472502162687</v>
      </c>
      <c r="Z259" s="124">
        <f t="shared" si="5"/>
        <v>41643.41359489179</v>
      </c>
      <c r="AA259" s="124">
        <f t="shared" si="5"/>
        <v>62082.472502162687</v>
      </c>
      <c r="AB259" s="124">
        <f t="shared" si="5"/>
        <v>31583.557966777196</v>
      </c>
      <c r="AC259" s="124">
        <f t="shared" si="5"/>
        <v>15253.670751225955</v>
      </c>
      <c r="AD259" s="124">
        <f t="shared" si="5"/>
        <v>62082.472502162687</v>
      </c>
      <c r="AE259" s="124">
        <f t="shared" si="5"/>
        <v>85071.508077083839</v>
      </c>
      <c r="AF259" s="124">
        <f t="shared" si="5"/>
        <v>41917.398214415276</v>
      </c>
      <c r="AG259" s="124">
        <f t="shared" si="5"/>
        <v>15253.670751225955</v>
      </c>
      <c r="AH259" s="124">
        <f t="shared" si="5"/>
        <v>31583.557966777196</v>
      </c>
      <c r="AI259" s="124">
        <f t="shared" si="5"/>
        <v>62082.472502162702</v>
      </c>
      <c r="AJ259" s="124">
        <f t="shared" si="5"/>
        <v>93661.81698540668</v>
      </c>
      <c r="AK259" s="124">
        <f t="shared" si="5"/>
        <v>48055.507860644175</v>
      </c>
      <c r="AL259" s="124">
        <f t="shared" si="5"/>
        <v>46833.015234469945</v>
      </c>
      <c r="AM259" s="124">
        <f t="shared" si="5"/>
        <v>46833.015234469953</v>
      </c>
      <c r="AN259" s="124">
        <f t="shared" si="5"/>
        <v>62082.472502162687</v>
      </c>
      <c r="AO259" s="124">
        <f t="shared" si="5"/>
        <v>4.2134835332092626</v>
      </c>
      <c r="AP259" s="124">
        <f t="shared" si="5"/>
        <v>62082.472502162687</v>
      </c>
      <c r="AQ259" s="124">
        <f t="shared" si="5"/>
        <v>46833.015234469945</v>
      </c>
      <c r="AR259" s="124">
        <f t="shared" si="5"/>
        <v>47087.693647423657</v>
      </c>
      <c r="AS259" s="124">
        <f t="shared" si="5"/>
        <v>46833.015234469945</v>
      </c>
      <c r="AT259" s="124">
        <f t="shared" si="5"/>
        <v>46833.015234469945</v>
      </c>
      <c r="AU259" s="124">
        <f t="shared" si="5"/>
        <v>16040.518554691891</v>
      </c>
      <c r="AV259" s="124">
        <f t="shared" si="5"/>
        <v>63162.902450021189</v>
      </c>
      <c r="AW259" s="124">
        <f t="shared" si="5"/>
        <v>30503.128018918702</v>
      </c>
      <c r="AX259" s="124">
        <f t="shared" si="5"/>
        <v>78412.359717713945</v>
      </c>
      <c r="AY259" s="124">
        <f>AZ$14*$B$259</f>
        <v>29381.031009894145</v>
      </c>
      <c r="AZ259" s="139">
        <f>SUM($D259:$AY259)</f>
        <v>2152044.4906773241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3179.9999999999995</v>
      </c>
      <c r="E260" s="125">
        <f t="shared" ref="E260:AY260" si="6">(E$175-E$176+E$177-E$178+E$179-E$180+E$181-E$182)*$B$260</f>
        <v>6510.6099396700729</v>
      </c>
      <c r="F260" s="125">
        <f t="shared" si="6"/>
        <v>10998.310334059192</v>
      </c>
      <c r="G260" s="125">
        <f t="shared" si="6"/>
        <v>10520.254125888225</v>
      </c>
      <c r="H260" s="125">
        <f t="shared" si="6"/>
        <v>8340</v>
      </c>
      <c r="I260" s="125">
        <f t="shared" si="6"/>
        <v>12127.13795955022</v>
      </c>
      <c r="J260" s="125">
        <f t="shared" si="6"/>
        <v>11999.999999999996</v>
      </c>
      <c r="K260" s="125">
        <f t="shared" si="6"/>
        <v>12875.071705887911</v>
      </c>
      <c r="L260" s="125">
        <f t="shared" si="6"/>
        <v>14939.999999999998</v>
      </c>
      <c r="M260" s="125">
        <f t="shared" si="6"/>
        <v>14459.999999999998</v>
      </c>
      <c r="N260" s="125">
        <f t="shared" si="6"/>
        <v>15120</v>
      </c>
      <c r="O260" s="125">
        <f t="shared" si="6"/>
        <v>17760</v>
      </c>
      <c r="P260" s="125">
        <f t="shared" si="6"/>
        <v>20106.317078478125</v>
      </c>
      <c r="Q260" s="125">
        <f t="shared" si="6"/>
        <v>19320</v>
      </c>
      <c r="R260" s="125">
        <f t="shared" si="6"/>
        <v>20100</v>
      </c>
      <c r="S260" s="125">
        <f t="shared" si="6"/>
        <v>19980</v>
      </c>
      <c r="T260" s="125">
        <f t="shared" si="6"/>
        <v>26728.699084019794</v>
      </c>
      <c r="U260" s="125">
        <f t="shared" si="6"/>
        <v>23772.63415695625</v>
      </c>
      <c r="V260" s="125">
        <f t="shared" si="6"/>
        <v>37211.140189408936</v>
      </c>
      <c r="W260" s="125">
        <f t="shared" si="6"/>
        <v>35207.681829865229</v>
      </c>
      <c r="X260" s="125">
        <f t="shared" si="6"/>
        <v>35223.919581938768</v>
      </c>
      <c r="Y260" s="125">
        <f t="shared" si="6"/>
        <v>37676.027643285976</v>
      </c>
      <c r="Z260" s="125">
        <f t="shared" si="6"/>
        <v>31750.00839337525</v>
      </c>
      <c r="AA260" s="125">
        <f t="shared" si="6"/>
        <v>28500</v>
      </c>
      <c r="AB260" s="125">
        <f t="shared" si="6"/>
        <v>32935.139754262447</v>
      </c>
      <c r="AC260" s="125">
        <f t="shared" si="6"/>
        <v>30180.000000000004</v>
      </c>
      <c r="AD260" s="125">
        <f t="shared" si="6"/>
        <v>34589.870045020121</v>
      </c>
      <c r="AE260" s="125">
        <f t="shared" si="6"/>
        <v>38139.84047109673</v>
      </c>
      <c r="AF260" s="125">
        <f t="shared" si="6"/>
        <v>33657.834084489754</v>
      </c>
      <c r="AG260" s="125">
        <f t="shared" si="6"/>
        <v>31532.351731529045</v>
      </c>
      <c r="AH260" s="125">
        <f t="shared" si="6"/>
        <v>29280</v>
      </c>
      <c r="AI260" s="125">
        <f t="shared" si="6"/>
        <v>30928.284614946355</v>
      </c>
      <c r="AJ260" s="125">
        <f t="shared" si="6"/>
        <v>42305.903317591154</v>
      </c>
      <c r="AK260" s="125">
        <f t="shared" si="6"/>
        <v>41221.664266611209</v>
      </c>
      <c r="AL260" s="125">
        <f t="shared" si="6"/>
        <v>38103.874378379573</v>
      </c>
      <c r="AM260" s="125">
        <f t="shared" si="6"/>
        <v>35353.239016962616</v>
      </c>
      <c r="AN260" s="125">
        <f t="shared" si="6"/>
        <v>39344.571192013886</v>
      </c>
      <c r="AO260" s="125">
        <f t="shared" si="6"/>
        <v>31471.68281263658</v>
      </c>
      <c r="AP260" s="125">
        <f t="shared" si="6"/>
        <v>31768.284614946355</v>
      </c>
      <c r="AQ260" s="125">
        <f t="shared" si="6"/>
        <v>33242.719436164341</v>
      </c>
      <c r="AR260" s="125">
        <f t="shared" si="6"/>
        <v>32761.780772018134</v>
      </c>
      <c r="AS260" s="125">
        <f t="shared" si="6"/>
        <v>29929.495679187308</v>
      </c>
      <c r="AT260" s="125">
        <f t="shared" si="6"/>
        <v>26816.288291079814</v>
      </c>
      <c r="AU260" s="125">
        <f t="shared" si="6"/>
        <v>28560</v>
      </c>
      <c r="AV260" s="125">
        <f t="shared" si="6"/>
        <v>30000.000000000004</v>
      </c>
      <c r="AW260" s="125">
        <f t="shared" si="6"/>
        <v>27659.999999999996</v>
      </c>
      <c r="AX260" s="125">
        <f t="shared" si="6"/>
        <v>35516.274927287537</v>
      </c>
      <c r="AY260" s="125">
        <f t="shared" si="6"/>
        <v>30133.245990432864</v>
      </c>
      <c r="AZ260" s="141">
        <f>SUM($D260:$AY260)</f>
        <v>1269840.1574190399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46</v>
      </c>
    </row>
    <row r="3" spans="1:54">
      <c r="A3" s="100" t="s">
        <v>286</v>
      </c>
      <c r="B3" s="108">
        <v>2000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152</v>
      </c>
      <c r="I9" s="117">
        <v>152</v>
      </c>
      <c r="J9" s="117">
        <v>152</v>
      </c>
      <c r="K9" s="117">
        <v>152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4">
      <c r="A10" s="118" t="s">
        <v>133</v>
      </c>
      <c r="B10" s="119">
        <v>1</v>
      </c>
      <c r="C10" s="106" t="s">
        <v>293</v>
      </c>
      <c r="D10" s="100">
        <v>122.49905233473723</v>
      </c>
      <c r="E10" s="100">
        <v>122.35081128392824</v>
      </c>
      <c r="F10" s="100">
        <v>152.93851410491021</v>
      </c>
      <c r="G10" s="100">
        <v>88.093561254120345</v>
      </c>
      <c r="H10" s="100">
        <v>0</v>
      </c>
      <c r="I10" s="100">
        <v>152.93851410491021</v>
      </c>
      <c r="J10" s="100">
        <v>122.35081128392819</v>
      </c>
      <c r="K10" s="100">
        <v>122.35081128392819</v>
      </c>
      <c r="L10" s="100">
        <v>122.35081128392821</v>
      </c>
      <c r="M10" s="100">
        <v>122.35081128392819</v>
      </c>
      <c r="N10" s="100">
        <v>62.923972324371675</v>
      </c>
      <c r="O10" s="100">
        <v>0</v>
      </c>
      <c r="P10" s="100">
        <v>152.93851410491021</v>
      </c>
      <c r="Q10" s="100">
        <v>152.93851410491021</v>
      </c>
      <c r="R10" s="100">
        <v>152.93851410491021</v>
      </c>
      <c r="S10" s="100">
        <v>12.584794464874335</v>
      </c>
      <c r="T10" s="100">
        <v>152.93851410491021</v>
      </c>
      <c r="U10" s="100">
        <v>152.93851410491021</v>
      </c>
      <c r="V10" s="100">
        <v>152.93851410491021</v>
      </c>
      <c r="W10" s="100">
        <v>152.93851410491021</v>
      </c>
      <c r="X10" s="100">
        <v>152.93851410491021</v>
      </c>
      <c r="Y10" s="100">
        <v>12.584794464874335</v>
      </c>
      <c r="Z10" s="100">
        <v>152.93851410491021</v>
      </c>
      <c r="AA10" s="100">
        <v>12.584794464874335</v>
      </c>
      <c r="AB10" s="100">
        <v>152.93851410491021</v>
      </c>
      <c r="AC10" s="100">
        <v>152.93851410491021</v>
      </c>
      <c r="AD10" s="100">
        <v>152.93851410491021</v>
      </c>
      <c r="AE10" s="100">
        <v>152.93851410491021</v>
      </c>
      <c r="AF10" s="100">
        <v>152.93851410491021</v>
      </c>
      <c r="AG10" s="100">
        <v>12.584794464874335</v>
      </c>
      <c r="AH10" s="100">
        <v>152.93851410491021</v>
      </c>
      <c r="AI10" s="100">
        <v>152.93851410491021</v>
      </c>
      <c r="AJ10" s="100">
        <v>152.93851410491021</v>
      </c>
      <c r="AK10" s="100">
        <v>152.93851410491021</v>
      </c>
      <c r="AL10" s="100">
        <v>152.93851410491021</v>
      </c>
      <c r="AM10" s="100">
        <v>152.93851410491021</v>
      </c>
      <c r="AN10" s="100">
        <v>152.93851410491021</v>
      </c>
      <c r="AO10" s="100">
        <v>152.93851410491021</v>
      </c>
      <c r="AP10" s="100">
        <v>152.93851410491021</v>
      </c>
      <c r="AQ10" s="100">
        <v>0</v>
      </c>
      <c r="AR10" s="100">
        <v>152.93851410491021</v>
      </c>
      <c r="AS10" s="100">
        <v>152.93851410491021</v>
      </c>
      <c r="AT10" s="100">
        <v>152.93851410491021</v>
      </c>
      <c r="AU10" s="100">
        <v>12.584794464874335</v>
      </c>
      <c r="AV10" s="100">
        <v>152.93851410491021</v>
      </c>
      <c r="AW10" s="100">
        <v>152.93851410491021</v>
      </c>
      <c r="AX10" s="100">
        <v>152.93851410491021</v>
      </c>
      <c r="AY10" s="100">
        <v>152.93851410491021</v>
      </c>
      <c r="AZ10" s="100">
        <v>152.93851410491021</v>
      </c>
    </row>
    <row r="11" spans="1:54">
      <c r="B11" s="119">
        <v>2</v>
      </c>
      <c r="C11" s="106" t="s">
        <v>293</v>
      </c>
      <c r="D11" s="100">
        <v>1.0173059311725083</v>
      </c>
      <c r="G11" s="100">
        <v>0</v>
      </c>
      <c r="H11" s="100">
        <v>64.844952850789866</v>
      </c>
      <c r="L11" s="100">
        <v>0</v>
      </c>
      <c r="M11" s="100">
        <v>0</v>
      </c>
      <c r="N11" s="100">
        <v>0</v>
      </c>
      <c r="O11" s="100">
        <v>90.014541780538536</v>
      </c>
      <c r="P11" s="100">
        <v>0</v>
      </c>
      <c r="Q11" s="100">
        <v>0</v>
      </c>
      <c r="T11" s="100">
        <v>140.35371964003588</v>
      </c>
      <c r="U11" s="100">
        <v>0</v>
      </c>
      <c r="V11" s="100">
        <v>0</v>
      </c>
      <c r="W11" s="100">
        <v>0</v>
      </c>
      <c r="Y11" s="100">
        <v>0</v>
      </c>
      <c r="Z11" s="100">
        <v>140.35371964003588</v>
      </c>
      <c r="AA11" s="100">
        <v>0</v>
      </c>
      <c r="AE11" s="100">
        <v>0</v>
      </c>
      <c r="AG11" s="100">
        <v>0</v>
      </c>
      <c r="AH11" s="100">
        <v>140.35371964003588</v>
      </c>
      <c r="AK11" s="100">
        <v>0</v>
      </c>
      <c r="AM11" s="100">
        <v>0</v>
      </c>
      <c r="AO11" s="100">
        <v>0</v>
      </c>
      <c r="AQ11" s="100">
        <v>0</v>
      </c>
      <c r="AR11" s="100">
        <v>0</v>
      </c>
      <c r="AS11" s="100">
        <v>0</v>
      </c>
      <c r="AT11" s="100">
        <v>0</v>
      </c>
      <c r="AV11" s="100">
        <v>140.35371964003588</v>
      </c>
      <c r="AY11" s="100">
        <v>0</v>
      </c>
    </row>
    <row r="12" spans="1:54">
      <c r="B12" s="120">
        <v>3</v>
      </c>
      <c r="C12" s="106" t="s">
        <v>293</v>
      </c>
      <c r="E12" s="100">
        <v>0</v>
      </c>
      <c r="Y12" s="100">
        <v>0</v>
      </c>
      <c r="Z12" s="100">
        <v>0</v>
      </c>
      <c r="AC12" s="100">
        <v>140.35371964003588</v>
      </c>
      <c r="AR12" s="100">
        <v>0</v>
      </c>
      <c r="AX12" s="100">
        <v>0</v>
      </c>
      <c r="AY12" s="100">
        <v>0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84.956812060243635</v>
      </c>
      <c r="E14" s="117">
        <f t="shared" ref="E14:AZ14" si="0">D$172*SUM(D$122:D$169)</f>
        <v>69.982718483459621</v>
      </c>
      <c r="F14" s="117">
        <f t="shared" si="0"/>
        <v>68.947173647495191</v>
      </c>
      <c r="G14" s="117">
        <f t="shared" si="0"/>
        <v>86.182028648203499</v>
      </c>
      <c r="H14" s="117">
        <f t="shared" si="0"/>
        <v>49.644686617258159</v>
      </c>
      <c r="I14" s="117">
        <f t="shared" si="0"/>
        <v>36.545095675607122</v>
      </c>
      <c r="J14" s="117">
        <f t="shared" si="0"/>
        <v>86.182028648203499</v>
      </c>
      <c r="K14" s="117">
        <f t="shared" si="0"/>
        <v>68.947173647495177</v>
      </c>
      <c r="L14" s="117">
        <f t="shared" si="0"/>
        <v>68.947173647495177</v>
      </c>
      <c r="M14" s="117">
        <f t="shared" si="0"/>
        <v>68.947173647495177</v>
      </c>
      <c r="N14" s="117">
        <f t="shared" si="0"/>
        <v>68.947173647495177</v>
      </c>
      <c r="O14" s="117">
        <f t="shared" si="0"/>
        <v>35.462705767944904</v>
      </c>
      <c r="P14" s="117">
        <f t="shared" si="0"/>
        <v>50.727076524920371</v>
      </c>
      <c r="Q14" s="117">
        <f t="shared" si="0"/>
        <v>86.182028648203499</v>
      </c>
      <c r="R14" s="117">
        <f t="shared" si="0"/>
        <v>86.182028648203499</v>
      </c>
      <c r="S14" s="117">
        <f t="shared" si="0"/>
        <v>86.182028648203499</v>
      </c>
      <c r="T14" s="117">
        <f t="shared" si="0"/>
        <v>7.0987440693183981</v>
      </c>
      <c r="U14" s="117">
        <f t="shared" si="0"/>
        <v>165.2653132270886</v>
      </c>
      <c r="V14" s="117">
        <f t="shared" si="0"/>
        <v>120.75836678991496</v>
      </c>
      <c r="W14" s="117">
        <f t="shared" si="0"/>
        <v>93.437691969396923</v>
      </c>
      <c r="X14" s="117">
        <f t="shared" si="0"/>
        <v>86.182028648203513</v>
      </c>
      <c r="Y14" s="117">
        <f t="shared" si="0"/>
        <v>86.182028648203499</v>
      </c>
      <c r="Z14" s="117">
        <f t="shared" si="0"/>
        <v>7.0987440693183981</v>
      </c>
      <c r="AA14" s="117">
        <f t="shared" si="0"/>
        <v>165.2653132270886</v>
      </c>
      <c r="AB14" s="117">
        <f t="shared" si="0"/>
        <v>26.194162406054513</v>
      </c>
      <c r="AC14" s="117">
        <f t="shared" si="0"/>
        <v>86.182028648203499</v>
      </c>
      <c r="AD14" s="117">
        <f t="shared" si="0"/>
        <v>165.2653132270886</v>
      </c>
      <c r="AE14" s="117">
        <f t="shared" si="0"/>
        <v>109.49702323622289</v>
      </c>
      <c r="AF14" s="117">
        <f t="shared" si="0"/>
        <v>86.182028648203513</v>
      </c>
      <c r="AG14" s="117">
        <f t="shared" si="0"/>
        <v>86.182028648203499</v>
      </c>
      <c r="AH14" s="117">
        <f t="shared" si="0"/>
        <v>7.0987440693183981</v>
      </c>
      <c r="AI14" s="117">
        <f t="shared" si="0"/>
        <v>165.2653132270886</v>
      </c>
      <c r="AJ14" s="117">
        <f t="shared" si="0"/>
        <v>118.3083873346617</v>
      </c>
      <c r="AK14" s="117">
        <f t="shared" si="0"/>
        <v>95.649827728113209</v>
      </c>
      <c r="AL14" s="117">
        <f t="shared" si="0"/>
        <v>86.182028648203499</v>
      </c>
      <c r="AM14" s="117">
        <f t="shared" si="0"/>
        <v>86.182028648203499</v>
      </c>
      <c r="AN14" s="117">
        <f t="shared" si="0"/>
        <v>86.182028648203499</v>
      </c>
      <c r="AO14" s="117">
        <f t="shared" si="0"/>
        <v>86.182028648203499</v>
      </c>
      <c r="AP14" s="117">
        <f t="shared" si="0"/>
        <v>86.182028648203499</v>
      </c>
      <c r="AQ14" s="117">
        <f t="shared" si="0"/>
        <v>86.182028648203499</v>
      </c>
      <c r="AR14" s="117">
        <f t="shared" si="0"/>
        <v>7.7536446617722989E-3</v>
      </c>
      <c r="AS14" s="117">
        <f t="shared" si="0"/>
        <v>86.182028648203499</v>
      </c>
      <c r="AT14" s="117">
        <f t="shared" si="0"/>
        <v>86.182028648203499</v>
      </c>
      <c r="AU14" s="117">
        <f t="shared" si="0"/>
        <v>86.182028648203499</v>
      </c>
      <c r="AV14" s="117">
        <f t="shared" si="0"/>
        <v>7.0987440693183981</v>
      </c>
      <c r="AW14" s="117">
        <f t="shared" si="0"/>
        <v>165.2653132270886</v>
      </c>
      <c r="AX14" s="117">
        <f t="shared" si="0"/>
        <v>107.73587105553069</v>
      </c>
      <c r="AY14" s="117">
        <f t="shared" si="0"/>
        <v>86.182028648203499</v>
      </c>
      <c r="AZ14" s="110">
        <f t="shared" si="0"/>
        <v>86.182028648203499</v>
      </c>
      <c r="BA14" s="107">
        <f>SUM($E14:$AZ14)</f>
        <v>3923.2313794962115</v>
      </c>
    </row>
    <row r="15" spans="1:54">
      <c r="A15" s="122" t="s">
        <v>123</v>
      </c>
      <c r="B15" s="123">
        <v>1</v>
      </c>
      <c r="C15" s="124" t="s">
        <v>293</v>
      </c>
      <c r="D15" s="124">
        <v>170.45948193096709</v>
      </c>
      <c r="E15" s="124">
        <v>169.33166288900651</v>
      </c>
      <c r="F15" s="124">
        <v>211.65981794640922</v>
      </c>
      <c r="G15" s="124">
        <v>121.92548140527485</v>
      </c>
      <c r="H15" s="124">
        <v>1.9042659395162458E-2</v>
      </c>
      <c r="I15" s="124">
        <v>211.65981794640922</v>
      </c>
      <c r="J15" s="124">
        <v>169.33166288900645</v>
      </c>
      <c r="K15" s="124">
        <v>169.33166288900645</v>
      </c>
      <c r="L15" s="124">
        <v>169.33166288900645</v>
      </c>
      <c r="M15" s="124">
        <v>169.33166288900645</v>
      </c>
      <c r="N15" s="124">
        <v>87.095070335023507</v>
      </c>
      <c r="O15" s="124">
        <v>1.9042659395162458E-2</v>
      </c>
      <c r="P15" s="124">
        <v>211.65981794640922</v>
      </c>
      <c r="Q15" s="124">
        <v>211.65981794640922</v>
      </c>
      <c r="R15" s="124">
        <v>211.65981794640922</v>
      </c>
      <c r="S15" s="124">
        <v>17.43424819452083</v>
      </c>
      <c r="T15" s="124">
        <v>211.65981794640922</v>
      </c>
      <c r="U15" s="124">
        <v>211.65981794640922</v>
      </c>
      <c r="V15" s="124">
        <v>211.65981794640922</v>
      </c>
      <c r="W15" s="124">
        <v>211.65981794640922</v>
      </c>
      <c r="X15" s="124">
        <v>211.65981794640922</v>
      </c>
      <c r="Y15" s="124">
        <v>17.43424819452083</v>
      </c>
      <c r="Z15" s="124">
        <v>211.65981794640922</v>
      </c>
      <c r="AA15" s="124">
        <v>17.43424819452083</v>
      </c>
      <c r="AB15" s="124">
        <v>211.65981794640922</v>
      </c>
      <c r="AC15" s="124">
        <v>211.65981794640922</v>
      </c>
      <c r="AD15" s="124">
        <v>211.65981794640922</v>
      </c>
      <c r="AE15" s="124">
        <v>211.65981794640922</v>
      </c>
      <c r="AF15" s="124">
        <v>211.65981794640922</v>
      </c>
      <c r="AG15" s="124">
        <v>17.43424819452083</v>
      </c>
      <c r="AH15" s="124">
        <v>211.65981794640922</v>
      </c>
      <c r="AI15" s="124">
        <v>211.65981794640922</v>
      </c>
      <c r="AJ15" s="124">
        <v>211.65981794640922</v>
      </c>
      <c r="AK15" s="124">
        <v>211.65981794640922</v>
      </c>
      <c r="AL15" s="124">
        <v>211.65981794640922</v>
      </c>
      <c r="AM15" s="124">
        <v>211.65981794640922</v>
      </c>
      <c r="AN15" s="124">
        <v>211.65981794640922</v>
      </c>
      <c r="AO15" s="124">
        <v>211.65981794640922</v>
      </c>
      <c r="AP15" s="124">
        <v>211.65981794640922</v>
      </c>
      <c r="AQ15" s="124">
        <v>1.9042659395162458E-2</v>
      </c>
      <c r="AR15" s="124">
        <v>211.65981794640922</v>
      </c>
      <c r="AS15" s="124">
        <v>211.65981794640922</v>
      </c>
      <c r="AT15" s="124">
        <v>211.65981794640922</v>
      </c>
      <c r="AU15" s="124">
        <v>17.43424819452083</v>
      </c>
      <c r="AV15" s="124">
        <v>211.65981794640922</v>
      </c>
      <c r="AW15" s="124">
        <v>211.65981794640922</v>
      </c>
      <c r="AX15" s="124">
        <v>211.65981794640922</v>
      </c>
      <c r="AY15" s="124">
        <v>211.65981794640922</v>
      </c>
      <c r="AZ15" s="100">
        <v>211.64077528701407</v>
      </c>
    </row>
    <row r="16" spans="1:54">
      <c r="A16" s="110"/>
      <c r="B16" s="119">
        <v>2</v>
      </c>
      <c r="C16" s="109" t="s">
        <v>293</v>
      </c>
      <c r="D16" s="106">
        <v>1.4154400909879428</v>
      </c>
      <c r="E16" s="110"/>
      <c r="F16" s="110"/>
      <c r="G16" s="110">
        <v>0</v>
      </c>
      <c r="H16" s="110">
        <v>89.734336541134383</v>
      </c>
      <c r="I16" s="110"/>
      <c r="J16" s="110"/>
      <c r="K16" s="110"/>
      <c r="L16" s="110">
        <v>0</v>
      </c>
      <c r="M16" s="110">
        <v>0</v>
      </c>
      <c r="N16" s="110">
        <v>0</v>
      </c>
      <c r="O16" s="110">
        <v>124.56474761138573</v>
      </c>
      <c r="P16" s="110">
        <v>0</v>
      </c>
      <c r="Q16" s="110">
        <v>0</v>
      </c>
      <c r="R16" s="110"/>
      <c r="S16" s="110"/>
      <c r="T16" s="110">
        <v>194.2255697518884</v>
      </c>
      <c r="U16" s="110">
        <v>0</v>
      </c>
      <c r="V16" s="110">
        <v>0</v>
      </c>
      <c r="W16" s="110">
        <v>0</v>
      </c>
      <c r="X16" s="110"/>
      <c r="Y16" s="110">
        <v>0</v>
      </c>
      <c r="Z16" s="110">
        <v>194.2255697518884</v>
      </c>
      <c r="AA16" s="110">
        <v>0</v>
      </c>
      <c r="AB16" s="110"/>
      <c r="AC16" s="110"/>
      <c r="AD16" s="110"/>
      <c r="AE16" s="110">
        <v>0</v>
      </c>
      <c r="AF16" s="110"/>
      <c r="AG16" s="110">
        <v>0</v>
      </c>
      <c r="AH16" s="110">
        <v>194.2255697518884</v>
      </c>
      <c r="AI16" s="110"/>
      <c r="AJ16" s="110"/>
      <c r="AK16" s="110">
        <v>0</v>
      </c>
      <c r="AL16" s="110"/>
      <c r="AM16" s="110">
        <v>0</v>
      </c>
      <c r="AN16" s="110"/>
      <c r="AO16" s="110">
        <v>0</v>
      </c>
      <c r="AP16" s="110"/>
      <c r="AQ16" s="110">
        <v>0</v>
      </c>
      <c r="AR16" s="110">
        <v>0</v>
      </c>
      <c r="AS16" s="110">
        <v>0</v>
      </c>
      <c r="AT16" s="110">
        <v>0</v>
      </c>
      <c r="AU16" s="110"/>
      <c r="AV16" s="110">
        <v>194.2255697518884</v>
      </c>
      <c r="AW16" s="110"/>
      <c r="AX16" s="110"/>
      <c r="AY16" s="110">
        <v>0</v>
      </c>
    </row>
    <row r="17" spans="1:54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>
        <v>0</v>
      </c>
      <c r="Z17" s="110">
        <v>0</v>
      </c>
      <c r="AA17" s="110"/>
      <c r="AB17" s="110"/>
      <c r="AC17" s="110">
        <v>194.2255697518884</v>
      </c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>
        <v>0</v>
      </c>
      <c r="AS17" s="110"/>
      <c r="AT17" s="110"/>
      <c r="AU17" s="110"/>
      <c r="AV17" s="110"/>
      <c r="AW17" s="110"/>
      <c r="AX17" s="110">
        <v>0</v>
      </c>
      <c r="AY17" s="110">
        <v>0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152</v>
      </c>
      <c r="D95" s="110">
        <v>190</v>
      </c>
      <c r="E95" s="110">
        <v>190</v>
      </c>
      <c r="F95" s="110">
        <v>190</v>
      </c>
      <c r="G95" s="110">
        <v>190</v>
      </c>
      <c r="H95" s="110">
        <v>152</v>
      </c>
      <c r="I95" s="110">
        <v>152</v>
      </c>
      <c r="J95" s="110">
        <v>152</v>
      </c>
      <c r="K95" s="110">
        <v>152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65.500959421959649</v>
      </c>
      <c r="D96" s="110">
        <v>55.500959421959649</v>
      </c>
      <c r="E96" s="110">
        <v>41.500959421959635</v>
      </c>
      <c r="F96" s="110">
        <v>57.500959421959635</v>
      </c>
      <c r="G96" s="110">
        <v>72.500959421959635</v>
      </c>
      <c r="H96" s="110">
        <v>77.500959421959635</v>
      </c>
      <c r="I96" s="110">
        <v>14.500959421959635</v>
      </c>
      <c r="J96" s="110">
        <v>0</v>
      </c>
      <c r="K96" s="110">
        <v>0</v>
      </c>
      <c r="L96" s="110">
        <v>2</v>
      </c>
      <c r="M96" s="110">
        <v>0</v>
      </c>
      <c r="N96" s="110">
        <v>0</v>
      </c>
      <c r="O96" s="110">
        <v>5</v>
      </c>
      <c r="P96" s="110">
        <v>28</v>
      </c>
      <c r="Q96" s="110">
        <v>33</v>
      </c>
      <c r="R96" s="110">
        <v>43</v>
      </c>
      <c r="S96" s="110">
        <v>42</v>
      </c>
      <c r="T96" s="110">
        <v>3</v>
      </c>
      <c r="U96" s="110">
        <v>0</v>
      </c>
      <c r="V96" s="110">
        <v>0</v>
      </c>
      <c r="W96" s="110">
        <v>0</v>
      </c>
      <c r="X96" s="110">
        <v>4</v>
      </c>
      <c r="Y96" s="110">
        <v>37</v>
      </c>
      <c r="Z96" s="110">
        <v>65</v>
      </c>
      <c r="AA96" s="110">
        <v>25</v>
      </c>
      <c r="AB96" s="110">
        <v>7</v>
      </c>
      <c r="AC96" s="110">
        <v>25</v>
      </c>
      <c r="AD96" s="110">
        <v>38</v>
      </c>
      <c r="AE96" s="110">
        <v>18</v>
      </c>
      <c r="AF96" s="110">
        <v>50</v>
      </c>
      <c r="AG96" s="110">
        <v>0</v>
      </c>
      <c r="AH96" s="110">
        <v>16</v>
      </c>
      <c r="AI96" s="110">
        <v>4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0</v>
      </c>
      <c r="AP96" s="110">
        <v>11</v>
      </c>
      <c r="AQ96" s="110">
        <v>0</v>
      </c>
      <c r="AR96" s="110">
        <v>24</v>
      </c>
      <c r="AS96" s="110">
        <v>62</v>
      </c>
      <c r="AT96" s="110">
        <v>37</v>
      </c>
      <c r="AU96" s="110">
        <v>45</v>
      </c>
      <c r="AV96" s="110">
        <v>24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62.72577913429695</v>
      </c>
      <c r="D100" s="106">
        <v>122.49905233473723</v>
      </c>
      <c r="E100" s="106">
        <v>122.35081128392824</v>
      </c>
      <c r="F100" s="106">
        <v>152.93851410491021</v>
      </c>
      <c r="G100" s="106">
        <v>88.093561254120345</v>
      </c>
      <c r="H100" s="106">
        <v>0</v>
      </c>
      <c r="I100" s="106">
        <v>152.93851410491021</v>
      </c>
      <c r="J100" s="106">
        <v>122.35081128392819</v>
      </c>
      <c r="K100" s="106">
        <v>122.35081128392819</v>
      </c>
      <c r="L100" s="106">
        <v>122.35081128392821</v>
      </c>
      <c r="M100" s="106">
        <v>122.35081128392819</v>
      </c>
      <c r="N100" s="106">
        <v>62.923972324371675</v>
      </c>
      <c r="O100" s="106">
        <v>0</v>
      </c>
      <c r="P100" s="106">
        <v>152.93851410491021</v>
      </c>
      <c r="Q100" s="106">
        <v>152.93851410491021</v>
      </c>
      <c r="R100" s="106">
        <v>152.93851410491021</v>
      </c>
      <c r="S100" s="106">
        <v>12.584794464874335</v>
      </c>
      <c r="T100" s="106">
        <v>152.93851410491021</v>
      </c>
      <c r="U100" s="106">
        <v>152.93851410491021</v>
      </c>
      <c r="V100" s="106">
        <v>152.93851410491021</v>
      </c>
      <c r="W100" s="106">
        <v>152.93851410491021</v>
      </c>
      <c r="X100" s="106">
        <v>152.93851410491021</v>
      </c>
      <c r="Y100" s="106">
        <v>12.584794464874335</v>
      </c>
      <c r="Z100" s="106">
        <v>152.93851410491021</v>
      </c>
      <c r="AA100" s="106">
        <v>12.584794464874335</v>
      </c>
      <c r="AB100" s="106">
        <v>152.93851410491021</v>
      </c>
      <c r="AC100" s="106">
        <v>152.93851410491021</v>
      </c>
      <c r="AD100" s="106">
        <v>152.93851410491021</v>
      </c>
      <c r="AE100" s="106">
        <v>152.93851410491021</v>
      </c>
      <c r="AF100" s="106">
        <v>152.93851410491021</v>
      </c>
      <c r="AG100" s="106">
        <v>12.584794464874335</v>
      </c>
      <c r="AH100" s="106">
        <v>152.93851410491021</v>
      </c>
      <c r="AI100" s="106">
        <v>152.93851410491021</v>
      </c>
      <c r="AJ100" s="106">
        <v>152.93851410491021</v>
      </c>
      <c r="AK100" s="106">
        <v>152.93851410491021</v>
      </c>
      <c r="AL100" s="106">
        <v>152.93851410491021</v>
      </c>
      <c r="AM100" s="106">
        <v>152.93851410491021</v>
      </c>
      <c r="AN100" s="106">
        <v>152.93851410491021</v>
      </c>
      <c r="AO100" s="106">
        <v>152.93851410491021</v>
      </c>
      <c r="AP100" s="106">
        <v>152.93851410491021</v>
      </c>
      <c r="AQ100" s="106">
        <v>0</v>
      </c>
      <c r="AR100" s="106">
        <v>152.93851410491021</v>
      </c>
      <c r="AS100" s="106">
        <v>152.93851410491021</v>
      </c>
      <c r="AT100" s="106">
        <v>152.93851410491021</v>
      </c>
      <c r="AU100" s="106">
        <v>12.584794464874335</v>
      </c>
      <c r="AV100" s="106">
        <v>152.93851410491021</v>
      </c>
      <c r="AW100" s="106">
        <v>152.93851410491021</v>
      </c>
      <c r="AX100" s="106">
        <v>152.93851410491021</v>
      </c>
      <c r="AY100" s="106">
        <v>152.93851410491021</v>
      </c>
    </row>
    <row r="101" spans="1:52">
      <c r="A101" s="109"/>
      <c r="B101" s="119">
        <v>2</v>
      </c>
      <c r="C101" s="106">
        <v>22.137805719862072</v>
      </c>
      <c r="D101" s="106">
        <v>1.0173059311725083</v>
      </c>
      <c r="E101" s="106">
        <v>0</v>
      </c>
      <c r="F101" s="106">
        <v>0</v>
      </c>
      <c r="G101" s="106">
        <v>0</v>
      </c>
      <c r="H101" s="106">
        <v>64.844952850789866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90.014541780538536</v>
      </c>
      <c r="P101" s="106">
        <v>0</v>
      </c>
      <c r="Q101" s="106">
        <v>0</v>
      </c>
      <c r="R101" s="106">
        <v>0</v>
      </c>
      <c r="S101" s="106">
        <v>0</v>
      </c>
      <c r="T101" s="106">
        <v>140.35371964003588</v>
      </c>
      <c r="U101" s="106">
        <v>139.29223374494609</v>
      </c>
      <c r="V101" s="106">
        <v>100.2307478498563</v>
      </c>
      <c r="W101" s="106">
        <v>48.169261954766512</v>
      </c>
      <c r="X101" s="106">
        <v>57.107776059676723</v>
      </c>
      <c r="Y101" s="106">
        <v>33.046290164586935</v>
      </c>
      <c r="Z101" s="106">
        <v>140.35371964003588</v>
      </c>
      <c r="AA101" s="106">
        <v>62.292233744946088</v>
      </c>
      <c r="AB101" s="106">
        <v>0</v>
      </c>
      <c r="AC101" s="106">
        <v>0</v>
      </c>
      <c r="AD101" s="106">
        <v>99.292233744946088</v>
      </c>
      <c r="AE101" s="106">
        <v>27.2307478498563</v>
      </c>
      <c r="AF101" s="106">
        <v>9.1692619547665117</v>
      </c>
      <c r="AG101" s="106">
        <v>0</v>
      </c>
      <c r="AH101" s="106">
        <v>140.35371964003588</v>
      </c>
      <c r="AI101" s="106">
        <v>138.29223374494609</v>
      </c>
      <c r="AJ101" s="106">
        <v>144.2307478498563</v>
      </c>
      <c r="AK101" s="106">
        <v>40.169261954766512</v>
      </c>
      <c r="AL101" s="106">
        <v>5.1077760596767234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140.35371964003588</v>
      </c>
      <c r="AW101" s="106">
        <v>84.292233744946088</v>
      </c>
      <c r="AX101" s="106">
        <v>59.2307478498563</v>
      </c>
      <c r="AY101" s="106">
        <v>1.1692619547665117</v>
      </c>
    </row>
    <row r="102" spans="1:52">
      <c r="A102" s="109"/>
      <c r="B102" s="120">
        <v>3</v>
      </c>
      <c r="C102" s="106">
        <v>65.307724630405772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140.35371964003588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56.780040430835591</v>
      </c>
      <c r="D109" s="106">
        <v>84.956812060243635</v>
      </c>
      <c r="E109" s="106">
        <v>69.982718483459621</v>
      </c>
      <c r="F109" s="106">
        <v>68.947173647495191</v>
      </c>
      <c r="G109" s="106">
        <v>86.182028648203499</v>
      </c>
      <c r="H109" s="106">
        <v>49.644686617258159</v>
      </c>
      <c r="I109" s="106">
        <v>36.545095675607122</v>
      </c>
      <c r="J109" s="106">
        <v>86.182028648203499</v>
      </c>
      <c r="K109" s="106">
        <v>68.947173647495177</v>
      </c>
      <c r="L109" s="106">
        <v>68.947173647495177</v>
      </c>
      <c r="M109" s="106">
        <v>68.947173647495177</v>
      </c>
      <c r="N109" s="106">
        <v>68.947173647495177</v>
      </c>
      <c r="O109" s="106">
        <v>35.462705767944904</v>
      </c>
      <c r="P109" s="106">
        <v>50.727076524920371</v>
      </c>
      <c r="Q109" s="106">
        <v>86.182028648203499</v>
      </c>
      <c r="R109" s="106">
        <v>86.182028648203499</v>
      </c>
      <c r="S109" s="106">
        <v>86.182028648203499</v>
      </c>
      <c r="T109" s="106">
        <v>7.0987440693183981</v>
      </c>
      <c r="U109" s="106">
        <v>165.2653132270886</v>
      </c>
      <c r="V109" s="106">
        <v>120.75836678991496</v>
      </c>
      <c r="W109" s="106">
        <v>93.437691969396923</v>
      </c>
      <c r="X109" s="106">
        <v>86.182028648203513</v>
      </c>
      <c r="Y109" s="106">
        <v>86.182028648203499</v>
      </c>
      <c r="Z109" s="106">
        <v>7.0987440693183981</v>
      </c>
      <c r="AA109" s="106">
        <v>165.2653132270886</v>
      </c>
      <c r="AB109" s="106">
        <v>26.194162406054513</v>
      </c>
      <c r="AC109" s="106">
        <v>86.182028648203499</v>
      </c>
      <c r="AD109" s="106">
        <v>165.2653132270886</v>
      </c>
      <c r="AE109" s="106">
        <v>109.49702323622289</v>
      </c>
      <c r="AF109" s="106">
        <v>86.182028648203513</v>
      </c>
      <c r="AG109" s="106">
        <v>86.182028648203499</v>
      </c>
      <c r="AH109" s="106">
        <v>7.0987440693183981</v>
      </c>
      <c r="AI109" s="106">
        <v>165.2653132270886</v>
      </c>
      <c r="AJ109" s="106">
        <v>118.3083873346617</v>
      </c>
      <c r="AK109" s="106">
        <v>95.649827728113209</v>
      </c>
      <c r="AL109" s="106">
        <v>86.182028648203499</v>
      </c>
      <c r="AM109" s="106">
        <v>86.182028648203499</v>
      </c>
      <c r="AN109" s="106">
        <v>86.182028648203499</v>
      </c>
      <c r="AO109" s="106">
        <v>86.182028648203499</v>
      </c>
      <c r="AP109" s="106">
        <v>86.182028648203499</v>
      </c>
      <c r="AQ109" s="106">
        <v>86.182028648203499</v>
      </c>
      <c r="AR109" s="106">
        <v>7.7536446617722989E-3</v>
      </c>
      <c r="AS109" s="106">
        <v>86.182028648203499</v>
      </c>
      <c r="AT109" s="106">
        <v>86.182028648203499</v>
      </c>
      <c r="AU109" s="106">
        <v>86.182028648203499</v>
      </c>
      <c r="AV109" s="106">
        <v>7.0987440693183981</v>
      </c>
      <c r="AW109" s="106">
        <v>165.2653132270886</v>
      </c>
      <c r="AX109" s="106">
        <v>107.73587105553069</v>
      </c>
      <c r="AY109" s="106">
        <v>86.182028648203499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7.2653132270885976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29.298119277042332</v>
      </c>
      <c r="AC110" s="106">
        <v>0</v>
      </c>
      <c r="AD110" s="106">
        <v>0</v>
      </c>
      <c r="AE110" s="106">
        <v>2.2653132270885976</v>
      </c>
      <c r="AF110" s="106">
        <v>0</v>
      </c>
      <c r="AG110" s="106">
        <v>0</v>
      </c>
      <c r="AH110" s="106">
        <v>0</v>
      </c>
      <c r="AI110" s="106">
        <v>0</v>
      </c>
      <c r="AJ110" s="106">
        <v>18.265313227088598</v>
      </c>
      <c r="AK110" s="106">
        <v>3.5737005617503002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14.265313227088598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87.29206952814134</v>
      </c>
      <c r="D122" s="106">
        <v>170.45948193096709</v>
      </c>
      <c r="E122" s="106">
        <v>169.33166288900651</v>
      </c>
      <c r="F122" s="106">
        <v>211.65981794640922</v>
      </c>
      <c r="G122" s="106">
        <v>121.92548140527485</v>
      </c>
      <c r="H122" s="106">
        <v>1.9042659395162458E-2</v>
      </c>
      <c r="I122" s="106">
        <v>211.65981794640922</v>
      </c>
      <c r="J122" s="106">
        <v>169.33166288900645</v>
      </c>
      <c r="K122" s="106">
        <v>169.33166288900645</v>
      </c>
      <c r="L122" s="106">
        <v>169.33166288900645</v>
      </c>
      <c r="M122" s="106">
        <v>169.33166288900645</v>
      </c>
      <c r="N122" s="106">
        <v>87.095070335023507</v>
      </c>
      <c r="O122" s="106">
        <v>1.9042659395162458E-2</v>
      </c>
      <c r="P122" s="106">
        <v>211.65981794640922</v>
      </c>
      <c r="Q122" s="106">
        <v>211.65981794640922</v>
      </c>
      <c r="R122" s="106">
        <v>211.65981794640922</v>
      </c>
      <c r="S122" s="106">
        <v>17.43424819452083</v>
      </c>
      <c r="T122" s="106">
        <v>211.65981794640922</v>
      </c>
      <c r="U122" s="106">
        <v>211.65981794640922</v>
      </c>
      <c r="V122" s="106">
        <v>211.65981794640922</v>
      </c>
      <c r="W122" s="106">
        <v>211.65981794640922</v>
      </c>
      <c r="X122" s="106">
        <v>211.65981794640922</v>
      </c>
      <c r="Y122" s="106">
        <v>17.43424819452083</v>
      </c>
      <c r="Z122" s="106">
        <v>211.65981794640922</v>
      </c>
      <c r="AA122" s="106">
        <v>17.43424819452083</v>
      </c>
      <c r="AB122" s="106">
        <v>211.65981794640922</v>
      </c>
      <c r="AC122" s="106">
        <v>211.65981794640922</v>
      </c>
      <c r="AD122" s="106">
        <v>211.65981794640922</v>
      </c>
      <c r="AE122" s="106">
        <v>211.65981794640922</v>
      </c>
      <c r="AF122" s="106">
        <v>211.65981794640922</v>
      </c>
      <c r="AG122" s="106">
        <v>17.43424819452083</v>
      </c>
      <c r="AH122" s="106">
        <v>211.65981794640922</v>
      </c>
      <c r="AI122" s="106">
        <v>211.65981794640922</v>
      </c>
      <c r="AJ122" s="106">
        <v>211.65981794640922</v>
      </c>
      <c r="AK122" s="106">
        <v>211.65981794640922</v>
      </c>
      <c r="AL122" s="106">
        <v>211.65981794640922</v>
      </c>
      <c r="AM122" s="106">
        <v>211.65981794640922</v>
      </c>
      <c r="AN122" s="106">
        <v>211.65981794640922</v>
      </c>
      <c r="AO122" s="106">
        <v>211.65981794640922</v>
      </c>
      <c r="AP122" s="106">
        <v>211.65981794640922</v>
      </c>
      <c r="AQ122" s="106">
        <v>1.9042659395162458E-2</v>
      </c>
      <c r="AR122" s="106">
        <v>211.65981794640922</v>
      </c>
      <c r="AS122" s="106">
        <v>211.65981794640922</v>
      </c>
      <c r="AT122" s="106">
        <v>211.65981794640922</v>
      </c>
      <c r="AU122" s="106">
        <v>17.43424819452083</v>
      </c>
      <c r="AV122" s="106">
        <v>211.65981794640922</v>
      </c>
      <c r="AW122" s="106">
        <v>211.65981794640922</v>
      </c>
      <c r="AX122" s="106">
        <v>211.65981794640922</v>
      </c>
      <c r="AY122" s="106">
        <v>211.65981794640922</v>
      </c>
    </row>
    <row r="123" spans="1:52">
      <c r="A123" s="109"/>
      <c r="B123" s="119">
        <v>2</v>
      </c>
      <c r="C123" s="106">
        <v>30.801685886447046</v>
      </c>
      <c r="D123" s="106">
        <v>1.4154400909879499</v>
      </c>
      <c r="E123" s="106">
        <v>0</v>
      </c>
      <c r="F123" s="106">
        <v>0</v>
      </c>
      <c r="G123" s="106">
        <v>0</v>
      </c>
      <c r="H123" s="106">
        <v>89.734336541134383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124.56474761138571</v>
      </c>
      <c r="P123" s="106">
        <v>0</v>
      </c>
      <c r="Q123" s="106">
        <v>0</v>
      </c>
      <c r="R123" s="106">
        <v>0</v>
      </c>
      <c r="S123" s="106">
        <v>0</v>
      </c>
      <c r="T123" s="106">
        <v>194.2255697518884</v>
      </c>
      <c r="U123" s="106">
        <v>84.918184813240529</v>
      </c>
      <c r="V123" s="106">
        <v>17.81963596973479</v>
      </c>
      <c r="W123" s="106">
        <v>1.4210854715202004E-14</v>
      </c>
      <c r="X123" s="106">
        <v>0</v>
      </c>
      <c r="Y123" s="106">
        <v>0</v>
      </c>
      <c r="Z123" s="106">
        <v>194.2255697518884</v>
      </c>
      <c r="AA123" s="106">
        <v>46.897628567813271</v>
      </c>
      <c r="AB123" s="106">
        <v>0</v>
      </c>
      <c r="AC123" s="106">
        <v>0</v>
      </c>
      <c r="AD123" s="106">
        <v>57.260748990556166</v>
      </c>
      <c r="AE123" s="106">
        <v>1.4210854715202004E-14</v>
      </c>
      <c r="AF123" s="106">
        <v>0</v>
      </c>
      <c r="AG123" s="106">
        <v>0</v>
      </c>
      <c r="AH123" s="106">
        <v>194.2255697518884</v>
      </c>
      <c r="AI123" s="106">
        <v>78.90112750320516</v>
      </c>
      <c r="AJ123" s="106">
        <v>23.252558114952706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194.2255697518884</v>
      </c>
      <c r="AW123" s="106">
        <v>52.935425535211792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90.866639877480566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194.2255697518884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0.40656896701165535</v>
      </c>
      <c r="D172" s="134">
        <v>0.40717236499761228</v>
      </c>
      <c r="E172" s="134">
        <v>0.40717236499761228</v>
      </c>
      <c r="F172" s="134">
        <v>0.40717236499761228</v>
      </c>
      <c r="G172" s="134">
        <v>0.40717236499761228</v>
      </c>
      <c r="H172" s="134">
        <v>0.40717236499761228</v>
      </c>
      <c r="I172" s="134">
        <v>0.40717236499761228</v>
      </c>
      <c r="J172" s="134">
        <v>0.40717236499761228</v>
      </c>
      <c r="K172" s="134">
        <v>0.40717236499761228</v>
      </c>
      <c r="L172" s="134">
        <v>0.40717236499761228</v>
      </c>
      <c r="M172" s="134">
        <v>0.40717236499761228</v>
      </c>
      <c r="N172" s="134">
        <v>0.40717236499761228</v>
      </c>
      <c r="O172" s="134">
        <v>0.40717236499761228</v>
      </c>
      <c r="P172" s="134">
        <v>0.40717236499761228</v>
      </c>
      <c r="Q172" s="134">
        <v>0.40717236499761228</v>
      </c>
      <c r="R172" s="134">
        <v>0.40717236499761228</v>
      </c>
      <c r="S172" s="134">
        <v>0.40717236499761228</v>
      </c>
      <c r="T172" s="134">
        <v>0.40717236499761228</v>
      </c>
      <c r="U172" s="134">
        <v>0.40717236499761228</v>
      </c>
      <c r="V172" s="134">
        <v>0.40717236499761228</v>
      </c>
      <c r="W172" s="134">
        <v>0.40717236499761228</v>
      </c>
      <c r="X172" s="134">
        <v>0.40717236499761228</v>
      </c>
      <c r="Y172" s="134">
        <v>0.40717236499761228</v>
      </c>
      <c r="Z172" s="134">
        <v>0.40717236499761228</v>
      </c>
      <c r="AA172" s="134">
        <v>0.40717236499761228</v>
      </c>
      <c r="AB172" s="134">
        <v>0.40717236499761228</v>
      </c>
      <c r="AC172" s="134">
        <v>0.40717236499761228</v>
      </c>
      <c r="AD172" s="134">
        <v>0.40717236499761228</v>
      </c>
      <c r="AE172" s="134">
        <v>0.40717236499761228</v>
      </c>
      <c r="AF172" s="134">
        <v>0.40717236499761228</v>
      </c>
      <c r="AG172" s="134">
        <v>0.40717236499761228</v>
      </c>
      <c r="AH172" s="134">
        <v>0.40717236499761228</v>
      </c>
      <c r="AI172" s="134">
        <v>0.40717236499761228</v>
      </c>
      <c r="AJ172" s="134">
        <v>0.40717236499761228</v>
      </c>
      <c r="AK172" s="134">
        <v>0.40717236499761228</v>
      </c>
      <c r="AL172" s="134">
        <v>0.40717236499761228</v>
      </c>
      <c r="AM172" s="134">
        <v>0.40717236499761228</v>
      </c>
      <c r="AN172" s="134">
        <v>0.40717236499761228</v>
      </c>
      <c r="AO172" s="134">
        <v>0.40717236499761228</v>
      </c>
      <c r="AP172" s="134">
        <v>0.40717236499761228</v>
      </c>
      <c r="AQ172" s="134">
        <v>0.40717236499761228</v>
      </c>
      <c r="AR172" s="134">
        <v>0.40717236499761228</v>
      </c>
      <c r="AS172" s="134">
        <v>0.40717236499761228</v>
      </c>
      <c r="AT172" s="134">
        <v>0.40717236499761228</v>
      </c>
      <c r="AU172" s="134">
        <v>0.40717236499761228</v>
      </c>
      <c r="AV172" s="134">
        <v>0.40717236499761228</v>
      </c>
      <c r="AW172" s="134">
        <v>0.40717236499761228</v>
      </c>
      <c r="AX172" s="134">
        <v>0.40717236499761228</v>
      </c>
      <c r="AY172" s="134">
        <v>0.40717236499761228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245.50095942195964</v>
      </c>
      <c r="E175" s="124">
        <f t="shared" si="1"/>
        <v>231.50095942195964</v>
      </c>
      <c r="F175" s="124">
        <f t="shared" si="1"/>
        <v>247.50095942195964</v>
      </c>
      <c r="G175" s="124">
        <f t="shared" si="1"/>
        <v>262.50095942195964</v>
      </c>
      <c r="H175" s="124">
        <f t="shared" si="1"/>
        <v>229.50095942195964</v>
      </c>
      <c r="I175" s="124">
        <f t="shared" si="1"/>
        <v>166.50095942195964</v>
      </c>
      <c r="J175" s="124">
        <f t="shared" si="1"/>
        <v>152</v>
      </c>
      <c r="K175" s="124">
        <f t="shared" si="1"/>
        <v>152</v>
      </c>
      <c r="L175" s="124">
        <f t="shared" si="1"/>
        <v>192</v>
      </c>
      <c r="M175" s="124">
        <f t="shared" si="1"/>
        <v>190</v>
      </c>
      <c r="N175" s="124">
        <f t="shared" si="1"/>
        <v>190</v>
      </c>
      <c r="O175" s="124">
        <f t="shared" si="1"/>
        <v>195</v>
      </c>
      <c r="P175" s="124">
        <f t="shared" si="1"/>
        <v>218</v>
      </c>
      <c r="Q175" s="124">
        <f t="shared" si="1"/>
        <v>223</v>
      </c>
      <c r="R175" s="124">
        <f t="shared" si="1"/>
        <v>233</v>
      </c>
      <c r="S175" s="124">
        <f t="shared" si="1"/>
        <v>232</v>
      </c>
      <c r="T175" s="124">
        <f t="shared" si="1"/>
        <v>193</v>
      </c>
      <c r="U175" s="124">
        <f t="shared" si="1"/>
        <v>190</v>
      </c>
      <c r="V175" s="124">
        <f t="shared" si="1"/>
        <v>190</v>
      </c>
      <c r="W175" s="124">
        <f t="shared" si="1"/>
        <v>190</v>
      </c>
      <c r="X175" s="124">
        <f t="shared" si="1"/>
        <v>194</v>
      </c>
      <c r="Y175" s="124">
        <f t="shared" si="1"/>
        <v>227</v>
      </c>
      <c r="Z175" s="124">
        <f t="shared" si="1"/>
        <v>255</v>
      </c>
      <c r="AA175" s="124">
        <f t="shared" si="1"/>
        <v>215</v>
      </c>
      <c r="AB175" s="124">
        <f t="shared" si="1"/>
        <v>197</v>
      </c>
      <c r="AC175" s="124">
        <f t="shared" si="1"/>
        <v>215</v>
      </c>
      <c r="AD175" s="124">
        <f t="shared" si="1"/>
        <v>228</v>
      </c>
      <c r="AE175" s="124">
        <f t="shared" si="1"/>
        <v>208</v>
      </c>
      <c r="AF175" s="124">
        <f t="shared" si="1"/>
        <v>240</v>
      </c>
      <c r="AG175" s="124">
        <f t="shared" si="1"/>
        <v>190</v>
      </c>
      <c r="AH175" s="124">
        <f t="shared" si="1"/>
        <v>206</v>
      </c>
      <c r="AI175" s="124">
        <f t="shared" si="1"/>
        <v>194</v>
      </c>
      <c r="AJ175" s="124">
        <f t="shared" si="1"/>
        <v>190</v>
      </c>
      <c r="AK175" s="124">
        <f t="shared" si="1"/>
        <v>190</v>
      </c>
      <c r="AL175" s="124">
        <f t="shared" si="1"/>
        <v>190</v>
      </c>
      <c r="AM175" s="124">
        <f t="shared" si="1"/>
        <v>190</v>
      </c>
      <c r="AN175" s="124">
        <f t="shared" si="1"/>
        <v>190</v>
      </c>
      <c r="AO175" s="124">
        <f t="shared" si="1"/>
        <v>190</v>
      </c>
      <c r="AP175" s="124">
        <f t="shared" si="1"/>
        <v>201</v>
      </c>
      <c r="AQ175" s="124">
        <f t="shared" si="1"/>
        <v>190</v>
      </c>
      <c r="AR175" s="124">
        <f t="shared" si="1"/>
        <v>214</v>
      </c>
      <c r="AS175" s="124">
        <f t="shared" si="1"/>
        <v>252</v>
      </c>
      <c r="AT175" s="124">
        <f t="shared" si="1"/>
        <v>227</v>
      </c>
      <c r="AU175" s="124">
        <f t="shared" si="1"/>
        <v>235</v>
      </c>
      <c r="AV175" s="124">
        <f t="shared" si="1"/>
        <v>214</v>
      </c>
      <c r="AW175" s="124">
        <f t="shared" si="1"/>
        <v>190</v>
      </c>
      <c r="AX175" s="124">
        <f t="shared" si="1"/>
        <v>190</v>
      </c>
      <c r="AY175" s="124">
        <f t="shared" si="1"/>
        <v>190</v>
      </c>
    </row>
    <row r="176" spans="1:52">
      <c r="A176" s="125"/>
      <c r="B176" s="136" t="s">
        <v>299</v>
      </c>
      <c r="C176" s="125" t="s">
        <v>293</v>
      </c>
      <c r="D176" s="125">
        <v>204</v>
      </c>
      <c r="E176" s="125">
        <v>174</v>
      </c>
      <c r="F176" s="125">
        <v>175</v>
      </c>
      <c r="G176" s="125">
        <v>185</v>
      </c>
      <c r="H176" s="125">
        <v>215</v>
      </c>
      <c r="I176" s="125">
        <v>166.50095942195964</v>
      </c>
      <c r="J176" s="125">
        <v>152</v>
      </c>
      <c r="K176" s="125">
        <v>150</v>
      </c>
      <c r="L176" s="125">
        <v>192</v>
      </c>
      <c r="M176" s="125">
        <v>190</v>
      </c>
      <c r="N176" s="125">
        <v>185</v>
      </c>
      <c r="O176" s="125">
        <v>167</v>
      </c>
      <c r="P176" s="125">
        <v>185</v>
      </c>
      <c r="Q176" s="125">
        <v>180</v>
      </c>
      <c r="R176" s="125">
        <v>191</v>
      </c>
      <c r="S176" s="125">
        <v>229</v>
      </c>
      <c r="T176" s="125">
        <v>193</v>
      </c>
      <c r="U176" s="125">
        <v>190</v>
      </c>
      <c r="V176" s="125">
        <v>190</v>
      </c>
      <c r="W176" s="125">
        <v>186</v>
      </c>
      <c r="X176" s="125">
        <v>157</v>
      </c>
      <c r="Y176" s="125">
        <v>162</v>
      </c>
      <c r="Z176" s="125">
        <v>230</v>
      </c>
      <c r="AA176" s="125">
        <v>208</v>
      </c>
      <c r="AB176" s="125">
        <v>172</v>
      </c>
      <c r="AC176" s="125">
        <v>177</v>
      </c>
      <c r="AD176" s="125">
        <v>210</v>
      </c>
      <c r="AE176" s="125">
        <v>158</v>
      </c>
      <c r="AF176" s="125">
        <v>240</v>
      </c>
      <c r="AG176" s="125">
        <v>174</v>
      </c>
      <c r="AH176" s="125">
        <v>202</v>
      </c>
      <c r="AI176" s="125">
        <v>194</v>
      </c>
      <c r="AJ176" s="125">
        <v>190</v>
      </c>
      <c r="AK176" s="125">
        <v>190</v>
      </c>
      <c r="AL176" s="125">
        <v>190</v>
      </c>
      <c r="AM176" s="125">
        <v>190</v>
      </c>
      <c r="AN176" s="125">
        <v>190</v>
      </c>
      <c r="AO176" s="125">
        <v>179</v>
      </c>
      <c r="AP176" s="125">
        <v>201</v>
      </c>
      <c r="AQ176" s="125">
        <v>166</v>
      </c>
      <c r="AR176" s="125">
        <v>152</v>
      </c>
      <c r="AS176" s="125">
        <v>215</v>
      </c>
      <c r="AT176" s="125">
        <v>182</v>
      </c>
      <c r="AU176" s="125">
        <v>211</v>
      </c>
      <c r="AV176" s="125">
        <v>214</v>
      </c>
      <c r="AW176" s="125">
        <v>190</v>
      </c>
      <c r="AX176" s="125">
        <v>190</v>
      </c>
      <c r="AY176" s="125">
        <v>171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123.51635826590973</v>
      </c>
      <c r="E177" s="124">
        <f t="shared" si="2"/>
        <v>122.35081128392824</v>
      </c>
      <c r="F177" s="124">
        <f t="shared" si="2"/>
        <v>152.93851410491021</v>
      </c>
      <c r="G177" s="124">
        <f t="shared" si="2"/>
        <v>88.093561254120345</v>
      </c>
      <c r="H177" s="124">
        <f t="shared" si="2"/>
        <v>64.844952850789866</v>
      </c>
      <c r="I177" s="124">
        <f t="shared" si="2"/>
        <v>152.93851410491021</v>
      </c>
      <c r="J177" s="124">
        <f t="shared" si="2"/>
        <v>122.35081128392819</v>
      </c>
      <c r="K177" s="124">
        <f t="shared" si="2"/>
        <v>122.35081128392819</v>
      </c>
      <c r="L177" s="124">
        <f t="shared" si="2"/>
        <v>122.35081128392821</v>
      </c>
      <c r="M177" s="124">
        <f t="shared" si="2"/>
        <v>122.35081128392819</v>
      </c>
      <c r="N177" s="124">
        <f t="shared" si="2"/>
        <v>62.923972324371675</v>
      </c>
      <c r="O177" s="124">
        <f t="shared" si="2"/>
        <v>90.014541780538536</v>
      </c>
      <c r="P177" s="124">
        <f t="shared" si="2"/>
        <v>152.93851410491021</v>
      </c>
      <c r="Q177" s="124">
        <f t="shared" si="2"/>
        <v>152.93851410491021</v>
      </c>
      <c r="R177" s="124">
        <f t="shared" si="2"/>
        <v>152.93851410491021</v>
      </c>
      <c r="S177" s="124">
        <f t="shared" si="2"/>
        <v>12.584794464874335</v>
      </c>
      <c r="T177" s="124">
        <f t="shared" si="2"/>
        <v>293.29223374494609</v>
      </c>
      <c r="U177" s="124">
        <f t="shared" si="2"/>
        <v>292.2307478498563</v>
      </c>
      <c r="V177" s="124">
        <f t="shared" si="2"/>
        <v>253.16926195476651</v>
      </c>
      <c r="W177" s="124">
        <f t="shared" si="2"/>
        <v>201.10777605967672</v>
      </c>
      <c r="X177" s="124">
        <f t="shared" si="2"/>
        <v>210.04629016458694</v>
      </c>
      <c r="Y177" s="124">
        <f t="shared" si="2"/>
        <v>45.63108462946127</v>
      </c>
      <c r="Z177" s="124">
        <f t="shared" si="2"/>
        <v>293.29223374494609</v>
      </c>
      <c r="AA177" s="124">
        <f t="shared" si="2"/>
        <v>74.877028209820423</v>
      </c>
      <c r="AB177" s="124">
        <f t="shared" si="2"/>
        <v>152.93851410491021</v>
      </c>
      <c r="AC177" s="124">
        <f t="shared" si="2"/>
        <v>293.29223374494609</v>
      </c>
      <c r="AD177" s="124">
        <f t="shared" si="2"/>
        <v>252.2307478498563</v>
      </c>
      <c r="AE177" s="124">
        <f t="shared" si="2"/>
        <v>180.16926195476651</v>
      </c>
      <c r="AF177" s="124">
        <f t="shared" si="2"/>
        <v>162.10777605967672</v>
      </c>
      <c r="AG177" s="124">
        <f t="shared" si="2"/>
        <v>12.584794464874335</v>
      </c>
      <c r="AH177" s="124">
        <f t="shared" si="2"/>
        <v>293.29223374494609</v>
      </c>
      <c r="AI177" s="124">
        <f t="shared" si="2"/>
        <v>291.2307478498563</v>
      </c>
      <c r="AJ177" s="124">
        <f t="shared" si="2"/>
        <v>297.16926195476651</v>
      </c>
      <c r="AK177" s="124">
        <f t="shared" si="2"/>
        <v>193.10777605967672</v>
      </c>
      <c r="AL177" s="124">
        <f t="shared" si="2"/>
        <v>158.04629016458694</v>
      </c>
      <c r="AM177" s="124">
        <f t="shared" si="2"/>
        <v>152.93851410491021</v>
      </c>
      <c r="AN177" s="124">
        <f t="shared" si="2"/>
        <v>152.93851410491021</v>
      </c>
      <c r="AO177" s="124">
        <f t="shared" si="2"/>
        <v>152.93851410491021</v>
      </c>
      <c r="AP177" s="124">
        <f t="shared" si="2"/>
        <v>152.93851410491021</v>
      </c>
      <c r="AQ177" s="124">
        <f t="shared" si="2"/>
        <v>0</v>
      </c>
      <c r="AR177" s="124">
        <f t="shared" si="2"/>
        <v>152.93851410491021</v>
      </c>
      <c r="AS177" s="124">
        <f t="shared" si="2"/>
        <v>152.93851410491021</v>
      </c>
      <c r="AT177" s="124">
        <f t="shared" si="2"/>
        <v>152.93851410491021</v>
      </c>
      <c r="AU177" s="124">
        <f t="shared" si="2"/>
        <v>12.584794464874335</v>
      </c>
      <c r="AV177" s="124">
        <f t="shared" si="2"/>
        <v>293.29223374494609</v>
      </c>
      <c r="AW177" s="124">
        <f t="shared" si="2"/>
        <v>237.2307478498563</v>
      </c>
      <c r="AX177" s="124">
        <f t="shared" si="2"/>
        <v>212.16926195476651</v>
      </c>
      <c r="AY177" s="124">
        <f t="shared" si="2"/>
        <v>154.10777605967672</v>
      </c>
    </row>
    <row r="178" spans="1:51">
      <c r="A178" s="125"/>
      <c r="B178" s="136" t="s">
        <v>299</v>
      </c>
      <c r="C178" s="125" t="s">
        <v>293</v>
      </c>
      <c r="D178" s="125">
        <v>123.51635826590973</v>
      </c>
      <c r="E178" s="125">
        <v>122.35081128392824</v>
      </c>
      <c r="F178" s="125">
        <v>152.93851410491021</v>
      </c>
      <c r="G178" s="125">
        <v>88.093561254120345</v>
      </c>
      <c r="H178" s="125">
        <v>64.844952850789866</v>
      </c>
      <c r="I178" s="125">
        <v>152.93851410491021</v>
      </c>
      <c r="J178" s="125">
        <v>122.35081128392819</v>
      </c>
      <c r="K178" s="125">
        <v>122.35081128392819</v>
      </c>
      <c r="L178" s="125">
        <v>122.35081128392821</v>
      </c>
      <c r="M178" s="125">
        <v>122.35081128392819</v>
      </c>
      <c r="N178" s="125">
        <v>62.923972324371675</v>
      </c>
      <c r="O178" s="125">
        <v>90.014541780538536</v>
      </c>
      <c r="P178" s="125">
        <v>152.93851410491021</v>
      </c>
      <c r="Q178" s="125">
        <v>152.93851410491021</v>
      </c>
      <c r="R178" s="125">
        <v>152.93851410491021</v>
      </c>
      <c r="S178" s="125">
        <v>12.584794464874335</v>
      </c>
      <c r="T178" s="125">
        <v>154</v>
      </c>
      <c r="U178" s="125">
        <v>192</v>
      </c>
      <c r="V178" s="125">
        <v>205</v>
      </c>
      <c r="W178" s="125">
        <v>144</v>
      </c>
      <c r="X178" s="125">
        <v>177</v>
      </c>
      <c r="Y178" s="125">
        <v>45.63108462946127</v>
      </c>
      <c r="Z178" s="125">
        <v>231</v>
      </c>
      <c r="AA178" s="125">
        <v>74.877028209820423</v>
      </c>
      <c r="AB178" s="125">
        <v>152.93851410491021</v>
      </c>
      <c r="AC178" s="125">
        <v>194</v>
      </c>
      <c r="AD178" s="125">
        <v>225</v>
      </c>
      <c r="AE178" s="125">
        <v>171</v>
      </c>
      <c r="AF178" s="125">
        <v>162.10777605967672</v>
      </c>
      <c r="AG178" s="125">
        <v>12.584794464874335</v>
      </c>
      <c r="AH178" s="125">
        <v>155</v>
      </c>
      <c r="AI178" s="125">
        <v>147</v>
      </c>
      <c r="AJ178" s="125">
        <v>257</v>
      </c>
      <c r="AK178" s="125">
        <v>188</v>
      </c>
      <c r="AL178" s="125">
        <v>158.04629016458694</v>
      </c>
      <c r="AM178" s="125">
        <v>152.93851410491021</v>
      </c>
      <c r="AN178" s="125">
        <v>152.93851410491021</v>
      </c>
      <c r="AO178" s="125">
        <v>152.93851410491021</v>
      </c>
      <c r="AP178" s="125">
        <v>152.93851410491021</v>
      </c>
      <c r="AQ178" s="125">
        <v>0</v>
      </c>
      <c r="AR178" s="125">
        <v>152.93851410491021</v>
      </c>
      <c r="AS178" s="125">
        <v>152.93851410491021</v>
      </c>
      <c r="AT178" s="125">
        <v>152.93851410491021</v>
      </c>
      <c r="AU178" s="125">
        <v>12.584794464874335</v>
      </c>
      <c r="AV178" s="125">
        <v>209</v>
      </c>
      <c r="AW178" s="125">
        <v>178</v>
      </c>
      <c r="AX178" s="125">
        <v>211</v>
      </c>
      <c r="AY178" s="125">
        <v>154.10777605967672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84.956812060243635</v>
      </c>
      <c r="E179" s="124">
        <f t="shared" si="3"/>
        <v>69.982718483459621</v>
      </c>
      <c r="F179" s="124">
        <f t="shared" si="3"/>
        <v>68.947173647495191</v>
      </c>
      <c r="G179" s="124">
        <f t="shared" si="3"/>
        <v>86.182028648203499</v>
      </c>
      <c r="H179" s="124">
        <f t="shared" si="3"/>
        <v>49.644686617258159</v>
      </c>
      <c r="I179" s="124">
        <f t="shared" si="3"/>
        <v>36.545095675607122</v>
      </c>
      <c r="J179" s="124">
        <f t="shared" si="3"/>
        <v>86.182028648203499</v>
      </c>
      <c r="K179" s="124">
        <f t="shared" si="3"/>
        <v>68.947173647495177</v>
      </c>
      <c r="L179" s="124">
        <f t="shared" si="3"/>
        <v>68.947173647495177</v>
      </c>
      <c r="M179" s="124">
        <f t="shared" si="3"/>
        <v>68.947173647495177</v>
      </c>
      <c r="N179" s="124">
        <f t="shared" si="3"/>
        <v>68.947173647495177</v>
      </c>
      <c r="O179" s="124">
        <f t="shared" si="3"/>
        <v>35.462705767944904</v>
      </c>
      <c r="P179" s="124">
        <f t="shared" si="3"/>
        <v>50.727076524920371</v>
      </c>
      <c r="Q179" s="124">
        <f t="shared" si="3"/>
        <v>86.182028648203499</v>
      </c>
      <c r="R179" s="124">
        <f t="shared" si="3"/>
        <v>86.182028648203499</v>
      </c>
      <c r="S179" s="124">
        <f t="shared" si="3"/>
        <v>86.182028648203499</v>
      </c>
      <c r="T179" s="124">
        <f t="shared" si="3"/>
        <v>7.0987440693183981</v>
      </c>
      <c r="U179" s="124">
        <f t="shared" si="3"/>
        <v>165.2653132270886</v>
      </c>
      <c r="V179" s="124">
        <f t="shared" si="3"/>
        <v>128.02368001700356</v>
      </c>
      <c r="W179" s="124">
        <f t="shared" si="3"/>
        <v>93.437691969396923</v>
      </c>
      <c r="X179" s="124">
        <f t="shared" si="3"/>
        <v>86.182028648203513</v>
      </c>
      <c r="Y179" s="124">
        <f t="shared" si="3"/>
        <v>86.182028648203499</v>
      </c>
      <c r="Z179" s="124">
        <f t="shared" si="3"/>
        <v>7.0987440693183981</v>
      </c>
      <c r="AA179" s="124">
        <f t="shared" si="3"/>
        <v>165.2653132270886</v>
      </c>
      <c r="AB179" s="124">
        <f t="shared" si="3"/>
        <v>55.492281683096849</v>
      </c>
      <c r="AC179" s="124">
        <f t="shared" si="3"/>
        <v>86.182028648203499</v>
      </c>
      <c r="AD179" s="124">
        <f t="shared" si="3"/>
        <v>165.2653132270886</v>
      </c>
      <c r="AE179" s="124">
        <f t="shared" si="3"/>
        <v>111.76233646331148</v>
      </c>
      <c r="AF179" s="124">
        <f t="shared" si="3"/>
        <v>86.182028648203513</v>
      </c>
      <c r="AG179" s="124">
        <f t="shared" si="3"/>
        <v>86.182028648203499</v>
      </c>
      <c r="AH179" s="124">
        <f t="shared" si="3"/>
        <v>7.0987440693183981</v>
      </c>
      <c r="AI179" s="124">
        <f t="shared" si="3"/>
        <v>165.2653132270886</v>
      </c>
      <c r="AJ179" s="124">
        <f t="shared" si="3"/>
        <v>136.57370056175029</v>
      </c>
      <c r="AK179" s="124">
        <f t="shared" si="3"/>
        <v>99.223528289863509</v>
      </c>
      <c r="AL179" s="124">
        <f t="shared" si="3"/>
        <v>86.182028648203499</v>
      </c>
      <c r="AM179" s="124">
        <f t="shared" si="3"/>
        <v>86.182028648203499</v>
      </c>
      <c r="AN179" s="124">
        <f t="shared" si="3"/>
        <v>86.182028648203499</v>
      </c>
      <c r="AO179" s="124">
        <f t="shared" si="3"/>
        <v>86.182028648203499</v>
      </c>
      <c r="AP179" s="124">
        <f t="shared" si="3"/>
        <v>86.182028648203499</v>
      </c>
      <c r="AQ179" s="124">
        <f t="shared" si="3"/>
        <v>86.182028648203499</v>
      </c>
      <c r="AR179" s="124">
        <f t="shared" si="3"/>
        <v>7.7536446617722989E-3</v>
      </c>
      <c r="AS179" s="124">
        <f t="shared" si="3"/>
        <v>86.182028648203499</v>
      </c>
      <c r="AT179" s="124">
        <f t="shared" si="3"/>
        <v>86.182028648203499</v>
      </c>
      <c r="AU179" s="124">
        <f t="shared" si="3"/>
        <v>86.182028648203499</v>
      </c>
      <c r="AV179" s="124">
        <f t="shared" si="3"/>
        <v>7.0987440693183981</v>
      </c>
      <c r="AW179" s="124">
        <f t="shared" si="3"/>
        <v>165.2653132270886</v>
      </c>
      <c r="AX179" s="124">
        <f t="shared" si="3"/>
        <v>122.00118428261929</v>
      </c>
      <c r="AY179" s="124">
        <f t="shared" si="3"/>
        <v>86.182028648203499</v>
      </c>
    </row>
    <row r="180" spans="1:51">
      <c r="A180" s="125"/>
      <c r="B180" s="136" t="s">
        <v>299</v>
      </c>
      <c r="C180" s="125" t="s">
        <v>293</v>
      </c>
      <c r="D180" s="125">
        <v>84.956812060243635</v>
      </c>
      <c r="E180" s="125">
        <v>69.982718483459621</v>
      </c>
      <c r="F180" s="125">
        <v>68.947173647495191</v>
      </c>
      <c r="G180" s="125">
        <v>86.182028648203499</v>
      </c>
      <c r="H180" s="125">
        <v>49.644686617258159</v>
      </c>
      <c r="I180" s="125">
        <v>36.545095675607122</v>
      </c>
      <c r="J180" s="125">
        <v>86.182028648203499</v>
      </c>
      <c r="K180" s="125">
        <v>68.947173647495177</v>
      </c>
      <c r="L180" s="125">
        <v>68.947173647495177</v>
      </c>
      <c r="M180" s="125">
        <v>68.947173647495177</v>
      </c>
      <c r="N180" s="125">
        <v>68.947173647495177</v>
      </c>
      <c r="O180" s="125">
        <v>35.462705767944904</v>
      </c>
      <c r="P180" s="125">
        <v>50.727076524920371</v>
      </c>
      <c r="Q180" s="125">
        <v>86.182028648203499</v>
      </c>
      <c r="R180" s="125">
        <v>86.182028648203499</v>
      </c>
      <c r="S180" s="125">
        <v>86.182028648203499</v>
      </c>
      <c r="T180" s="125">
        <v>7.0987440693183981</v>
      </c>
      <c r="U180" s="125">
        <v>158</v>
      </c>
      <c r="V180" s="125">
        <v>128.02368001700356</v>
      </c>
      <c r="W180" s="125">
        <v>93.437691969396923</v>
      </c>
      <c r="X180" s="125">
        <v>86.182028648203513</v>
      </c>
      <c r="Y180" s="125">
        <v>86.182028648203499</v>
      </c>
      <c r="Z180" s="125">
        <v>7.0987440693183981</v>
      </c>
      <c r="AA180" s="125">
        <v>135.96719395004627</v>
      </c>
      <c r="AB180" s="125">
        <v>55.492281683096849</v>
      </c>
      <c r="AC180" s="125">
        <v>86.182028648203499</v>
      </c>
      <c r="AD180" s="125">
        <v>163</v>
      </c>
      <c r="AE180" s="125">
        <v>111.76233646331148</v>
      </c>
      <c r="AF180" s="125">
        <v>86.182028648203513</v>
      </c>
      <c r="AG180" s="125">
        <v>86.182028648203499</v>
      </c>
      <c r="AH180" s="125">
        <v>7.0987440693183981</v>
      </c>
      <c r="AI180" s="125">
        <v>147</v>
      </c>
      <c r="AJ180" s="125">
        <v>133</v>
      </c>
      <c r="AK180" s="125">
        <v>99.223528289863509</v>
      </c>
      <c r="AL180" s="125">
        <v>86.182028648203499</v>
      </c>
      <c r="AM180" s="125">
        <v>86.182028648203499</v>
      </c>
      <c r="AN180" s="125">
        <v>86.182028648203499</v>
      </c>
      <c r="AO180" s="125">
        <v>86.182028648203499</v>
      </c>
      <c r="AP180" s="125">
        <v>86.182028648203499</v>
      </c>
      <c r="AQ180" s="125">
        <v>86.182028648203499</v>
      </c>
      <c r="AR180" s="125">
        <v>7.7536446617722989E-3</v>
      </c>
      <c r="AS180" s="125">
        <v>86.182028648203499</v>
      </c>
      <c r="AT180" s="125">
        <v>86.182028648203499</v>
      </c>
      <c r="AU180" s="125">
        <v>86.182028648203499</v>
      </c>
      <c r="AV180" s="125">
        <v>7.0987440693183981</v>
      </c>
      <c r="AW180" s="125">
        <v>151</v>
      </c>
      <c r="AX180" s="125">
        <v>122.00118428261929</v>
      </c>
      <c r="AY180" s="125">
        <v>86.182028648203499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101.89220353849542</v>
      </c>
      <c r="E181" s="124">
        <f t="shared" si="4"/>
        <v>100.38448924151132</v>
      </c>
      <c r="F181" s="124">
        <f t="shared" si="4"/>
        <v>125.47778929820574</v>
      </c>
      <c r="G181" s="124">
        <f t="shared" si="4"/>
        <v>72.280794788016692</v>
      </c>
      <c r="H181" s="124">
        <f t="shared" si="4"/>
        <v>53.208283524922436</v>
      </c>
      <c r="I181" s="124">
        <f t="shared" si="4"/>
        <v>125.47778929820574</v>
      </c>
      <c r="J181" s="124">
        <f t="shared" si="4"/>
        <v>100.38448924151129</v>
      </c>
      <c r="K181" s="124">
        <f t="shared" si="4"/>
        <v>100.38448924151129</v>
      </c>
      <c r="L181" s="124">
        <f t="shared" si="4"/>
        <v>100.38448924151129</v>
      </c>
      <c r="M181" s="124">
        <f t="shared" si="4"/>
        <v>100.38448924151129</v>
      </c>
      <c r="N181" s="124">
        <f t="shared" si="4"/>
        <v>51.632364567078604</v>
      </c>
      <c r="O181" s="124">
        <f t="shared" si="4"/>
        <v>73.856713745860517</v>
      </c>
      <c r="P181" s="124">
        <f t="shared" si="4"/>
        <v>125.47778929820574</v>
      </c>
      <c r="Q181" s="124">
        <f t="shared" si="4"/>
        <v>125.47778929820574</v>
      </c>
      <c r="R181" s="124">
        <f t="shared" si="4"/>
        <v>125.47778929820574</v>
      </c>
      <c r="S181" s="124">
        <f t="shared" si="4"/>
        <v>10.335504125202432</v>
      </c>
      <c r="T181" s="124">
        <f t="shared" si="4"/>
        <v>240.62007447120902</v>
      </c>
      <c r="U181" s="124">
        <f t="shared" si="4"/>
        <v>175.81963596973478</v>
      </c>
      <c r="V181" s="124">
        <f t="shared" si="4"/>
        <v>136.04176194674707</v>
      </c>
      <c r="W181" s="124">
        <f t="shared" si="4"/>
        <v>125.47778929820575</v>
      </c>
      <c r="X181" s="124">
        <f t="shared" si="4"/>
        <v>125.47778929820574</v>
      </c>
      <c r="Y181" s="124">
        <f t="shared" si="4"/>
        <v>10.335504125202432</v>
      </c>
      <c r="Z181" s="124">
        <f t="shared" si="4"/>
        <v>240.62007447120902</v>
      </c>
      <c r="AA181" s="124">
        <f t="shared" si="4"/>
        <v>38.137714356279595</v>
      </c>
      <c r="AB181" s="124">
        <f t="shared" si="4"/>
        <v>125.47778929820574</v>
      </c>
      <c r="AC181" s="124">
        <f t="shared" si="4"/>
        <v>240.62007447120902</v>
      </c>
      <c r="AD181" s="124">
        <f t="shared" si="4"/>
        <v>159.4235437007425</v>
      </c>
      <c r="AE181" s="124">
        <f t="shared" si="4"/>
        <v>125.47778929820575</v>
      </c>
      <c r="AF181" s="124">
        <f t="shared" si="4"/>
        <v>125.47778929820574</v>
      </c>
      <c r="AG181" s="124">
        <f t="shared" si="4"/>
        <v>10.335504125202432</v>
      </c>
      <c r="AH181" s="124">
        <f t="shared" si="4"/>
        <v>240.62007447120902</v>
      </c>
      <c r="AI181" s="124">
        <f t="shared" si="4"/>
        <v>172.25255811495271</v>
      </c>
      <c r="AJ181" s="124">
        <f t="shared" si="4"/>
        <v>139.26254833324873</v>
      </c>
      <c r="AK181" s="124">
        <f t="shared" si="4"/>
        <v>125.47778929820574</v>
      </c>
      <c r="AL181" s="124">
        <f t="shared" si="4"/>
        <v>125.47778929820574</v>
      </c>
      <c r="AM181" s="124">
        <f t="shared" si="4"/>
        <v>125.47778929820574</v>
      </c>
      <c r="AN181" s="124">
        <f t="shared" si="4"/>
        <v>125.47778929820574</v>
      </c>
      <c r="AO181" s="124">
        <f t="shared" si="4"/>
        <v>125.47778929820574</v>
      </c>
      <c r="AP181" s="124">
        <f t="shared" si="4"/>
        <v>125.47778929820574</v>
      </c>
      <c r="AQ181" s="124">
        <f t="shared" si="4"/>
        <v>1.1289014733390159E-2</v>
      </c>
      <c r="AR181" s="124">
        <f t="shared" si="4"/>
        <v>125.47778929820574</v>
      </c>
      <c r="AS181" s="124">
        <f t="shared" si="4"/>
        <v>125.47778929820574</v>
      </c>
      <c r="AT181" s="124">
        <f t="shared" si="4"/>
        <v>125.47778929820574</v>
      </c>
      <c r="AU181" s="124">
        <f t="shared" si="4"/>
        <v>10.335504125202432</v>
      </c>
      <c r="AV181" s="124">
        <f t="shared" si="4"/>
        <v>240.62007447120902</v>
      </c>
      <c r="AW181" s="124">
        <f t="shared" si="4"/>
        <v>156.85937242609035</v>
      </c>
      <c r="AX181" s="124">
        <f t="shared" si="4"/>
        <v>125.47778929820574</v>
      </c>
      <c r="AY181" s="124">
        <f t="shared" si="4"/>
        <v>125.47778929820574</v>
      </c>
    </row>
    <row r="182" spans="1:51">
      <c r="A182" s="125"/>
      <c r="B182" s="136" t="s">
        <v>299</v>
      </c>
      <c r="C182" s="125" t="s">
        <v>293</v>
      </c>
      <c r="D182" s="125">
        <v>101.89220353849542</v>
      </c>
      <c r="E182" s="125">
        <v>100.38448924151132</v>
      </c>
      <c r="F182" s="125">
        <v>125.47778929820574</v>
      </c>
      <c r="G182" s="125">
        <v>72.280794788016692</v>
      </c>
      <c r="H182" s="125">
        <v>53.208283524922436</v>
      </c>
      <c r="I182" s="125">
        <v>125.47778929820574</v>
      </c>
      <c r="J182" s="125">
        <v>100.38448924151129</v>
      </c>
      <c r="K182" s="125">
        <v>100.38448924151129</v>
      </c>
      <c r="L182" s="125">
        <v>100.38448924151129</v>
      </c>
      <c r="M182" s="125">
        <v>100.38448924151129</v>
      </c>
      <c r="N182" s="125">
        <v>51.632364567078604</v>
      </c>
      <c r="O182" s="125">
        <v>73.856713745860517</v>
      </c>
      <c r="P182" s="125">
        <v>125.47778929820574</v>
      </c>
      <c r="Q182" s="125">
        <v>125.47778929820574</v>
      </c>
      <c r="R182" s="125">
        <v>125.47778929820574</v>
      </c>
      <c r="S182" s="125">
        <v>10.335504125202432</v>
      </c>
      <c r="T182" s="125">
        <v>155.70188965796851</v>
      </c>
      <c r="U182" s="125">
        <v>158</v>
      </c>
      <c r="V182" s="125">
        <v>136.04176194674707</v>
      </c>
      <c r="W182" s="125">
        <v>125.47778929820575</v>
      </c>
      <c r="X182" s="125">
        <v>125.47778929820574</v>
      </c>
      <c r="Y182" s="125">
        <v>10.335504125202432</v>
      </c>
      <c r="Z182" s="125">
        <v>193.72244590339577</v>
      </c>
      <c r="AA182" s="125">
        <v>38.137714356279595</v>
      </c>
      <c r="AB182" s="125">
        <v>125.47778929820574</v>
      </c>
      <c r="AC182" s="125">
        <v>183.35932548065287</v>
      </c>
      <c r="AD182" s="125">
        <v>159.4235437007425</v>
      </c>
      <c r="AE182" s="125">
        <v>125.47778929820575</v>
      </c>
      <c r="AF182" s="125">
        <v>125.47778929820574</v>
      </c>
      <c r="AG182" s="125">
        <v>10.335504125202432</v>
      </c>
      <c r="AH182" s="125">
        <v>161.71894696800388</v>
      </c>
      <c r="AI182" s="125">
        <v>149</v>
      </c>
      <c r="AJ182" s="125">
        <v>139.26254833324873</v>
      </c>
      <c r="AK182" s="125">
        <v>125.47778929820574</v>
      </c>
      <c r="AL182" s="125">
        <v>125.47778929820574</v>
      </c>
      <c r="AM182" s="125">
        <v>125.47778929820574</v>
      </c>
      <c r="AN182" s="125">
        <v>125.47778929820574</v>
      </c>
      <c r="AO182" s="125">
        <v>125.47778929820574</v>
      </c>
      <c r="AP182" s="125">
        <v>125.47778929820574</v>
      </c>
      <c r="AQ182" s="125">
        <v>1.1289014733390159E-2</v>
      </c>
      <c r="AR182" s="125">
        <v>125.47778929820574</v>
      </c>
      <c r="AS182" s="125">
        <v>125.47778929820574</v>
      </c>
      <c r="AT182" s="125">
        <v>125.47778929820574</v>
      </c>
      <c r="AU182" s="125">
        <v>10.335504125202432</v>
      </c>
      <c r="AV182" s="125">
        <v>187.68464893599725</v>
      </c>
      <c r="AW182" s="125">
        <v>156.85937242609035</v>
      </c>
      <c r="AX182" s="125">
        <v>125.47778929820574</v>
      </c>
      <c r="AY182" s="125">
        <v>125.47778929820574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96.499040578040351</v>
      </c>
      <c r="D185" s="124">
        <v>148.49904057804036</v>
      </c>
      <c r="E185" s="124">
        <v>132.49904057804036</v>
      </c>
      <c r="F185" s="124">
        <v>117.49904057804036</v>
      </c>
      <c r="G185" s="124">
        <v>112.49904057804036</v>
      </c>
      <c r="H185" s="124">
        <v>137.49904057804036</v>
      </c>
      <c r="I185" s="124">
        <v>152</v>
      </c>
      <c r="J185" s="124">
        <v>152</v>
      </c>
      <c r="K185" s="124">
        <v>150</v>
      </c>
      <c r="L185" s="124">
        <v>190</v>
      </c>
      <c r="M185" s="124">
        <v>190</v>
      </c>
      <c r="N185" s="124">
        <v>185</v>
      </c>
      <c r="O185" s="124">
        <v>162</v>
      </c>
      <c r="P185" s="124">
        <v>157</v>
      </c>
      <c r="Q185" s="124">
        <v>147</v>
      </c>
      <c r="R185" s="124">
        <v>148</v>
      </c>
      <c r="S185" s="124">
        <v>187</v>
      </c>
      <c r="T185" s="124">
        <v>190</v>
      </c>
      <c r="U185" s="124">
        <v>190</v>
      </c>
      <c r="V185" s="124">
        <v>190</v>
      </c>
      <c r="W185" s="124">
        <v>186</v>
      </c>
      <c r="X185" s="124">
        <v>153</v>
      </c>
      <c r="Y185" s="124">
        <v>125</v>
      </c>
      <c r="Z185" s="124">
        <v>165</v>
      </c>
      <c r="AA185" s="124">
        <v>183</v>
      </c>
      <c r="AB185" s="124">
        <v>165</v>
      </c>
      <c r="AC185" s="124">
        <v>152</v>
      </c>
      <c r="AD185" s="124">
        <v>172</v>
      </c>
      <c r="AE185" s="124">
        <v>140</v>
      </c>
      <c r="AF185" s="124">
        <v>190</v>
      </c>
      <c r="AG185" s="124">
        <v>174</v>
      </c>
      <c r="AH185" s="124">
        <v>186</v>
      </c>
      <c r="AI185" s="124">
        <v>190</v>
      </c>
      <c r="AJ185" s="124">
        <v>190</v>
      </c>
      <c r="AK185" s="124">
        <v>190</v>
      </c>
      <c r="AL185" s="124">
        <v>190</v>
      </c>
      <c r="AM185" s="124">
        <v>190</v>
      </c>
      <c r="AN185" s="124">
        <v>190</v>
      </c>
      <c r="AO185" s="124">
        <v>179</v>
      </c>
      <c r="AP185" s="124">
        <v>190</v>
      </c>
      <c r="AQ185" s="124">
        <v>166</v>
      </c>
      <c r="AR185" s="124">
        <v>128</v>
      </c>
      <c r="AS185" s="124">
        <v>153</v>
      </c>
      <c r="AT185" s="124">
        <v>145</v>
      </c>
      <c r="AU185" s="124">
        <v>166</v>
      </c>
      <c r="AV185" s="124">
        <v>190</v>
      </c>
      <c r="AW185" s="124">
        <v>190</v>
      </c>
      <c r="AX185" s="124">
        <v>190</v>
      </c>
      <c r="AY185" s="124">
        <v>171</v>
      </c>
    </row>
    <row r="186" spans="1:51">
      <c r="A186" s="109"/>
      <c r="B186" s="120">
        <v>2</v>
      </c>
      <c r="C186" s="106">
        <v>65.500959421959649</v>
      </c>
      <c r="D186" s="106">
        <v>55.500959421959649</v>
      </c>
      <c r="E186" s="106">
        <v>41.500959421959635</v>
      </c>
      <c r="F186" s="106">
        <v>57.500959421959635</v>
      </c>
      <c r="G186" s="106">
        <v>72.500959421959635</v>
      </c>
      <c r="H186" s="106">
        <v>77.500959421959635</v>
      </c>
      <c r="I186" s="106">
        <v>14.500959421959635</v>
      </c>
      <c r="J186" s="106">
        <v>0</v>
      </c>
      <c r="K186" s="106">
        <v>0</v>
      </c>
      <c r="L186" s="106">
        <v>2</v>
      </c>
      <c r="M186" s="106">
        <v>0</v>
      </c>
      <c r="N186" s="106">
        <v>0</v>
      </c>
      <c r="O186" s="106">
        <v>5</v>
      </c>
      <c r="P186" s="106">
        <v>28</v>
      </c>
      <c r="Q186" s="106">
        <v>33</v>
      </c>
      <c r="R186" s="106">
        <v>43</v>
      </c>
      <c r="S186" s="106">
        <v>42</v>
      </c>
      <c r="T186" s="106">
        <v>3</v>
      </c>
      <c r="U186" s="106">
        <v>0</v>
      </c>
      <c r="V186" s="106">
        <v>0</v>
      </c>
      <c r="W186" s="106">
        <v>0</v>
      </c>
      <c r="X186" s="106">
        <v>4</v>
      </c>
      <c r="Y186" s="106">
        <v>37</v>
      </c>
      <c r="Z186" s="106">
        <v>65</v>
      </c>
      <c r="AA186" s="106">
        <v>25</v>
      </c>
      <c r="AB186" s="106">
        <v>7</v>
      </c>
      <c r="AC186" s="106">
        <v>25</v>
      </c>
      <c r="AD186" s="106">
        <v>38</v>
      </c>
      <c r="AE186" s="106">
        <v>18</v>
      </c>
      <c r="AF186" s="106">
        <v>50</v>
      </c>
      <c r="AG186" s="106">
        <v>0</v>
      </c>
      <c r="AH186" s="106">
        <v>16</v>
      </c>
      <c r="AI186" s="106">
        <v>4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11</v>
      </c>
      <c r="AQ186" s="106">
        <v>0</v>
      </c>
      <c r="AR186" s="106">
        <v>24</v>
      </c>
      <c r="AS186" s="106">
        <v>62</v>
      </c>
      <c r="AT186" s="106">
        <v>37</v>
      </c>
      <c r="AU186" s="106">
        <v>45</v>
      </c>
      <c r="AV186" s="106">
        <v>24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62.72577913429695</v>
      </c>
      <c r="D189" s="124">
        <v>122.49905233473723</v>
      </c>
      <c r="E189" s="124">
        <v>122.35081128392824</v>
      </c>
      <c r="F189" s="124">
        <v>152.93851410491021</v>
      </c>
      <c r="G189" s="124">
        <v>88.093561254120345</v>
      </c>
      <c r="H189" s="124">
        <v>0</v>
      </c>
      <c r="I189" s="124">
        <v>152.93851410491021</v>
      </c>
      <c r="J189" s="124">
        <v>122.35081128392819</v>
      </c>
      <c r="K189" s="124">
        <v>122.35081128392819</v>
      </c>
      <c r="L189" s="124">
        <v>122.35081128392821</v>
      </c>
      <c r="M189" s="124">
        <v>122.35081128392819</v>
      </c>
      <c r="N189" s="124">
        <v>62.923972324371675</v>
      </c>
      <c r="O189" s="124">
        <v>0</v>
      </c>
      <c r="P189" s="124">
        <v>152.93851410491021</v>
      </c>
      <c r="Q189" s="124">
        <v>152.93851410491021</v>
      </c>
      <c r="R189" s="124">
        <v>152.93851410491021</v>
      </c>
      <c r="S189" s="124">
        <v>12.584794464874335</v>
      </c>
      <c r="T189" s="124">
        <v>13.646280359964123</v>
      </c>
      <c r="U189" s="124">
        <v>52.707766255053912</v>
      </c>
      <c r="V189" s="124">
        <v>104.7692521501437</v>
      </c>
      <c r="W189" s="124">
        <v>95.830738045233488</v>
      </c>
      <c r="X189" s="124">
        <v>119.89222394032328</v>
      </c>
      <c r="Y189" s="124">
        <v>12.584794464874335</v>
      </c>
      <c r="Z189" s="124">
        <v>90.646280359964123</v>
      </c>
      <c r="AA189" s="124">
        <v>12.584794464874335</v>
      </c>
      <c r="AB189" s="124">
        <v>152.93851410491021</v>
      </c>
      <c r="AC189" s="124">
        <v>53.646280359964123</v>
      </c>
      <c r="AD189" s="124">
        <v>125.70776625505391</v>
      </c>
      <c r="AE189" s="124">
        <v>143.7692521501437</v>
      </c>
      <c r="AF189" s="124">
        <v>152.93851410491021</v>
      </c>
      <c r="AG189" s="124">
        <v>12.584794464874335</v>
      </c>
      <c r="AH189" s="124">
        <v>14.646280359964123</v>
      </c>
      <c r="AI189" s="124">
        <v>8.7077662550539117</v>
      </c>
      <c r="AJ189" s="124">
        <v>112.7692521501437</v>
      </c>
      <c r="AK189" s="124">
        <v>147.83073804523349</v>
      </c>
      <c r="AL189" s="124">
        <v>152.93851410491021</v>
      </c>
      <c r="AM189" s="124">
        <v>152.93851410491021</v>
      </c>
      <c r="AN189" s="124">
        <v>152.93851410491021</v>
      </c>
      <c r="AO189" s="124">
        <v>152.93851410491021</v>
      </c>
      <c r="AP189" s="124">
        <v>152.93851410491021</v>
      </c>
      <c r="AQ189" s="124">
        <v>0</v>
      </c>
      <c r="AR189" s="124">
        <v>152.93851410491021</v>
      </c>
      <c r="AS189" s="124">
        <v>152.93851410491021</v>
      </c>
      <c r="AT189" s="124">
        <v>152.93851410491021</v>
      </c>
      <c r="AU189" s="124">
        <v>12.584794464874335</v>
      </c>
      <c r="AV189" s="124">
        <v>68.646280359964123</v>
      </c>
      <c r="AW189" s="124">
        <v>93.707766255053912</v>
      </c>
      <c r="AX189" s="124">
        <v>151.7692521501437</v>
      </c>
      <c r="AY189" s="124">
        <v>152.93851410491021</v>
      </c>
    </row>
    <row r="190" spans="1:51">
      <c r="A190" s="109"/>
      <c r="B190" s="119">
        <v>2</v>
      </c>
      <c r="C190" s="106">
        <v>22.137805719862072</v>
      </c>
      <c r="D190" s="106">
        <v>1.0173059311725083</v>
      </c>
      <c r="E190" s="106">
        <v>0</v>
      </c>
      <c r="F190" s="106">
        <v>0</v>
      </c>
      <c r="G190" s="106">
        <v>0</v>
      </c>
      <c r="H190" s="106">
        <v>64.844952850789866</v>
      </c>
      <c r="I190" s="106">
        <v>0</v>
      </c>
      <c r="J190" s="106">
        <v>0</v>
      </c>
      <c r="K190" s="106">
        <v>0</v>
      </c>
      <c r="L190" s="106">
        <v>0</v>
      </c>
      <c r="M190" s="106">
        <v>0</v>
      </c>
      <c r="N190" s="106">
        <v>0</v>
      </c>
      <c r="O190" s="106">
        <v>90.014541780538536</v>
      </c>
      <c r="P190" s="106">
        <v>0</v>
      </c>
      <c r="Q190" s="106">
        <v>0</v>
      </c>
      <c r="R190" s="106">
        <v>0</v>
      </c>
      <c r="S190" s="106">
        <v>0</v>
      </c>
      <c r="T190" s="106">
        <v>140.35371964003588</v>
      </c>
      <c r="U190" s="106">
        <v>139.29223374494609</v>
      </c>
      <c r="V190" s="106">
        <v>100.2307478498563</v>
      </c>
      <c r="W190" s="106">
        <v>48.169261954766512</v>
      </c>
      <c r="X190" s="106">
        <v>57.107776059676723</v>
      </c>
      <c r="Y190" s="106">
        <v>33.046290164586935</v>
      </c>
      <c r="Z190" s="106">
        <v>140.35371964003588</v>
      </c>
      <c r="AA190" s="106">
        <v>62.292233744946088</v>
      </c>
      <c r="AB190" s="106">
        <v>0</v>
      </c>
      <c r="AC190" s="106">
        <v>0</v>
      </c>
      <c r="AD190" s="106">
        <v>99.292233744946088</v>
      </c>
      <c r="AE190" s="106">
        <v>27.2307478498563</v>
      </c>
      <c r="AF190" s="106">
        <v>9.1692619547665117</v>
      </c>
      <c r="AG190" s="106">
        <v>0</v>
      </c>
      <c r="AH190" s="106">
        <v>140.35371964003588</v>
      </c>
      <c r="AI190" s="106">
        <v>138.29223374494609</v>
      </c>
      <c r="AJ190" s="106">
        <v>144.2307478498563</v>
      </c>
      <c r="AK190" s="106">
        <v>40.169261954766512</v>
      </c>
      <c r="AL190" s="106">
        <v>5.1077760596767234</v>
      </c>
      <c r="AM190" s="106">
        <v>0</v>
      </c>
      <c r="AN190" s="106">
        <v>0</v>
      </c>
      <c r="AO190" s="106">
        <v>0</v>
      </c>
      <c r="AP190" s="106">
        <v>0</v>
      </c>
      <c r="AQ190" s="106">
        <v>0</v>
      </c>
      <c r="AR190" s="106">
        <v>0</v>
      </c>
      <c r="AS190" s="106">
        <v>0</v>
      </c>
      <c r="AT190" s="106">
        <v>0</v>
      </c>
      <c r="AU190" s="106">
        <v>0</v>
      </c>
      <c r="AV190" s="106">
        <v>140.35371964003588</v>
      </c>
      <c r="AW190" s="106">
        <v>84.292233744946088</v>
      </c>
      <c r="AX190" s="106">
        <v>59.2307478498563</v>
      </c>
      <c r="AY190" s="106">
        <v>1.1692619547665117</v>
      </c>
    </row>
    <row r="191" spans="1:51">
      <c r="A191" s="109"/>
      <c r="B191" s="120">
        <v>3</v>
      </c>
      <c r="C191" s="106">
        <v>65.307724630405772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140.35371964003588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56.780040430835591</v>
      </c>
      <c r="D197" s="106">
        <v>84.956812060243635</v>
      </c>
      <c r="E197" s="106">
        <v>69.982718483459621</v>
      </c>
      <c r="F197" s="106">
        <v>68.947173647495191</v>
      </c>
      <c r="G197" s="106">
        <v>86.182028648203499</v>
      </c>
      <c r="H197" s="106">
        <v>49.644686617258159</v>
      </c>
      <c r="I197" s="106">
        <v>36.545095675607122</v>
      </c>
      <c r="J197" s="106">
        <v>86.182028648203499</v>
      </c>
      <c r="K197" s="106">
        <v>68.947173647495177</v>
      </c>
      <c r="L197" s="106">
        <v>68.947173647495177</v>
      </c>
      <c r="M197" s="106">
        <v>68.947173647495177</v>
      </c>
      <c r="N197" s="106">
        <v>68.947173647495177</v>
      </c>
      <c r="O197" s="106">
        <v>35.462705767944904</v>
      </c>
      <c r="P197" s="106">
        <v>50.727076524920371</v>
      </c>
      <c r="Q197" s="106">
        <v>86.182028648203499</v>
      </c>
      <c r="R197" s="106">
        <v>86.182028648203499</v>
      </c>
      <c r="S197" s="106">
        <v>86.182028648203499</v>
      </c>
      <c r="T197" s="106">
        <v>7.0987440693183981</v>
      </c>
      <c r="U197" s="106">
        <v>158</v>
      </c>
      <c r="V197" s="106">
        <v>120.75836678991496</v>
      </c>
      <c r="W197" s="106">
        <v>93.437691969396923</v>
      </c>
      <c r="X197" s="106">
        <v>86.182028648203513</v>
      </c>
      <c r="Y197" s="106">
        <v>86.182028648203499</v>
      </c>
      <c r="Z197" s="106">
        <v>7.0987440693183981</v>
      </c>
      <c r="AA197" s="106">
        <v>135.96719395004627</v>
      </c>
      <c r="AB197" s="106">
        <v>26.194162406054513</v>
      </c>
      <c r="AC197" s="106">
        <v>86.182028648203499</v>
      </c>
      <c r="AD197" s="106">
        <v>163</v>
      </c>
      <c r="AE197" s="106">
        <v>109.49702323622289</v>
      </c>
      <c r="AF197" s="106">
        <v>86.182028648203513</v>
      </c>
      <c r="AG197" s="106">
        <v>86.182028648203499</v>
      </c>
      <c r="AH197" s="106">
        <v>7.0987440693183981</v>
      </c>
      <c r="AI197" s="106">
        <v>147</v>
      </c>
      <c r="AJ197" s="106">
        <v>114.7346867729114</v>
      </c>
      <c r="AK197" s="106">
        <v>95.649827728113209</v>
      </c>
      <c r="AL197" s="106">
        <v>86.182028648203499</v>
      </c>
      <c r="AM197" s="106">
        <v>86.182028648203499</v>
      </c>
      <c r="AN197" s="106">
        <v>86.182028648203499</v>
      </c>
      <c r="AO197" s="106">
        <v>86.182028648203499</v>
      </c>
      <c r="AP197" s="106">
        <v>86.182028648203499</v>
      </c>
      <c r="AQ197" s="106">
        <v>86.182028648203499</v>
      </c>
      <c r="AR197" s="106">
        <v>7.7536446617722989E-3</v>
      </c>
      <c r="AS197" s="106">
        <v>86.182028648203499</v>
      </c>
      <c r="AT197" s="106">
        <v>86.182028648203499</v>
      </c>
      <c r="AU197" s="106">
        <v>86.182028648203499</v>
      </c>
      <c r="AV197" s="106">
        <v>7.0987440693183981</v>
      </c>
      <c r="AW197" s="106">
        <v>151</v>
      </c>
      <c r="AX197" s="106">
        <v>107.73587105553069</v>
      </c>
      <c r="AY197" s="106">
        <v>86.182028648203499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7.2653132270885976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29.298119277042332</v>
      </c>
      <c r="AC198" s="106">
        <v>0</v>
      </c>
      <c r="AD198" s="106">
        <v>0</v>
      </c>
      <c r="AE198" s="106">
        <v>2.2653132270885976</v>
      </c>
      <c r="AF198" s="106">
        <v>0</v>
      </c>
      <c r="AG198" s="106">
        <v>0</v>
      </c>
      <c r="AH198" s="106">
        <v>0</v>
      </c>
      <c r="AI198" s="106">
        <v>0</v>
      </c>
      <c r="AJ198" s="106">
        <v>18.265313227088598</v>
      </c>
      <c r="AK198" s="106">
        <v>3.5737005617503002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14.265313227088598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51.80182299177531</v>
      </c>
      <c r="D209" s="124">
        <v>101.05309153686747</v>
      </c>
      <c r="E209" s="124">
        <v>100.38448924151132</v>
      </c>
      <c r="F209" s="124">
        <v>125.47778929820574</v>
      </c>
      <c r="G209" s="124">
        <v>72.280794788016692</v>
      </c>
      <c r="H209" s="124">
        <v>1.1289014733390159E-2</v>
      </c>
      <c r="I209" s="124">
        <v>125.47778929820574</v>
      </c>
      <c r="J209" s="124">
        <v>100.38448924151129</v>
      </c>
      <c r="K209" s="124">
        <v>100.38448924151129</v>
      </c>
      <c r="L209" s="124">
        <v>100.38448924151129</v>
      </c>
      <c r="M209" s="124">
        <v>100.38448924151129</v>
      </c>
      <c r="N209" s="124">
        <v>51.632364567078604</v>
      </c>
      <c r="O209" s="124">
        <v>1.1289014733390159E-2</v>
      </c>
      <c r="P209" s="124">
        <v>125.47778929820574</v>
      </c>
      <c r="Q209" s="124">
        <v>125.47778929820574</v>
      </c>
      <c r="R209" s="124">
        <v>125.47778929820574</v>
      </c>
      <c r="S209" s="124">
        <v>10.335504125202432</v>
      </c>
      <c r="T209" s="124">
        <v>40.559604484965206</v>
      </c>
      <c r="U209" s="124">
        <v>107.65815332847095</v>
      </c>
      <c r="V209" s="124">
        <v>125.47778929820572</v>
      </c>
      <c r="W209" s="124">
        <v>125.47778929820574</v>
      </c>
      <c r="X209" s="124">
        <v>125.47778929820574</v>
      </c>
      <c r="Y209" s="124">
        <v>10.335504125202432</v>
      </c>
      <c r="Z209" s="124">
        <v>78.580160730392464</v>
      </c>
      <c r="AA209" s="124">
        <v>10.335504125202432</v>
      </c>
      <c r="AB209" s="124">
        <v>125.47778929820574</v>
      </c>
      <c r="AC209" s="124">
        <v>68.217040307649569</v>
      </c>
      <c r="AD209" s="124">
        <v>125.47778929820572</v>
      </c>
      <c r="AE209" s="124">
        <v>125.47778929820574</v>
      </c>
      <c r="AF209" s="124">
        <v>125.47778929820574</v>
      </c>
      <c r="AG209" s="124">
        <v>10.335504125202432</v>
      </c>
      <c r="AH209" s="124">
        <v>46.576661795000575</v>
      </c>
      <c r="AI209" s="124">
        <v>102.22523118325303</v>
      </c>
      <c r="AJ209" s="124">
        <v>125.47778929820574</v>
      </c>
      <c r="AK209" s="124">
        <v>125.47778929820574</v>
      </c>
      <c r="AL209" s="124">
        <v>125.47778929820574</v>
      </c>
      <c r="AM209" s="124">
        <v>125.47778929820574</v>
      </c>
      <c r="AN209" s="124">
        <v>125.47778929820574</v>
      </c>
      <c r="AO209" s="124">
        <v>125.47778929820574</v>
      </c>
      <c r="AP209" s="124">
        <v>125.47778929820574</v>
      </c>
      <c r="AQ209" s="124">
        <v>1.1289014733390159E-2</v>
      </c>
      <c r="AR209" s="124">
        <v>125.47778929820574</v>
      </c>
      <c r="AS209" s="124">
        <v>125.47778929820574</v>
      </c>
      <c r="AT209" s="124">
        <v>125.47778929820574</v>
      </c>
      <c r="AU209" s="124">
        <v>10.335504125202432</v>
      </c>
      <c r="AV209" s="124">
        <v>72.542363762993944</v>
      </c>
      <c r="AW209" s="124">
        <v>125.47778929820574</v>
      </c>
      <c r="AX209" s="124">
        <v>125.47778929820574</v>
      </c>
      <c r="AY209" s="124">
        <v>125.47778929820574</v>
      </c>
    </row>
    <row r="210" spans="1:51">
      <c r="A210" s="109"/>
      <c r="B210" s="119">
        <v>2</v>
      </c>
      <c r="C210" s="106">
        <v>18.278676273376789</v>
      </c>
      <c r="D210" s="110">
        <v>0.83911200162795085</v>
      </c>
      <c r="E210" s="110">
        <v>0</v>
      </c>
      <c r="F210" s="110">
        <v>0</v>
      </c>
      <c r="G210" s="110">
        <v>0</v>
      </c>
      <c r="H210" s="110">
        <v>53.196994510189043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10">
        <v>73.845424731127125</v>
      </c>
      <c r="P210" s="110">
        <v>0</v>
      </c>
      <c r="Q210" s="110">
        <v>0</v>
      </c>
      <c r="R210" s="110">
        <v>0</v>
      </c>
      <c r="S210" s="110">
        <v>0</v>
      </c>
      <c r="T210" s="110">
        <v>115.1422851730033</v>
      </c>
      <c r="U210" s="110">
        <v>50.341846671529062</v>
      </c>
      <c r="V210" s="110">
        <v>10.563972648541357</v>
      </c>
      <c r="W210" s="110">
        <v>8.4245873921757348E-15</v>
      </c>
      <c r="X210" s="110">
        <v>0</v>
      </c>
      <c r="Y210" s="110">
        <v>0</v>
      </c>
      <c r="Z210" s="110">
        <v>115.1422851730033</v>
      </c>
      <c r="AA210" s="110">
        <v>27.802210231077158</v>
      </c>
      <c r="AB210" s="110">
        <v>0</v>
      </c>
      <c r="AC210" s="110">
        <v>0</v>
      </c>
      <c r="AD210" s="110">
        <v>33.945754402536778</v>
      </c>
      <c r="AE210" s="110">
        <v>8.4245873921757348E-15</v>
      </c>
      <c r="AF210" s="110">
        <v>0</v>
      </c>
      <c r="AG210" s="110">
        <v>0</v>
      </c>
      <c r="AH210" s="110">
        <v>115.1422851730033</v>
      </c>
      <c r="AI210" s="110">
        <v>46.77476881674697</v>
      </c>
      <c r="AJ210" s="110">
        <v>13.784759035042992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115.1422851730033</v>
      </c>
      <c r="AW210" s="110">
        <v>31.381583127884614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53.923083966673204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115.1422851730033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45488.767014248755</v>
      </c>
      <c r="E259" s="124">
        <f t="shared" ref="E259:AX259" si="5">F$14*$B$259</f>
        <v>44815.662870871871</v>
      </c>
      <c r="F259" s="124">
        <f t="shared" si="5"/>
        <v>56018.318621332277</v>
      </c>
      <c r="G259" s="124">
        <f t="shared" si="5"/>
        <v>32269.046301217804</v>
      </c>
      <c r="H259" s="124">
        <f t="shared" si="5"/>
        <v>23754.312189144628</v>
      </c>
      <c r="I259" s="124">
        <f t="shared" si="5"/>
        <v>56018.318621332277</v>
      </c>
      <c r="J259" s="124">
        <f t="shared" si="5"/>
        <v>44815.662870871864</v>
      </c>
      <c r="K259" s="124">
        <f t="shared" si="5"/>
        <v>44815.662870871864</v>
      </c>
      <c r="L259" s="124">
        <f t="shared" si="5"/>
        <v>44815.662870871864</v>
      </c>
      <c r="M259" s="124">
        <f t="shared" si="5"/>
        <v>44815.662870871864</v>
      </c>
      <c r="N259" s="124">
        <f t="shared" si="5"/>
        <v>23050.758749164186</v>
      </c>
      <c r="O259" s="124">
        <f t="shared" si="5"/>
        <v>32972.599741198239</v>
      </c>
      <c r="P259" s="124">
        <f t="shared" si="5"/>
        <v>56018.318621332277</v>
      </c>
      <c r="Q259" s="124">
        <f t="shared" si="5"/>
        <v>56018.318621332277</v>
      </c>
      <c r="R259" s="124">
        <f t="shared" si="5"/>
        <v>56018.318621332277</v>
      </c>
      <c r="S259" s="124">
        <f t="shared" si="5"/>
        <v>4614.183645056959</v>
      </c>
      <c r="T259" s="124">
        <f t="shared" si="5"/>
        <v>107422.45359760759</v>
      </c>
      <c r="U259" s="124">
        <f t="shared" si="5"/>
        <v>78492.938413444717</v>
      </c>
      <c r="V259" s="124">
        <f t="shared" si="5"/>
        <v>60734.499780108003</v>
      </c>
      <c r="W259" s="124">
        <f t="shared" si="5"/>
        <v>56018.318621332284</v>
      </c>
      <c r="X259" s="124">
        <f t="shared" si="5"/>
        <v>56018.318621332277</v>
      </c>
      <c r="Y259" s="124">
        <f t="shared" si="5"/>
        <v>4614.183645056959</v>
      </c>
      <c r="Z259" s="124">
        <f t="shared" si="5"/>
        <v>107422.45359760759</v>
      </c>
      <c r="AA259" s="124">
        <f t="shared" si="5"/>
        <v>17026.205563935433</v>
      </c>
      <c r="AB259" s="124">
        <f t="shared" si="5"/>
        <v>56018.318621332277</v>
      </c>
      <c r="AC259" s="124">
        <f t="shared" si="5"/>
        <v>107422.45359760759</v>
      </c>
      <c r="AD259" s="124">
        <f t="shared" si="5"/>
        <v>71173.065103544883</v>
      </c>
      <c r="AE259" s="124">
        <f t="shared" si="5"/>
        <v>56018.318621332284</v>
      </c>
      <c r="AF259" s="124">
        <f t="shared" si="5"/>
        <v>56018.318621332277</v>
      </c>
      <c r="AG259" s="124">
        <f t="shared" si="5"/>
        <v>4614.183645056959</v>
      </c>
      <c r="AH259" s="124">
        <f t="shared" si="5"/>
        <v>107422.45359760759</v>
      </c>
      <c r="AI259" s="124">
        <f t="shared" si="5"/>
        <v>76900.451767530103</v>
      </c>
      <c r="AJ259" s="124">
        <f t="shared" si="5"/>
        <v>62172.388023273583</v>
      </c>
      <c r="AK259" s="124">
        <f t="shared" si="5"/>
        <v>56018.318621332277</v>
      </c>
      <c r="AL259" s="124">
        <f t="shared" si="5"/>
        <v>56018.318621332277</v>
      </c>
      <c r="AM259" s="124">
        <f t="shared" si="5"/>
        <v>56018.318621332277</v>
      </c>
      <c r="AN259" s="124">
        <f t="shared" si="5"/>
        <v>56018.318621332277</v>
      </c>
      <c r="AO259" s="124">
        <f t="shared" si="5"/>
        <v>56018.318621332277</v>
      </c>
      <c r="AP259" s="124">
        <f t="shared" si="5"/>
        <v>56018.318621332277</v>
      </c>
      <c r="AQ259" s="124">
        <f t="shared" si="5"/>
        <v>5.0398690301519942</v>
      </c>
      <c r="AR259" s="124">
        <f t="shared" si="5"/>
        <v>56018.318621332277</v>
      </c>
      <c r="AS259" s="124">
        <f t="shared" si="5"/>
        <v>56018.318621332277</v>
      </c>
      <c r="AT259" s="124">
        <f t="shared" si="5"/>
        <v>56018.318621332277</v>
      </c>
      <c r="AU259" s="124">
        <f t="shared" si="5"/>
        <v>4614.183645056959</v>
      </c>
      <c r="AV259" s="124">
        <f t="shared" si="5"/>
        <v>107422.45359760759</v>
      </c>
      <c r="AW259" s="124">
        <f t="shared" si="5"/>
        <v>70028.316186094948</v>
      </c>
      <c r="AX259" s="124">
        <f t="shared" si="5"/>
        <v>56018.318621332277</v>
      </c>
      <c r="AY259" s="124">
        <f>AZ$14*$B$259</f>
        <v>56018.318621332277</v>
      </c>
      <c r="AZ259" s="139">
        <f>SUM($D259:$AY259)</f>
        <v>2550100.3966725385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2490.0575653175788</v>
      </c>
      <c r="E260" s="125">
        <f t="shared" ref="E260:AY260" si="6">(E$175-E$176+E$177-E$178+E$179-E$180+E$181-E$182)*$B$260</f>
        <v>3450.0575653175783</v>
      </c>
      <c r="F260" s="125">
        <f t="shared" si="6"/>
        <v>4350.0575653175774</v>
      </c>
      <c r="G260" s="125">
        <f t="shared" si="6"/>
        <v>4650.0575653175783</v>
      </c>
      <c r="H260" s="125">
        <f t="shared" si="6"/>
        <v>870.05756531757811</v>
      </c>
      <c r="I260" s="125">
        <f t="shared" si="6"/>
        <v>0</v>
      </c>
      <c r="J260" s="125">
        <f t="shared" si="6"/>
        <v>0</v>
      </c>
      <c r="K260" s="125">
        <f t="shared" si="6"/>
        <v>120</v>
      </c>
      <c r="L260" s="125">
        <f t="shared" si="6"/>
        <v>0</v>
      </c>
      <c r="M260" s="125">
        <f t="shared" si="6"/>
        <v>0</v>
      </c>
      <c r="N260" s="125">
        <f t="shared" si="6"/>
        <v>300</v>
      </c>
      <c r="O260" s="125">
        <f t="shared" si="6"/>
        <v>1680</v>
      </c>
      <c r="P260" s="125">
        <f t="shared" si="6"/>
        <v>1979.9999999999991</v>
      </c>
      <c r="Q260" s="125">
        <f t="shared" si="6"/>
        <v>2579.9999999999991</v>
      </c>
      <c r="R260" s="125">
        <f t="shared" si="6"/>
        <v>2519.9999999999991</v>
      </c>
      <c r="S260" s="125">
        <f t="shared" si="6"/>
        <v>180</v>
      </c>
      <c r="T260" s="125">
        <f t="shared" si="6"/>
        <v>13452.625113491196</v>
      </c>
      <c r="U260" s="125">
        <f t="shared" si="6"/>
        <v>7518.9418228007817</v>
      </c>
      <c r="V260" s="125">
        <f t="shared" si="6"/>
        <v>2890.1557172859907</v>
      </c>
      <c r="W260" s="125">
        <f t="shared" si="6"/>
        <v>3666.4665635806032</v>
      </c>
      <c r="X260" s="125">
        <f t="shared" si="6"/>
        <v>4202.777409875217</v>
      </c>
      <c r="Y260" s="125">
        <f t="shared" si="6"/>
        <v>3900</v>
      </c>
      <c r="Z260" s="125">
        <f t="shared" si="6"/>
        <v>8051.3917387655611</v>
      </c>
      <c r="AA260" s="125">
        <f t="shared" si="6"/>
        <v>2177.8871566225394</v>
      </c>
      <c r="AB260" s="125">
        <f t="shared" si="6"/>
        <v>1499.9999999999991</v>
      </c>
      <c r="AC260" s="125">
        <f t="shared" si="6"/>
        <v>11673.178964130135</v>
      </c>
      <c r="AD260" s="125">
        <f t="shared" si="6"/>
        <v>2849.7636646166939</v>
      </c>
      <c r="AE260" s="125">
        <f t="shared" si="6"/>
        <v>3550.1557172859925</v>
      </c>
      <c r="AF260" s="125">
        <f t="shared" si="6"/>
        <v>0</v>
      </c>
      <c r="AG260" s="125">
        <f t="shared" si="6"/>
        <v>960</v>
      </c>
      <c r="AH260" s="125">
        <f t="shared" si="6"/>
        <v>13271.601674889074</v>
      </c>
      <c r="AI260" s="125">
        <f t="shared" si="6"/>
        <v>11144.917151513857</v>
      </c>
      <c r="AJ260" s="125">
        <f t="shared" si="6"/>
        <v>2624.5777509910076</v>
      </c>
      <c r="AK260" s="125">
        <f t="shared" si="6"/>
        <v>306.46656358060255</v>
      </c>
      <c r="AL260" s="125">
        <f t="shared" si="6"/>
        <v>0</v>
      </c>
      <c r="AM260" s="125">
        <f t="shared" si="6"/>
        <v>0</v>
      </c>
      <c r="AN260" s="125">
        <f t="shared" si="6"/>
        <v>0</v>
      </c>
      <c r="AO260" s="125">
        <f t="shared" si="6"/>
        <v>659.99999999999909</v>
      </c>
      <c r="AP260" s="125">
        <f t="shared" si="6"/>
        <v>0</v>
      </c>
      <c r="AQ260" s="125">
        <f t="shared" si="6"/>
        <v>1440</v>
      </c>
      <c r="AR260" s="125">
        <f t="shared" si="6"/>
        <v>3719.9999999999991</v>
      </c>
      <c r="AS260" s="125">
        <f t="shared" si="6"/>
        <v>2219.9999999999991</v>
      </c>
      <c r="AT260" s="125">
        <f t="shared" si="6"/>
        <v>2699.9999999999991</v>
      </c>
      <c r="AU260" s="125">
        <f t="shared" si="6"/>
        <v>1440</v>
      </c>
      <c r="AV260" s="125">
        <f t="shared" si="6"/>
        <v>8233.6595568094726</v>
      </c>
      <c r="AW260" s="125">
        <f t="shared" si="6"/>
        <v>4409.7636646166939</v>
      </c>
      <c r="AX260" s="125">
        <f t="shared" si="6"/>
        <v>70.155717285990704</v>
      </c>
      <c r="AY260" s="125">
        <f t="shared" si="6"/>
        <v>1139.9999999999991</v>
      </c>
      <c r="AZ260" s="141">
        <f>SUM($D260:$AY260)</f>
        <v>144944.77377472928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59</v>
      </c>
    </row>
    <row r="3" spans="1:54">
      <c r="A3" s="100" t="s">
        <v>286</v>
      </c>
      <c r="B3" s="108">
        <v>5500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841.62546815484097</v>
      </c>
      <c r="E9" s="117">
        <v>841.62546815484097</v>
      </c>
      <c r="F9" s="117">
        <v>841.62546815484097</v>
      </c>
      <c r="G9" s="117">
        <v>841.62546815484097</v>
      </c>
      <c r="H9" s="117">
        <v>1052.0238306752542</v>
      </c>
      <c r="I9" s="117">
        <v>1052.0238306752542</v>
      </c>
      <c r="J9" s="117">
        <v>1052.0238306752542</v>
      </c>
      <c r="K9" s="117">
        <v>1052.0238306752542</v>
      </c>
      <c r="L9" s="117">
        <v>1052.0238306752542</v>
      </c>
      <c r="M9" s="117">
        <v>1052.0238306752542</v>
      </c>
      <c r="N9" s="117">
        <v>1052.0238306752542</v>
      </c>
      <c r="O9" s="117">
        <v>1052.0238306752542</v>
      </c>
      <c r="P9" s="117">
        <v>1052.0238306752542</v>
      </c>
      <c r="Q9" s="117">
        <v>1052.0238306752542</v>
      </c>
      <c r="R9" s="117">
        <v>1052.0238306752542</v>
      </c>
      <c r="S9" s="117">
        <v>1052.0238306752542</v>
      </c>
      <c r="T9" s="117">
        <v>1052.0238306752542</v>
      </c>
      <c r="U9" s="117">
        <v>1052.0238306752542</v>
      </c>
      <c r="V9" s="117">
        <v>1052.0238306752542</v>
      </c>
      <c r="W9" s="117">
        <v>1052.0238306752542</v>
      </c>
      <c r="X9" s="117">
        <v>1052.0238306752542</v>
      </c>
      <c r="Y9" s="117">
        <v>1052.0238306752542</v>
      </c>
      <c r="Z9" s="117">
        <v>1052.0238306752542</v>
      </c>
      <c r="AA9" s="117">
        <v>1052.0238306752542</v>
      </c>
      <c r="AB9" s="117">
        <v>1052.0238306752542</v>
      </c>
      <c r="AC9" s="117">
        <v>1052.0238306752542</v>
      </c>
      <c r="AD9" s="117">
        <v>1052.0238306752542</v>
      </c>
      <c r="AE9" s="117">
        <v>1052.0238306752542</v>
      </c>
      <c r="AF9" s="117">
        <v>1052.0238306752542</v>
      </c>
      <c r="AG9" s="117">
        <v>1052.0238306752542</v>
      </c>
      <c r="AH9" s="117">
        <v>1052.0238306752542</v>
      </c>
      <c r="AI9" s="117">
        <v>1052.0238306752542</v>
      </c>
      <c r="AJ9" s="117">
        <v>1052.0238306752542</v>
      </c>
      <c r="AK9" s="117">
        <v>1052.0238306752542</v>
      </c>
      <c r="AL9" s="117">
        <v>1052.0238306752542</v>
      </c>
      <c r="AM9" s="117">
        <v>1052.0238306752542</v>
      </c>
      <c r="AN9" s="117">
        <v>1052.0238306752542</v>
      </c>
      <c r="AO9" s="117">
        <v>1052.0238306752542</v>
      </c>
      <c r="AP9" s="117">
        <v>1052.0238306752542</v>
      </c>
      <c r="AQ9" s="117">
        <v>1052.0238306752542</v>
      </c>
      <c r="AR9" s="117">
        <v>1052.0238306752542</v>
      </c>
      <c r="AS9" s="117">
        <v>1052.0238306752542</v>
      </c>
      <c r="AT9" s="117">
        <v>1052.0238306752542</v>
      </c>
      <c r="AU9" s="117">
        <v>1052.0238306752542</v>
      </c>
      <c r="AV9" s="117">
        <v>1052.0238306752542</v>
      </c>
      <c r="AW9" s="117">
        <v>1052.0238306752542</v>
      </c>
      <c r="AX9" s="117">
        <v>1052.0238306752542</v>
      </c>
      <c r="AY9" s="117">
        <v>1052.0238306752542</v>
      </c>
    </row>
    <row r="10" spans="1:54">
      <c r="A10" s="118" t="s">
        <v>133</v>
      </c>
      <c r="B10" s="119">
        <v>1</v>
      </c>
      <c r="C10" s="106" t="s">
        <v>293</v>
      </c>
      <c r="D10" s="100">
        <v>608.29951458537209</v>
      </c>
      <c r="E10" s="100">
        <v>0</v>
      </c>
      <c r="F10" s="100">
        <v>190.30835265869783</v>
      </c>
      <c r="G10" s="100">
        <v>485.42790214549007</v>
      </c>
      <c r="H10" s="100">
        <v>485.42790214549007</v>
      </c>
      <c r="I10" s="100">
        <v>485.42790214549007</v>
      </c>
      <c r="J10" s="100">
        <v>190.30835265869783</v>
      </c>
      <c r="K10" s="100">
        <v>606.7802608817874</v>
      </c>
      <c r="L10" s="100">
        <v>190.30835265869783</v>
      </c>
      <c r="M10" s="100">
        <v>0</v>
      </c>
      <c r="N10" s="100">
        <v>606.7802608817874</v>
      </c>
      <c r="O10" s="100">
        <v>606.7802608817874</v>
      </c>
      <c r="P10" s="100">
        <v>606.7802608817874</v>
      </c>
      <c r="Q10" s="100">
        <v>606.7802608817874</v>
      </c>
      <c r="R10" s="100">
        <v>606.7802608817874</v>
      </c>
      <c r="S10" s="100">
        <v>0</v>
      </c>
      <c r="T10" s="100">
        <v>606.7802608817874</v>
      </c>
      <c r="U10" s="100">
        <v>606.7802608817874</v>
      </c>
      <c r="V10" s="100">
        <v>190.30835265869783</v>
      </c>
      <c r="W10" s="100">
        <v>0</v>
      </c>
      <c r="X10" s="100">
        <v>606.7802608817874</v>
      </c>
      <c r="Y10" s="100">
        <v>606.7802608817874</v>
      </c>
      <c r="Z10" s="100">
        <v>190.30835265869783</v>
      </c>
      <c r="AA10" s="100">
        <v>0</v>
      </c>
      <c r="AB10" s="100">
        <v>190.30835265869783</v>
      </c>
      <c r="AC10" s="100">
        <v>0</v>
      </c>
      <c r="AD10" s="100">
        <v>190.30835265869783</v>
      </c>
      <c r="AE10" s="100">
        <v>0</v>
      </c>
      <c r="AF10" s="100">
        <v>606.7802608817874</v>
      </c>
      <c r="AG10" s="100">
        <v>606.7802608817874</v>
      </c>
      <c r="AH10" s="100">
        <v>190.30835265869783</v>
      </c>
      <c r="AI10" s="100">
        <v>0</v>
      </c>
      <c r="AJ10" s="100">
        <v>190.30835265869791</v>
      </c>
      <c r="AK10" s="100">
        <v>606.7802608817874</v>
      </c>
      <c r="AL10" s="100">
        <v>606.7802608817874</v>
      </c>
      <c r="AM10" s="100">
        <v>0</v>
      </c>
      <c r="AN10" s="100">
        <v>190.30835265869783</v>
      </c>
      <c r="AO10" s="100">
        <v>606.7802608817874</v>
      </c>
      <c r="AP10" s="100">
        <v>606.7802608817874</v>
      </c>
      <c r="AQ10" s="100">
        <v>0</v>
      </c>
      <c r="AR10" s="100">
        <v>190.30835265869783</v>
      </c>
      <c r="AS10" s="100">
        <v>0</v>
      </c>
      <c r="AT10" s="100">
        <v>606.7802608817874</v>
      </c>
      <c r="AU10" s="100">
        <v>606.7802608817874</v>
      </c>
      <c r="AV10" s="100">
        <v>190.30835265869783</v>
      </c>
      <c r="AW10" s="100">
        <v>0</v>
      </c>
      <c r="AX10" s="100">
        <v>190.30835265869783</v>
      </c>
      <c r="AY10" s="100">
        <v>0</v>
      </c>
      <c r="AZ10" s="100">
        <v>190.30835265869783</v>
      </c>
    </row>
    <row r="11" spans="1:54">
      <c r="B11" s="119">
        <v>2</v>
      </c>
      <c r="C11" s="106" t="s">
        <v>293</v>
      </c>
      <c r="F11" s="100">
        <v>608.4265239245276</v>
      </c>
      <c r="G11" s="100">
        <v>295.11954948679227</v>
      </c>
      <c r="H11" s="100">
        <v>0</v>
      </c>
      <c r="I11" s="100">
        <v>0</v>
      </c>
      <c r="J11" s="100">
        <v>0</v>
      </c>
      <c r="K11" s="100">
        <v>416.4719082230896</v>
      </c>
      <c r="M11" s="100">
        <v>0</v>
      </c>
      <c r="N11" s="100">
        <v>606.7802608817874</v>
      </c>
      <c r="O11" s="100">
        <v>0</v>
      </c>
      <c r="Q11" s="100">
        <v>0</v>
      </c>
      <c r="R11" s="100">
        <v>0</v>
      </c>
      <c r="S11" s="100">
        <v>0</v>
      </c>
      <c r="T11" s="100">
        <v>606.7802608817874</v>
      </c>
      <c r="U11" s="100">
        <v>0</v>
      </c>
      <c r="V11" s="100">
        <v>0</v>
      </c>
      <c r="W11" s="100">
        <v>0</v>
      </c>
      <c r="X11" s="100">
        <v>606.7802608817874</v>
      </c>
      <c r="Z11" s="100">
        <v>0</v>
      </c>
      <c r="AA11" s="100">
        <v>0</v>
      </c>
      <c r="AC11" s="100">
        <v>0</v>
      </c>
      <c r="AD11" s="100">
        <v>606.7802608817874</v>
      </c>
      <c r="AE11" s="100">
        <v>416.4719082230896</v>
      </c>
      <c r="AF11" s="100">
        <v>606.7802608817874</v>
      </c>
      <c r="AG11" s="100">
        <v>0</v>
      </c>
      <c r="AI11" s="100">
        <v>416.4719082230896</v>
      </c>
      <c r="AJ11" s="100">
        <v>0</v>
      </c>
      <c r="AK11" s="100">
        <v>1023.2521691048769</v>
      </c>
      <c r="AN11" s="100">
        <v>606.7802608817874</v>
      </c>
      <c r="AO11" s="100">
        <v>416.4719082230896</v>
      </c>
      <c r="AQ11" s="100">
        <v>0</v>
      </c>
      <c r="AR11" s="100">
        <v>606.7802608817874</v>
      </c>
      <c r="AS11" s="100">
        <v>0</v>
      </c>
      <c r="AT11" s="100">
        <v>606.7802608817874</v>
      </c>
      <c r="AU11" s="100">
        <v>0</v>
      </c>
      <c r="AV11" s="100">
        <v>0</v>
      </c>
      <c r="AW11" s="100">
        <v>416.4719082230896</v>
      </c>
      <c r="AX11" s="100">
        <v>606.7802608817874</v>
      </c>
      <c r="AY11" s="100">
        <v>0</v>
      </c>
      <c r="AZ11" s="100">
        <v>606.7802608817874</v>
      </c>
      <c r="BA11" s="100">
        <v>416.4719082230896</v>
      </c>
    </row>
    <row r="12" spans="1:54">
      <c r="B12" s="120">
        <v>3</v>
      </c>
      <c r="C12" s="106" t="s">
        <v>293</v>
      </c>
      <c r="D12" s="100">
        <v>0</v>
      </c>
      <c r="E12" s="100">
        <v>0</v>
      </c>
      <c r="F12" s="100">
        <v>0</v>
      </c>
      <c r="H12" s="100">
        <v>0</v>
      </c>
      <c r="M12" s="100">
        <v>0</v>
      </c>
      <c r="N12" s="100">
        <v>416.4719082230896</v>
      </c>
      <c r="Q12" s="100">
        <v>0</v>
      </c>
      <c r="U12" s="100">
        <v>0</v>
      </c>
      <c r="X12" s="100">
        <v>416.4719082230896</v>
      </c>
      <c r="Y12" s="100">
        <v>0</v>
      </c>
      <c r="AB12" s="100">
        <v>416.4719082230896</v>
      </c>
      <c r="AC12" s="100">
        <v>606.7802608817874</v>
      </c>
      <c r="AD12" s="100">
        <v>416.4719082230896</v>
      </c>
      <c r="AE12" s="100">
        <v>0</v>
      </c>
      <c r="AI12" s="100">
        <v>0</v>
      </c>
      <c r="AJ12" s="100">
        <v>0</v>
      </c>
      <c r="AM12" s="100">
        <v>0</v>
      </c>
      <c r="AQ12" s="100">
        <v>0</v>
      </c>
      <c r="AS12" s="100">
        <v>0</v>
      </c>
      <c r="AT12" s="100">
        <v>416.4719082230896</v>
      </c>
      <c r="AU12" s="100">
        <v>0</v>
      </c>
      <c r="AZ12" s="100">
        <v>416.4719082230896</v>
      </c>
      <c r="BB12" s="100">
        <v>0</v>
      </c>
    </row>
    <row r="13" spans="1:54">
      <c r="B13" s="120">
        <v>4</v>
      </c>
      <c r="C13" s="106" t="s">
        <v>293</v>
      </c>
      <c r="P13" s="100">
        <v>0</v>
      </c>
      <c r="AA13" s="100">
        <v>0</v>
      </c>
      <c r="AD13" s="100">
        <v>0</v>
      </c>
      <c r="AO13" s="100">
        <v>0</v>
      </c>
      <c r="AZ13" s="100">
        <v>0</v>
      </c>
    </row>
    <row r="14" spans="1:54">
      <c r="A14" s="115" t="s">
        <v>134</v>
      </c>
      <c r="B14" s="121">
        <v>1</v>
      </c>
      <c r="C14" s="117" t="s">
        <v>293</v>
      </c>
      <c r="D14" s="117">
        <v>366.70089092312679</v>
      </c>
      <c r="E14" s="117">
        <f t="shared" ref="E14:AZ14" si="0">D$172*SUM(D$122:D$169)</f>
        <v>367.20558308288503</v>
      </c>
      <c r="F14" s="117">
        <f t="shared" si="0"/>
        <v>3.2993846844094961E-2</v>
      </c>
      <c r="G14" s="117">
        <f t="shared" si="0"/>
        <v>482.73144160868702</v>
      </c>
      <c r="H14" s="117">
        <f t="shared" si="0"/>
        <v>487.79880196257392</v>
      </c>
      <c r="I14" s="117">
        <f t="shared" si="0"/>
        <v>306.08286119899225</v>
      </c>
      <c r="J14" s="117">
        <f t="shared" si="0"/>
        <v>293.39103008066184</v>
      </c>
      <c r="K14" s="117">
        <f t="shared" si="0"/>
        <v>115.04180229831175</v>
      </c>
      <c r="L14" s="117">
        <f t="shared" si="0"/>
        <v>618.41369584990468</v>
      </c>
      <c r="M14" s="117">
        <f t="shared" si="0"/>
        <v>207.90780658121318</v>
      </c>
      <c r="N14" s="117">
        <f t="shared" si="0"/>
        <v>3.2993846844094961E-2</v>
      </c>
      <c r="O14" s="117">
        <f t="shared" si="0"/>
        <v>985.10845107716875</v>
      </c>
      <c r="P14" s="117">
        <f t="shared" si="0"/>
        <v>632.56226236294765</v>
      </c>
      <c r="Q14" s="117">
        <f t="shared" si="0"/>
        <v>444.12890560213867</v>
      </c>
      <c r="R14" s="117">
        <f t="shared" si="0"/>
        <v>375.46150375367574</v>
      </c>
      <c r="S14" s="117">
        <f t="shared" si="0"/>
        <v>366.72774907410826</v>
      </c>
      <c r="T14" s="117">
        <f t="shared" si="0"/>
        <v>3.2993846844094961E-2</v>
      </c>
      <c r="U14" s="117">
        <f t="shared" si="0"/>
        <v>733.42250430137233</v>
      </c>
      <c r="V14" s="117">
        <f t="shared" si="0"/>
        <v>526.89350300795024</v>
      </c>
      <c r="W14" s="117">
        <f t="shared" si="0"/>
        <v>191.58693522842734</v>
      </c>
      <c r="X14" s="117">
        <f t="shared" si="0"/>
        <v>3.2993846844094961E-2</v>
      </c>
      <c r="Y14" s="117">
        <f t="shared" si="0"/>
        <v>985.10845107716875</v>
      </c>
      <c r="Z14" s="117">
        <f t="shared" si="0"/>
        <v>684.18652303054</v>
      </c>
      <c r="AA14" s="117">
        <f t="shared" si="0"/>
        <v>266.81982869190341</v>
      </c>
      <c r="AB14" s="117">
        <f t="shared" si="0"/>
        <v>3.2993846844094961E-2</v>
      </c>
      <c r="AC14" s="117">
        <f t="shared" si="0"/>
        <v>366.7277490741082</v>
      </c>
      <c r="AD14" s="117">
        <f t="shared" si="0"/>
        <v>366.7277490741082</v>
      </c>
      <c r="AE14" s="117">
        <f t="shared" si="0"/>
        <v>733.42250430137233</v>
      </c>
      <c r="AF14" s="117">
        <f t="shared" si="0"/>
        <v>317.20219635200789</v>
      </c>
      <c r="AG14" s="117">
        <f t="shared" si="0"/>
        <v>733.42250430137233</v>
      </c>
      <c r="AH14" s="117">
        <f t="shared" si="0"/>
        <v>496.33569391245084</v>
      </c>
      <c r="AI14" s="117">
        <f t="shared" si="0"/>
        <v>155.51889288090635</v>
      </c>
      <c r="AJ14" s="117">
        <f t="shared" si="0"/>
        <v>251.71894062264056</v>
      </c>
      <c r="AK14" s="117">
        <f t="shared" si="0"/>
        <v>115.04180229831174</v>
      </c>
      <c r="AL14" s="117">
        <f t="shared" si="0"/>
        <v>985.10845107716875</v>
      </c>
      <c r="AM14" s="117">
        <f t="shared" si="0"/>
        <v>613.24372581863634</v>
      </c>
      <c r="AN14" s="117">
        <f t="shared" si="0"/>
        <v>56.928082694686438</v>
      </c>
      <c r="AO14" s="117">
        <f t="shared" si="0"/>
        <v>481.7365575255759</v>
      </c>
      <c r="AP14" s="117">
        <f t="shared" si="0"/>
        <v>643.67125406216485</v>
      </c>
      <c r="AQ14" s="117">
        <f t="shared" si="0"/>
        <v>413.11728264033957</v>
      </c>
      <c r="AR14" s="117">
        <f t="shared" si="0"/>
        <v>3.2993846844094961E-2</v>
      </c>
      <c r="AS14" s="117">
        <f t="shared" si="0"/>
        <v>481.7365575255759</v>
      </c>
      <c r="AT14" s="117">
        <f t="shared" si="0"/>
        <v>3.2993846844094961E-2</v>
      </c>
      <c r="AU14" s="117">
        <f t="shared" si="0"/>
        <v>985.10845107716875</v>
      </c>
      <c r="AV14" s="117">
        <f t="shared" si="0"/>
        <v>666.2201389631955</v>
      </c>
      <c r="AW14" s="117">
        <f t="shared" si="0"/>
        <v>215.62354735767329</v>
      </c>
      <c r="AX14" s="117">
        <f t="shared" si="0"/>
        <v>251.71894062264056</v>
      </c>
      <c r="AY14" s="117">
        <f t="shared" si="0"/>
        <v>481.7365575255759</v>
      </c>
      <c r="AZ14" s="110">
        <f t="shared" si="0"/>
        <v>3.2993846844094961E-2</v>
      </c>
      <c r="BA14" s="107">
        <f>SUM($E14:$AZ14)</f>
        <v>18882.911170353062</v>
      </c>
    </row>
    <row r="15" spans="1:54">
      <c r="A15" s="122" t="s">
        <v>123</v>
      </c>
      <c r="B15" s="123">
        <v>1</v>
      </c>
      <c r="C15" s="124" t="s">
        <v>293</v>
      </c>
      <c r="D15" s="124">
        <v>829.15581917326529</v>
      </c>
      <c r="E15" s="124">
        <v>7.4500610470069645E-2</v>
      </c>
      <c r="F15" s="124">
        <v>259.76614795177227</v>
      </c>
      <c r="G15" s="124">
        <v>662.48143027201604</v>
      </c>
      <c r="H15" s="124">
        <v>662.48143027201604</v>
      </c>
      <c r="I15" s="124">
        <v>662.48143027201604</v>
      </c>
      <c r="J15" s="124">
        <v>259.76614795177227</v>
      </c>
      <c r="K15" s="124">
        <v>828.07686267796942</v>
      </c>
      <c r="L15" s="124">
        <v>259.76614795177227</v>
      </c>
      <c r="M15" s="124">
        <v>7.4500610470069645E-2</v>
      </c>
      <c r="N15" s="124">
        <v>828.07686267796942</v>
      </c>
      <c r="O15" s="124">
        <v>828.07686267796942</v>
      </c>
      <c r="P15" s="124">
        <v>828.07686267796942</v>
      </c>
      <c r="Q15" s="124">
        <v>828.07686267796942</v>
      </c>
      <c r="R15" s="124">
        <v>828.07686267796942</v>
      </c>
      <c r="S15" s="124">
        <v>7.4500610470069645E-2</v>
      </c>
      <c r="T15" s="124">
        <v>828.07686267796942</v>
      </c>
      <c r="U15" s="124">
        <v>828.07686267796942</v>
      </c>
      <c r="V15" s="124">
        <v>259.76614795177227</v>
      </c>
      <c r="W15" s="124">
        <v>7.4500610470069645E-2</v>
      </c>
      <c r="X15" s="124">
        <v>828.07686267796942</v>
      </c>
      <c r="Y15" s="124">
        <v>828.07686267796942</v>
      </c>
      <c r="Z15" s="124">
        <v>259.76614795177227</v>
      </c>
      <c r="AA15" s="124">
        <v>7.4500610470069645E-2</v>
      </c>
      <c r="AB15" s="124">
        <v>259.76614795177227</v>
      </c>
      <c r="AC15" s="124">
        <v>7.4500610470069645E-2</v>
      </c>
      <c r="AD15" s="124">
        <v>259.76614795177227</v>
      </c>
      <c r="AE15" s="124">
        <v>7.4500610470069645E-2</v>
      </c>
      <c r="AF15" s="124">
        <v>828.07686267796942</v>
      </c>
      <c r="AG15" s="124">
        <v>828.07686267796942</v>
      </c>
      <c r="AH15" s="124">
        <v>259.76614795177227</v>
      </c>
      <c r="AI15" s="124">
        <v>7.4500610470069645E-2</v>
      </c>
      <c r="AJ15" s="124">
        <v>259.76614795177221</v>
      </c>
      <c r="AK15" s="124">
        <v>828.07686267796942</v>
      </c>
      <c r="AL15" s="124">
        <v>828.07686267796942</v>
      </c>
      <c r="AM15" s="124">
        <v>7.4500610470069645E-2</v>
      </c>
      <c r="AN15" s="124">
        <v>259.76614795177227</v>
      </c>
      <c r="AO15" s="124">
        <v>828.07686267796942</v>
      </c>
      <c r="AP15" s="124">
        <v>828.07686267796942</v>
      </c>
      <c r="AQ15" s="124">
        <v>7.4500610470069645E-2</v>
      </c>
      <c r="AR15" s="124">
        <v>259.76614795177227</v>
      </c>
      <c r="AS15" s="124">
        <v>7.4500610470069645E-2</v>
      </c>
      <c r="AT15" s="124">
        <v>828.07686267796942</v>
      </c>
      <c r="AU15" s="124">
        <v>828.07686267796942</v>
      </c>
      <c r="AV15" s="124">
        <v>259.76614795177227</v>
      </c>
      <c r="AW15" s="124">
        <v>7.4500610470069645E-2</v>
      </c>
      <c r="AX15" s="124">
        <v>259.76614795177227</v>
      </c>
      <c r="AY15" s="124">
        <v>7.4500610470069645E-2</v>
      </c>
      <c r="AZ15" s="100">
        <v>259.6916473413022</v>
      </c>
    </row>
    <row r="16" spans="1:54">
      <c r="A16" s="110"/>
      <c r="B16" s="119">
        <v>2</v>
      </c>
      <c r="C16" s="109" t="s">
        <v>293</v>
      </c>
      <c r="D16" s="106"/>
      <c r="E16" s="110"/>
      <c r="F16" s="110">
        <v>830.24882553351972</v>
      </c>
      <c r="G16" s="110">
        <v>402.71528232024377</v>
      </c>
      <c r="H16" s="110">
        <v>0</v>
      </c>
      <c r="I16" s="110">
        <v>0</v>
      </c>
      <c r="J16" s="110">
        <v>0</v>
      </c>
      <c r="K16" s="110">
        <v>568.31071472619715</v>
      </c>
      <c r="L16" s="110"/>
      <c r="M16" s="110">
        <v>0</v>
      </c>
      <c r="N16" s="110">
        <v>828.00236206749935</v>
      </c>
      <c r="O16" s="110">
        <v>0</v>
      </c>
      <c r="P16" s="110"/>
      <c r="Q16" s="110">
        <v>0</v>
      </c>
      <c r="R16" s="110">
        <v>0</v>
      </c>
      <c r="S16" s="110">
        <v>0</v>
      </c>
      <c r="T16" s="110">
        <v>828.00236206749935</v>
      </c>
      <c r="U16" s="110">
        <v>0</v>
      </c>
      <c r="V16" s="110">
        <v>0</v>
      </c>
      <c r="W16" s="110">
        <v>0</v>
      </c>
      <c r="X16" s="110">
        <v>828.00236206749935</v>
      </c>
      <c r="Y16" s="110"/>
      <c r="Z16" s="110">
        <v>0</v>
      </c>
      <c r="AA16" s="110">
        <v>0</v>
      </c>
      <c r="AB16" s="110"/>
      <c r="AC16" s="110">
        <v>0</v>
      </c>
      <c r="AD16" s="110">
        <v>828.00236206749935</v>
      </c>
      <c r="AE16" s="110">
        <v>568.31071472619715</v>
      </c>
      <c r="AF16" s="110">
        <v>828.00236206749935</v>
      </c>
      <c r="AG16" s="110">
        <v>0</v>
      </c>
      <c r="AH16" s="110"/>
      <c r="AI16" s="110">
        <v>568.31071472619715</v>
      </c>
      <c r="AJ16" s="110">
        <v>0</v>
      </c>
      <c r="AK16" s="110">
        <v>1396.3130767936966</v>
      </c>
      <c r="AL16" s="110"/>
      <c r="AM16" s="110"/>
      <c r="AN16" s="110">
        <v>828.00236206749935</v>
      </c>
      <c r="AO16" s="110">
        <v>568.31071472619715</v>
      </c>
      <c r="AP16" s="110"/>
      <c r="AQ16" s="110">
        <v>0</v>
      </c>
      <c r="AR16" s="110">
        <v>828.00236206749935</v>
      </c>
      <c r="AS16" s="110">
        <v>0</v>
      </c>
      <c r="AT16" s="110">
        <v>828.00236206749935</v>
      </c>
      <c r="AU16" s="110">
        <v>0</v>
      </c>
      <c r="AV16" s="110">
        <v>0</v>
      </c>
      <c r="AW16" s="110">
        <v>568.31071472619715</v>
      </c>
      <c r="AX16" s="110">
        <v>828.00236206749935</v>
      </c>
      <c r="AY16" s="110">
        <v>0</v>
      </c>
      <c r="AZ16" s="100">
        <v>828.00236206749935</v>
      </c>
      <c r="BA16" s="100">
        <v>568.31071472619715</v>
      </c>
    </row>
    <row r="17" spans="1:54">
      <c r="A17" s="110"/>
      <c r="B17" s="119">
        <v>3</v>
      </c>
      <c r="C17" s="109" t="s">
        <v>293</v>
      </c>
      <c r="D17" s="106">
        <v>0</v>
      </c>
      <c r="E17" s="110">
        <v>0</v>
      </c>
      <c r="F17" s="110">
        <v>0</v>
      </c>
      <c r="G17" s="110"/>
      <c r="H17" s="110">
        <v>0</v>
      </c>
      <c r="I17" s="110"/>
      <c r="J17" s="110"/>
      <c r="K17" s="110"/>
      <c r="L17" s="110"/>
      <c r="M17" s="110">
        <v>0</v>
      </c>
      <c r="N17" s="110">
        <v>568.31071472619715</v>
      </c>
      <c r="O17" s="110"/>
      <c r="P17" s="110"/>
      <c r="Q17" s="110">
        <v>0</v>
      </c>
      <c r="R17" s="110"/>
      <c r="S17" s="110"/>
      <c r="T17" s="110"/>
      <c r="U17" s="110">
        <v>0</v>
      </c>
      <c r="V17" s="110"/>
      <c r="W17" s="110"/>
      <c r="X17" s="110">
        <v>568.31071472619715</v>
      </c>
      <c r="Y17" s="110">
        <v>0</v>
      </c>
      <c r="Z17" s="110"/>
      <c r="AA17" s="110"/>
      <c r="AB17" s="110">
        <v>568.31071472619715</v>
      </c>
      <c r="AC17" s="110">
        <v>828.00236206749935</v>
      </c>
      <c r="AD17" s="110">
        <v>568.31071472619715</v>
      </c>
      <c r="AE17" s="110">
        <v>0</v>
      </c>
      <c r="AF17" s="110"/>
      <c r="AG17" s="110"/>
      <c r="AH17" s="110"/>
      <c r="AI17" s="110">
        <v>0</v>
      </c>
      <c r="AJ17" s="110">
        <v>0</v>
      </c>
      <c r="AK17" s="110"/>
      <c r="AL17" s="110"/>
      <c r="AM17" s="110">
        <v>0</v>
      </c>
      <c r="AN17" s="110"/>
      <c r="AO17" s="110"/>
      <c r="AP17" s="110"/>
      <c r="AQ17" s="110">
        <v>0</v>
      </c>
      <c r="AR17" s="110"/>
      <c r="AS17" s="110">
        <v>0</v>
      </c>
      <c r="AT17" s="110">
        <v>568.31071472619715</v>
      </c>
      <c r="AU17" s="110">
        <v>0</v>
      </c>
      <c r="AV17" s="110"/>
      <c r="AW17" s="110"/>
      <c r="AX17" s="110"/>
      <c r="AY17" s="110"/>
      <c r="AZ17" s="100">
        <v>568.31071472619715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v>0</v>
      </c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>
        <v>0</v>
      </c>
      <c r="AB18" s="125"/>
      <c r="AC18" s="125"/>
      <c r="AD18" s="125">
        <v>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>
        <v>0</v>
      </c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00">
        <v>0</v>
      </c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>
        <v>352.55892914027299</v>
      </c>
      <c r="Y22" s="110">
        <v>299.5518073945077</v>
      </c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>
        <v>240.92537142796209</v>
      </c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>
        <v>0</v>
      </c>
      <c r="Y23" s="110">
        <v>0</v>
      </c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>
        <v>0</v>
      </c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>
        <v>0</v>
      </c>
      <c r="Y30" s="110">
        <v>0</v>
      </c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>
        <v>0</v>
      </c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>
        <v>0</v>
      </c>
      <c r="Y31" s="110">
        <v>0</v>
      </c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>
        <v>0</v>
      </c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>
        <v>0</v>
      </c>
      <c r="Y42" s="106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>
        <v>0</v>
      </c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>
        <v>0</v>
      </c>
      <c r="Y43" s="106">
        <v>0</v>
      </c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>
        <v>0</v>
      </c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>
        <v>0</v>
      </c>
      <c r="Y90" s="110">
        <v>0</v>
      </c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>
        <v>0</v>
      </c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>
        <v>0</v>
      </c>
      <c r="Y91" s="110">
        <v>0</v>
      </c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>
        <v>0</v>
      </c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893.03610796274279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1053.1213038796031</v>
      </c>
      <c r="D95" s="110">
        <v>841.62546815484097</v>
      </c>
      <c r="E95" s="110">
        <v>841.62546815484097</v>
      </c>
      <c r="F95" s="110">
        <v>841.62546815484097</v>
      </c>
      <c r="G95" s="110">
        <v>841.62546815484097</v>
      </c>
      <c r="H95" s="110">
        <v>1052.0238306752542</v>
      </c>
      <c r="I95" s="110">
        <v>1052.0238306752542</v>
      </c>
      <c r="J95" s="110">
        <v>1052.0238306752542</v>
      </c>
      <c r="K95" s="110">
        <v>1052.0238306752542</v>
      </c>
      <c r="L95" s="110">
        <v>1052.0238306752542</v>
      </c>
      <c r="M95" s="110">
        <v>1052.0238306752542</v>
      </c>
      <c r="N95" s="110">
        <v>1052.0238306752542</v>
      </c>
      <c r="O95" s="110">
        <v>1052.0238306752542</v>
      </c>
      <c r="P95" s="110">
        <v>1052.0238306752542</v>
      </c>
      <c r="Q95" s="110">
        <v>1052.0238306752542</v>
      </c>
      <c r="R95" s="110">
        <v>1052.0238306752542</v>
      </c>
      <c r="S95" s="110">
        <v>1052.0238306752542</v>
      </c>
      <c r="T95" s="110">
        <v>1052.0238306752542</v>
      </c>
      <c r="U95" s="110">
        <v>1052.0238306752542</v>
      </c>
      <c r="V95" s="110">
        <v>1052.0238306752542</v>
      </c>
      <c r="W95" s="110">
        <v>1052.0238306752542</v>
      </c>
      <c r="X95" s="110">
        <v>1052.0238306752542</v>
      </c>
      <c r="Y95" s="110">
        <v>1052.0238306752542</v>
      </c>
      <c r="Z95" s="110">
        <v>1052.0238306752542</v>
      </c>
      <c r="AA95" s="110">
        <v>1052.0238306752542</v>
      </c>
      <c r="AB95" s="110">
        <v>1052.0238306752542</v>
      </c>
      <c r="AC95" s="110">
        <v>1052.0238306752542</v>
      </c>
      <c r="AD95" s="110">
        <v>1052.0238306752542</v>
      </c>
      <c r="AE95" s="110">
        <v>1052.0238306752542</v>
      </c>
      <c r="AF95" s="110">
        <v>1052.0238306752542</v>
      </c>
      <c r="AG95" s="110">
        <v>1052.0238306752542</v>
      </c>
      <c r="AH95" s="110">
        <v>1052.0238306752542</v>
      </c>
      <c r="AI95" s="110">
        <v>1052.0238306752542</v>
      </c>
      <c r="AJ95" s="110">
        <v>1052.0238306752542</v>
      </c>
      <c r="AK95" s="110">
        <v>1052.0238306752542</v>
      </c>
      <c r="AL95" s="110">
        <v>1052.0238306752542</v>
      </c>
      <c r="AM95" s="110">
        <v>1052.0238306752542</v>
      </c>
      <c r="AN95" s="110">
        <v>1052.0238306752542</v>
      </c>
      <c r="AO95" s="110">
        <v>1052.0238306752542</v>
      </c>
      <c r="AP95" s="110">
        <v>1052.0238306752542</v>
      </c>
      <c r="AQ95" s="110">
        <v>1052.0238306752542</v>
      </c>
      <c r="AR95" s="110">
        <v>1052.0238306752542</v>
      </c>
      <c r="AS95" s="110">
        <v>1052.0238306752542</v>
      </c>
      <c r="AT95" s="110">
        <v>1052.0238306752542</v>
      </c>
      <c r="AU95" s="110">
        <v>1052.0238306752542</v>
      </c>
      <c r="AV95" s="110">
        <v>1052.0238306752542</v>
      </c>
      <c r="AW95" s="110">
        <v>1052.0238306752542</v>
      </c>
      <c r="AX95" s="110">
        <v>1052.0238306752542</v>
      </c>
      <c r="AY95" s="110">
        <v>1052.0238306752542</v>
      </c>
    </row>
    <row r="96" spans="1:52">
      <c r="A96" s="109"/>
      <c r="B96" s="120">
        <v>2</v>
      </c>
      <c r="C96" s="110">
        <v>0</v>
      </c>
      <c r="D96" s="110">
        <v>58.121303879603147</v>
      </c>
      <c r="E96" s="110">
        <v>68.74677203444412</v>
      </c>
      <c r="F96" s="110">
        <v>0</v>
      </c>
      <c r="G96" s="110">
        <v>0</v>
      </c>
      <c r="H96" s="110">
        <v>0</v>
      </c>
      <c r="I96" s="110">
        <v>0</v>
      </c>
      <c r="J96" s="110">
        <v>33.023830675254203</v>
      </c>
      <c r="K96" s="110">
        <v>81.047661350508406</v>
      </c>
      <c r="L96" s="110">
        <v>76.071492025762609</v>
      </c>
      <c r="M96" s="110">
        <v>28.095322701016812</v>
      </c>
      <c r="N96" s="110">
        <v>0</v>
      </c>
      <c r="O96" s="110">
        <v>114.0238306752542</v>
      </c>
      <c r="P96" s="110">
        <v>135.04766135050841</v>
      </c>
      <c r="Q96" s="110">
        <v>168.07149202576261</v>
      </c>
      <c r="R96" s="110">
        <v>399.09532270101681</v>
      </c>
      <c r="S96" s="110">
        <v>583.11915337627102</v>
      </c>
      <c r="T96" s="110">
        <v>656.14298405152522</v>
      </c>
      <c r="U96" s="110">
        <v>695.16681472677942</v>
      </c>
      <c r="V96" s="110">
        <v>856.19064540203362</v>
      </c>
      <c r="W96" s="110">
        <v>976.21447607728783</v>
      </c>
      <c r="X96" s="110">
        <v>582.67937761226904</v>
      </c>
      <c r="Y96" s="110">
        <v>273.15140089301553</v>
      </c>
      <c r="Z96" s="110">
        <v>166.17523156826974</v>
      </c>
      <c r="AA96" s="110">
        <v>89.19906224352394</v>
      </c>
      <c r="AB96" s="110">
        <v>187.22289291877814</v>
      </c>
      <c r="AC96" s="110">
        <v>222.24672359403235</v>
      </c>
      <c r="AD96" s="110">
        <v>357.27055426928655</v>
      </c>
      <c r="AE96" s="110">
        <v>416.29438494454075</v>
      </c>
      <c r="AF96" s="110">
        <v>447.31821561979496</v>
      </c>
      <c r="AG96" s="110">
        <v>594.34204629504916</v>
      </c>
      <c r="AH96" s="110">
        <v>535.36587697030336</v>
      </c>
      <c r="AI96" s="110">
        <v>570.38970764555756</v>
      </c>
      <c r="AJ96" s="110">
        <v>562.41353832081177</v>
      </c>
      <c r="AK96" s="110">
        <v>478.51199756810388</v>
      </c>
      <c r="AL96" s="110">
        <v>474.53582824335808</v>
      </c>
      <c r="AM96" s="110">
        <v>364.55965891861229</v>
      </c>
      <c r="AN96" s="110">
        <v>383.58348959386649</v>
      </c>
      <c r="AO96" s="110">
        <v>364.60732026912069</v>
      </c>
      <c r="AP96" s="110">
        <v>187.63115094437489</v>
      </c>
      <c r="AQ96" s="110">
        <v>147.6549816196291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90.023830675254203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608.29951458537209</v>
      </c>
      <c r="D100" s="106">
        <v>608.29951458537209</v>
      </c>
      <c r="E100" s="106">
        <v>0</v>
      </c>
      <c r="F100" s="106">
        <v>190.30835265869783</v>
      </c>
      <c r="G100" s="106">
        <v>485.42790214549007</v>
      </c>
      <c r="H100" s="106">
        <v>485.42790214549007</v>
      </c>
      <c r="I100" s="106">
        <v>485.42790214549007</v>
      </c>
      <c r="J100" s="106">
        <v>190.30835265869783</v>
      </c>
      <c r="K100" s="106">
        <v>606.7802608817874</v>
      </c>
      <c r="L100" s="106">
        <v>190.30835265869783</v>
      </c>
      <c r="M100" s="106">
        <v>0</v>
      </c>
      <c r="N100" s="106">
        <v>606.7802608817874</v>
      </c>
      <c r="O100" s="106">
        <v>606.7802608817874</v>
      </c>
      <c r="P100" s="106">
        <v>606.7802608817874</v>
      </c>
      <c r="Q100" s="106">
        <v>606.7802608817874</v>
      </c>
      <c r="R100" s="106">
        <v>606.7802608817874</v>
      </c>
      <c r="S100" s="106">
        <v>0</v>
      </c>
      <c r="T100" s="106">
        <v>606.7802608817874</v>
      </c>
      <c r="U100" s="106">
        <v>606.7802608817874</v>
      </c>
      <c r="V100" s="106">
        <v>190.30835265869783</v>
      </c>
      <c r="W100" s="106">
        <v>0</v>
      </c>
      <c r="X100" s="106">
        <v>606.7802608817874</v>
      </c>
      <c r="Y100" s="106">
        <v>606.7802608817874</v>
      </c>
      <c r="Z100" s="106">
        <v>190.30835265869783</v>
      </c>
      <c r="AA100" s="106">
        <v>0</v>
      </c>
      <c r="AB100" s="106">
        <v>190.30835265869783</v>
      </c>
      <c r="AC100" s="106">
        <v>0</v>
      </c>
      <c r="AD100" s="106">
        <v>190.30835265869783</v>
      </c>
      <c r="AE100" s="106">
        <v>0</v>
      </c>
      <c r="AF100" s="106">
        <v>606.7802608817874</v>
      </c>
      <c r="AG100" s="106">
        <v>606.7802608817874</v>
      </c>
      <c r="AH100" s="106">
        <v>190.30835265869783</v>
      </c>
      <c r="AI100" s="106">
        <v>0</v>
      </c>
      <c r="AJ100" s="106">
        <v>190.30835265869791</v>
      </c>
      <c r="AK100" s="106">
        <v>606.7802608817874</v>
      </c>
      <c r="AL100" s="106">
        <v>606.7802608817874</v>
      </c>
      <c r="AM100" s="106">
        <v>0</v>
      </c>
      <c r="AN100" s="106">
        <v>190.30835265869783</v>
      </c>
      <c r="AO100" s="106">
        <v>606.7802608817874</v>
      </c>
      <c r="AP100" s="106">
        <v>606.7802608817874</v>
      </c>
      <c r="AQ100" s="106">
        <v>0</v>
      </c>
      <c r="AR100" s="106">
        <v>190.30835265869783</v>
      </c>
      <c r="AS100" s="106">
        <v>0</v>
      </c>
      <c r="AT100" s="106">
        <v>606.7802608817874</v>
      </c>
      <c r="AU100" s="106">
        <v>606.7802608817874</v>
      </c>
      <c r="AV100" s="106">
        <v>190.30835265869783</v>
      </c>
      <c r="AW100" s="106">
        <v>0</v>
      </c>
      <c r="AX100" s="106">
        <v>190.30835265869783</v>
      </c>
      <c r="AY100" s="106">
        <v>0</v>
      </c>
    </row>
    <row r="101" spans="1:52">
      <c r="A101" s="109"/>
      <c r="B101" s="119">
        <v>2</v>
      </c>
      <c r="C101" s="106">
        <v>60.198058341488377</v>
      </c>
      <c r="D101" s="106">
        <v>0</v>
      </c>
      <c r="E101" s="106">
        <v>0</v>
      </c>
      <c r="F101" s="106">
        <v>608.4265239245276</v>
      </c>
      <c r="G101" s="106">
        <v>420.85442607001767</v>
      </c>
      <c r="H101" s="106">
        <v>191.28232821550773</v>
      </c>
      <c r="I101" s="106">
        <v>0</v>
      </c>
      <c r="J101" s="106">
        <v>0</v>
      </c>
      <c r="K101" s="106">
        <v>416.4719082230896</v>
      </c>
      <c r="L101" s="106">
        <v>443.252169104877</v>
      </c>
      <c r="M101" s="106">
        <v>62.560521763574826</v>
      </c>
      <c r="N101" s="106">
        <v>606.7802608817874</v>
      </c>
      <c r="O101" s="106">
        <v>606.7802608817874</v>
      </c>
      <c r="P101" s="106">
        <v>606.7802608817874</v>
      </c>
      <c r="Q101" s="106">
        <v>606.7802608817874</v>
      </c>
      <c r="R101" s="106">
        <v>606.7802608817874</v>
      </c>
      <c r="S101" s="106">
        <v>606.7802608817874</v>
      </c>
      <c r="T101" s="106">
        <v>606.7802608817874</v>
      </c>
      <c r="U101" s="106">
        <v>606.7802608817874</v>
      </c>
      <c r="V101" s="106">
        <v>606.7802608817874</v>
      </c>
      <c r="W101" s="106">
        <v>190.30835265869783</v>
      </c>
      <c r="X101" s="106">
        <v>606.7802608817874</v>
      </c>
      <c r="Y101" s="106">
        <v>606.7802608817874</v>
      </c>
      <c r="Z101" s="106">
        <v>606.7802608817874</v>
      </c>
      <c r="AA101" s="106">
        <v>190.30835265869783</v>
      </c>
      <c r="AB101" s="106">
        <v>0</v>
      </c>
      <c r="AC101" s="106">
        <v>61.780260881787427</v>
      </c>
      <c r="AD101" s="106">
        <v>606.7802608817874</v>
      </c>
      <c r="AE101" s="106">
        <v>606.7802608817874</v>
      </c>
      <c r="AF101" s="106">
        <v>606.7802608817874</v>
      </c>
      <c r="AG101" s="106">
        <v>513.59295175023919</v>
      </c>
      <c r="AH101" s="106">
        <v>357.37321263202659</v>
      </c>
      <c r="AI101" s="106">
        <v>416.4719082230896</v>
      </c>
      <c r="AJ101" s="106">
        <v>0</v>
      </c>
      <c r="AK101" s="106">
        <v>1023.2521691048769</v>
      </c>
      <c r="AL101" s="106">
        <v>606.7802608817874</v>
      </c>
      <c r="AM101" s="106">
        <v>606.7802608817874</v>
      </c>
      <c r="AN101" s="106">
        <v>606.7802608817874</v>
      </c>
      <c r="AO101" s="106">
        <v>606.7802608817874</v>
      </c>
      <c r="AP101" s="106">
        <v>606.7802608817874</v>
      </c>
      <c r="AQ101" s="106">
        <v>532.93373439560128</v>
      </c>
      <c r="AR101" s="106">
        <v>606.7802608817874</v>
      </c>
      <c r="AS101" s="106">
        <v>37.088613540485227</v>
      </c>
      <c r="AT101" s="106">
        <v>606.7802608817874</v>
      </c>
      <c r="AU101" s="106">
        <v>606.7802608817874</v>
      </c>
      <c r="AV101" s="106">
        <v>606.7802608817874</v>
      </c>
      <c r="AW101" s="106">
        <v>606.7802608817874</v>
      </c>
      <c r="AX101" s="106">
        <v>606.7802608817874</v>
      </c>
      <c r="AY101" s="106">
        <v>67.681565290724421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416.4719082230896</v>
      </c>
      <c r="O102" s="106">
        <v>292.252169104877</v>
      </c>
      <c r="P102" s="106">
        <v>226.0324299866644</v>
      </c>
      <c r="Q102" s="106">
        <v>277.8126908684518</v>
      </c>
      <c r="R102" s="106">
        <v>250.59295175023919</v>
      </c>
      <c r="S102" s="106">
        <v>254.37321263202659</v>
      </c>
      <c r="T102" s="106">
        <v>244.15347351381399</v>
      </c>
      <c r="U102" s="106">
        <v>216.93373439560139</v>
      </c>
      <c r="V102" s="106">
        <v>172.71399527738879</v>
      </c>
      <c r="W102" s="106">
        <v>176.49425615917619</v>
      </c>
      <c r="X102" s="106">
        <v>416.4719082230896</v>
      </c>
      <c r="Y102" s="106">
        <v>431.252169104877</v>
      </c>
      <c r="Z102" s="106">
        <v>342.0324299866644</v>
      </c>
      <c r="AA102" s="106">
        <v>167.8126908684518</v>
      </c>
      <c r="AB102" s="106">
        <v>416.4719082230896</v>
      </c>
      <c r="AC102" s="106">
        <v>606.7802608817874</v>
      </c>
      <c r="AD102" s="106">
        <v>416.4719082230896</v>
      </c>
      <c r="AE102" s="106">
        <v>256.252169104877</v>
      </c>
      <c r="AF102" s="106">
        <v>67.032429986664397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359.25216910487688</v>
      </c>
      <c r="AM102" s="106">
        <v>258.03242998666428</v>
      </c>
      <c r="AN102" s="106">
        <v>264.81269086845168</v>
      </c>
      <c r="AO102" s="106">
        <v>233.59295175023908</v>
      </c>
      <c r="AP102" s="106">
        <v>194.37321263202648</v>
      </c>
      <c r="AQ102" s="106">
        <v>0</v>
      </c>
      <c r="AR102" s="106">
        <v>0</v>
      </c>
      <c r="AS102" s="106">
        <v>0</v>
      </c>
      <c r="AT102" s="106">
        <v>416.4719082230896</v>
      </c>
      <c r="AU102" s="106">
        <v>353.252169104877</v>
      </c>
      <c r="AV102" s="106">
        <v>261.0324299866644</v>
      </c>
      <c r="AW102" s="106">
        <v>166.8126908684518</v>
      </c>
      <c r="AX102" s="106">
        <v>34.592951750239195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402.32570154723408</v>
      </c>
      <c r="D109" s="106">
        <v>366.70089092312679</v>
      </c>
      <c r="E109" s="106">
        <v>367.20558308288503</v>
      </c>
      <c r="F109" s="106">
        <v>3.2993846844094961E-2</v>
      </c>
      <c r="G109" s="106">
        <v>482.73144160868702</v>
      </c>
      <c r="H109" s="106">
        <v>487.79880196257392</v>
      </c>
      <c r="I109" s="106">
        <v>306.08286119899225</v>
      </c>
      <c r="J109" s="106">
        <v>293.39103008066184</v>
      </c>
      <c r="K109" s="106">
        <v>115.04180229831175</v>
      </c>
      <c r="L109" s="106">
        <v>618.41369584990468</v>
      </c>
      <c r="M109" s="106">
        <v>207.90780658121318</v>
      </c>
      <c r="N109" s="106">
        <v>3.2993846844094961E-2</v>
      </c>
      <c r="O109" s="106">
        <v>985.10845107716875</v>
      </c>
      <c r="P109" s="106">
        <v>632.56226236294765</v>
      </c>
      <c r="Q109" s="106">
        <v>444.12890560213867</v>
      </c>
      <c r="R109" s="106">
        <v>375.46150375367574</v>
      </c>
      <c r="S109" s="106">
        <v>366.72774907410826</v>
      </c>
      <c r="T109" s="106">
        <v>3.2993846844094961E-2</v>
      </c>
      <c r="U109" s="106">
        <v>733.42250430137233</v>
      </c>
      <c r="V109" s="106">
        <v>526.89350300795024</v>
      </c>
      <c r="W109" s="106">
        <v>191.58693522842734</v>
      </c>
      <c r="X109" s="106">
        <v>3.2993846844094961E-2</v>
      </c>
      <c r="Y109" s="106">
        <v>985.10845107716875</v>
      </c>
      <c r="Z109" s="106">
        <v>684.18652303054</v>
      </c>
      <c r="AA109" s="106">
        <v>266.81982869190341</v>
      </c>
      <c r="AB109" s="106">
        <v>3.2993846844094961E-2</v>
      </c>
      <c r="AC109" s="106">
        <v>366.7277490741082</v>
      </c>
      <c r="AD109" s="106">
        <v>366.7277490741082</v>
      </c>
      <c r="AE109" s="106">
        <v>733.42250430137233</v>
      </c>
      <c r="AF109" s="106">
        <v>317.20219635200789</v>
      </c>
      <c r="AG109" s="106">
        <v>733.42250430137233</v>
      </c>
      <c r="AH109" s="106">
        <v>496.33569391245084</v>
      </c>
      <c r="AI109" s="106">
        <v>155.51889288090635</v>
      </c>
      <c r="AJ109" s="106">
        <v>251.71894062264056</v>
      </c>
      <c r="AK109" s="106">
        <v>115.04180229831174</v>
      </c>
      <c r="AL109" s="106">
        <v>985.10845107716875</v>
      </c>
      <c r="AM109" s="106">
        <v>613.24372581863634</v>
      </c>
      <c r="AN109" s="106">
        <v>56.928082694686438</v>
      </c>
      <c r="AO109" s="106">
        <v>481.7365575255759</v>
      </c>
      <c r="AP109" s="106">
        <v>643.67125406216485</v>
      </c>
      <c r="AQ109" s="106">
        <v>413.11728264033957</v>
      </c>
      <c r="AR109" s="106">
        <v>3.2993846844094961E-2</v>
      </c>
      <c r="AS109" s="106">
        <v>481.7365575255759</v>
      </c>
      <c r="AT109" s="106">
        <v>3.2993846844094961E-2</v>
      </c>
      <c r="AU109" s="106">
        <v>985.10845107716875</v>
      </c>
      <c r="AV109" s="106">
        <v>666.2201389631955</v>
      </c>
      <c r="AW109" s="106">
        <v>215.62354735767329</v>
      </c>
      <c r="AX109" s="106">
        <v>251.71894062264056</v>
      </c>
      <c r="AY109" s="106">
        <v>481.7365575255759</v>
      </c>
    </row>
    <row r="110" spans="1:52">
      <c r="A110" s="109"/>
      <c r="B110" s="119">
        <v>2</v>
      </c>
      <c r="C110" s="106">
        <v>250.81798714818342</v>
      </c>
      <c r="D110" s="106">
        <v>166.21852773934677</v>
      </c>
      <c r="E110" s="106">
        <v>103.71721755402433</v>
      </c>
      <c r="F110" s="106">
        <v>0</v>
      </c>
      <c r="G110" s="106">
        <v>0</v>
      </c>
      <c r="H110" s="106">
        <v>83.731441608687021</v>
      </c>
      <c r="I110" s="106">
        <v>197.53336665624209</v>
      </c>
      <c r="J110" s="106">
        <v>32.286428592706841</v>
      </c>
      <c r="K110" s="106">
        <v>0</v>
      </c>
      <c r="L110" s="106">
        <v>0</v>
      </c>
      <c r="M110" s="106">
        <v>153.41369584990468</v>
      </c>
      <c r="N110" s="106">
        <v>0</v>
      </c>
      <c r="O110" s="106">
        <v>0</v>
      </c>
      <c r="P110" s="106">
        <v>476.10845107716875</v>
      </c>
      <c r="Q110" s="106">
        <v>632.56226236294765</v>
      </c>
      <c r="R110" s="106">
        <v>444.12890560213867</v>
      </c>
      <c r="S110" s="106">
        <v>375.46150375367574</v>
      </c>
      <c r="T110" s="106">
        <v>366.72774907410826</v>
      </c>
      <c r="U110" s="106">
        <v>3.2993846844094961E-2</v>
      </c>
      <c r="V110" s="106">
        <v>350.44437001825548</v>
      </c>
      <c r="W110" s="106">
        <v>345.33787302620573</v>
      </c>
      <c r="X110" s="106">
        <v>10.841428407302516</v>
      </c>
      <c r="Y110" s="106">
        <v>2.8449465006019636E-16</v>
      </c>
      <c r="Z110" s="106">
        <v>579.10845107716875</v>
      </c>
      <c r="AA110" s="106">
        <v>684.18652303054</v>
      </c>
      <c r="AB110" s="106">
        <v>266.81982869190341</v>
      </c>
      <c r="AC110" s="106">
        <v>1.6271706204662451E-14</v>
      </c>
      <c r="AD110" s="106">
        <v>0</v>
      </c>
      <c r="AE110" s="106">
        <v>0</v>
      </c>
      <c r="AF110" s="106">
        <v>282.42250430137233</v>
      </c>
      <c r="AG110" s="106">
        <v>63.624700653380216</v>
      </c>
      <c r="AH110" s="106">
        <v>287.04720495475254</v>
      </c>
      <c r="AI110" s="106">
        <v>239.51606892183338</v>
      </c>
      <c r="AJ110" s="106">
        <v>0</v>
      </c>
      <c r="AK110" s="106">
        <v>0</v>
      </c>
      <c r="AL110" s="106">
        <v>0</v>
      </c>
      <c r="AM110" s="106">
        <v>455.10845107716875</v>
      </c>
      <c r="AN110" s="106">
        <v>534.35217689580509</v>
      </c>
      <c r="AO110" s="106">
        <v>25.280259590491525</v>
      </c>
      <c r="AP110" s="106">
        <v>63.016817116067443</v>
      </c>
      <c r="AQ110" s="106">
        <v>171.68807117823229</v>
      </c>
      <c r="AR110" s="106">
        <v>84.791192827917257</v>
      </c>
      <c r="AS110" s="106">
        <v>2.0608514894604468E-15</v>
      </c>
      <c r="AT110" s="106">
        <v>0</v>
      </c>
      <c r="AU110" s="106">
        <v>0</v>
      </c>
      <c r="AV110" s="106">
        <v>504.10845107716875</v>
      </c>
      <c r="AW110" s="106">
        <v>607.32859004036425</v>
      </c>
      <c r="AX110" s="106">
        <v>215.62354735767329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87.108451077168752</v>
      </c>
      <c r="R111" s="106">
        <v>336.6707134401164</v>
      </c>
      <c r="S111" s="106">
        <v>289.79961904225507</v>
      </c>
      <c r="T111" s="106">
        <v>181.26112279593082</v>
      </c>
      <c r="U111" s="106">
        <v>125.98887187003908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80.108451077168752</v>
      </c>
      <c r="AB111" s="106">
        <v>176.14675513802467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39.328590040364247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829.15077622273634</v>
      </c>
      <c r="D122" s="106">
        <v>829.15581917326529</v>
      </c>
      <c r="E122" s="106">
        <v>7.4500610470069645E-2</v>
      </c>
      <c r="F122" s="106">
        <v>259.76614795177227</v>
      </c>
      <c r="G122" s="106">
        <v>662.48143027201604</v>
      </c>
      <c r="H122" s="106">
        <v>662.48143027201604</v>
      </c>
      <c r="I122" s="106">
        <v>662.48143027201604</v>
      </c>
      <c r="J122" s="106">
        <v>259.76614795177227</v>
      </c>
      <c r="K122" s="106">
        <v>828.07686267796942</v>
      </c>
      <c r="L122" s="106">
        <v>259.76614795177227</v>
      </c>
      <c r="M122" s="106">
        <v>7.4500610470069645E-2</v>
      </c>
      <c r="N122" s="106">
        <v>828.07686267796942</v>
      </c>
      <c r="O122" s="106">
        <v>828.07686267796942</v>
      </c>
      <c r="P122" s="106">
        <v>828.07686267796942</v>
      </c>
      <c r="Q122" s="106">
        <v>828.07686267796942</v>
      </c>
      <c r="R122" s="106">
        <v>828.07686267796942</v>
      </c>
      <c r="S122" s="106">
        <v>7.4500610470069645E-2</v>
      </c>
      <c r="T122" s="106">
        <v>828.07686267796942</v>
      </c>
      <c r="U122" s="106">
        <v>828.07686267796942</v>
      </c>
      <c r="V122" s="106">
        <v>259.76614795177227</v>
      </c>
      <c r="W122" s="106">
        <v>7.4500610470069645E-2</v>
      </c>
      <c r="X122" s="106">
        <v>828.07686267796942</v>
      </c>
      <c r="Y122" s="106">
        <v>828.07686267796942</v>
      </c>
      <c r="Z122" s="106">
        <v>259.76614795177227</v>
      </c>
      <c r="AA122" s="106">
        <v>7.4500610470069645E-2</v>
      </c>
      <c r="AB122" s="106">
        <v>259.76614795177227</v>
      </c>
      <c r="AC122" s="106">
        <v>7.4500610470069645E-2</v>
      </c>
      <c r="AD122" s="106">
        <v>259.76614795177227</v>
      </c>
      <c r="AE122" s="106">
        <v>7.4500610470069645E-2</v>
      </c>
      <c r="AF122" s="106">
        <v>828.07686267796942</v>
      </c>
      <c r="AG122" s="106">
        <v>828.07686267796942</v>
      </c>
      <c r="AH122" s="106">
        <v>259.76614795177227</v>
      </c>
      <c r="AI122" s="106">
        <v>7.4500610470069645E-2</v>
      </c>
      <c r="AJ122" s="106">
        <v>259.76614795177221</v>
      </c>
      <c r="AK122" s="106">
        <v>828.07686267796942</v>
      </c>
      <c r="AL122" s="106">
        <v>828.07686267796942</v>
      </c>
      <c r="AM122" s="106">
        <v>7.4500610470069645E-2</v>
      </c>
      <c r="AN122" s="106">
        <v>259.76614795177227</v>
      </c>
      <c r="AO122" s="106">
        <v>828.07686267796942</v>
      </c>
      <c r="AP122" s="106">
        <v>828.07686267796942</v>
      </c>
      <c r="AQ122" s="106">
        <v>7.4500610470069645E-2</v>
      </c>
      <c r="AR122" s="106">
        <v>259.76614795177227</v>
      </c>
      <c r="AS122" s="106">
        <v>7.4500610470069645E-2</v>
      </c>
      <c r="AT122" s="106">
        <v>828.07686267796942</v>
      </c>
      <c r="AU122" s="106">
        <v>828.07686267796942</v>
      </c>
      <c r="AV122" s="106">
        <v>259.76614795177227</v>
      </c>
      <c r="AW122" s="106">
        <v>7.4500610470069645E-2</v>
      </c>
      <c r="AX122" s="106">
        <v>259.76614795177227</v>
      </c>
      <c r="AY122" s="106">
        <v>7.4500610470069645E-2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830.24882553351972</v>
      </c>
      <c r="G123" s="106">
        <v>438.97572034467578</v>
      </c>
      <c r="H123" s="106">
        <v>28.658348654117844</v>
      </c>
      <c r="I123" s="106">
        <v>0</v>
      </c>
      <c r="J123" s="106">
        <v>0</v>
      </c>
      <c r="K123" s="106">
        <v>568.31071472619715</v>
      </c>
      <c r="L123" s="106">
        <v>209.6928570858812</v>
      </c>
      <c r="M123" s="106">
        <v>0</v>
      </c>
      <c r="N123" s="106">
        <v>828.00236206749935</v>
      </c>
      <c r="O123" s="106">
        <v>461.34911360386127</v>
      </c>
      <c r="P123" s="106">
        <v>174.77299448214313</v>
      </c>
      <c r="Q123" s="106">
        <v>19.72095155797399</v>
      </c>
      <c r="R123" s="106">
        <v>5.6843418860808015E-14</v>
      </c>
      <c r="S123" s="106">
        <v>0</v>
      </c>
      <c r="T123" s="106">
        <v>828.00236206749935</v>
      </c>
      <c r="U123" s="106">
        <v>361.65672044409655</v>
      </c>
      <c r="V123" s="106">
        <v>172.84008011411584</v>
      </c>
      <c r="W123" s="106">
        <v>0</v>
      </c>
      <c r="X123" s="106">
        <v>828.00236206749935</v>
      </c>
      <c r="Y123" s="106">
        <v>461.34911360386127</v>
      </c>
      <c r="Z123" s="106">
        <v>342.71710345556983</v>
      </c>
      <c r="AA123" s="106">
        <v>0</v>
      </c>
      <c r="AB123" s="106">
        <v>0</v>
      </c>
      <c r="AC123" s="106">
        <v>0</v>
      </c>
      <c r="AD123" s="106">
        <v>828.00236206749935</v>
      </c>
      <c r="AE123" s="106">
        <v>713.03506037965769</v>
      </c>
      <c r="AF123" s="106">
        <v>828.00236206749935</v>
      </c>
      <c r="AG123" s="106">
        <v>292.65672044409655</v>
      </c>
      <c r="AH123" s="106">
        <v>91.397889209615187</v>
      </c>
      <c r="AI123" s="106">
        <v>568.31071472619715</v>
      </c>
      <c r="AJ123" s="106">
        <v>0</v>
      </c>
      <c r="AK123" s="106">
        <v>1396.3130767936966</v>
      </c>
      <c r="AL123" s="106">
        <v>461.34911360386127</v>
      </c>
      <c r="AM123" s="106">
        <v>128.46998023426073</v>
      </c>
      <c r="AN123" s="106">
        <v>828.00236206749935</v>
      </c>
      <c r="AO123" s="106">
        <v>625.34266721989297</v>
      </c>
      <c r="AP123" s="106">
        <v>104.74827583569771</v>
      </c>
      <c r="AQ123" s="106">
        <v>0</v>
      </c>
      <c r="AR123" s="106">
        <v>828.00236206749935</v>
      </c>
      <c r="AS123" s="106">
        <v>0</v>
      </c>
      <c r="AT123" s="106">
        <v>828.00236206749935</v>
      </c>
      <c r="AU123" s="106">
        <v>461.34911360386127</v>
      </c>
      <c r="AV123" s="106">
        <v>227.11511769075418</v>
      </c>
      <c r="AW123" s="106">
        <v>568.31071472619715</v>
      </c>
      <c r="AX123" s="106">
        <v>828.00236206749935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568.31071472619715</v>
      </c>
      <c r="O124" s="106">
        <v>138.90928056326004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568.31071472619715</v>
      </c>
      <c r="Y124" s="106">
        <v>255.47765020427903</v>
      </c>
      <c r="Z124" s="106">
        <v>0</v>
      </c>
      <c r="AA124" s="106">
        <v>0</v>
      </c>
      <c r="AB124" s="106">
        <v>568.31071472619715</v>
      </c>
      <c r="AC124" s="106">
        <v>828.00236206749935</v>
      </c>
      <c r="AD124" s="106">
        <v>568.31071472619715</v>
      </c>
      <c r="AE124" s="106">
        <v>3.1378466655501143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95.287729771066324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568.31071472619715</v>
      </c>
      <c r="AU124" s="106">
        <v>214.90928037211893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0.44226080640443038</v>
      </c>
      <c r="D172" s="134">
        <v>0.44286679848549865</v>
      </c>
      <c r="E172" s="134">
        <v>0.44286679848549865</v>
      </c>
      <c r="F172" s="134">
        <v>0.44286679848549865</v>
      </c>
      <c r="G172" s="134">
        <v>0.44286679848549865</v>
      </c>
      <c r="H172" s="134">
        <v>0.44286679848549865</v>
      </c>
      <c r="I172" s="134">
        <v>0.44286679848549865</v>
      </c>
      <c r="J172" s="134">
        <v>0.44286679848549865</v>
      </c>
      <c r="K172" s="134">
        <v>0.44286679848549865</v>
      </c>
      <c r="L172" s="134">
        <v>0.44286679848549865</v>
      </c>
      <c r="M172" s="134">
        <v>0.44286679848549865</v>
      </c>
      <c r="N172" s="134">
        <v>0.44286679848549865</v>
      </c>
      <c r="O172" s="134">
        <v>0.44286679848549865</v>
      </c>
      <c r="P172" s="134">
        <v>0.44286679848549865</v>
      </c>
      <c r="Q172" s="134">
        <v>0.44286679848549865</v>
      </c>
      <c r="R172" s="134">
        <v>0.44286679848549865</v>
      </c>
      <c r="S172" s="134">
        <v>0.44286679848549865</v>
      </c>
      <c r="T172" s="134">
        <v>0.44286679848549865</v>
      </c>
      <c r="U172" s="134">
        <v>0.44286679848549865</v>
      </c>
      <c r="V172" s="134">
        <v>0.44286679848549865</v>
      </c>
      <c r="W172" s="134">
        <v>0.44286679848549865</v>
      </c>
      <c r="X172" s="134">
        <v>0.44286679848549865</v>
      </c>
      <c r="Y172" s="134">
        <v>0.44286679848549865</v>
      </c>
      <c r="Z172" s="134">
        <v>0.44286679848549865</v>
      </c>
      <c r="AA172" s="134">
        <v>0.44286679848549865</v>
      </c>
      <c r="AB172" s="134">
        <v>0.44286679848549865</v>
      </c>
      <c r="AC172" s="134">
        <v>0.44286679848549865</v>
      </c>
      <c r="AD172" s="134">
        <v>0.44286679848549865</v>
      </c>
      <c r="AE172" s="134">
        <v>0.44286679848549865</v>
      </c>
      <c r="AF172" s="134">
        <v>0.44286679848549865</v>
      </c>
      <c r="AG172" s="134">
        <v>0.44286679848549865</v>
      </c>
      <c r="AH172" s="134">
        <v>0.44286679848549865</v>
      </c>
      <c r="AI172" s="134">
        <v>0.44286679848549865</v>
      </c>
      <c r="AJ172" s="134">
        <v>0.44286679848549865</v>
      </c>
      <c r="AK172" s="134">
        <v>0.44286679848549865</v>
      </c>
      <c r="AL172" s="134">
        <v>0.44286679848549865</v>
      </c>
      <c r="AM172" s="134">
        <v>0.44286679848549865</v>
      </c>
      <c r="AN172" s="134">
        <v>0.44286679848549865</v>
      </c>
      <c r="AO172" s="134">
        <v>0.44286679848549865</v>
      </c>
      <c r="AP172" s="134">
        <v>0.44286679848549865</v>
      </c>
      <c r="AQ172" s="134">
        <v>0.44286679848549865</v>
      </c>
      <c r="AR172" s="134">
        <v>0.44286679848549865</v>
      </c>
      <c r="AS172" s="134">
        <v>0.44286679848549865</v>
      </c>
      <c r="AT172" s="134">
        <v>0.44286679848549865</v>
      </c>
      <c r="AU172" s="134">
        <v>0.44286679848549865</v>
      </c>
      <c r="AV172" s="134">
        <v>0.44286679848549865</v>
      </c>
      <c r="AW172" s="134">
        <v>0.44286679848549865</v>
      </c>
      <c r="AX172" s="134">
        <v>0.44286679848549865</v>
      </c>
      <c r="AY172" s="134">
        <v>0.44286679848549865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899.74677203444412</v>
      </c>
      <c r="E175" s="124">
        <f t="shared" si="1"/>
        <v>910.37224018928509</v>
      </c>
      <c r="F175" s="124">
        <f t="shared" si="1"/>
        <v>841.62546815484097</v>
      </c>
      <c r="G175" s="124">
        <f t="shared" si="1"/>
        <v>841.62546815484097</v>
      </c>
      <c r="H175" s="124">
        <f t="shared" si="1"/>
        <v>1052.0238306752542</v>
      </c>
      <c r="I175" s="124">
        <f t="shared" si="1"/>
        <v>1052.0238306752542</v>
      </c>
      <c r="J175" s="124">
        <f t="shared" si="1"/>
        <v>1085.0476613505084</v>
      </c>
      <c r="K175" s="124">
        <f t="shared" si="1"/>
        <v>1133.0714920257626</v>
      </c>
      <c r="L175" s="124">
        <f t="shared" si="1"/>
        <v>1128.0953227010168</v>
      </c>
      <c r="M175" s="124">
        <f t="shared" si="1"/>
        <v>1080.119153376271</v>
      </c>
      <c r="N175" s="124">
        <f t="shared" si="1"/>
        <v>1052.0238306752542</v>
      </c>
      <c r="O175" s="124">
        <f t="shared" si="1"/>
        <v>1166.0476613505084</v>
      </c>
      <c r="P175" s="124">
        <f t="shared" si="1"/>
        <v>1187.0714920257626</v>
      </c>
      <c r="Q175" s="124">
        <f t="shared" si="1"/>
        <v>1220.0953227010168</v>
      </c>
      <c r="R175" s="124">
        <f t="shared" si="1"/>
        <v>1451.119153376271</v>
      </c>
      <c r="S175" s="124">
        <f t="shared" si="1"/>
        <v>1635.1429840515252</v>
      </c>
      <c r="T175" s="124">
        <f t="shared" si="1"/>
        <v>1708.1668147267794</v>
      </c>
      <c r="U175" s="124">
        <f t="shared" si="1"/>
        <v>1747.1906454020336</v>
      </c>
      <c r="V175" s="124">
        <f t="shared" si="1"/>
        <v>1908.2144760772878</v>
      </c>
      <c r="W175" s="124">
        <f t="shared" si="1"/>
        <v>2028.238306752542</v>
      </c>
      <c r="X175" s="124">
        <f t="shared" si="1"/>
        <v>1634.7032082875232</v>
      </c>
      <c r="Y175" s="124">
        <f t="shared" si="1"/>
        <v>1325.1752315682697</v>
      </c>
      <c r="Z175" s="124">
        <f t="shared" si="1"/>
        <v>1218.1990622435239</v>
      </c>
      <c r="AA175" s="124">
        <f t="shared" si="1"/>
        <v>1141.2228929187781</v>
      </c>
      <c r="AB175" s="124">
        <f t="shared" si="1"/>
        <v>1239.2467235940323</v>
      </c>
      <c r="AC175" s="124">
        <f t="shared" si="1"/>
        <v>1274.2705542692865</v>
      </c>
      <c r="AD175" s="124">
        <f t="shared" si="1"/>
        <v>1409.2943849445408</v>
      </c>
      <c r="AE175" s="124">
        <f t="shared" si="1"/>
        <v>1468.318215619795</v>
      </c>
      <c r="AF175" s="124">
        <f t="shared" si="1"/>
        <v>1499.3420462950492</v>
      </c>
      <c r="AG175" s="124">
        <f t="shared" si="1"/>
        <v>1646.3658769703034</v>
      </c>
      <c r="AH175" s="124">
        <f t="shared" si="1"/>
        <v>1587.3897076455576</v>
      </c>
      <c r="AI175" s="124">
        <f t="shared" si="1"/>
        <v>1622.4135383208118</v>
      </c>
      <c r="AJ175" s="124">
        <f t="shared" si="1"/>
        <v>1614.437368996066</v>
      </c>
      <c r="AK175" s="124">
        <f t="shared" si="1"/>
        <v>1530.5358282433581</v>
      </c>
      <c r="AL175" s="124">
        <f t="shared" si="1"/>
        <v>1526.5596589186123</v>
      </c>
      <c r="AM175" s="124">
        <f t="shared" si="1"/>
        <v>1416.5834895938665</v>
      </c>
      <c r="AN175" s="124">
        <f t="shared" si="1"/>
        <v>1435.6073202691207</v>
      </c>
      <c r="AO175" s="124">
        <f t="shared" si="1"/>
        <v>1416.6311509443749</v>
      </c>
      <c r="AP175" s="124">
        <f t="shared" si="1"/>
        <v>1239.6549816196291</v>
      </c>
      <c r="AQ175" s="124">
        <f t="shared" si="1"/>
        <v>1199.6788122948833</v>
      </c>
      <c r="AR175" s="124">
        <f t="shared" si="1"/>
        <v>1052.0238306752542</v>
      </c>
      <c r="AS175" s="124">
        <f t="shared" si="1"/>
        <v>1052.0238306752542</v>
      </c>
      <c r="AT175" s="124">
        <f t="shared" si="1"/>
        <v>1052.0238306752542</v>
      </c>
      <c r="AU175" s="124">
        <f t="shared" si="1"/>
        <v>1052.0238306752542</v>
      </c>
      <c r="AV175" s="124">
        <f t="shared" si="1"/>
        <v>1052.0238306752542</v>
      </c>
      <c r="AW175" s="124">
        <f t="shared" si="1"/>
        <v>1052.0238306752542</v>
      </c>
      <c r="AX175" s="124">
        <f t="shared" si="1"/>
        <v>1052.0238306752542</v>
      </c>
      <c r="AY175" s="124">
        <f t="shared" si="1"/>
        <v>1142.0476613505084</v>
      </c>
    </row>
    <row r="176" spans="1:52">
      <c r="A176" s="125"/>
      <c r="B176" s="136" t="s">
        <v>299</v>
      </c>
      <c r="C176" s="125" t="s">
        <v>293</v>
      </c>
      <c r="D176" s="125">
        <v>831</v>
      </c>
      <c r="E176" s="125">
        <v>910.37224018928509</v>
      </c>
      <c r="F176" s="125">
        <v>841.62546815484097</v>
      </c>
      <c r="G176" s="125">
        <v>841.62546815484097</v>
      </c>
      <c r="H176" s="125">
        <v>1052.0238306752542</v>
      </c>
      <c r="I176" s="125">
        <v>1019</v>
      </c>
      <c r="J176" s="125">
        <v>1004</v>
      </c>
      <c r="K176" s="125">
        <v>1057</v>
      </c>
      <c r="L176" s="125">
        <v>1100</v>
      </c>
      <c r="M176" s="125">
        <v>1080.119153376271</v>
      </c>
      <c r="N176" s="125">
        <v>938</v>
      </c>
      <c r="O176" s="125">
        <v>1031</v>
      </c>
      <c r="P176" s="125">
        <v>1019</v>
      </c>
      <c r="Q176" s="125">
        <v>821</v>
      </c>
      <c r="R176" s="125">
        <v>868</v>
      </c>
      <c r="S176" s="125">
        <v>979</v>
      </c>
      <c r="T176" s="125">
        <v>1013</v>
      </c>
      <c r="U176" s="125">
        <v>891</v>
      </c>
      <c r="V176" s="125">
        <v>932</v>
      </c>
      <c r="W176" s="125">
        <v>1093</v>
      </c>
      <c r="X176" s="125">
        <v>1062</v>
      </c>
      <c r="Y176" s="125">
        <v>1159</v>
      </c>
      <c r="Z176" s="125">
        <v>1129</v>
      </c>
      <c r="AA176" s="125">
        <v>954</v>
      </c>
      <c r="AB176" s="125">
        <v>1017</v>
      </c>
      <c r="AC176" s="125">
        <v>917</v>
      </c>
      <c r="AD176" s="125">
        <v>993</v>
      </c>
      <c r="AE176" s="125">
        <v>1021</v>
      </c>
      <c r="AF176" s="125">
        <v>905</v>
      </c>
      <c r="AG176" s="125">
        <v>1111</v>
      </c>
      <c r="AH176" s="125">
        <v>1017</v>
      </c>
      <c r="AI176" s="125">
        <v>1060</v>
      </c>
      <c r="AJ176" s="125">
        <v>895</v>
      </c>
      <c r="AK176" s="125">
        <v>1056</v>
      </c>
      <c r="AL176" s="125">
        <v>1162</v>
      </c>
      <c r="AM176" s="125">
        <v>1033</v>
      </c>
      <c r="AN176" s="125">
        <v>1071</v>
      </c>
      <c r="AO176" s="125">
        <v>1229</v>
      </c>
      <c r="AP176" s="125">
        <v>1092</v>
      </c>
      <c r="AQ176" s="125">
        <v>1199.6788122948833</v>
      </c>
      <c r="AR176" s="125">
        <v>1052.0238306752542</v>
      </c>
      <c r="AS176" s="125">
        <v>1052.0238306752542</v>
      </c>
      <c r="AT176" s="125">
        <v>1052.0238306752542</v>
      </c>
      <c r="AU176" s="125">
        <v>1052.0238306752542</v>
      </c>
      <c r="AV176" s="125">
        <v>1052.0238306752542</v>
      </c>
      <c r="AW176" s="125">
        <v>1052.0238306752542</v>
      </c>
      <c r="AX176" s="125">
        <v>962</v>
      </c>
      <c r="AY176" s="125">
        <v>1133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608.29951458537209</v>
      </c>
      <c r="E177" s="124">
        <f t="shared" si="2"/>
        <v>0</v>
      </c>
      <c r="F177" s="124">
        <f t="shared" si="2"/>
        <v>798.7348765832254</v>
      </c>
      <c r="G177" s="124">
        <f t="shared" si="2"/>
        <v>906.28232821550773</v>
      </c>
      <c r="H177" s="124">
        <f t="shared" si="2"/>
        <v>676.7102303609978</v>
      </c>
      <c r="I177" s="124">
        <f t="shared" si="2"/>
        <v>485.42790214549007</v>
      </c>
      <c r="J177" s="124">
        <f t="shared" si="2"/>
        <v>190.30835265869783</v>
      </c>
      <c r="K177" s="124">
        <f t="shared" si="2"/>
        <v>1023.252169104877</v>
      </c>
      <c r="L177" s="124">
        <f t="shared" si="2"/>
        <v>633.5605217635748</v>
      </c>
      <c r="M177" s="124">
        <f t="shared" si="2"/>
        <v>62.560521763574826</v>
      </c>
      <c r="N177" s="124">
        <f t="shared" si="2"/>
        <v>1630.0324299866643</v>
      </c>
      <c r="O177" s="124">
        <f t="shared" si="2"/>
        <v>1505.8126908684517</v>
      </c>
      <c r="P177" s="124">
        <f t="shared" si="2"/>
        <v>1439.5929517502391</v>
      </c>
      <c r="Q177" s="124">
        <f t="shared" si="2"/>
        <v>1491.3732126320265</v>
      </c>
      <c r="R177" s="124">
        <f t="shared" si="2"/>
        <v>1464.1534735138139</v>
      </c>
      <c r="S177" s="124">
        <f t="shared" si="2"/>
        <v>861.15347351381399</v>
      </c>
      <c r="T177" s="124">
        <f t="shared" si="2"/>
        <v>1457.7139952773887</v>
      </c>
      <c r="U177" s="124">
        <f t="shared" si="2"/>
        <v>1430.4942561591761</v>
      </c>
      <c r="V177" s="124">
        <f t="shared" si="2"/>
        <v>969.80260881787399</v>
      </c>
      <c r="W177" s="124">
        <f t="shared" si="2"/>
        <v>366.80260881787399</v>
      </c>
      <c r="X177" s="124">
        <f t="shared" si="2"/>
        <v>1630.0324299866643</v>
      </c>
      <c r="Y177" s="124">
        <f t="shared" si="2"/>
        <v>1644.8126908684517</v>
      </c>
      <c r="Z177" s="124">
        <f t="shared" si="2"/>
        <v>1139.1210435271496</v>
      </c>
      <c r="AA177" s="124">
        <f t="shared" si="2"/>
        <v>358.1210435271496</v>
      </c>
      <c r="AB177" s="124">
        <f t="shared" si="2"/>
        <v>606.7802608817874</v>
      </c>
      <c r="AC177" s="124">
        <f t="shared" si="2"/>
        <v>668.5605217635748</v>
      </c>
      <c r="AD177" s="124">
        <f t="shared" si="2"/>
        <v>1213.5605217635748</v>
      </c>
      <c r="AE177" s="124">
        <f t="shared" si="2"/>
        <v>863.0324299866644</v>
      </c>
      <c r="AF177" s="124">
        <f t="shared" si="2"/>
        <v>1280.5929517502391</v>
      </c>
      <c r="AG177" s="124">
        <f t="shared" si="2"/>
        <v>1120.3732126320265</v>
      </c>
      <c r="AH177" s="124">
        <f t="shared" si="2"/>
        <v>547.68156529072439</v>
      </c>
      <c r="AI177" s="124">
        <f t="shared" si="2"/>
        <v>416.4719082230896</v>
      </c>
      <c r="AJ177" s="124">
        <f t="shared" si="2"/>
        <v>190.30835265869791</v>
      </c>
      <c r="AK177" s="124">
        <f t="shared" si="2"/>
        <v>1630.0324299866643</v>
      </c>
      <c r="AL177" s="124">
        <f t="shared" si="2"/>
        <v>1572.8126908684517</v>
      </c>
      <c r="AM177" s="124">
        <f t="shared" si="2"/>
        <v>864.81269086845168</v>
      </c>
      <c r="AN177" s="124">
        <f t="shared" si="2"/>
        <v>1061.901304408937</v>
      </c>
      <c r="AO177" s="124">
        <f t="shared" si="2"/>
        <v>1447.1534735138139</v>
      </c>
      <c r="AP177" s="124">
        <f t="shared" si="2"/>
        <v>1407.9337343956013</v>
      </c>
      <c r="AQ177" s="124">
        <f t="shared" si="2"/>
        <v>532.93373439560128</v>
      </c>
      <c r="AR177" s="124">
        <f t="shared" si="2"/>
        <v>797.0886135404852</v>
      </c>
      <c r="AS177" s="124">
        <f t="shared" si="2"/>
        <v>37.088613540485227</v>
      </c>
      <c r="AT177" s="124">
        <f t="shared" si="2"/>
        <v>1630.0324299866643</v>
      </c>
      <c r="AU177" s="124">
        <f t="shared" si="2"/>
        <v>1566.8126908684517</v>
      </c>
      <c r="AV177" s="124">
        <f t="shared" si="2"/>
        <v>1058.1210435271496</v>
      </c>
      <c r="AW177" s="124">
        <f t="shared" si="2"/>
        <v>773.59295175023919</v>
      </c>
      <c r="AX177" s="124">
        <f t="shared" si="2"/>
        <v>831.68156529072439</v>
      </c>
      <c r="AY177" s="124">
        <f t="shared" si="2"/>
        <v>67.681565290724421</v>
      </c>
    </row>
    <row r="178" spans="1:51">
      <c r="A178" s="125"/>
      <c r="B178" s="136" t="s">
        <v>299</v>
      </c>
      <c r="C178" s="125" t="s">
        <v>293</v>
      </c>
      <c r="D178" s="125">
        <v>608.29951458537209</v>
      </c>
      <c r="E178" s="125">
        <v>0</v>
      </c>
      <c r="F178" s="125">
        <v>673</v>
      </c>
      <c r="G178" s="125">
        <v>715</v>
      </c>
      <c r="H178" s="125">
        <v>676.7102303609978</v>
      </c>
      <c r="I178" s="125">
        <v>485.42790214549007</v>
      </c>
      <c r="J178" s="125">
        <v>190.30835265869783</v>
      </c>
      <c r="K178" s="125">
        <v>580</v>
      </c>
      <c r="L178" s="125">
        <v>571</v>
      </c>
      <c r="M178" s="125">
        <v>62.560521763574826</v>
      </c>
      <c r="N178" s="125">
        <v>731</v>
      </c>
      <c r="O178" s="125">
        <v>673</v>
      </c>
      <c r="P178" s="125">
        <v>555</v>
      </c>
      <c r="Q178" s="125">
        <v>634</v>
      </c>
      <c r="R178" s="125">
        <v>603</v>
      </c>
      <c r="S178" s="125">
        <v>617</v>
      </c>
      <c r="T178" s="125">
        <v>634</v>
      </c>
      <c r="U178" s="125">
        <v>651</v>
      </c>
      <c r="V178" s="125">
        <v>603</v>
      </c>
      <c r="W178" s="125">
        <v>366.80260881787399</v>
      </c>
      <c r="X178" s="125">
        <v>592</v>
      </c>
      <c r="Y178" s="125">
        <v>696</v>
      </c>
      <c r="Z178" s="125">
        <v>781</v>
      </c>
      <c r="AA178" s="125">
        <v>358.1210435271496</v>
      </c>
      <c r="AB178" s="125">
        <v>545</v>
      </c>
      <c r="AC178" s="125">
        <v>668.5605217635748</v>
      </c>
      <c r="AD178" s="125">
        <v>767</v>
      </c>
      <c r="AE178" s="125">
        <v>796</v>
      </c>
      <c r="AF178" s="125">
        <v>767</v>
      </c>
      <c r="AG178" s="125">
        <v>763</v>
      </c>
      <c r="AH178" s="125">
        <v>547.68156529072439</v>
      </c>
      <c r="AI178" s="125">
        <v>416.4719082230896</v>
      </c>
      <c r="AJ178" s="125">
        <v>190.30835265869791</v>
      </c>
      <c r="AK178" s="125">
        <v>664</v>
      </c>
      <c r="AL178" s="125">
        <v>708</v>
      </c>
      <c r="AM178" s="125">
        <v>600</v>
      </c>
      <c r="AN178" s="125">
        <v>638</v>
      </c>
      <c r="AO178" s="125">
        <v>646</v>
      </c>
      <c r="AP178" s="125">
        <v>875</v>
      </c>
      <c r="AQ178" s="125">
        <v>532.93373439560128</v>
      </c>
      <c r="AR178" s="125">
        <v>760</v>
      </c>
      <c r="AS178" s="125">
        <v>37.088613540485227</v>
      </c>
      <c r="AT178" s="125">
        <v>670</v>
      </c>
      <c r="AU178" s="125">
        <v>699</v>
      </c>
      <c r="AV178" s="125">
        <v>701</v>
      </c>
      <c r="AW178" s="125">
        <v>739</v>
      </c>
      <c r="AX178" s="125">
        <v>764</v>
      </c>
      <c r="AY178" s="125">
        <v>67.681565290724421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532.91941866247362</v>
      </c>
      <c r="E179" s="124">
        <f t="shared" si="3"/>
        <v>470.92280063690936</v>
      </c>
      <c r="F179" s="124">
        <f t="shared" si="3"/>
        <v>3.2993846844094961E-2</v>
      </c>
      <c r="G179" s="124">
        <f t="shared" si="3"/>
        <v>482.73144160868702</v>
      </c>
      <c r="H179" s="124">
        <f t="shared" si="3"/>
        <v>571.53024357126094</v>
      </c>
      <c r="I179" s="124">
        <f t="shared" si="3"/>
        <v>503.61622785523434</v>
      </c>
      <c r="J179" s="124">
        <f t="shared" si="3"/>
        <v>325.67745867336868</v>
      </c>
      <c r="K179" s="124">
        <f t="shared" si="3"/>
        <v>115.04180229831175</v>
      </c>
      <c r="L179" s="124">
        <f t="shared" si="3"/>
        <v>618.41369584990468</v>
      </c>
      <c r="M179" s="124">
        <f t="shared" si="3"/>
        <v>361.32150243111789</v>
      </c>
      <c r="N179" s="124">
        <f t="shared" si="3"/>
        <v>3.2993846844094961E-2</v>
      </c>
      <c r="O179" s="124">
        <f t="shared" si="3"/>
        <v>985.10845107716875</v>
      </c>
      <c r="P179" s="124">
        <f t="shared" si="3"/>
        <v>1108.6707134401163</v>
      </c>
      <c r="Q179" s="124">
        <f t="shared" si="3"/>
        <v>1163.799619042255</v>
      </c>
      <c r="R179" s="124">
        <f t="shared" si="3"/>
        <v>1156.261122795931</v>
      </c>
      <c r="S179" s="124">
        <f t="shared" si="3"/>
        <v>1031.988871870039</v>
      </c>
      <c r="T179" s="124">
        <f t="shared" si="3"/>
        <v>548.02186571688321</v>
      </c>
      <c r="U179" s="124">
        <f t="shared" si="3"/>
        <v>859.44437001825554</v>
      </c>
      <c r="V179" s="124">
        <f t="shared" si="3"/>
        <v>877.33787302620567</v>
      </c>
      <c r="W179" s="124">
        <f t="shared" si="3"/>
        <v>536.92480825463304</v>
      </c>
      <c r="X179" s="124">
        <f t="shared" si="3"/>
        <v>10.87442225414661</v>
      </c>
      <c r="Y179" s="124">
        <f t="shared" si="3"/>
        <v>985.10845107716875</v>
      </c>
      <c r="Z179" s="124">
        <f t="shared" si="3"/>
        <v>1263.2949741077086</v>
      </c>
      <c r="AA179" s="124">
        <f t="shared" si="3"/>
        <v>1031.1148027996123</v>
      </c>
      <c r="AB179" s="124">
        <f t="shared" si="3"/>
        <v>442.99957767677216</v>
      </c>
      <c r="AC179" s="124">
        <f t="shared" si="3"/>
        <v>366.7277490741082</v>
      </c>
      <c r="AD179" s="124">
        <f t="shared" si="3"/>
        <v>366.7277490741082</v>
      </c>
      <c r="AE179" s="124">
        <f t="shared" si="3"/>
        <v>733.42250430137233</v>
      </c>
      <c r="AF179" s="124">
        <f t="shared" si="3"/>
        <v>599.62470065338016</v>
      </c>
      <c r="AG179" s="124">
        <f t="shared" si="3"/>
        <v>797.04720495475249</v>
      </c>
      <c r="AH179" s="124">
        <f t="shared" si="3"/>
        <v>783.38289886720338</v>
      </c>
      <c r="AI179" s="124">
        <f t="shared" si="3"/>
        <v>395.03496180273976</v>
      </c>
      <c r="AJ179" s="124">
        <f t="shared" si="3"/>
        <v>251.71894062264056</v>
      </c>
      <c r="AK179" s="124">
        <f t="shared" si="3"/>
        <v>115.04180229831174</v>
      </c>
      <c r="AL179" s="124">
        <f t="shared" si="3"/>
        <v>985.10845107716875</v>
      </c>
      <c r="AM179" s="124">
        <f t="shared" si="3"/>
        <v>1068.3521768958051</v>
      </c>
      <c r="AN179" s="124">
        <f t="shared" si="3"/>
        <v>591.28025959049148</v>
      </c>
      <c r="AO179" s="124">
        <f t="shared" si="3"/>
        <v>507.01681711606744</v>
      </c>
      <c r="AP179" s="124">
        <f t="shared" si="3"/>
        <v>706.68807117823235</v>
      </c>
      <c r="AQ179" s="124">
        <f t="shared" si="3"/>
        <v>584.8053538185718</v>
      </c>
      <c r="AR179" s="124">
        <f t="shared" si="3"/>
        <v>84.82418667476135</v>
      </c>
      <c r="AS179" s="124">
        <f t="shared" si="3"/>
        <v>481.7365575255759</v>
      </c>
      <c r="AT179" s="124">
        <f t="shared" si="3"/>
        <v>3.2993846844094961E-2</v>
      </c>
      <c r="AU179" s="124">
        <f t="shared" si="3"/>
        <v>985.10845107716875</v>
      </c>
      <c r="AV179" s="124">
        <f t="shared" si="3"/>
        <v>1170.3285900403644</v>
      </c>
      <c r="AW179" s="124">
        <f t="shared" si="3"/>
        <v>822.95213739803751</v>
      </c>
      <c r="AX179" s="124">
        <f t="shared" si="3"/>
        <v>506.67107802067812</v>
      </c>
      <c r="AY179" s="124">
        <f t="shared" si="3"/>
        <v>481.7365575255759</v>
      </c>
    </row>
    <row r="180" spans="1:51">
      <c r="A180" s="125"/>
      <c r="B180" s="136" t="s">
        <v>299</v>
      </c>
      <c r="C180" s="125" t="s">
        <v>293</v>
      </c>
      <c r="D180" s="125">
        <v>429.20220110844923</v>
      </c>
      <c r="E180" s="125">
        <v>470.92280063690936</v>
      </c>
      <c r="F180" s="125">
        <v>3.2993846844094961E-2</v>
      </c>
      <c r="G180" s="125">
        <v>399</v>
      </c>
      <c r="H180" s="125">
        <v>373.99687691501885</v>
      </c>
      <c r="I180" s="125">
        <v>471.3297992625275</v>
      </c>
      <c r="J180" s="125">
        <v>325.67745867336868</v>
      </c>
      <c r="K180" s="125">
        <v>115.04180229831175</v>
      </c>
      <c r="L180" s="125">
        <v>465</v>
      </c>
      <c r="M180" s="125">
        <v>361.32150243111789</v>
      </c>
      <c r="N180" s="125">
        <v>3.2993846844094961E-2</v>
      </c>
      <c r="O180" s="125">
        <v>509</v>
      </c>
      <c r="P180" s="125">
        <v>389</v>
      </c>
      <c r="Q180" s="125">
        <v>383</v>
      </c>
      <c r="R180" s="125">
        <v>491</v>
      </c>
      <c r="S180" s="125">
        <v>484</v>
      </c>
      <c r="T180" s="125">
        <v>422</v>
      </c>
      <c r="U180" s="125">
        <v>509</v>
      </c>
      <c r="V180" s="125">
        <v>532</v>
      </c>
      <c r="W180" s="125">
        <v>526.08337984733055</v>
      </c>
      <c r="X180" s="125">
        <v>10.87442225414661</v>
      </c>
      <c r="Y180" s="125">
        <v>406</v>
      </c>
      <c r="Z180" s="125">
        <v>499</v>
      </c>
      <c r="AA180" s="125">
        <v>588.14821896968408</v>
      </c>
      <c r="AB180" s="125">
        <v>442.99957767677216</v>
      </c>
      <c r="AC180" s="125">
        <v>366.7277490741082</v>
      </c>
      <c r="AD180" s="125">
        <v>366.7277490741082</v>
      </c>
      <c r="AE180" s="125">
        <v>451</v>
      </c>
      <c r="AF180" s="125">
        <v>536</v>
      </c>
      <c r="AG180" s="125">
        <v>510</v>
      </c>
      <c r="AH180" s="125">
        <v>543.86682994537</v>
      </c>
      <c r="AI180" s="125">
        <v>395.03496180273976</v>
      </c>
      <c r="AJ180" s="125">
        <v>251.71894062264056</v>
      </c>
      <c r="AK180" s="125">
        <v>115.04180229831174</v>
      </c>
      <c r="AL180" s="125">
        <v>530</v>
      </c>
      <c r="AM180" s="125">
        <v>534</v>
      </c>
      <c r="AN180" s="125">
        <v>566</v>
      </c>
      <c r="AO180" s="125">
        <v>444</v>
      </c>
      <c r="AP180" s="125">
        <v>535</v>
      </c>
      <c r="AQ180" s="125">
        <v>500.0141609906546</v>
      </c>
      <c r="AR180" s="125">
        <v>84.82418667476135</v>
      </c>
      <c r="AS180" s="125">
        <v>481.7365575255759</v>
      </c>
      <c r="AT180" s="125">
        <v>3.2993846844094961E-2</v>
      </c>
      <c r="AU180" s="125">
        <v>481</v>
      </c>
      <c r="AV180" s="125">
        <v>563</v>
      </c>
      <c r="AW180" s="125">
        <v>568</v>
      </c>
      <c r="AX180" s="125">
        <v>506.67107802067812</v>
      </c>
      <c r="AY180" s="125">
        <v>481.7365575255759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461.95023609038032</v>
      </c>
      <c r="E181" s="124">
        <f t="shared" si="4"/>
        <v>4.1506763625974684E-2</v>
      </c>
      <c r="F181" s="124">
        <f t="shared" si="4"/>
        <v>607.28353187660514</v>
      </c>
      <c r="G181" s="124">
        <f t="shared" si="4"/>
        <v>613.65834865411784</v>
      </c>
      <c r="H181" s="124">
        <f t="shared" si="4"/>
        <v>385.05691772714169</v>
      </c>
      <c r="I181" s="124">
        <f t="shared" si="4"/>
        <v>369.09040019135421</v>
      </c>
      <c r="J181" s="124">
        <f t="shared" si="4"/>
        <v>144.72434565346052</v>
      </c>
      <c r="K181" s="124">
        <f t="shared" si="4"/>
        <v>777.97388155426199</v>
      </c>
      <c r="L181" s="124">
        <f t="shared" si="4"/>
        <v>261.55119845644032</v>
      </c>
      <c r="M181" s="124">
        <f t="shared" si="4"/>
        <v>4.1506763625974684E-2</v>
      </c>
      <c r="N181" s="124">
        <f t="shared" si="4"/>
        <v>1239.2814883944973</v>
      </c>
      <c r="O181" s="124">
        <f t="shared" si="4"/>
        <v>795.77299448214296</v>
      </c>
      <c r="P181" s="124">
        <f t="shared" si="4"/>
        <v>558.72095155797399</v>
      </c>
      <c r="Q181" s="124">
        <f t="shared" si="4"/>
        <v>472.33631048226766</v>
      </c>
      <c r="R181" s="124">
        <f t="shared" si="4"/>
        <v>461.34911360386133</v>
      </c>
      <c r="S181" s="124">
        <f t="shared" si="4"/>
        <v>4.1506763625974684E-2</v>
      </c>
      <c r="T181" s="124">
        <f t="shared" si="4"/>
        <v>922.65672044409655</v>
      </c>
      <c r="U181" s="124">
        <f t="shared" si="4"/>
        <v>662.84008011411584</v>
      </c>
      <c r="V181" s="124">
        <f t="shared" si="4"/>
        <v>241.0192928374608</v>
      </c>
      <c r="W181" s="124">
        <f t="shared" si="4"/>
        <v>4.1506763625974684E-2</v>
      </c>
      <c r="X181" s="124">
        <f t="shared" si="4"/>
        <v>1239.2814883944973</v>
      </c>
      <c r="Y181" s="124">
        <f t="shared" si="4"/>
        <v>860.71710345556983</v>
      </c>
      <c r="Z181" s="124">
        <f t="shared" si="4"/>
        <v>335.66342271543874</v>
      </c>
      <c r="AA181" s="124">
        <f t="shared" si="4"/>
        <v>4.1506763625974684E-2</v>
      </c>
      <c r="AB181" s="124">
        <f t="shared" si="4"/>
        <v>461.34911360386127</v>
      </c>
      <c r="AC181" s="124">
        <f t="shared" si="4"/>
        <v>461.34911360386127</v>
      </c>
      <c r="AD181" s="124">
        <f t="shared" si="4"/>
        <v>922.65672044409655</v>
      </c>
      <c r="AE181" s="124">
        <f t="shared" si="4"/>
        <v>399.04521130367004</v>
      </c>
      <c r="AF181" s="124">
        <f t="shared" si="4"/>
        <v>922.65672044409655</v>
      </c>
      <c r="AG181" s="124">
        <f t="shared" si="4"/>
        <v>624.39788920961519</v>
      </c>
      <c r="AH181" s="124">
        <f t="shared" si="4"/>
        <v>195.64514428048113</v>
      </c>
      <c r="AI181" s="124">
        <f t="shared" si="4"/>
        <v>316.66627471402671</v>
      </c>
      <c r="AJ181" s="124">
        <f t="shared" si="4"/>
        <v>144.72434565346049</v>
      </c>
      <c r="AK181" s="124">
        <f t="shared" si="4"/>
        <v>1239.2814883944973</v>
      </c>
      <c r="AL181" s="124">
        <f t="shared" si="4"/>
        <v>771.46998023426067</v>
      </c>
      <c r="AM181" s="124">
        <f t="shared" si="4"/>
        <v>71.616398150044375</v>
      </c>
      <c r="AN181" s="124">
        <f t="shared" si="4"/>
        <v>606.03195249369583</v>
      </c>
      <c r="AO181" s="124">
        <f t="shared" si="4"/>
        <v>809.74827583569777</v>
      </c>
      <c r="AP181" s="124">
        <f t="shared" si="4"/>
        <v>519.70785587332762</v>
      </c>
      <c r="AQ181" s="124">
        <f t="shared" si="4"/>
        <v>4.1506763625974684E-2</v>
      </c>
      <c r="AR181" s="124">
        <f t="shared" si="4"/>
        <v>606.03195249369583</v>
      </c>
      <c r="AS181" s="124">
        <f t="shared" si="4"/>
        <v>4.1506763625974684E-2</v>
      </c>
      <c r="AT181" s="124">
        <f t="shared" si="4"/>
        <v>1239.2814883944973</v>
      </c>
      <c r="AU181" s="124">
        <f t="shared" si="4"/>
        <v>838.115117690754</v>
      </c>
      <c r="AV181" s="124">
        <f t="shared" si="4"/>
        <v>271.25771828485318</v>
      </c>
      <c r="AW181" s="124">
        <f t="shared" si="4"/>
        <v>316.66627471402671</v>
      </c>
      <c r="AX181" s="124">
        <f t="shared" si="4"/>
        <v>606.03195249369583</v>
      </c>
      <c r="AY181" s="124">
        <f t="shared" si="4"/>
        <v>4.1506763625974684E-2</v>
      </c>
    </row>
    <row r="182" spans="1:51">
      <c r="A182" s="125"/>
      <c r="B182" s="136" t="s">
        <v>299</v>
      </c>
      <c r="C182" s="125" t="s">
        <v>293</v>
      </c>
      <c r="D182" s="125">
        <v>461.95023609038032</v>
      </c>
      <c r="E182" s="125">
        <v>4.1506763625974684E-2</v>
      </c>
      <c r="F182" s="125">
        <v>571.02309385217313</v>
      </c>
      <c r="G182" s="125">
        <v>585</v>
      </c>
      <c r="H182" s="125">
        <v>385.05691772714169</v>
      </c>
      <c r="I182" s="125">
        <v>369.09040019135421</v>
      </c>
      <c r="J182" s="125">
        <v>144.72434565346052</v>
      </c>
      <c r="K182" s="125">
        <v>568.28102446838079</v>
      </c>
      <c r="L182" s="125">
        <v>261.55119845644032</v>
      </c>
      <c r="M182" s="125">
        <v>4.1506763625974684E-2</v>
      </c>
      <c r="N182" s="125">
        <v>639.02309422737596</v>
      </c>
      <c r="O182" s="125">
        <v>621</v>
      </c>
      <c r="P182" s="125">
        <v>539</v>
      </c>
      <c r="Q182" s="125">
        <v>472.33631048226766</v>
      </c>
      <c r="R182" s="125">
        <v>461.34911360386133</v>
      </c>
      <c r="S182" s="125">
        <v>4.1506763625974684E-2</v>
      </c>
      <c r="T182" s="125">
        <v>561</v>
      </c>
      <c r="U182" s="125">
        <v>490</v>
      </c>
      <c r="V182" s="125">
        <v>241.0192928374608</v>
      </c>
      <c r="W182" s="125">
        <v>4.1506763625974684E-2</v>
      </c>
      <c r="X182" s="125">
        <v>522.45472458635697</v>
      </c>
      <c r="Y182" s="125">
        <v>518</v>
      </c>
      <c r="Z182" s="125">
        <v>335.66342271543874</v>
      </c>
      <c r="AA182" s="125">
        <v>4.1506763625974684E-2</v>
      </c>
      <c r="AB182" s="125">
        <v>461.34911360386127</v>
      </c>
      <c r="AC182" s="125">
        <v>461.34911360386127</v>
      </c>
      <c r="AD182" s="125">
        <v>774.79452812508589</v>
      </c>
      <c r="AE182" s="125">
        <v>399.04521130367004</v>
      </c>
      <c r="AF182" s="125">
        <v>630</v>
      </c>
      <c r="AG182" s="125">
        <v>533</v>
      </c>
      <c r="AH182" s="125">
        <v>195.64514428048113</v>
      </c>
      <c r="AI182" s="125">
        <v>316.66627471402671</v>
      </c>
      <c r="AJ182" s="125">
        <v>144.72434565346049</v>
      </c>
      <c r="AK182" s="125">
        <v>682.64464501956968</v>
      </c>
      <c r="AL182" s="125">
        <v>643</v>
      </c>
      <c r="AM182" s="125">
        <v>71.616398150044375</v>
      </c>
      <c r="AN182" s="125">
        <v>549</v>
      </c>
      <c r="AO182" s="125">
        <v>705</v>
      </c>
      <c r="AP182" s="125">
        <v>519.70785587332762</v>
      </c>
      <c r="AQ182" s="125">
        <v>4.1506763625974684E-2</v>
      </c>
      <c r="AR182" s="125">
        <v>606.03195249369583</v>
      </c>
      <c r="AS182" s="125">
        <v>4.1506763625974684E-2</v>
      </c>
      <c r="AT182" s="125">
        <v>563.02309441851708</v>
      </c>
      <c r="AU182" s="125">
        <v>611</v>
      </c>
      <c r="AV182" s="125">
        <v>271.25771828485318</v>
      </c>
      <c r="AW182" s="125">
        <v>316.66627471402671</v>
      </c>
      <c r="AX182" s="125">
        <v>606.03195249369583</v>
      </c>
      <c r="AY182" s="125">
        <v>4.1506763625974684E-2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995</v>
      </c>
      <c r="D185" s="124">
        <v>772.87869612039685</v>
      </c>
      <c r="E185" s="124">
        <v>841.62546815484097</v>
      </c>
      <c r="F185" s="124">
        <v>841.62546815484097</v>
      </c>
      <c r="G185" s="124">
        <v>841.62546815484097</v>
      </c>
      <c r="H185" s="124">
        <v>1052.0238306752542</v>
      </c>
      <c r="I185" s="124">
        <v>1019</v>
      </c>
      <c r="J185" s="124">
        <v>970.9761693247458</v>
      </c>
      <c r="K185" s="124">
        <v>975.95233864949159</v>
      </c>
      <c r="L185" s="124">
        <v>1023.9285079742374</v>
      </c>
      <c r="M185" s="124">
        <v>1052.0238306752542</v>
      </c>
      <c r="N185" s="124">
        <v>938</v>
      </c>
      <c r="O185" s="124">
        <v>916.9761693247458</v>
      </c>
      <c r="P185" s="124">
        <v>883.95233864949159</v>
      </c>
      <c r="Q185" s="124">
        <v>652.92850797423739</v>
      </c>
      <c r="R185" s="124">
        <v>468.90467729898319</v>
      </c>
      <c r="S185" s="124">
        <v>395.88084662372898</v>
      </c>
      <c r="T185" s="124">
        <v>356.85701594847478</v>
      </c>
      <c r="U185" s="124">
        <v>195.83318527322058</v>
      </c>
      <c r="V185" s="124">
        <v>75.809354597966376</v>
      </c>
      <c r="W185" s="124">
        <v>116.78552392271217</v>
      </c>
      <c r="X185" s="124">
        <v>479.32062238773096</v>
      </c>
      <c r="Y185" s="124">
        <v>885.84859910698447</v>
      </c>
      <c r="Z185" s="124">
        <v>962.82476843173026</v>
      </c>
      <c r="AA185" s="124">
        <v>864.80093775647606</v>
      </c>
      <c r="AB185" s="124">
        <v>829.77710708122186</v>
      </c>
      <c r="AC185" s="124">
        <v>694.75327640596765</v>
      </c>
      <c r="AD185" s="124">
        <v>635.72944573071345</v>
      </c>
      <c r="AE185" s="124">
        <v>604.70561505545925</v>
      </c>
      <c r="AF185" s="124">
        <v>457.68178438020504</v>
      </c>
      <c r="AG185" s="124">
        <v>516.65795370495084</v>
      </c>
      <c r="AH185" s="124">
        <v>481.63412302969664</v>
      </c>
      <c r="AI185" s="124">
        <v>489.61029235444244</v>
      </c>
      <c r="AJ185" s="124">
        <v>332.58646167918823</v>
      </c>
      <c r="AK185" s="124">
        <v>577.48800243189612</v>
      </c>
      <c r="AL185" s="124">
        <v>687.46417175664192</v>
      </c>
      <c r="AM185" s="124">
        <v>668.44034108138771</v>
      </c>
      <c r="AN185" s="124">
        <v>687.41651040613351</v>
      </c>
      <c r="AO185" s="124">
        <v>864.39267973087931</v>
      </c>
      <c r="AP185" s="124">
        <v>904.36884905562511</v>
      </c>
      <c r="AQ185" s="124">
        <v>1052.0238306752542</v>
      </c>
      <c r="AR185" s="124">
        <v>1052.0238306752542</v>
      </c>
      <c r="AS185" s="124">
        <v>1052.0238306752542</v>
      </c>
      <c r="AT185" s="124">
        <v>1052.0238306752542</v>
      </c>
      <c r="AU185" s="124">
        <v>1052.0238306752542</v>
      </c>
      <c r="AV185" s="124">
        <v>1052.0238306752542</v>
      </c>
      <c r="AW185" s="124">
        <v>1052.0238306752542</v>
      </c>
      <c r="AX185" s="124">
        <v>962</v>
      </c>
      <c r="AY185" s="124">
        <v>1042.9761693247458</v>
      </c>
    </row>
    <row r="186" spans="1:51">
      <c r="A186" s="109"/>
      <c r="B186" s="120">
        <v>2</v>
      </c>
      <c r="C186" s="106">
        <v>0</v>
      </c>
      <c r="D186" s="106">
        <v>58.121303879603147</v>
      </c>
      <c r="E186" s="106">
        <v>68.74677203444412</v>
      </c>
      <c r="F186" s="106">
        <v>0</v>
      </c>
      <c r="G186" s="106">
        <v>0</v>
      </c>
      <c r="H186" s="106">
        <v>0</v>
      </c>
      <c r="I186" s="106">
        <v>0</v>
      </c>
      <c r="J186" s="106">
        <v>33.023830675254203</v>
      </c>
      <c r="K186" s="106">
        <v>81.047661350508406</v>
      </c>
      <c r="L186" s="106">
        <v>76.071492025762609</v>
      </c>
      <c r="M186" s="106">
        <v>28.095322701016812</v>
      </c>
      <c r="N186" s="106">
        <v>0</v>
      </c>
      <c r="O186" s="106">
        <v>114.0238306752542</v>
      </c>
      <c r="P186" s="106">
        <v>135.04766135050841</v>
      </c>
      <c r="Q186" s="106">
        <v>168.07149202576261</v>
      </c>
      <c r="R186" s="106">
        <v>399.09532270101681</v>
      </c>
      <c r="S186" s="106">
        <v>583.11915337627102</v>
      </c>
      <c r="T186" s="106">
        <v>656.14298405152522</v>
      </c>
      <c r="U186" s="106">
        <v>695.16681472677942</v>
      </c>
      <c r="V186" s="106">
        <v>856.19064540203362</v>
      </c>
      <c r="W186" s="106">
        <v>976.21447607728783</v>
      </c>
      <c r="X186" s="106">
        <v>582.67937761226904</v>
      </c>
      <c r="Y186" s="106">
        <v>273.15140089301553</v>
      </c>
      <c r="Z186" s="106">
        <v>166.17523156826974</v>
      </c>
      <c r="AA186" s="106">
        <v>89.19906224352394</v>
      </c>
      <c r="AB186" s="106">
        <v>187.22289291877814</v>
      </c>
      <c r="AC186" s="106">
        <v>222.24672359403235</v>
      </c>
      <c r="AD186" s="106">
        <v>357.27055426928655</v>
      </c>
      <c r="AE186" s="106">
        <v>416.29438494454075</v>
      </c>
      <c r="AF186" s="106">
        <v>447.31821561979496</v>
      </c>
      <c r="AG186" s="106">
        <v>594.34204629504916</v>
      </c>
      <c r="AH186" s="106">
        <v>535.36587697030336</v>
      </c>
      <c r="AI186" s="106">
        <v>570.38970764555756</v>
      </c>
      <c r="AJ186" s="106">
        <v>562.41353832081177</v>
      </c>
      <c r="AK186" s="106">
        <v>478.51199756810388</v>
      </c>
      <c r="AL186" s="106">
        <v>474.53582824335808</v>
      </c>
      <c r="AM186" s="106">
        <v>364.55965891861229</v>
      </c>
      <c r="AN186" s="106">
        <v>383.58348959386649</v>
      </c>
      <c r="AO186" s="106">
        <v>364.60732026912069</v>
      </c>
      <c r="AP186" s="106">
        <v>187.63115094437489</v>
      </c>
      <c r="AQ186" s="106">
        <v>147.6549816196291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90.023830675254203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608.29951458537209</v>
      </c>
      <c r="D189" s="124">
        <v>608.29951458537209</v>
      </c>
      <c r="E189" s="124">
        <v>0</v>
      </c>
      <c r="F189" s="124">
        <v>64.573476075472399</v>
      </c>
      <c r="G189" s="124">
        <v>294.14557392998233</v>
      </c>
      <c r="H189" s="124">
        <v>485.42790214549007</v>
      </c>
      <c r="I189" s="124">
        <v>485.42790214549007</v>
      </c>
      <c r="J189" s="124">
        <v>190.30835265869783</v>
      </c>
      <c r="K189" s="124">
        <v>163.5280917769104</v>
      </c>
      <c r="L189" s="124">
        <v>127.747830895123</v>
      </c>
      <c r="M189" s="124">
        <v>0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0</v>
      </c>
      <c r="T189" s="124">
        <v>0</v>
      </c>
      <c r="U189" s="124">
        <v>0</v>
      </c>
      <c r="V189" s="124">
        <v>0</v>
      </c>
      <c r="W189" s="124">
        <v>0</v>
      </c>
      <c r="X189" s="124">
        <v>0</v>
      </c>
      <c r="Y189" s="124">
        <v>0</v>
      </c>
      <c r="Z189" s="124">
        <v>0</v>
      </c>
      <c r="AA189" s="124">
        <v>0</v>
      </c>
      <c r="AB189" s="124">
        <v>128.5280917769104</v>
      </c>
      <c r="AC189" s="124">
        <v>0</v>
      </c>
      <c r="AD189" s="124">
        <v>0</v>
      </c>
      <c r="AE189" s="124">
        <v>0</v>
      </c>
      <c r="AF189" s="124">
        <v>93.187309131548204</v>
      </c>
      <c r="AG189" s="124">
        <v>249.40704824976081</v>
      </c>
      <c r="AH189" s="124">
        <v>190.3083526586978</v>
      </c>
      <c r="AI189" s="124">
        <v>0</v>
      </c>
      <c r="AJ189" s="124">
        <v>190.30835265869791</v>
      </c>
      <c r="AK189" s="124">
        <v>0</v>
      </c>
      <c r="AL189" s="124">
        <v>0</v>
      </c>
      <c r="AM189" s="124">
        <v>0</v>
      </c>
      <c r="AN189" s="124">
        <v>0</v>
      </c>
      <c r="AO189" s="124">
        <v>0</v>
      </c>
      <c r="AP189" s="124">
        <v>73.846526486186121</v>
      </c>
      <c r="AQ189" s="124">
        <v>0</v>
      </c>
      <c r="AR189" s="124">
        <v>153.2197391182126</v>
      </c>
      <c r="AS189" s="124">
        <v>0</v>
      </c>
      <c r="AT189" s="124">
        <v>0</v>
      </c>
      <c r="AU189" s="124">
        <v>0</v>
      </c>
      <c r="AV189" s="124">
        <v>0</v>
      </c>
      <c r="AW189" s="124">
        <v>0</v>
      </c>
      <c r="AX189" s="124">
        <v>122.62678736797341</v>
      </c>
      <c r="AY189" s="124">
        <v>0</v>
      </c>
    </row>
    <row r="190" spans="1:51">
      <c r="A190" s="109"/>
      <c r="B190" s="119">
        <v>2</v>
      </c>
      <c r="C190" s="106">
        <v>60.198058341488377</v>
      </c>
      <c r="D190" s="106">
        <v>0</v>
      </c>
      <c r="E190" s="106">
        <v>0</v>
      </c>
      <c r="F190" s="106">
        <v>608.4265239245276</v>
      </c>
      <c r="G190" s="106">
        <v>420.85442607001767</v>
      </c>
      <c r="H190" s="106">
        <v>191.28232821550773</v>
      </c>
      <c r="I190" s="106">
        <v>0</v>
      </c>
      <c r="J190" s="106">
        <v>0</v>
      </c>
      <c r="K190" s="106">
        <v>416.4719082230896</v>
      </c>
      <c r="L190" s="106">
        <v>443.252169104877</v>
      </c>
      <c r="M190" s="106">
        <v>62.560521763574826</v>
      </c>
      <c r="N190" s="106">
        <v>314.5280917769104</v>
      </c>
      <c r="O190" s="106">
        <v>380.747830895123</v>
      </c>
      <c r="P190" s="106">
        <v>328.9675700133356</v>
      </c>
      <c r="Q190" s="106">
        <v>356.1873091315482</v>
      </c>
      <c r="R190" s="106">
        <v>352.40704824976081</v>
      </c>
      <c r="S190" s="106">
        <v>362.62678736797341</v>
      </c>
      <c r="T190" s="106">
        <v>389.84652648618601</v>
      </c>
      <c r="U190" s="106">
        <v>434.06626560439861</v>
      </c>
      <c r="V190" s="106">
        <v>430.28600472261121</v>
      </c>
      <c r="W190" s="106">
        <v>190.3083526586978</v>
      </c>
      <c r="X190" s="106">
        <v>175.5280917769104</v>
      </c>
      <c r="Y190" s="106">
        <v>264.747830895123</v>
      </c>
      <c r="Z190" s="106">
        <v>438.9675700133356</v>
      </c>
      <c r="AA190" s="106">
        <v>190.3083526586978</v>
      </c>
      <c r="AB190" s="106">
        <v>0</v>
      </c>
      <c r="AC190" s="106">
        <v>61.780260881787399</v>
      </c>
      <c r="AD190" s="106">
        <v>350.5280917769104</v>
      </c>
      <c r="AE190" s="106">
        <v>539.747830895123</v>
      </c>
      <c r="AF190" s="106">
        <v>606.7802608817874</v>
      </c>
      <c r="AG190" s="106">
        <v>513.59295175023919</v>
      </c>
      <c r="AH190" s="106">
        <v>357.37321263202659</v>
      </c>
      <c r="AI190" s="106">
        <v>416.4719082230896</v>
      </c>
      <c r="AJ190" s="106">
        <v>0</v>
      </c>
      <c r="AK190" s="106">
        <v>664</v>
      </c>
      <c r="AL190" s="106">
        <v>348.74783089512312</v>
      </c>
      <c r="AM190" s="106">
        <v>341.96757001333572</v>
      </c>
      <c r="AN190" s="106">
        <v>373.18730913154832</v>
      </c>
      <c r="AO190" s="106">
        <v>412.40704824976092</v>
      </c>
      <c r="AP190" s="106">
        <v>606.7802608817874</v>
      </c>
      <c r="AQ190" s="106">
        <v>532.93373439560128</v>
      </c>
      <c r="AR190" s="106">
        <v>606.7802608817874</v>
      </c>
      <c r="AS190" s="106">
        <v>37.088613540485227</v>
      </c>
      <c r="AT190" s="106">
        <v>253.5280917769104</v>
      </c>
      <c r="AU190" s="106">
        <v>345.747830895123</v>
      </c>
      <c r="AV190" s="106">
        <v>439.9675700133356</v>
      </c>
      <c r="AW190" s="106">
        <v>572.1873091315482</v>
      </c>
      <c r="AX190" s="106">
        <v>606.7802608817874</v>
      </c>
      <c r="AY190" s="106">
        <v>67.681565290724421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416.4719082230896</v>
      </c>
      <c r="O191" s="106">
        <v>292.252169104877</v>
      </c>
      <c r="P191" s="106">
        <v>226.0324299866644</v>
      </c>
      <c r="Q191" s="106">
        <v>277.8126908684518</v>
      </c>
      <c r="R191" s="106">
        <v>250.59295175023919</v>
      </c>
      <c r="S191" s="106">
        <v>254.37321263202659</v>
      </c>
      <c r="T191" s="106">
        <v>244.15347351381399</v>
      </c>
      <c r="U191" s="106">
        <v>216.93373439560139</v>
      </c>
      <c r="V191" s="106">
        <v>172.71399527738879</v>
      </c>
      <c r="W191" s="106">
        <v>176.49425615917619</v>
      </c>
      <c r="X191" s="106">
        <v>416.4719082230896</v>
      </c>
      <c r="Y191" s="106">
        <v>431.252169104877</v>
      </c>
      <c r="Z191" s="106">
        <v>342.0324299866644</v>
      </c>
      <c r="AA191" s="106">
        <v>167.8126908684518</v>
      </c>
      <c r="AB191" s="106">
        <v>416.4719082230896</v>
      </c>
      <c r="AC191" s="106">
        <v>606.7802608817874</v>
      </c>
      <c r="AD191" s="106">
        <v>416.4719082230896</v>
      </c>
      <c r="AE191" s="106">
        <v>256.252169104877</v>
      </c>
      <c r="AF191" s="106">
        <v>67.032429986664397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359.25216910487688</v>
      </c>
      <c r="AM191" s="106">
        <v>258.03242998666428</v>
      </c>
      <c r="AN191" s="106">
        <v>264.81269086845168</v>
      </c>
      <c r="AO191" s="106">
        <v>233.59295175023908</v>
      </c>
      <c r="AP191" s="106">
        <v>194.37321263202648</v>
      </c>
      <c r="AQ191" s="106">
        <v>0</v>
      </c>
      <c r="AR191" s="106">
        <v>0</v>
      </c>
      <c r="AS191" s="106">
        <v>0</v>
      </c>
      <c r="AT191" s="106">
        <v>416.4719082230896</v>
      </c>
      <c r="AU191" s="106">
        <v>353.252169104877</v>
      </c>
      <c r="AV191" s="106">
        <v>261.0324299866644</v>
      </c>
      <c r="AW191" s="106">
        <v>166.8126908684518</v>
      </c>
      <c r="AX191" s="106">
        <v>34.592951750239195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236.10717380788731</v>
      </c>
      <c r="D197" s="106">
        <v>262.98367336910246</v>
      </c>
      <c r="E197" s="106">
        <v>367.20558308288503</v>
      </c>
      <c r="F197" s="106">
        <v>3.2993846844094961E-2</v>
      </c>
      <c r="G197" s="106">
        <v>399</v>
      </c>
      <c r="H197" s="106">
        <v>290.26543530633182</v>
      </c>
      <c r="I197" s="106">
        <v>273.79643260628541</v>
      </c>
      <c r="J197" s="106">
        <v>293.39103008066184</v>
      </c>
      <c r="K197" s="106">
        <v>115.04180229831175</v>
      </c>
      <c r="L197" s="106">
        <v>465</v>
      </c>
      <c r="M197" s="106">
        <v>207.90780658121318</v>
      </c>
      <c r="N197" s="106">
        <v>3.2993846844094961E-2</v>
      </c>
      <c r="O197" s="106">
        <v>509</v>
      </c>
      <c r="P197" s="106">
        <v>0</v>
      </c>
      <c r="Q197" s="106">
        <v>0</v>
      </c>
      <c r="R197" s="106">
        <v>0</v>
      </c>
      <c r="S197" s="106">
        <v>0</v>
      </c>
      <c r="T197" s="106">
        <v>0</v>
      </c>
      <c r="U197" s="106">
        <v>382.97813428311684</v>
      </c>
      <c r="V197" s="106">
        <v>181.55562998174452</v>
      </c>
      <c r="W197" s="106">
        <v>180.74550682112482</v>
      </c>
      <c r="X197" s="106">
        <v>3.2993846844094676E-2</v>
      </c>
      <c r="Y197" s="106">
        <v>406</v>
      </c>
      <c r="Z197" s="106">
        <v>0</v>
      </c>
      <c r="AA197" s="106">
        <v>0</v>
      </c>
      <c r="AB197" s="106">
        <v>3.2993846844078689E-2</v>
      </c>
      <c r="AC197" s="106">
        <v>366.7277490741082</v>
      </c>
      <c r="AD197" s="106">
        <v>366.7277490741082</v>
      </c>
      <c r="AE197" s="106">
        <v>451</v>
      </c>
      <c r="AF197" s="106">
        <v>253.57749569862767</v>
      </c>
      <c r="AG197" s="106">
        <v>446.37529934661978</v>
      </c>
      <c r="AH197" s="106">
        <v>256.81962499061746</v>
      </c>
      <c r="AI197" s="106">
        <v>155.51889288090635</v>
      </c>
      <c r="AJ197" s="106">
        <v>251.71894062264056</v>
      </c>
      <c r="AK197" s="106">
        <v>115.04180229831174</v>
      </c>
      <c r="AL197" s="106">
        <v>530</v>
      </c>
      <c r="AM197" s="106">
        <v>78.891548922831248</v>
      </c>
      <c r="AN197" s="106">
        <v>31.647823104194913</v>
      </c>
      <c r="AO197" s="106">
        <v>418.71974040950846</v>
      </c>
      <c r="AP197" s="106">
        <v>471.98318288393256</v>
      </c>
      <c r="AQ197" s="106">
        <v>328.32608981242231</v>
      </c>
      <c r="AR197" s="106">
        <v>3.29938468440929E-2</v>
      </c>
      <c r="AS197" s="106">
        <v>481.7365575255759</v>
      </c>
      <c r="AT197" s="106">
        <v>3.2993846844094961E-2</v>
      </c>
      <c r="AU197" s="106">
        <v>481</v>
      </c>
      <c r="AV197" s="106">
        <v>58.891548922831248</v>
      </c>
      <c r="AW197" s="106">
        <v>0</v>
      </c>
      <c r="AX197" s="106">
        <v>251.71894062264056</v>
      </c>
      <c r="AY197" s="106">
        <v>481.7365575255759</v>
      </c>
    </row>
    <row r="198" spans="1:51">
      <c r="A198" s="109"/>
      <c r="B198" s="119">
        <v>2</v>
      </c>
      <c r="C198" s="106">
        <v>250.81798714818342</v>
      </c>
      <c r="D198" s="106">
        <v>166.21852773934677</v>
      </c>
      <c r="E198" s="106">
        <v>103.71721755402433</v>
      </c>
      <c r="F198" s="106">
        <v>0</v>
      </c>
      <c r="G198" s="106">
        <v>0</v>
      </c>
      <c r="H198" s="106">
        <v>83.731441608687021</v>
      </c>
      <c r="I198" s="106">
        <v>197.53336665624209</v>
      </c>
      <c r="J198" s="106">
        <v>32.286428592706841</v>
      </c>
      <c r="K198" s="106">
        <v>0</v>
      </c>
      <c r="L198" s="106">
        <v>0</v>
      </c>
      <c r="M198" s="106">
        <v>153.41369584990468</v>
      </c>
      <c r="N198" s="106">
        <v>0</v>
      </c>
      <c r="O198" s="106">
        <v>0</v>
      </c>
      <c r="P198" s="106">
        <v>389</v>
      </c>
      <c r="Q198" s="106">
        <v>295.89154892283125</v>
      </c>
      <c r="R198" s="106">
        <v>154.3292865598836</v>
      </c>
      <c r="S198" s="106">
        <v>194.20038095774493</v>
      </c>
      <c r="T198" s="106">
        <v>240.73887720406918</v>
      </c>
      <c r="U198" s="106">
        <v>3.2993846844094961E-2</v>
      </c>
      <c r="V198" s="106">
        <v>350.44437001825548</v>
      </c>
      <c r="W198" s="106">
        <v>345.33787302620573</v>
      </c>
      <c r="X198" s="106">
        <v>10.841428407302516</v>
      </c>
      <c r="Y198" s="106">
        <v>2.8449465006019636E-16</v>
      </c>
      <c r="Z198" s="106">
        <v>499</v>
      </c>
      <c r="AA198" s="106">
        <v>508.03976789251533</v>
      </c>
      <c r="AB198" s="106">
        <v>266.81982869190341</v>
      </c>
      <c r="AC198" s="106">
        <v>1.6271706204662451E-14</v>
      </c>
      <c r="AD198" s="106">
        <v>0</v>
      </c>
      <c r="AE198" s="106">
        <v>0</v>
      </c>
      <c r="AF198" s="106">
        <v>282.42250430137233</v>
      </c>
      <c r="AG198" s="106">
        <v>63.624700653380216</v>
      </c>
      <c r="AH198" s="106">
        <v>287.04720495475254</v>
      </c>
      <c r="AI198" s="106">
        <v>239.51606892183338</v>
      </c>
      <c r="AJ198" s="106">
        <v>0</v>
      </c>
      <c r="AK198" s="106">
        <v>0</v>
      </c>
      <c r="AL198" s="106">
        <v>0</v>
      </c>
      <c r="AM198" s="106">
        <v>455.10845107716875</v>
      </c>
      <c r="AN198" s="106">
        <v>534.35217689580509</v>
      </c>
      <c r="AO198" s="106">
        <v>25.280259590491525</v>
      </c>
      <c r="AP198" s="106">
        <v>63.016817116067443</v>
      </c>
      <c r="AQ198" s="106">
        <v>171.68807117823229</v>
      </c>
      <c r="AR198" s="106">
        <v>84.791192827917257</v>
      </c>
      <c r="AS198" s="106">
        <v>2.0608514894604468E-15</v>
      </c>
      <c r="AT198" s="106">
        <v>0</v>
      </c>
      <c r="AU198" s="106">
        <v>0</v>
      </c>
      <c r="AV198" s="106">
        <v>504.10845107716875</v>
      </c>
      <c r="AW198" s="106">
        <v>568</v>
      </c>
      <c r="AX198" s="106">
        <v>215.62354735767329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87.108451077168752</v>
      </c>
      <c r="R199" s="106">
        <v>336.6707134401164</v>
      </c>
      <c r="S199" s="106">
        <v>289.79961904225507</v>
      </c>
      <c r="T199" s="106">
        <v>181.26112279593082</v>
      </c>
      <c r="U199" s="106">
        <v>125.98887187003908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80.108451077168752</v>
      </c>
      <c r="AB199" s="106">
        <v>176.14675513802467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39.328590040364247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462.44988529960949</v>
      </c>
      <c r="D209" s="124">
        <v>461.95023609038032</v>
      </c>
      <c r="E209" s="124">
        <v>4.1506763625974684E-2</v>
      </c>
      <c r="F209" s="124">
        <v>108.46390762902854</v>
      </c>
      <c r="G209" s="124">
        <v>340.43205153723636</v>
      </c>
      <c r="H209" s="124">
        <v>369.09040019135421</v>
      </c>
      <c r="I209" s="124">
        <v>369.09040019135421</v>
      </c>
      <c r="J209" s="124">
        <v>144.72434565346052</v>
      </c>
      <c r="K209" s="124">
        <v>251.65625651798007</v>
      </c>
      <c r="L209" s="124">
        <v>144.72434565346052</v>
      </c>
      <c r="M209" s="124">
        <v>4.1506763625974684E-2</v>
      </c>
      <c r="N209" s="124">
        <v>0</v>
      </c>
      <c r="O209" s="124">
        <v>286.57611912171814</v>
      </c>
      <c r="P209" s="124">
        <v>441.62816204588728</v>
      </c>
      <c r="Q209" s="124">
        <v>461.34911360386121</v>
      </c>
      <c r="R209" s="124">
        <v>461.34911360386127</v>
      </c>
      <c r="S209" s="124">
        <v>4.1506763625974684E-2</v>
      </c>
      <c r="T209" s="124">
        <v>99.69239315976472</v>
      </c>
      <c r="U209" s="124">
        <v>288.50903348974543</v>
      </c>
      <c r="V209" s="124">
        <v>144.72434565346052</v>
      </c>
      <c r="W209" s="124">
        <v>4.1506763625974684E-2</v>
      </c>
      <c r="X209" s="124">
        <v>0</v>
      </c>
      <c r="Y209" s="124">
        <v>118.63201014829144</v>
      </c>
      <c r="Z209" s="124">
        <v>144.72434565346052</v>
      </c>
      <c r="AA209" s="124">
        <v>4.1506763625974684E-2</v>
      </c>
      <c r="AB209" s="124">
        <v>144.72434565346052</v>
      </c>
      <c r="AC209" s="124">
        <v>4.1506763625974684E-2</v>
      </c>
      <c r="AD209" s="124">
        <v>0</v>
      </c>
      <c r="AE209" s="124">
        <v>4.1506763625974684E-2</v>
      </c>
      <c r="AF209" s="124">
        <v>168.69239315976472</v>
      </c>
      <c r="AG209" s="124">
        <v>369.95122439424608</v>
      </c>
      <c r="AH209" s="124">
        <v>144.72434565346052</v>
      </c>
      <c r="AI209" s="124">
        <v>4.1506763625974684E-2</v>
      </c>
      <c r="AJ209" s="124">
        <v>144.72434565346049</v>
      </c>
      <c r="AK209" s="124">
        <v>0</v>
      </c>
      <c r="AL209" s="124">
        <v>332.87913336960054</v>
      </c>
      <c r="AM209" s="124">
        <v>4.1506763625974684E-2</v>
      </c>
      <c r="AN209" s="124">
        <v>87.69239315976472</v>
      </c>
      <c r="AO209" s="124">
        <v>356.60083776816356</v>
      </c>
      <c r="AP209" s="124">
        <v>461.34911360386127</v>
      </c>
      <c r="AQ209" s="124">
        <v>4.1506763625974684E-2</v>
      </c>
      <c r="AR209" s="124">
        <v>144.72434565346052</v>
      </c>
      <c r="AS209" s="124">
        <v>4.1506763625974684E-2</v>
      </c>
      <c r="AT209" s="124">
        <v>0</v>
      </c>
      <c r="AU209" s="124">
        <v>234.23399591310709</v>
      </c>
      <c r="AV209" s="124">
        <v>144.72434565346052</v>
      </c>
      <c r="AW209" s="124">
        <v>4.1506763625974684E-2</v>
      </c>
      <c r="AX209" s="124">
        <v>144.72434565346052</v>
      </c>
      <c r="AY209" s="124">
        <v>4.1506763625974684E-2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462.55918622314459</v>
      </c>
      <c r="G210" s="110">
        <v>244.56794846276367</v>
      </c>
      <c r="H210" s="110">
        <v>15.966517535787478</v>
      </c>
      <c r="I210" s="110">
        <v>0</v>
      </c>
      <c r="J210" s="110">
        <v>0</v>
      </c>
      <c r="K210" s="110">
        <v>316.62476795040072</v>
      </c>
      <c r="L210" s="110">
        <v>116.8268528029798</v>
      </c>
      <c r="M210" s="110">
        <v>0</v>
      </c>
      <c r="N210" s="110">
        <v>322.39832627697524</v>
      </c>
      <c r="O210" s="110">
        <v>257.03290867799666</v>
      </c>
      <c r="P210" s="110">
        <v>97.371837954112692</v>
      </c>
      <c r="Q210" s="110">
        <v>10.987196878406444</v>
      </c>
      <c r="R210" s="110">
        <v>3.1669355934951762E-14</v>
      </c>
      <c r="S210" s="110">
        <v>0</v>
      </c>
      <c r="T210" s="110">
        <v>461.30760684023528</v>
      </c>
      <c r="U210" s="110">
        <v>201.49096651025454</v>
      </c>
      <c r="V210" s="110">
        <v>96.294947184000264</v>
      </c>
      <c r="W210" s="110">
        <v>0</v>
      </c>
      <c r="X210" s="110">
        <v>205.82995663595625</v>
      </c>
      <c r="Y210" s="110">
        <v>257.03290867799666</v>
      </c>
      <c r="Z210" s="110">
        <v>190.93907706197822</v>
      </c>
      <c r="AA210" s="110">
        <v>0</v>
      </c>
      <c r="AB210" s="110">
        <v>0</v>
      </c>
      <c r="AC210" s="110">
        <v>0</v>
      </c>
      <c r="AD210" s="110">
        <v>458.16976017468517</v>
      </c>
      <c r="AE210" s="110">
        <v>397.2555059814045</v>
      </c>
      <c r="AF210" s="110">
        <v>461.30760684023528</v>
      </c>
      <c r="AG210" s="110">
        <v>163.04877560575395</v>
      </c>
      <c r="AH210" s="110">
        <v>50.920798627020609</v>
      </c>
      <c r="AI210" s="110">
        <v>316.62476795040072</v>
      </c>
      <c r="AJ210" s="110">
        <v>0</v>
      </c>
      <c r="AK210" s="110">
        <v>682.64464501956968</v>
      </c>
      <c r="AL210" s="110">
        <v>257.03290867799666</v>
      </c>
      <c r="AM210" s="110">
        <v>71.5748913864184</v>
      </c>
      <c r="AN210" s="110">
        <v>461.30760684023528</v>
      </c>
      <c r="AO210" s="110">
        <v>348.39916223183644</v>
      </c>
      <c r="AP210" s="110">
        <v>58.358742269466354</v>
      </c>
      <c r="AQ210" s="110">
        <v>0</v>
      </c>
      <c r="AR210" s="110">
        <v>461.30760684023528</v>
      </c>
      <c r="AS210" s="110">
        <v>0</v>
      </c>
      <c r="AT210" s="110">
        <v>246.39832646811635</v>
      </c>
      <c r="AU210" s="110">
        <v>257.03290867799666</v>
      </c>
      <c r="AV210" s="110">
        <v>126.53337263139265</v>
      </c>
      <c r="AW210" s="110">
        <v>316.62476795040072</v>
      </c>
      <c r="AX210" s="110">
        <v>461.30760684023528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316.62476795040072</v>
      </c>
      <c r="O211" s="110">
        <v>77.390972200285177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316.62476795040072</v>
      </c>
      <c r="Y211" s="110">
        <v>142.3350811737119</v>
      </c>
      <c r="Z211" s="110">
        <v>0</v>
      </c>
      <c r="AA211" s="110">
        <v>0</v>
      </c>
      <c r="AB211" s="110">
        <v>316.62476795040072</v>
      </c>
      <c r="AC211" s="110">
        <v>461.30760684023528</v>
      </c>
      <c r="AD211" s="110">
        <v>316.62476795040072</v>
      </c>
      <c r="AE211" s="110">
        <v>1.7481985586395381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53.087957952402853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316.62476795040072</v>
      </c>
      <c r="AU211" s="110">
        <v>119.73309540889622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238683.62900387528</v>
      </c>
      <c r="E259" s="124">
        <f t="shared" ref="E259:AX259" si="5">F$14*$B$259</f>
        <v>21.446000448661724</v>
      </c>
      <c r="F259" s="124">
        <f t="shared" si="5"/>
        <v>313775.43704564654</v>
      </c>
      <c r="G259" s="124">
        <f t="shared" si="5"/>
        <v>317069.22127567307</v>
      </c>
      <c r="H259" s="124">
        <f t="shared" si="5"/>
        <v>198953.85977934496</v>
      </c>
      <c r="I259" s="124">
        <f t="shared" si="5"/>
        <v>190704.16955243019</v>
      </c>
      <c r="J259" s="124">
        <f t="shared" si="5"/>
        <v>74777.171493902642</v>
      </c>
      <c r="K259" s="124">
        <f t="shared" si="5"/>
        <v>401968.90230243804</v>
      </c>
      <c r="L259" s="124">
        <f t="shared" si="5"/>
        <v>135140.07427778858</v>
      </c>
      <c r="M259" s="124">
        <f t="shared" si="5"/>
        <v>21.446000448661724</v>
      </c>
      <c r="N259" s="124">
        <f t="shared" si="5"/>
        <v>640320.49320015963</v>
      </c>
      <c r="O259" s="124">
        <f t="shared" si="5"/>
        <v>411165.47053591599</v>
      </c>
      <c r="P259" s="124">
        <f t="shared" si="5"/>
        <v>288683.78864139016</v>
      </c>
      <c r="Q259" s="124">
        <f t="shared" si="5"/>
        <v>244049.97743988922</v>
      </c>
      <c r="R259" s="124">
        <f t="shared" si="5"/>
        <v>238373.03689817037</v>
      </c>
      <c r="S259" s="124">
        <f t="shared" si="5"/>
        <v>21.446000448661724</v>
      </c>
      <c r="T259" s="124">
        <f t="shared" si="5"/>
        <v>476724.62779589201</v>
      </c>
      <c r="U259" s="124">
        <f t="shared" si="5"/>
        <v>342480.77695516765</v>
      </c>
      <c r="V259" s="124">
        <f t="shared" si="5"/>
        <v>124531.50789847776</v>
      </c>
      <c r="W259" s="124">
        <f t="shared" si="5"/>
        <v>21.446000448661724</v>
      </c>
      <c r="X259" s="124">
        <f t="shared" si="5"/>
        <v>640320.49320015963</v>
      </c>
      <c r="Y259" s="124">
        <f t="shared" si="5"/>
        <v>444721.23996985098</v>
      </c>
      <c r="Z259" s="124">
        <f t="shared" si="5"/>
        <v>173432.88864973723</v>
      </c>
      <c r="AA259" s="124">
        <f t="shared" si="5"/>
        <v>21.446000448661724</v>
      </c>
      <c r="AB259" s="124">
        <f t="shared" si="5"/>
        <v>238373.03689817034</v>
      </c>
      <c r="AC259" s="124">
        <f t="shared" si="5"/>
        <v>238373.03689817034</v>
      </c>
      <c r="AD259" s="124">
        <f t="shared" si="5"/>
        <v>476724.62779589201</v>
      </c>
      <c r="AE259" s="124">
        <f t="shared" si="5"/>
        <v>206181.42762880513</v>
      </c>
      <c r="AF259" s="124">
        <f t="shared" si="5"/>
        <v>476724.62779589201</v>
      </c>
      <c r="AG259" s="124">
        <f t="shared" si="5"/>
        <v>322618.20104309305</v>
      </c>
      <c r="AH259" s="124">
        <f t="shared" si="5"/>
        <v>101087.28037258913</v>
      </c>
      <c r="AI259" s="124">
        <f t="shared" si="5"/>
        <v>163617.31140471637</v>
      </c>
      <c r="AJ259" s="124">
        <f t="shared" si="5"/>
        <v>74777.171493902628</v>
      </c>
      <c r="AK259" s="124">
        <f t="shared" si="5"/>
        <v>640320.49320015963</v>
      </c>
      <c r="AL259" s="124">
        <f t="shared" si="5"/>
        <v>398608.42178211361</v>
      </c>
      <c r="AM259" s="124">
        <f t="shared" si="5"/>
        <v>37003.253751546188</v>
      </c>
      <c r="AN259" s="124">
        <f t="shared" si="5"/>
        <v>313128.76239162433</v>
      </c>
      <c r="AO259" s="124">
        <f t="shared" si="5"/>
        <v>418386.31514040712</v>
      </c>
      <c r="AP259" s="124">
        <f t="shared" si="5"/>
        <v>268526.23371622071</v>
      </c>
      <c r="AQ259" s="124">
        <f t="shared" si="5"/>
        <v>21.446000448661724</v>
      </c>
      <c r="AR259" s="124">
        <f t="shared" si="5"/>
        <v>313128.76239162433</v>
      </c>
      <c r="AS259" s="124">
        <f t="shared" si="5"/>
        <v>21.446000448661724</v>
      </c>
      <c r="AT259" s="124">
        <f t="shared" si="5"/>
        <v>640320.49320015963</v>
      </c>
      <c r="AU259" s="124">
        <f t="shared" si="5"/>
        <v>433043.09032607707</v>
      </c>
      <c r="AV259" s="124">
        <f t="shared" si="5"/>
        <v>140155.30578248765</v>
      </c>
      <c r="AW259" s="124">
        <f t="shared" si="5"/>
        <v>163617.31140471637</v>
      </c>
      <c r="AX259" s="124">
        <f t="shared" si="5"/>
        <v>313128.76239162433</v>
      </c>
      <c r="AY259" s="124">
        <f>AZ$14*$B$259</f>
        <v>21.446000448661724</v>
      </c>
      <c r="AZ259" s="139">
        <f>SUM($D259:$AY259)</f>
        <v>12273892.260729494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10347.839375308115</v>
      </c>
      <c r="E260" s="125">
        <f t="shared" ref="E260:AY260" si="6">(E$175-E$176+E$177-E$178+E$179-E$180+E$181-E$182)*$B$260</f>
        <v>0</v>
      </c>
      <c r="F260" s="125">
        <f t="shared" si="6"/>
        <v>9719.7188764594448</v>
      </c>
      <c r="G260" s="125">
        <f t="shared" si="6"/>
        <v>18220.327108698752</v>
      </c>
      <c r="H260" s="125">
        <f t="shared" si="6"/>
        <v>11852.001999374523</v>
      </c>
      <c r="I260" s="125">
        <f t="shared" si="6"/>
        <v>3918.6155560776624</v>
      </c>
      <c r="J260" s="125">
        <f t="shared" si="6"/>
        <v>4862.8596810305007</v>
      </c>
      <c r="K260" s="125">
        <f t="shared" si="6"/>
        <v>43740.991092991251</v>
      </c>
      <c r="L260" s="125">
        <f t="shared" si="6"/>
        <v>14644.172418869777</v>
      </c>
      <c r="M260" s="125">
        <f t="shared" si="6"/>
        <v>0</v>
      </c>
      <c r="N260" s="125">
        <f t="shared" si="6"/>
        <v>96798.879289742385</v>
      </c>
      <c r="O260" s="125">
        <f t="shared" si="6"/>
        <v>97124.507866696324</v>
      </c>
      <c r="P260" s="125">
        <f t="shared" si="6"/>
        <v>107523.36652644552</v>
      </c>
      <c r="Q260" s="125">
        <f t="shared" si="6"/>
        <v>122236.08926251791</v>
      </c>
      <c r="R260" s="125">
        <f t="shared" si="6"/>
        <v>126572.02498116094</v>
      </c>
      <c r="S260" s="125">
        <f t="shared" si="6"/>
        <v>86897.119766122691</v>
      </c>
      <c r="T260" s="125">
        <f t="shared" si="6"/>
        <v>120393.56376990888</v>
      </c>
      <c r="U260" s="125">
        <f t="shared" si="6"/>
        <v>129538.16110161488</v>
      </c>
      <c r="V260" s="125">
        <f t="shared" si="6"/>
        <v>101301.29747528206</v>
      </c>
      <c r="W260" s="125">
        <f t="shared" si="6"/>
        <v>56764.78410959067</v>
      </c>
      <c r="X260" s="125">
        <f t="shared" si="6"/>
        <v>139653.74412493967</v>
      </c>
      <c r="Y260" s="125">
        <f t="shared" si="6"/>
        <v>122208.80861816762</v>
      </c>
      <c r="Z260" s="125">
        <f t="shared" si="6"/>
        <v>72696.904792702946</v>
      </c>
      <c r="AA260" s="125">
        <f t="shared" si="6"/>
        <v>37811.368604922383</v>
      </c>
      <c r="AB260" s="125">
        <f t="shared" si="6"/>
        <v>17041.619068549186</v>
      </c>
      <c r="AC260" s="125">
        <f t="shared" si="6"/>
        <v>21436.233256157193</v>
      </c>
      <c r="AD260" s="125">
        <f t="shared" si="6"/>
        <v>60643.025941627566</v>
      </c>
      <c r="AE260" s="125">
        <f t="shared" si="6"/>
        <v>47806.388994469904</v>
      </c>
      <c r="AF260" s="125">
        <f t="shared" si="6"/>
        <v>87852.985148565902</v>
      </c>
      <c r="AG260" s="125">
        <f t="shared" si="6"/>
        <v>76271.051026001849</v>
      </c>
      <c r="AH260" s="125">
        <f t="shared" si="6"/>
        <v>48594.346594043447</v>
      </c>
      <c r="AI260" s="125">
        <f t="shared" si="6"/>
        <v>33744.812299248704</v>
      </c>
      <c r="AJ260" s="125">
        <f t="shared" si="6"/>
        <v>43166.242139763955</v>
      </c>
      <c r="AK260" s="125">
        <f t="shared" si="6"/>
        <v>119832.306096297</v>
      </c>
      <c r="AL260" s="125">
        <f t="shared" si="6"/>
        <v>108777.04686590959</v>
      </c>
      <c r="AM260" s="125">
        <f t="shared" si="6"/>
        <v>70964.901441487396</v>
      </c>
      <c r="AN260" s="125">
        <f t="shared" si="6"/>
        <v>52249.250205734708</v>
      </c>
      <c r="AO260" s="125">
        <f t="shared" si="6"/>
        <v>69392.983044597233</v>
      </c>
      <c r="AP260" s="125">
        <f t="shared" si="6"/>
        <v>51136.607231607763</v>
      </c>
      <c r="AQ260" s="125">
        <f t="shared" si="6"/>
        <v>5087.4715696750318</v>
      </c>
      <c r="AR260" s="125">
        <f t="shared" si="6"/>
        <v>2225.3168124291119</v>
      </c>
      <c r="AS260" s="125">
        <f t="shared" si="6"/>
        <v>0</v>
      </c>
      <c r="AT260" s="125">
        <f t="shared" si="6"/>
        <v>98177.449437758682</v>
      </c>
      <c r="AU260" s="125">
        <f t="shared" si="6"/>
        <v>95942.17557818249</v>
      </c>
      <c r="AV260" s="125">
        <f t="shared" si="6"/>
        <v>57866.978014050837</v>
      </c>
      <c r="AW260" s="125">
        <f t="shared" si="6"/>
        <v>17372.705348896601</v>
      </c>
      <c r="AX260" s="125">
        <f t="shared" si="6"/>
        <v>9462.3237579587149</v>
      </c>
      <c r="AY260" s="125">
        <f t="shared" si="6"/>
        <v>542.85968103050436</v>
      </c>
      <c r="AZ260" s="141">
        <f>SUM($D260:$AY260)</f>
        <v>2730414.2259526695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14</v>
      </c>
      <c r="E6" s="100">
        <v>8097.5999999999995</v>
      </c>
      <c r="F6" s="100">
        <v>19.75335992863543</v>
      </c>
      <c r="G6" s="100">
        <v>11425.343382722733</v>
      </c>
      <c r="H6" s="100">
        <v>15.462935110456396</v>
      </c>
      <c r="I6" s="100">
        <v>8943.7616678879785</v>
      </c>
      <c r="J6" s="100">
        <v>16.185105156823866</v>
      </c>
      <c r="K6" s="100">
        <v>9361.4648227069229</v>
      </c>
      <c r="L6" s="100">
        <v>17.360129219063598</v>
      </c>
      <c r="M6" s="100">
        <v>10041.098740306385</v>
      </c>
      <c r="N6" s="100">
        <v>15</v>
      </c>
      <c r="O6" s="100">
        <v>8676</v>
      </c>
      <c r="P6" s="100">
        <v>20</v>
      </c>
      <c r="Q6" s="100">
        <v>11568</v>
      </c>
      <c r="R6" s="100">
        <v>14</v>
      </c>
      <c r="S6" s="100">
        <v>8097.5999999999995</v>
      </c>
      <c r="T6" s="100">
        <v>20</v>
      </c>
      <c r="U6" s="100">
        <v>11568</v>
      </c>
      <c r="V6" s="100">
        <v>19.168041763554054</v>
      </c>
      <c r="W6" s="100">
        <v>11086.795356039665</v>
      </c>
      <c r="X6" s="100">
        <v>17</v>
      </c>
      <c r="Y6" s="100">
        <v>9832.7999999999993</v>
      </c>
      <c r="Z6" s="100">
        <v>20</v>
      </c>
      <c r="AA6" s="100">
        <v>11568</v>
      </c>
      <c r="AB6" s="100">
        <v>22</v>
      </c>
      <c r="AC6" s="100">
        <v>12724.8</v>
      </c>
      <c r="AD6" s="100">
        <v>15</v>
      </c>
      <c r="AE6" s="100">
        <v>8676</v>
      </c>
      <c r="AF6" s="100">
        <v>18</v>
      </c>
      <c r="AG6" s="100">
        <v>10411.199999999999</v>
      </c>
      <c r="AH6" s="100">
        <v>25</v>
      </c>
      <c r="AI6" s="100">
        <v>14460</v>
      </c>
      <c r="AJ6" s="100">
        <v>25</v>
      </c>
      <c r="AK6" s="100">
        <v>14460</v>
      </c>
      <c r="AL6" s="100">
        <v>14</v>
      </c>
      <c r="AM6" s="100">
        <v>8097.5999999999995</v>
      </c>
      <c r="AN6" s="100">
        <v>23</v>
      </c>
      <c r="AO6" s="100">
        <v>13303.199999999999</v>
      </c>
      <c r="AP6" s="100">
        <v>16</v>
      </c>
      <c r="AQ6" s="100">
        <v>9254.4</v>
      </c>
      <c r="AR6" s="100">
        <v>17</v>
      </c>
      <c r="AS6" s="100">
        <v>9832.7999999999993</v>
      </c>
      <c r="AT6" s="100">
        <v>22</v>
      </c>
      <c r="AU6" s="100">
        <v>12724.8</v>
      </c>
      <c r="AV6" s="100">
        <v>28</v>
      </c>
      <c r="AW6" s="100">
        <v>16195.199999999999</v>
      </c>
      <c r="AX6" s="100">
        <v>19</v>
      </c>
      <c r="AY6" s="100">
        <v>10989.6</v>
      </c>
      <c r="AZ6" s="100">
        <v>14</v>
      </c>
      <c r="BA6" s="100">
        <v>8097.5999999999995</v>
      </c>
      <c r="BB6" s="100">
        <v>17</v>
      </c>
      <c r="BC6" s="100">
        <v>9832.7999999999993</v>
      </c>
      <c r="BD6" s="100">
        <v>24</v>
      </c>
      <c r="BE6" s="100">
        <v>13881.599999999999</v>
      </c>
      <c r="BF6" s="100">
        <v>18</v>
      </c>
      <c r="BG6" s="100">
        <v>10411.199999999999</v>
      </c>
      <c r="BH6" s="100">
        <v>17</v>
      </c>
      <c r="BI6" s="100">
        <v>9832.7999999999993</v>
      </c>
      <c r="BJ6" s="100">
        <v>23</v>
      </c>
      <c r="BK6" s="100">
        <v>13303.199999999999</v>
      </c>
      <c r="BL6" s="100">
        <v>22</v>
      </c>
      <c r="BM6" s="100">
        <v>12724.8</v>
      </c>
      <c r="BN6" s="100">
        <v>20</v>
      </c>
      <c r="BO6" s="100">
        <v>11568</v>
      </c>
      <c r="BP6" s="100">
        <v>22</v>
      </c>
      <c r="BQ6" s="100">
        <v>12724.8</v>
      </c>
      <c r="BR6" s="100">
        <v>27</v>
      </c>
      <c r="BS6" s="100">
        <v>15616.8</v>
      </c>
      <c r="BT6" s="100">
        <v>31</v>
      </c>
      <c r="BU6" s="100">
        <v>17930.399999999998</v>
      </c>
      <c r="BV6" s="100">
        <v>19</v>
      </c>
      <c r="BW6" s="100">
        <v>10989.6</v>
      </c>
      <c r="BX6" s="100">
        <v>16</v>
      </c>
      <c r="BY6" s="100">
        <v>9254.4</v>
      </c>
      <c r="BZ6" s="100">
        <v>31</v>
      </c>
      <c r="CA6" s="100">
        <v>17930.399999999998</v>
      </c>
      <c r="CB6" s="100">
        <v>32</v>
      </c>
      <c r="CC6" s="100">
        <v>18508.8</v>
      </c>
      <c r="CD6" s="100">
        <v>26.92545962756596</v>
      </c>
      <c r="CE6" s="100">
        <v>15573.685848584151</v>
      </c>
      <c r="CF6" s="100">
        <v>28.507638768297969</v>
      </c>
      <c r="CG6" s="100">
        <v>16488.818263583544</v>
      </c>
      <c r="CH6" s="100">
        <v>29.222884185423727</v>
      </c>
      <c r="CI6" s="100">
        <v>16902.516212849081</v>
      </c>
      <c r="CJ6" s="100">
        <v>23.01834961769195</v>
      </c>
      <c r="CK6" s="100">
        <v>13313.813418873024</v>
      </c>
      <c r="CL6" s="100">
        <v>24.864458915715055</v>
      </c>
      <c r="CM6" s="100">
        <v>14381.603036849587</v>
      </c>
      <c r="CN6" s="100">
        <v>22.460563878052948</v>
      </c>
      <c r="CO6" s="100">
        <v>12991.190147065825</v>
      </c>
      <c r="CP6" s="100">
        <v>20.551163203888684</v>
      </c>
      <c r="CQ6" s="100">
        <v>11886.792797129214</v>
      </c>
      <c r="CR6" s="100">
        <v>18</v>
      </c>
      <c r="CS6" s="100">
        <v>10411.199999999999</v>
      </c>
      <c r="CT6" s="100">
        <v>32</v>
      </c>
      <c r="CU6" s="100">
        <v>18508.8</v>
      </c>
    </row>
    <row r="7" spans="1:99">
      <c r="C7" s="99" t="s">
        <v>173</v>
      </c>
      <c r="D7" s="100">
        <v>16</v>
      </c>
      <c r="E7" s="100">
        <v>12614.4</v>
      </c>
      <c r="F7" s="100">
        <v>22.329885136718314</v>
      </c>
      <c r="G7" s="100">
        <v>17604.881441788719</v>
      </c>
      <c r="H7" s="100">
        <v>14.726604867101329</v>
      </c>
      <c r="I7" s="100">
        <v>11610.455277222687</v>
      </c>
      <c r="J7" s="100">
        <v>14.713731960748969</v>
      </c>
      <c r="K7" s="100">
        <v>11600.306277854486</v>
      </c>
      <c r="L7" s="100">
        <v>15.62411629715724</v>
      </c>
      <c r="M7" s="100">
        <v>12318.053288678768</v>
      </c>
      <c r="N7" s="100">
        <v>17</v>
      </c>
      <c r="O7" s="100">
        <v>13402.8</v>
      </c>
      <c r="P7" s="100">
        <v>19</v>
      </c>
      <c r="Q7" s="100">
        <v>14979.6</v>
      </c>
      <c r="R7" s="100">
        <v>14</v>
      </c>
      <c r="S7" s="100">
        <v>11037.6</v>
      </c>
      <c r="T7" s="100">
        <v>21</v>
      </c>
      <c r="U7" s="100">
        <v>16556.399999999998</v>
      </c>
      <c r="V7" s="100">
        <v>17.251237587198649</v>
      </c>
      <c r="W7" s="100">
        <v>13600.875713747415</v>
      </c>
      <c r="X7" s="100">
        <v>17</v>
      </c>
      <c r="Y7" s="100">
        <v>13402.8</v>
      </c>
      <c r="Z7" s="100">
        <v>22</v>
      </c>
      <c r="AA7" s="100">
        <v>17344.8</v>
      </c>
      <c r="AB7" s="100">
        <v>20</v>
      </c>
      <c r="AC7" s="100">
        <v>15768</v>
      </c>
      <c r="AD7" s="100">
        <v>14</v>
      </c>
      <c r="AE7" s="100">
        <v>11037.6</v>
      </c>
      <c r="AF7" s="100">
        <v>21</v>
      </c>
      <c r="AG7" s="100">
        <v>16556.399999999998</v>
      </c>
      <c r="AH7" s="100">
        <v>25</v>
      </c>
      <c r="AI7" s="100">
        <v>19710</v>
      </c>
      <c r="AJ7" s="100">
        <v>27</v>
      </c>
      <c r="AK7" s="100">
        <v>21286.799999999999</v>
      </c>
      <c r="AL7" s="100">
        <v>14</v>
      </c>
      <c r="AM7" s="100">
        <v>11037.6</v>
      </c>
      <c r="AN7" s="100">
        <v>20</v>
      </c>
      <c r="AO7" s="100">
        <v>15768</v>
      </c>
      <c r="AP7" s="100">
        <v>16</v>
      </c>
      <c r="AQ7" s="100">
        <v>12614.4</v>
      </c>
      <c r="AR7" s="100">
        <v>16</v>
      </c>
      <c r="AS7" s="100">
        <v>12614.4</v>
      </c>
      <c r="AT7" s="100">
        <v>19</v>
      </c>
      <c r="AU7" s="100">
        <v>14979.6</v>
      </c>
      <c r="AV7" s="100">
        <v>25</v>
      </c>
      <c r="AW7" s="100">
        <v>19710</v>
      </c>
      <c r="AX7" s="100">
        <v>18</v>
      </c>
      <c r="AY7" s="100">
        <v>14191.199999999999</v>
      </c>
      <c r="AZ7" s="100">
        <v>13</v>
      </c>
      <c r="BA7" s="100">
        <v>10249.199999999999</v>
      </c>
      <c r="BB7" s="100">
        <v>16</v>
      </c>
      <c r="BC7" s="100">
        <v>12614.4</v>
      </c>
      <c r="BD7" s="100">
        <v>22</v>
      </c>
      <c r="BE7" s="100">
        <v>17344.8</v>
      </c>
      <c r="BF7" s="100">
        <v>17</v>
      </c>
      <c r="BG7" s="100">
        <v>13402.8</v>
      </c>
      <c r="BH7" s="100">
        <v>16</v>
      </c>
      <c r="BI7" s="100">
        <v>12614.4</v>
      </c>
      <c r="BJ7" s="100">
        <v>24</v>
      </c>
      <c r="BK7" s="100">
        <v>18921.599999999999</v>
      </c>
      <c r="BL7" s="100">
        <v>19</v>
      </c>
      <c r="BM7" s="100">
        <v>14979.6</v>
      </c>
      <c r="BN7" s="100">
        <v>19</v>
      </c>
      <c r="BO7" s="100">
        <v>14979.6</v>
      </c>
      <c r="BP7" s="100">
        <v>22</v>
      </c>
      <c r="BQ7" s="100">
        <v>17344.8</v>
      </c>
      <c r="BR7" s="100">
        <v>30</v>
      </c>
      <c r="BS7" s="100">
        <v>23652</v>
      </c>
      <c r="BT7" s="100">
        <v>28</v>
      </c>
      <c r="BU7" s="100">
        <v>22075.200000000001</v>
      </c>
      <c r="BV7" s="100">
        <v>18</v>
      </c>
      <c r="BW7" s="100">
        <v>14191.199999999999</v>
      </c>
      <c r="BX7" s="100">
        <v>16</v>
      </c>
      <c r="BY7" s="100">
        <v>12614.4</v>
      </c>
      <c r="BZ7" s="100">
        <v>30</v>
      </c>
      <c r="CA7" s="100">
        <v>23652</v>
      </c>
      <c r="CB7" s="100">
        <v>31</v>
      </c>
      <c r="CC7" s="100">
        <v>24440.399999999998</v>
      </c>
      <c r="CD7" s="100">
        <v>22.936502645704337</v>
      </c>
      <c r="CE7" s="100">
        <v>18083.138685873299</v>
      </c>
      <c r="CF7" s="100">
        <v>24.829233765936941</v>
      </c>
      <c r="CG7" s="100">
        <v>19575.367901064685</v>
      </c>
      <c r="CH7" s="100">
        <v>28.337342240410887</v>
      </c>
      <c r="CI7" s="100">
        <v>22341.160622339943</v>
      </c>
      <c r="CJ7" s="100">
        <v>19.608223748404249</v>
      </c>
      <c r="CK7" s="100">
        <v>15459.123603241909</v>
      </c>
      <c r="CL7" s="100">
        <v>21.434878375616428</v>
      </c>
      <c r="CM7" s="100">
        <v>16899.258111335992</v>
      </c>
      <c r="CN7" s="100">
        <v>22.460563878052948</v>
      </c>
      <c r="CO7" s="100">
        <v>17707.908561456945</v>
      </c>
      <c r="CP7" s="100">
        <v>20.551163203888684</v>
      </c>
      <c r="CQ7" s="100">
        <v>16202.537069945838</v>
      </c>
      <c r="CR7" s="100">
        <v>15</v>
      </c>
      <c r="CS7" s="100">
        <v>11826</v>
      </c>
      <c r="CT7" s="100">
        <v>30</v>
      </c>
      <c r="CU7" s="100">
        <v>23652</v>
      </c>
    </row>
    <row r="8" spans="1:99">
      <c r="C8" s="99" t="s">
        <v>174</v>
      </c>
      <c r="D8" s="100">
        <v>17</v>
      </c>
      <c r="E8" s="100">
        <v>5263.2</v>
      </c>
      <c r="F8" s="100">
        <v>22.329885136718314</v>
      </c>
      <c r="G8" s="100">
        <v>6913.3324383279896</v>
      </c>
      <c r="H8" s="100">
        <v>16.199265353811462</v>
      </c>
      <c r="I8" s="100">
        <v>5015.2925535400282</v>
      </c>
      <c r="J8" s="100">
        <v>15.449418558786416</v>
      </c>
      <c r="K8" s="100">
        <v>4783.1399858002742</v>
      </c>
      <c r="L8" s="100">
        <v>18.228135680016781</v>
      </c>
      <c r="M8" s="100">
        <v>5643.4308065331943</v>
      </c>
      <c r="N8" s="100">
        <v>15</v>
      </c>
      <c r="O8" s="100">
        <v>4643.9999999999991</v>
      </c>
      <c r="P8" s="100">
        <v>22</v>
      </c>
      <c r="Q8" s="100">
        <v>6811.1999999999989</v>
      </c>
      <c r="R8" s="100">
        <v>15</v>
      </c>
      <c r="S8" s="100">
        <v>4643.9999999999991</v>
      </c>
      <c r="T8" s="100">
        <v>21</v>
      </c>
      <c r="U8" s="100">
        <v>6501.5999999999995</v>
      </c>
      <c r="V8" s="100">
        <v>21.084845939909464</v>
      </c>
      <c r="W8" s="100">
        <v>6527.8683029959693</v>
      </c>
      <c r="X8" s="100">
        <v>18</v>
      </c>
      <c r="Y8" s="100">
        <v>5572.7999999999993</v>
      </c>
      <c r="Z8" s="100">
        <v>24</v>
      </c>
      <c r="AA8" s="100">
        <v>7430.4</v>
      </c>
      <c r="AB8" s="100">
        <v>25</v>
      </c>
      <c r="AC8" s="100">
        <v>7739.9999999999991</v>
      </c>
      <c r="AD8" s="100">
        <v>16</v>
      </c>
      <c r="AE8" s="100">
        <v>4953.5999999999995</v>
      </c>
      <c r="AF8" s="100">
        <v>21</v>
      </c>
      <c r="AG8" s="100">
        <v>6501.5999999999995</v>
      </c>
      <c r="AH8" s="100">
        <v>23</v>
      </c>
      <c r="AI8" s="100">
        <v>7120.7999999999993</v>
      </c>
      <c r="AJ8" s="100">
        <v>27</v>
      </c>
      <c r="AK8" s="100">
        <v>8359.1999999999989</v>
      </c>
      <c r="AL8" s="100">
        <v>15</v>
      </c>
      <c r="AM8" s="100">
        <v>4643.9999999999991</v>
      </c>
      <c r="AN8" s="100">
        <v>21</v>
      </c>
      <c r="AO8" s="100">
        <v>6501.5999999999995</v>
      </c>
      <c r="AP8" s="100">
        <v>15</v>
      </c>
      <c r="AQ8" s="100">
        <v>4643.9999999999991</v>
      </c>
      <c r="AR8" s="100">
        <v>19</v>
      </c>
      <c r="AS8" s="100">
        <v>5882.4</v>
      </c>
      <c r="AT8" s="100">
        <v>24</v>
      </c>
      <c r="AU8" s="100">
        <v>7430.4</v>
      </c>
      <c r="AV8" s="100">
        <v>29</v>
      </c>
      <c r="AW8" s="100">
        <v>8978.4</v>
      </c>
      <c r="AX8" s="100">
        <v>18</v>
      </c>
      <c r="AY8" s="100">
        <v>5572.7999999999993</v>
      </c>
      <c r="AZ8" s="100">
        <v>16</v>
      </c>
      <c r="BA8" s="100">
        <v>4953.5999999999995</v>
      </c>
      <c r="BB8" s="100">
        <v>16</v>
      </c>
      <c r="BC8" s="100">
        <v>4953.5999999999995</v>
      </c>
      <c r="BD8" s="100">
        <v>23</v>
      </c>
      <c r="BE8" s="100">
        <v>7120.7999999999993</v>
      </c>
      <c r="BF8" s="100">
        <v>19</v>
      </c>
      <c r="BG8" s="100">
        <v>5882.4</v>
      </c>
      <c r="BH8" s="100">
        <v>18</v>
      </c>
      <c r="BI8" s="100">
        <v>5572.7999999999993</v>
      </c>
      <c r="BJ8" s="100">
        <v>23</v>
      </c>
      <c r="BK8" s="100">
        <v>7120.7999999999993</v>
      </c>
      <c r="BL8" s="100">
        <v>20</v>
      </c>
      <c r="BM8" s="100">
        <v>6191.9999999999991</v>
      </c>
      <c r="BN8" s="100">
        <v>18</v>
      </c>
      <c r="BO8" s="100">
        <v>5572.7999999999993</v>
      </c>
      <c r="BP8" s="100">
        <v>22</v>
      </c>
      <c r="BQ8" s="100">
        <v>6811.1999999999989</v>
      </c>
      <c r="BR8" s="100">
        <v>28</v>
      </c>
      <c r="BS8" s="100">
        <v>8668.7999999999993</v>
      </c>
      <c r="BT8" s="100">
        <v>33</v>
      </c>
      <c r="BU8" s="100">
        <v>10216.799999999999</v>
      </c>
      <c r="BV8" s="100">
        <v>19</v>
      </c>
      <c r="BW8" s="100">
        <v>5882.4</v>
      </c>
      <c r="BX8" s="100">
        <v>16</v>
      </c>
      <c r="BY8" s="100">
        <v>4953.5999999999995</v>
      </c>
      <c r="BZ8" s="100">
        <v>28</v>
      </c>
      <c r="CA8" s="100">
        <v>8668.7999999999993</v>
      </c>
      <c r="CB8" s="100">
        <v>32</v>
      </c>
      <c r="CC8" s="100">
        <v>9907.1999999999989</v>
      </c>
      <c r="CD8" s="100">
        <v>26.92545962756596</v>
      </c>
      <c r="CE8" s="100">
        <v>8336.1223006944201</v>
      </c>
      <c r="CF8" s="100">
        <v>26.668436267117457</v>
      </c>
      <c r="CG8" s="100">
        <v>8256.5478682995636</v>
      </c>
      <c r="CH8" s="100">
        <v>27.451800295398048</v>
      </c>
      <c r="CI8" s="100">
        <v>8499.0773714552342</v>
      </c>
      <c r="CJ8" s="100">
        <v>21.313286683048101</v>
      </c>
      <c r="CK8" s="100">
        <v>6598.5935570716911</v>
      </c>
      <c r="CL8" s="100">
        <v>22.292273510641085</v>
      </c>
      <c r="CM8" s="100">
        <v>6901.6878788944787</v>
      </c>
      <c r="CN8" s="100">
        <v>23.185098196699819</v>
      </c>
      <c r="CO8" s="100">
        <v>7178.1064016982627</v>
      </c>
      <c r="CP8" s="100">
        <v>21.529790023121478</v>
      </c>
      <c r="CQ8" s="100">
        <v>6665.6229911584087</v>
      </c>
      <c r="CR8" s="100">
        <v>19</v>
      </c>
      <c r="CS8" s="100">
        <v>5882.4</v>
      </c>
      <c r="CT8" s="100">
        <v>32</v>
      </c>
      <c r="CU8" s="100">
        <v>9907.1999999999989</v>
      </c>
    </row>
    <row r="9" spans="1:99">
      <c r="C9" s="99" t="s">
        <v>175</v>
      </c>
      <c r="D9" s="100">
        <v>16</v>
      </c>
      <c r="E9" s="100">
        <v>11232</v>
      </c>
      <c r="F9" s="100">
        <v>19.75335992863543</v>
      </c>
      <c r="G9" s="100">
        <v>13866.858669902071</v>
      </c>
      <c r="H9" s="100">
        <v>15.462935110456396</v>
      </c>
      <c r="I9" s="100">
        <v>10854.980447540391</v>
      </c>
      <c r="J9" s="100">
        <v>16.185105156823866</v>
      </c>
      <c r="K9" s="100">
        <v>11361.943820090353</v>
      </c>
      <c r="L9" s="100">
        <v>19.096142140969963</v>
      </c>
      <c r="M9" s="100">
        <v>13405.491782960915</v>
      </c>
      <c r="N9" s="100">
        <v>16</v>
      </c>
      <c r="O9" s="100">
        <v>11232</v>
      </c>
      <c r="P9" s="100">
        <v>22</v>
      </c>
      <c r="Q9" s="100">
        <v>15444</v>
      </c>
      <c r="R9" s="100">
        <v>14</v>
      </c>
      <c r="S9" s="100">
        <v>9828</v>
      </c>
      <c r="T9" s="100">
        <v>22</v>
      </c>
      <c r="U9" s="100">
        <v>15444</v>
      </c>
      <c r="V9" s="100">
        <v>19.168041763554054</v>
      </c>
      <c r="W9" s="100">
        <v>13455.965318014945</v>
      </c>
      <c r="X9" s="100">
        <v>19</v>
      </c>
      <c r="Y9" s="100">
        <v>13338</v>
      </c>
      <c r="Z9" s="100">
        <v>21</v>
      </c>
      <c r="AA9" s="100">
        <v>14742</v>
      </c>
      <c r="AB9" s="100">
        <v>20</v>
      </c>
      <c r="AC9" s="100">
        <v>14040</v>
      </c>
      <c r="AD9" s="100">
        <v>14</v>
      </c>
      <c r="AE9" s="100">
        <v>9828</v>
      </c>
      <c r="AF9" s="100">
        <v>20</v>
      </c>
      <c r="AG9" s="100">
        <v>14040</v>
      </c>
      <c r="AH9" s="100">
        <v>25</v>
      </c>
      <c r="AI9" s="100">
        <v>17550</v>
      </c>
      <c r="AJ9" s="100">
        <v>27</v>
      </c>
      <c r="AK9" s="100">
        <v>18954</v>
      </c>
      <c r="AL9" s="100">
        <v>13</v>
      </c>
      <c r="AM9" s="100">
        <v>9126</v>
      </c>
      <c r="AN9" s="100">
        <v>21</v>
      </c>
      <c r="AO9" s="100">
        <v>14742</v>
      </c>
      <c r="AP9" s="100">
        <v>15</v>
      </c>
      <c r="AQ9" s="100">
        <v>10530</v>
      </c>
      <c r="AR9" s="100">
        <v>16</v>
      </c>
      <c r="AS9" s="100">
        <v>11232</v>
      </c>
      <c r="AT9" s="100">
        <v>19</v>
      </c>
      <c r="AU9" s="100">
        <v>13338</v>
      </c>
      <c r="AV9" s="100">
        <v>26</v>
      </c>
      <c r="AW9" s="100">
        <v>18252</v>
      </c>
      <c r="AX9" s="100">
        <v>16</v>
      </c>
      <c r="AY9" s="100">
        <v>11232</v>
      </c>
      <c r="AZ9" s="100">
        <v>13</v>
      </c>
      <c r="BA9" s="100">
        <v>9126</v>
      </c>
      <c r="BB9" s="100">
        <v>16</v>
      </c>
      <c r="BC9" s="100">
        <v>11232</v>
      </c>
      <c r="BD9" s="100">
        <v>24</v>
      </c>
      <c r="BE9" s="100">
        <v>16848</v>
      </c>
      <c r="BF9" s="100">
        <v>17</v>
      </c>
      <c r="BG9" s="100">
        <v>11934</v>
      </c>
      <c r="BH9" s="100">
        <v>16</v>
      </c>
      <c r="BI9" s="100">
        <v>11232</v>
      </c>
      <c r="BJ9" s="100">
        <v>23</v>
      </c>
      <c r="BK9" s="100">
        <v>16146</v>
      </c>
      <c r="BL9" s="100">
        <v>19</v>
      </c>
      <c r="BM9" s="100">
        <v>13338</v>
      </c>
      <c r="BN9" s="100">
        <v>18</v>
      </c>
      <c r="BO9" s="100">
        <v>12636</v>
      </c>
      <c r="BP9" s="100">
        <v>21</v>
      </c>
      <c r="BQ9" s="100">
        <v>14742</v>
      </c>
      <c r="BR9" s="100">
        <v>29</v>
      </c>
      <c r="BS9" s="100">
        <v>20358</v>
      </c>
      <c r="BT9" s="100">
        <v>28</v>
      </c>
      <c r="BU9" s="100">
        <v>19656</v>
      </c>
      <c r="BV9" s="100">
        <v>19</v>
      </c>
      <c r="BW9" s="100">
        <v>13338</v>
      </c>
      <c r="BX9" s="100">
        <v>16</v>
      </c>
      <c r="BY9" s="100">
        <v>11232</v>
      </c>
      <c r="BZ9" s="100">
        <v>30</v>
      </c>
      <c r="CA9" s="100">
        <v>21060</v>
      </c>
      <c r="CB9" s="100">
        <v>31</v>
      </c>
      <c r="CC9" s="100">
        <v>21762</v>
      </c>
      <c r="CD9" s="100">
        <v>24.93098113663515</v>
      </c>
      <c r="CE9" s="100">
        <v>17501.548757917877</v>
      </c>
      <c r="CF9" s="100">
        <v>29.427240018888231</v>
      </c>
      <c r="CG9" s="100">
        <v>20657.922493259539</v>
      </c>
      <c r="CH9" s="100">
        <v>23.909632515346686</v>
      </c>
      <c r="CI9" s="100">
        <v>16784.562025773375</v>
      </c>
      <c r="CJ9" s="100">
        <v>20.460755215726177</v>
      </c>
      <c r="CK9" s="100">
        <v>14363.450161439776</v>
      </c>
      <c r="CL9" s="100">
        <v>24.864458915715055</v>
      </c>
      <c r="CM9" s="100">
        <v>17454.850158831967</v>
      </c>
      <c r="CN9" s="100">
        <v>23.185098196699819</v>
      </c>
      <c r="CO9" s="100">
        <v>16275.938934083273</v>
      </c>
      <c r="CP9" s="100">
        <v>20.551163203888684</v>
      </c>
      <c r="CQ9" s="100">
        <v>14426.916569129857</v>
      </c>
      <c r="CR9" s="100">
        <v>17</v>
      </c>
      <c r="CS9" s="100">
        <v>11934</v>
      </c>
      <c r="CT9" s="100">
        <v>32</v>
      </c>
      <c r="CU9" s="100">
        <v>22464</v>
      </c>
    </row>
    <row r="10" spans="1:99">
      <c r="C10" s="99" t="s">
        <v>176</v>
      </c>
      <c r="D10" s="100">
        <v>15</v>
      </c>
      <c r="E10" s="100">
        <v>8171.9999999999991</v>
      </c>
      <c r="F10" s="100">
        <v>20.612201664663058</v>
      </c>
      <c r="G10" s="100">
        <v>11229.527466908434</v>
      </c>
      <c r="H10" s="100">
        <v>13.990274623746261</v>
      </c>
      <c r="I10" s="100">
        <v>7621.9016150169628</v>
      </c>
      <c r="J10" s="100">
        <v>15.449418558786416</v>
      </c>
      <c r="K10" s="100">
        <v>8416.8432308268384</v>
      </c>
      <c r="L10" s="100">
        <v>19.096142140969963</v>
      </c>
      <c r="M10" s="100">
        <v>10403.578238400434</v>
      </c>
      <c r="N10" s="100">
        <v>16</v>
      </c>
      <c r="O10" s="100">
        <v>8716.7999999999993</v>
      </c>
      <c r="P10" s="100">
        <v>20</v>
      </c>
      <c r="Q10" s="100">
        <v>10896</v>
      </c>
      <c r="R10" s="100">
        <v>13</v>
      </c>
      <c r="S10" s="100">
        <v>7082.4</v>
      </c>
      <c r="T10" s="100">
        <v>22</v>
      </c>
      <c r="U10" s="100">
        <v>11985.599999999999</v>
      </c>
      <c r="V10" s="100">
        <v>19.168041763554054</v>
      </c>
      <c r="W10" s="100">
        <v>10442.749152784249</v>
      </c>
      <c r="X10" s="100">
        <v>18</v>
      </c>
      <c r="Y10" s="100">
        <v>9806.4</v>
      </c>
      <c r="Z10" s="100">
        <v>21</v>
      </c>
      <c r="AA10" s="100">
        <v>11440.8</v>
      </c>
      <c r="AB10" s="100">
        <v>22</v>
      </c>
      <c r="AC10" s="100">
        <v>11985.599999999999</v>
      </c>
      <c r="AD10" s="100">
        <v>15</v>
      </c>
      <c r="AE10" s="100">
        <v>8171.9999999999991</v>
      </c>
      <c r="AF10" s="100">
        <v>19</v>
      </c>
      <c r="AG10" s="100">
        <v>10351.199999999999</v>
      </c>
      <c r="AH10" s="100">
        <v>23</v>
      </c>
      <c r="AI10" s="100">
        <v>12530.4</v>
      </c>
      <c r="AJ10" s="100">
        <v>25</v>
      </c>
      <c r="AK10" s="100">
        <v>13619.999999999998</v>
      </c>
      <c r="AL10" s="100">
        <v>16</v>
      </c>
      <c r="AM10" s="100">
        <v>8716.7999999999993</v>
      </c>
      <c r="AN10" s="100">
        <v>23</v>
      </c>
      <c r="AO10" s="100">
        <v>12530.4</v>
      </c>
      <c r="AP10" s="100">
        <v>17</v>
      </c>
      <c r="AQ10" s="100">
        <v>9261.5999999999985</v>
      </c>
      <c r="AR10" s="100">
        <v>18</v>
      </c>
      <c r="AS10" s="100">
        <v>9806.4</v>
      </c>
      <c r="AT10" s="100">
        <v>21</v>
      </c>
      <c r="AU10" s="100">
        <v>11440.8</v>
      </c>
      <c r="AV10" s="100">
        <v>27</v>
      </c>
      <c r="AW10" s="100">
        <v>14709.599999999999</v>
      </c>
      <c r="AX10" s="100">
        <v>18</v>
      </c>
      <c r="AY10" s="100">
        <v>9806.4</v>
      </c>
      <c r="AZ10" s="100">
        <v>15</v>
      </c>
      <c r="BA10" s="100">
        <v>8171.9999999999991</v>
      </c>
      <c r="BB10" s="100">
        <v>16</v>
      </c>
      <c r="BC10" s="100">
        <v>8716.7999999999993</v>
      </c>
      <c r="BD10" s="100">
        <v>23</v>
      </c>
      <c r="BE10" s="100">
        <v>12530.4</v>
      </c>
      <c r="BF10" s="100">
        <v>18</v>
      </c>
      <c r="BG10" s="100">
        <v>9806.4</v>
      </c>
      <c r="BH10" s="100">
        <v>17</v>
      </c>
      <c r="BI10" s="100">
        <v>9261.5999999999985</v>
      </c>
      <c r="BJ10" s="100">
        <v>22</v>
      </c>
      <c r="BK10" s="100">
        <v>11985.599999999999</v>
      </c>
      <c r="BL10" s="100">
        <v>23</v>
      </c>
      <c r="BM10" s="100">
        <v>12530.4</v>
      </c>
      <c r="BN10" s="100">
        <v>18</v>
      </c>
      <c r="BO10" s="100">
        <v>9806.4</v>
      </c>
      <c r="BP10" s="100">
        <v>24</v>
      </c>
      <c r="BQ10" s="100">
        <v>13075.199999999999</v>
      </c>
      <c r="BR10" s="100">
        <v>30</v>
      </c>
      <c r="BS10" s="100">
        <v>16343.999999999998</v>
      </c>
      <c r="BT10" s="100">
        <v>29</v>
      </c>
      <c r="BU10" s="100">
        <v>15799.199999999999</v>
      </c>
      <c r="BV10" s="100">
        <v>19</v>
      </c>
      <c r="BW10" s="100">
        <v>10351.199999999999</v>
      </c>
      <c r="BX10" s="100">
        <v>14</v>
      </c>
      <c r="BY10" s="100">
        <v>7627.1999999999989</v>
      </c>
      <c r="BZ10" s="100">
        <v>29</v>
      </c>
      <c r="CA10" s="100">
        <v>15799.199999999999</v>
      </c>
      <c r="CB10" s="100">
        <v>29</v>
      </c>
      <c r="CC10" s="100">
        <v>15799.199999999999</v>
      </c>
      <c r="CD10" s="100">
        <v>26.92545962756596</v>
      </c>
      <c r="CE10" s="100">
        <v>14668.990405097933</v>
      </c>
      <c r="CF10" s="100">
        <v>25.748835016527202</v>
      </c>
      <c r="CG10" s="100">
        <v>14027.965317004018</v>
      </c>
      <c r="CH10" s="100">
        <v>23.909632515346686</v>
      </c>
      <c r="CI10" s="100">
        <v>13025.967794360873</v>
      </c>
      <c r="CJ10" s="100">
        <v>21.313286683048101</v>
      </c>
      <c r="CK10" s="100">
        <v>11611.478584924605</v>
      </c>
      <c r="CL10" s="100">
        <v>23.149668645665741</v>
      </c>
      <c r="CM10" s="100">
        <v>12611.939478158694</v>
      </c>
      <c r="CN10" s="100">
        <v>23.909632515346686</v>
      </c>
      <c r="CO10" s="100">
        <v>13025.967794360873</v>
      </c>
      <c r="CP10" s="100">
        <v>20.551163203888684</v>
      </c>
      <c r="CQ10" s="100">
        <v>11196.273713478555</v>
      </c>
      <c r="CR10" s="100">
        <v>19</v>
      </c>
      <c r="CS10" s="100">
        <v>10351.199999999999</v>
      </c>
      <c r="CT10" s="100">
        <v>29</v>
      </c>
      <c r="CU10" s="100">
        <v>15799.199999999999</v>
      </c>
    </row>
    <row r="11" spans="1:99">
      <c r="C11" s="99" t="s">
        <v>177</v>
      </c>
      <c r="D11" s="100">
        <v>14</v>
      </c>
      <c r="E11" s="100">
        <v>7459.1999999999989</v>
      </c>
      <c r="F11" s="100">
        <v>19.75335992863543</v>
      </c>
      <c r="G11" s="100">
        <v>10524.590169976957</v>
      </c>
      <c r="H11" s="100">
        <v>16.199265353811462</v>
      </c>
      <c r="I11" s="100">
        <v>8630.9685805107456</v>
      </c>
      <c r="J11" s="100">
        <v>16.920791754861312</v>
      </c>
      <c r="K11" s="100">
        <v>9015.3978469901067</v>
      </c>
      <c r="L11" s="100">
        <v>18.228135680016781</v>
      </c>
      <c r="M11" s="100">
        <v>9711.9506903129404</v>
      </c>
      <c r="N11" s="100">
        <v>18</v>
      </c>
      <c r="O11" s="100">
        <v>9590.4</v>
      </c>
      <c r="P11" s="100">
        <v>20</v>
      </c>
      <c r="Q11" s="100">
        <v>10656</v>
      </c>
      <c r="R11" s="100">
        <v>12</v>
      </c>
      <c r="S11" s="100">
        <v>6393.5999999999995</v>
      </c>
      <c r="T11" s="100">
        <v>19</v>
      </c>
      <c r="U11" s="100">
        <v>10123.199999999999</v>
      </c>
      <c r="V11" s="100">
        <v>20.126443851731757</v>
      </c>
      <c r="W11" s="100">
        <v>10723.369284202679</v>
      </c>
      <c r="X11" s="100">
        <v>19</v>
      </c>
      <c r="Y11" s="100">
        <v>10123.199999999999</v>
      </c>
      <c r="Z11" s="100">
        <v>24</v>
      </c>
      <c r="AA11" s="100">
        <v>12787.199999999999</v>
      </c>
      <c r="AB11" s="100">
        <v>22</v>
      </c>
      <c r="AC11" s="100">
        <v>11721.599999999999</v>
      </c>
      <c r="AD11" s="100">
        <v>15</v>
      </c>
      <c r="AE11" s="100">
        <v>7991.9999999999991</v>
      </c>
      <c r="AF11" s="100">
        <v>22</v>
      </c>
      <c r="AG11" s="100">
        <v>11721.599999999999</v>
      </c>
      <c r="AH11" s="100">
        <v>25</v>
      </c>
      <c r="AI11" s="100">
        <v>13319.999999999998</v>
      </c>
      <c r="AJ11" s="100">
        <v>27</v>
      </c>
      <c r="AK11" s="100">
        <v>14385.599999999999</v>
      </c>
      <c r="AL11" s="100">
        <v>15</v>
      </c>
      <c r="AM11" s="100">
        <v>7991.9999999999991</v>
      </c>
      <c r="AN11" s="100">
        <v>24</v>
      </c>
      <c r="AO11" s="100">
        <v>12787.199999999999</v>
      </c>
      <c r="AP11" s="100">
        <v>18</v>
      </c>
      <c r="AQ11" s="100">
        <v>9590.4</v>
      </c>
      <c r="AR11" s="100">
        <v>18</v>
      </c>
      <c r="AS11" s="100">
        <v>9590.4</v>
      </c>
      <c r="AT11" s="100">
        <v>22</v>
      </c>
      <c r="AU11" s="100">
        <v>11721.599999999999</v>
      </c>
      <c r="AV11" s="100">
        <v>26</v>
      </c>
      <c r="AW11" s="100">
        <v>13852.8</v>
      </c>
      <c r="AX11" s="100">
        <v>17</v>
      </c>
      <c r="AY11" s="100">
        <v>9057.5999999999985</v>
      </c>
      <c r="AZ11" s="100">
        <v>15</v>
      </c>
      <c r="BA11" s="100">
        <v>7991.9999999999991</v>
      </c>
      <c r="BB11" s="100">
        <v>17</v>
      </c>
      <c r="BC11" s="100">
        <v>9057.5999999999985</v>
      </c>
      <c r="BD11" s="100">
        <v>22</v>
      </c>
      <c r="BE11" s="100">
        <v>11721.599999999999</v>
      </c>
      <c r="BF11" s="100">
        <v>19</v>
      </c>
      <c r="BG11" s="100">
        <v>10123.199999999999</v>
      </c>
      <c r="BH11" s="100">
        <v>17</v>
      </c>
      <c r="BI11" s="100">
        <v>9057.5999999999985</v>
      </c>
      <c r="BJ11" s="100">
        <v>23</v>
      </c>
      <c r="BK11" s="100">
        <v>12254.4</v>
      </c>
      <c r="BL11" s="100">
        <v>21</v>
      </c>
      <c r="BM11" s="100">
        <v>11188.8</v>
      </c>
      <c r="BN11" s="100">
        <v>17</v>
      </c>
      <c r="BO11" s="100">
        <v>9057.5999999999985</v>
      </c>
      <c r="BP11" s="100">
        <v>23</v>
      </c>
      <c r="BQ11" s="100">
        <v>12254.4</v>
      </c>
      <c r="BR11" s="100">
        <v>31</v>
      </c>
      <c r="BS11" s="100">
        <v>16516.8</v>
      </c>
      <c r="BT11" s="100">
        <v>29</v>
      </c>
      <c r="BU11" s="100">
        <v>15451.199999999999</v>
      </c>
      <c r="BV11" s="100">
        <v>19</v>
      </c>
      <c r="BW11" s="100">
        <v>10123.199999999999</v>
      </c>
      <c r="BX11" s="100">
        <v>15</v>
      </c>
      <c r="BY11" s="100">
        <v>7991.9999999999991</v>
      </c>
      <c r="BZ11" s="100">
        <v>29</v>
      </c>
      <c r="CA11" s="100">
        <v>15451.199999999999</v>
      </c>
      <c r="CB11" s="100">
        <v>31</v>
      </c>
      <c r="CC11" s="100">
        <v>16516.8</v>
      </c>
      <c r="CD11" s="100">
        <v>23.933741891169742</v>
      </c>
      <c r="CE11" s="100">
        <v>12751.897679615238</v>
      </c>
      <c r="CF11" s="100">
        <v>26.668436267117457</v>
      </c>
      <c r="CG11" s="100">
        <v>14208.94284312018</v>
      </c>
      <c r="CH11" s="100">
        <v>24.795174460359526</v>
      </c>
      <c r="CI11" s="100">
        <v>13210.868952479554</v>
      </c>
      <c r="CJ11" s="100">
        <v>20.460755215726177</v>
      </c>
      <c r="CK11" s="100">
        <v>10901.490378938906</v>
      </c>
      <c r="CL11" s="100">
        <v>24.864458915715055</v>
      </c>
      <c r="CM11" s="100">
        <v>13247.783710292981</v>
      </c>
      <c r="CN11" s="100">
        <v>23.185098196699819</v>
      </c>
      <c r="CO11" s="100">
        <v>12353.020319201663</v>
      </c>
      <c r="CP11" s="100">
        <v>19.572536384655891</v>
      </c>
      <c r="CQ11" s="100">
        <v>10428.247385744658</v>
      </c>
      <c r="CR11" s="100">
        <v>17</v>
      </c>
      <c r="CS11" s="100">
        <v>9057.5999999999985</v>
      </c>
      <c r="CT11" s="100">
        <v>33</v>
      </c>
      <c r="CU11" s="100">
        <v>17582.399999999998</v>
      </c>
    </row>
    <row r="12" spans="1:99">
      <c r="C12" s="99" t="s">
        <v>178</v>
      </c>
      <c r="D12" s="100">
        <v>15</v>
      </c>
      <c r="E12" s="100">
        <v>8442</v>
      </c>
      <c r="F12" s="100">
        <v>21.471043400690689</v>
      </c>
      <c r="G12" s="100">
        <v>12083.90322590872</v>
      </c>
      <c r="H12" s="100">
        <v>14.726604867101329</v>
      </c>
      <c r="I12" s="100">
        <v>8288.1332192046284</v>
      </c>
      <c r="J12" s="100">
        <v>16.185105156823866</v>
      </c>
      <c r="K12" s="100">
        <v>9108.9771822604707</v>
      </c>
      <c r="L12" s="100">
        <v>16.492122758110419</v>
      </c>
      <c r="M12" s="100">
        <v>9281.7666882645426</v>
      </c>
      <c r="N12" s="100">
        <v>18</v>
      </c>
      <c r="O12" s="100">
        <v>10130.4</v>
      </c>
      <c r="P12" s="100">
        <v>24</v>
      </c>
      <c r="Q12" s="100">
        <v>13507.199999999999</v>
      </c>
      <c r="R12" s="100">
        <v>15</v>
      </c>
      <c r="S12" s="100">
        <v>8442</v>
      </c>
      <c r="T12" s="100">
        <v>19</v>
      </c>
      <c r="U12" s="100">
        <v>10693.199999999999</v>
      </c>
      <c r="V12" s="100">
        <v>18.209639675376351</v>
      </c>
      <c r="W12" s="100">
        <v>10248.38520930181</v>
      </c>
      <c r="X12" s="100">
        <v>18</v>
      </c>
      <c r="Y12" s="100">
        <v>10130.4</v>
      </c>
      <c r="Z12" s="100">
        <v>21</v>
      </c>
      <c r="AA12" s="100">
        <v>11818.8</v>
      </c>
      <c r="AB12" s="100">
        <v>23</v>
      </c>
      <c r="AC12" s="100">
        <v>12944.4</v>
      </c>
      <c r="AD12" s="100">
        <v>15</v>
      </c>
      <c r="AE12" s="100">
        <v>8442</v>
      </c>
      <c r="AF12" s="100">
        <v>20</v>
      </c>
      <c r="AG12" s="100">
        <v>11256</v>
      </c>
      <c r="AH12" s="100">
        <v>21</v>
      </c>
      <c r="AI12" s="100">
        <v>11818.8</v>
      </c>
      <c r="AJ12" s="100">
        <v>25</v>
      </c>
      <c r="AK12" s="100">
        <v>14069.999999999998</v>
      </c>
      <c r="AL12" s="100">
        <v>15</v>
      </c>
      <c r="AM12" s="100">
        <v>8442</v>
      </c>
      <c r="AN12" s="100">
        <v>20</v>
      </c>
      <c r="AO12" s="100">
        <v>11256</v>
      </c>
      <c r="AP12" s="100">
        <v>17</v>
      </c>
      <c r="AQ12" s="100">
        <v>9567.5999999999985</v>
      </c>
      <c r="AR12" s="100">
        <v>18</v>
      </c>
      <c r="AS12" s="100">
        <v>10130.4</v>
      </c>
      <c r="AT12" s="100">
        <v>19</v>
      </c>
      <c r="AU12" s="100">
        <v>10693.199999999999</v>
      </c>
      <c r="AV12" s="100">
        <v>29</v>
      </c>
      <c r="AW12" s="100">
        <v>16321.199999999999</v>
      </c>
      <c r="AX12" s="100">
        <v>18</v>
      </c>
      <c r="AY12" s="100">
        <v>10130.4</v>
      </c>
      <c r="AZ12" s="100">
        <v>15</v>
      </c>
      <c r="BA12" s="100">
        <v>8442</v>
      </c>
      <c r="BB12" s="100">
        <v>18</v>
      </c>
      <c r="BC12" s="100">
        <v>10130.4</v>
      </c>
      <c r="BD12" s="100">
        <v>23</v>
      </c>
      <c r="BE12" s="100">
        <v>12944.4</v>
      </c>
      <c r="BF12" s="100">
        <v>16</v>
      </c>
      <c r="BG12" s="100">
        <v>9004.7999999999993</v>
      </c>
      <c r="BH12" s="100">
        <v>17</v>
      </c>
      <c r="BI12" s="100">
        <v>9567.5999999999985</v>
      </c>
      <c r="BJ12" s="100">
        <v>23</v>
      </c>
      <c r="BK12" s="100">
        <v>12944.4</v>
      </c>
      <c r="BL12" s="100">
        <v>22</v>
      </c>
      <c r="BM12" s="100">
        <v>12381.599999999999</v>
      </c>
      <c r="BN12" s="100">
        <v>18</v>
      </c>
      <c r="BO12" s="100">
        <v>10130.4</v>
      </c>
      <c r="BP12" s="100">
        <v>24</v>
      </c>
      <c r="BQ12" s="100">
        <v>13507.199999999999</v>
      </c>
      <c r="BR12" s="100">
        <v>26</v>
      </c>
      <c r="BS12" s="100">
        <v>14632.8</v>
      </c>
      <c r="BT12" s="100">
        <v>30</v>
      </c>
      <c r="BU12" s="100">
        <v>16884</v>
      </c>
      <c r="BV12" s="100">
        <v>16</v>
      </c>
      <c r="BW12" s="100">
        <v>9004.7999999999993</v>
      </c>
      <c r="BX12" s="100">
        <v>17</v>
      </c>
      <c r="BY12" s="100">
        <v>9567.5999999999985</v>
      </c>
      <c r="BZ12" s="100">
        <v>32</v>
      </c>
      <c r="CA12" s="100">
        <v>18009.599999999999</v>
      </c>
      <c r="CB12" s="100">
        <v>29</v>
      </c>
      <c r="CC12" s="100">
        <v>16321.199999999999</v>
      </c>
      <c r="CD12" s="100">
        <v>24.93098113663515</v>
      </c>
      <c r="CE12" s="100">
        <v>14031.156183698262</v>
      </c>
      <c r="CF12" s="100">
        <v>25.748835016527202</v>
      </c>
      <c r="CG12" s="100">
        <v>14491.444347301509</v>
      </c>
      <c r="CH12" s="100">
        <v>25.680716405372365</v>
      </c>
      <c r="CI12" s="100">
        <v>14453.107192943566</v>
      </c>
      <c r="CJ12" s="100">
        <v>23.01834961769195</v>
      </c>
      <c r="CK12" s="100">
        <v>12954.727164837028</v>
      </c>
      <c r="CL12" s="100">
        <v>24.007063780690398</v>
      </c>
      <c r="CM12" s="100">
        <v>13511.175495772555</v>
      </c>
      <c r="CN12" s="100">
        <v>23.185098196699819</v>
      </c>
      <c r="CO12" s="100">
        <v>13048.573265102657</v>
      </c>
      <c r="CP12" s="100">
        <v>18.593909565423097</v>
      </c>
      <c r="CQ12" s="100">
        <v>10464.652303420118</v>
      </c>
      <c r="CR12" s="100">
        <v>16</v>
      </c>
      <c r="CS12" s="100">
        <v>9004.7999999999993</v>
      </c>
      <c r="CT12" s="100">
        <v>30</v>
      </c>
      <c r="CU12" s="100">
        <v>16884</v>
      </c>
    </row>
    <row r="13" spans="1:99">
      <c r="C13" s="99" t="s">
        <v>179</v>
      </c>
      <c r="D13" s="100">
        <v>15</v>
      </c>
      <c r="E13" s="100">
        <v>1278</v>
      </c>
      <c r="F13" s="100">
        <v>22.329885136718314</v>
      </c>
      <c r="G13" s="100">
        <v>1902.5062136484005</v>
      </c>
      <c r="H13" s="100">
        <v>15.462935110456396</v>
      </c>
      <c r="I13" s="100">
        <v>1317.4420714108849</v>
      </c>
      <c r="J13" s="100">
        <v>15.449418558786416</v>
      </c>
      <c r="K13" s="100">
        <v>1316.2904612086027</v>
      </c>
      <c r="L13" s="100">
        <v>19.964148601923142</v>
      </c>
      <c r="M13" s="100">
        <v>1700.9454608838519</v>
      </c>
      <c r="N13" s="100">
        <v>16</v>
      </c>
      <c r="O13" s="100">
        <v>1363.2</v>
      </c>
      <c r="P13" s="100">
        <v>22</v>
      </c>
      <c r="Q13" s="100">
        <v>1874.4</v>
      </c>
      <c r="R13" s="100">
        <v>13</v>
      </c>
      <c r="S13" s="100">
        <v>1107.6000000000001</v>
      </c>
      <c r="T13" s="100">
        <v>23</v>
      </c>
      <c r="U13" s="100">
        <v>1959.6000000000001</v>
      </c>
      <c r="V13" s="100">
        <v>21.084845939909464</v>
      </c>
      <c r="W13" s="100">
        <v>1796.4288740802863</v>
      </c>
      <c r="X13" s="100">
        <v>18</v>
      </c>
      <c r="Y13" s="100">
        <v>1533.6000000000001</v>
      </c>
      <c r="Z13" s="100">
        <v>21</v>
      </c>
      <c r="AA13" s="100">
        <v>1789.2</v>
      </c>
      <c r="AB13" s="100">
        <v>24</v>
      </c>
      <c r="AC13" s="100">
        <v>2044.8000000000002</v>
      </c>
      <c r="AD13" s="100">
        <v>14</v>
      </c>
      <c r="AE13" s="100">
        <v>1192.8</v>
      </c>
      <c r="AF13" s="100">
        <v>22</v>
      </c>
      <c r="AG13" s="100">
        <v>1874.4</v>
      </c>
      <c r="AH13" s="100">
        <v>24</v>
      </c>
      <c r="AI13" s="100">
        <v>2044.8000000000002</v>
      </c>
      <c r="AJ13" s="100">
        <v>27</v>
      </c>
      <c r="AK13" s="100">
        <v>2300.4</v>
      </c>
      <c r="AL13" s="100">
        <v>15</v>
      </c>
      <c r="AM13" s="100">
        <v>1278</v>
      </c>
      <c r="AN13" s="100">
        <v>24</v>
      </c>
      <c r="AO13" s="100">
        <v>2044.8000000000002</v>
      </c>
      <c r="AP13" s="100">
        <v>18</v>
      </c>
      <c r="AQ13" s="100">
        <v>1533.6000000000001</v>
      </c>
      <c r="AR13" s="100">
        <v>17</v>
      </c>
      <c r="AS13" s="100">
        <v>1448.4</v>
      </c>
      <c r="AT13" s="100">
        <v>22</v>
      </c>
      <c r="AU13" s="100">
        <v>1874.4</v>
      </c>
      <c r="AV13" s="100">
        <v>29</v>
      </c>
      <c r="AW13" s="100">
        <v>2470.8000000000002</v>
      </c>
      <c r="AX13" s="100">
        <v>18</v>
      </c>
      <c r="AY13" s="100">
        <v>1533.6000000000001</v>
      </c>
      <c r="AZ13" s="100">
        <v>15</v>
      </c>
      <c r="BA13" s="100">
        <v>1278</v>
      </c>
      <c r="BB13" s="100">
        <v>16</v>
      </c>
      <c r="BC13" s="100">
        <v>1363.2</v>
      </c>
      <c r="BD13" s="100">
        <v>26</v>
      </c>
      <c r="BE13" s="100">
        <v>2215.2000000000003</v>
      </c>
      <c r="BF13" s="100">
        <v>19</v>
      </c>
      <c r="BG13" s="100">
        <v>1618.8</v>
      </c>
      <c r="BH13" s="100">
        <v>17</v>
      </c>
      <c r="BI13" s="100">
        <v>1448.4</v>
      </c>
      <c r="BJ13" s="100">
        <v>23</v>
      </c>
      <c r="BK13" s="100">
        <v>1959.6000000000001</v>
      </c>
      <c r="BL13" s="100">
        <v>20</v>
      </c>
      <c r="BM13" s="100">
        <v>1704</v>
      </c>
      <c r="BN13" s="100">
        <v>19</v>
      </c>
      <c r="BO13" s="100">
        <v>1618.8</v>
      </c>
      <c r="BP13" s="100">
        <v>23</v>
      </c>
      <c r="BQ13" s="100">
        <v>1959.6000000000001</v>
      </c>
      <c r="BR13" s="100">
        <v>28</v>
      </c>
      <c r="BS13" s="100">
        <v>2385.6</v>
      </c>
      <c r="BT13" s="100">
        <v>31</v>
      </c>
      <c r="BU13" s="100">
        <v>2641.2000000000003</v>
      </c>
      <c r="BV13" s="100">
        <v>20</v>
      </c>
      <c r="BW13" s="100">
        <v>1704</v>
      </c>
      <c r="BX13" s="100">
        <v>17</v>
      </c>
      <c r="BY13" s="100">
        <v>1448.4</v>
      </c>
      <c r="BZ13" s="100">
        <v>34</v>
      </c>
      <c r="CA13" s="100">
        <v>2896.8</v>
      </c>
      <c r="CB13" s="100">
        <v>31</v>
      </c>
      <c r="CC13" s="100">
        <v>2641.2000000000003</v>
      </c>
      <c r="CD13" s="100">
        <v>26.92545962756596</v>
      </c>
      <c r="CE13" s="100">
        <v>2294.0491602686197</v>
      </c>
      <c r="CF13" s="100">
        <v>28.507638768297969</v>
      </c>
      <c r="CG13" s="100">
        <v>2428.8508230589869</v>
      </c>
      <c r="CH13" s="100">
        <v>29.222884185423727</v>
      </c>
      <c r="CI13" s="100">
        <v>2489.7897325981016</v>
      </c>
      <c r="CJ13" s="100">
        <v>23.87088108501387</v>
      </c>
      <c r="CK13" s="100">
        <v>2033.7990684431818</v>
      </c>
      <c r="CL13" s="100">
        <v>24.007063780690398</v>
      </c>
      <c r="CM13" s="100">
        <v>2045.4018341148219</v>
      </c>
      <c r="CN13" s="100">
        <v>22.460563878052948</v>
      </c>
      <c r="CO13" s="100">
        <v>1913.6400424101112</v>
      </c>
      <c r="CP13" s="100">
        <v>21.529790023121478</v>
      </c>
      <c r="CQ13" s="100">
        <v>1834.33810996995</v>
      </c>
      <c r="CR13" s="100">
        <v>18</v>
      </c>
      <c r="CS13" s="100">
        <v>1533.6000000000001</v>
      </c>
      <c r="CT13" s="100">
        <v>32</v>
      </c>
      <c r="CU13" s="100">
        <v>2726.4</v>
      </c>
    </row>
    <row r="14" spans="1:99">
      <c r="C14" s="99" t="s">
        <v>180</v>
      </c>
      <c r="D14" s="100">
        <v>15</v>
      </c>
      <c r="E14" s="100">
        <v>7326</v>
      </c>
      <c r="F14" s="100">
        <v>20.612201664663058</v>
      </c>
      <c r="G14" s="100">
        <v>10066.999293021438</v>
      </c>
      <c r="H14" s="100">
        <v>13.990274623746261</v>
      </c>
      <c r="I14" s="100">
        <v>6832.850126237674</v>
      </c>
      <c r="J14" s="100">
        <v>15.449418558786416</v>
      </c>
      <c r="K14" s="100">
        <v>7545.4960241112849</v>
      </c>
      <c r="L14" s="100">
        <v>18.228135680016781</v>
      </c>
      <c r="M14" s="100">
        <v>8902.6214661201957</v>
      </c>
      <c r="N14" s="100">
        <v>17</v>
      </c>
      <c r="O14" s="100">
        <v>8302.7999999999993</v>
      </c>
      <c r="P14" s="100">
        <v>23</v>
      </c>
      <c r="Q14" s="100">
        <v>11233.199999999999</v>
      </c>
      <c r="R14" s="100">
        <v>13</v>
      </c>
      <c r="S14" s="100">
        <v>6349.2</v>
      </c>
      <c r="T14" s="100">
        <v>21</v>
      </c>
      <c r="U14" s="100">
        <v>10256.4</v>
      </c>
      <c r="V14" s="100">
        <v>19.168041763554054</v>
      </c>
      <c r="W14" s="100">
        <v>9361.6715973197988</v>
      </c>
      <c r="X14" s="100">
        <v>18</v>
      </c>
      <c r="Y14" s="100">
        <v>8791.1999999999989</v>
      </c>
      <c r="Z14" s="100">
        <v>24</v>
      </c>
      <c r="AA14" s="100">
        <v>11721.599999999999</v>
      </c>
      <c r="AB14" s="100">
        <v>21</v>
      </c>
      <c r="AC14" s="100">
        <v>10256.4</v>
      </c>
      <c r="AD14" s="100">
        <v>15</v>
      </c>
      <c r="AE14" s="100">
        <v>7326</v>
      </c>
      <c r="AF14" s="100">
        <v>18</v>
      </c>
      <c r="AG14" s="100">
        <v>8791.1999999999989</v>
      </c>
      <c r="AH14" s="100">
        <v>22</v>
      </c>
      <c r="AI14" s="100">
        <v>10744.8</v>
      </c>
      <c r="AJ14" s="100">
        <v>25</v>
      </c>
      <c r="AK14" s="100">
        <v>12210</v>
      </c>
      <c r="AL14" s="100">
        <v>15</v>
      </c>
      <c r="AM14" s="100">
        <v>7326</v>
      </c>
      <c r="AN14" s="100">
        <v>22</v>
      </c>
      <c r="AO14" s="100">
        <v>10744.8</v>
      </c>
      <c r="AP14" s="100">
        <v>16</v>
      </c>
      <c r="AQ14" s="100">
        <v>7814.4</v>
      </c>
      <c r="AR14" s="100">
        <v>17</v>
      </c>
      <c r="AS14" s="100">
        <v>8302.7999999999993</v>
      </c>
      <c r="AT14" s="100">
        <v>20</v>
      </c>
      <c r="AU14" s="100">
        <v>9768</v>
      </c>
      <c r="AV14" s="100">
        <v>25</v>
      </c>
      <c r="AW14" s="100">
        <v>12210</v>
      </c>
      <c r="AX14" s="100">
        <v>19</v>
      </c>
      <c r="AY14" s="100">
        <v>9279.6</v>
      </c>
      <c r="AZ14" s="100">
        <v>14</v>
      </c>
      <c r="BA14" s="100">
        <v>6837.5999999999995</v>
      </c>
      <c r="BB14" s="100">
        <v>17</v>
      </c>
      <c r="BC14" s="100">
        <v>8302.7999999999993</v>
      </c>
      <c r="BD14" s="100">
        <v>24</v>
      </c>
      <c r="BE14" s="100">
        <v>11721.599999999999</v>
      </c>
      <c r="BF14" s="100">
        <v>16</v>
      </c>
      <c r="BG14" s="100">
        <v>7814.4</v>
      </c>
      <c r="BH14" s="100">
        <v>16</v>
      </c>
      <c r="BI14" s="100">
        <v>7814.4</v>
      </c>
      <c r="BJ14" s="100">
        <v>23</v>
      </c>
      <c r="BK14" s="100">
        <v>11233.199999999999</v>
      </c>
      <c r="BL14" s="100">
        <v>21</v>
      </c>
      <c r="BM14" s="100">
        <v>10256.4</v>
      </c>
      <c r="BN14" s="100">
        <v>20</v>
      </c>
      <c r="BO14" s="100">
        <v>9768</v>
      </c>
      <c r="BP14" s="100">
        <v>23</v>
      </c>
      <c r="BQ14" s="100">
        <v>11233.199999999999</v>
      </c>
      <c r="BR14" s="100">
        <v>31</v>
      </c>
      <c r="BS14" s="100">
        <v>15140.4</v>
      </c>
      <c r="BT14" s="100">
        <v>33</v>
      </c>
      <c r="BU14" s="100">
        <v>16117.199999999999</v>
      </c>
      <c r="BV14" s="100">
        <v>17</v>
      </c>
      <c r="BW14" s="100">
        <v>8302.7999999999993</v>
      </c>
      <c r="BX14" s="100">
        <v>17</v>
      </c>
      <c r="BY14" s="100">
        <v>8302.7999999999993</v>
      </c>
      <c r="BZ14" s="100">
        <v>31</v>
      </c>
      <c r="CA14" s="100">
        <v>15140.4</v>
      </c>
      <c r="CB14" s="100">
        <v>29</v>
      </c>
      <c r="CC14" s="100">
        <v>14163.599999999999</v>
      </c>
      <c r="CD14" s="100">
        <v>23.933741891169742</v>
      </c>
      <c r="CE14" s="100">
        <v>11689.239539647302</v>
      </c>
      <c r="CF14" s="100">
        <v>29.427240018888231</v>
      </c>
      <c r="CG14" s="100">
        <v>14372.264025225011</v>
      </c>
      <c r="CH14" s="100">
        <v>28.337342240410887</v>
      </c>
      <c r="CI14" s="100">
        <v>13839.957950216676</v>
      </c>
      <c r="CJ14" s="100">
        <v>21.313286683048101</v>
      </c>
      <c r="CK14" s="100">
        <v>10409.409216000693</v>
      </c>
      <c r="CL14" s="100">
        <v>23.149668645665741</v>
      </c>
      <c r="CM14" s="100">
        <v>11306.298166543147</v>
      </c>
      <c r="CN14" s="100">
        <v>23.185098196699819</v>
      </c>
      <c r="CO14" s="100">
        <v>11323.601959268191</v>
      </c>
      <c r="CP14" s="100">
        <v>21.529790023121478</v>
      </c>
      <c r="CQ14" s="100">
        <v>10515.14944729253</v>
      </c>
      <c r="CR14" s="100">
        <v>17</v>
      </c>
      <c r="CS14" s="100">
        <v>8302.7999999999993</v>
      </c>
      <c r="CT14" s="100">
        <v>29</v>
      </c>
      <c r="CU14" s="100">
        <v>14163.599999999999</v>
      </c>
    </row>
    <row r="15" spans="1:99">
      <c r="C15" s="99" t="s">
        <v>181</v>
      </c>
      <c r="D15" s="100">
        <v>14</v>
      </c>
      <c r="E15" s="100">
        <v>10684.8</v>
      </c>
      <c r="F15" s="100">
        <v>22.329885136718314</v>
      </c>
      <c r="G15" s="100">
        <v>17042.168336343417</v>
      </c>
      <c r="H15" s="100">
        <v>13.990274623746261</v>
      </c>
      <c r="I15" s="100">
        <v>10677.377592843146</v>
      </c>
      <c r="J15" s="100">
        <v>15.449418558786416</v>
      </c>
      <c r="K15" s="100">
        <v>11790.996244065791</v>
      </c>
      <c r="L15" s="100">
        <v>17.360129219063598</v>
      </c>
      <c r="M15" s="100">
        <v>13249.250619989336</v>
      </c>
      <c r="N15" s="100">
        <v>17</v>
      </c>
      <c r="O15" s="100">
        <v>12974.4</v>
      </c>
      <c r="P15" s="100">
        <v>19</v>
      </c>
      <c r="Q15" s="100">
        <v>14500.8</v>
      </c>
      <c r="R15" s="100">
        <v>14</v>
      </c>
      <c r="S15" s="100">
        <v>10684.8</v>
      </c>
      <c r="T15" s="100">
        <v>22</v>
      </c>
      <c r="U15" s="100">
        <v>16790.399999999998</v>
      </c>
      <c r="V15" s="100">
        <v>18.209639675376351</v>
      </c>
      <c r="W15" s="100">
        <v>13897.59700024723</v>
      </c>
      <c r="X15" s="100">
        <v>18</v>
      </c>
      <c r="Y15" s="100">
        <v>13737.599999999999</v>
      </c>
      <c r="Z15" s="100">
        <v>22</v>
      </c>
      <c r="AA15" s="100">
        <v>16790.399999999998</v>
      </c>
      <c r="AB15" s="100">
        <v>23</v>
      </c>
      <c r="AC15" s="100">
        <v>17553.599999999999</v>
      </c>
      <c r="AD15" s="100">
        <v>14</v>
      </c>
      <c r="AE15" s="100">
        <v>10684.8</v>
      </c>
      <c r="AF15" s="100">
        <v>19</v>
      </c>
      <c r="AG15" s="100">
        <v>14500.8</v>
      </c>
      <c r="AH15" s="100">
        <v>25</v>
      </c>
      <c r="AI15" s="100">
        <v>19080</v>
      </c>
      <c r="AJ15" s="100">
        <v>29</v>
      </c>
      <c r="AK15" s="100">
        <v>22132.799999999999</v>
      </c>
      <c r="AL15" s="100">
        <v>15</v>
      </c>
      <c r="AM15" s="100">
        <v>11447.999999999998</v>
      </c>
      <c r="AN15" s="100">
        <v>22</v>
      </c>
      <c r="AO15" s="100">
        <v>16790.399999999998</v>
      </c>
      <c r="AP15" s="100">
        <v>15</v>
      </c>
      <c r="AQ15" s="100">
        <v>11447.999999999998</v>
      </c>
      <c r="AR15" s="100">
        <v>17</v>
      </c>
      <c r="AS15" s="100">
        <v>12974.4</v>
      </c>
      <c r="AT15" s="100">
        <v>20</v>
      </c>
      <c r="AU15" s="100">
        <v>15263.999999999998</v>
      </c>
      <c r="AV15" s="100">
        <v>27</v>
      </c>
      <c r="AW15" s="100">
        <v>20606.399999999998</v>
      </c>
      <c r="AX15" s="100">
        <v>17</v>
      </c>
      <c r="AY15" s="100">
        <v>12974.4</v>
      </c>
      <c r="AZ15" s="100">
        <v>15</v>
      </c>
      <c r="BA15" s="100">
        <v>11447.999999999998</v>
      </c>
      <c r="BB15" s="100">
        <v>15</v>
      </c>
      <c r="BC15" s="100">
        <v>11447.999999999998</v>
      </c>
      <c r="BD15" s="100">
        <v>21</v>
      </c>
      <c r="BE15" s="100">
        <v>16027.199999999999</v>
      </c>
      <c r="BF15" s="100">
        <v>18</v>
      </c>
      <c r="BG15" s="100">
        <v>13737.599999999999</v>
      </c>
      <c r="BH15" s="100">
        <v>17</v>
      </c>
      <c r="BI15" s="100">
        <v>12974.4</v>
      </c>
      <c r="BJ15" s="100">
        <v>23</v>
      </c>
      <c r="BK15" s="100">
        <v>17553.599999999999</v>
      </c>
      <c r="BL15" s="100">
        <v>19</v>
      </c>
      <c r="BM15" s="100">
        <v>14500.8</v>
      </c>
      <c r="BN15" s="100">
        <v>17</v>
      </c>
      <c r="BO15" s="100">
        <v>12974.4</v>
      </c>
      <c r="BP15" s="100">
        <v>25</v>
      </c>
      <c r="BQ15" s="100">
        <v>19080</v>
      </c>
      <c r="BR15" s="100">
        <v>30</v>
      </c>
      <c r="BS15" s="100">
        <v>22895.999999999996</v>
      </c>
      <c r="BT15" s="100">
        <v>29</v>
      </c>
      <c r="BU15" s="100">
        <v>22132.799999999999</v>
      </c>
      <c r="BV15" s="100">
        <v>19</v>
      </c>
      <c r="BW15" s="100">
        <v>14500.8</v>
      </c>
      <c r="BX15" s="100">
        <v>16</v>
      </c>
      <c r="BY15" s="100">
        <v>12211.199999999999</v>
      </c>
      <c r="BZ15" s="100">
        <v>29</v>
      </c>
      <c r="CA15" s="100">
        <v>22132.799999999999</v>
      </c>
      <c r="CB15" s="100">
        <v>29</v>
      </c>
      <c r="CC15" s="100">
        <v>22132.799999999999</v>
      </c>
      <c r="CD15" s="100">
        <v>21.939263400238929</v>
      </c>
      <c r="CE15" s="100">
        <v>16744.045827062349</v>
      </c>
      <c r="CF15" s="100">
        <v>28.507638768297969</v>
      </c>
      <c r="CG15" s="100">
        <v>21757.029907965007</v>
      </c>
      <c r="CH15" s="100">
        <v>23.909632515346686</v>
      </c>
      <c r="CI15" s="100">
        <v>18247.83153571259</v>
      </c>
      <c r="CJ15" s="100">
        <v>20.460755215726177</v>
      </c>
      <c r="CK15" s="100">
        <v>15615.648380642217</v>
      </c>
      <c r="CL15" s="100">
        <v>24.864458915715055</v>
      </c>
      <c r="CM15" s="100">
        <v>18976.555044473727</v>
      </c>
      <c r="CN15" s="100">
        <v>20.286960922112339</v>
      </c>
      <c r="CO15" s="100">
        <v>15483.008575756136</v>
      </c>
      <c r="CP15" s="100">
        <v>19.572536384655891</v>
      </c>
      <c r="CQ15" s="100">
        <v>14937.759768769374</v>
      </c>
      <c r="CR15" s="100">
        <v>16</v>
      </c>
      <c r="CS15" s="100">
        <v>12211.199999999999</v>
      </c>
      <c r="CT15" s="100">
        <v>32</v>
      </c>
      <c r="CU15" s="100">
        <v>24422.399999999998</v>
      </c>
    </row>
    <row r="16" spans="1:99">
      <c r="C16" s="99" t="s">
        <v>182</v>
      </c>
      <c r="D16" s="100">
        <v>17</v>
      </c>
      <c r="E16" s="100">
        <v>5793.6</v>
      </c>
      <c r="F16" s="100">
        <v>24.04756860877357</v>
      </c>
      <c r="G16" s="100">
        <v>8195.4113818700334</v>
      </c>
      <c r="H16" s="100">
        <v>16.935595597166529</v>
      </c>
      <c r="I16" s="100">
        <v>5771.6509795143529</v>
      </c>
      <c r="J16" s="100">
        <v>16.185105156823866</v>
      </c>
      <c r="K16" s="100">
        <v>5515.8838374455736</v>
      </c>
      <c r="L16" s="100">
        <v>17.360129219063598</v>
      </c>
      <c r="M16" s="100">
        <v>5916.3320378568742</v>
      </c>
      <c r="N16" s="100">
        <v>16</v>
      </c>
      <c r="O16" s="100">
        <v>5452.8</v>
      </c>
      <c r="P16" s="100">
        <v>23</v>
      </c>
      <c r="Q16" s="100">
        <v>7838.4000000000005</v>
      </c>
      <c r="R16" s="100">
        <v>13</v>
      </c>
      <c r="S16" s="100">
        <v>4430.4000000000005</v>
      </c>
      <c r="T16" s="100">
        <v>23</v>
      </c>
      <c r="U16" s="100">
        <v>7838.4000000000005</v>
      </c>
      <c r="V16" s="100">
        <v>21.084845939909464</v>
      </c>
      <c r="W16" s="100">
        <v>7185.7154963211451</v>
      </c>
      <c r="X16" s="100">
        <v>19</v>
      </c>
      <c r="Y16" s="100">
        <v>6475.2</v>
      </c>
      <c r="Z16" s="100">
        <v>21</v>
      </c>
      <c r="AA16" s="100">
        <v>7156.8</v>
      </c>
      <c r="AB16" s="100">
        <v>21</v>
      </c>
      <c r="AC16" s="100">
        <v>7156.8</v>
      </c>
      <c r="AD16" s="100">
        <v>14</v>
      </c>
      <c r="AE16" s="100">
        <v>4771.2</v>
      </c>
      <c r="AF16" s="100">
        <v>18</v>
      </c>
      <c r="AG16" s="100">
        <v>6134.4000000000005</v>
      </c>
      <c r="AH16" s="100">
        <v>22</v>
      </c>
      <c r="AI16" s="100">
        <v>7497.6</v>
      </c>
      <c r="AJ16" s="100">
        <v>31</v>
      </c>
      <c r="AK16" s="100">
        <v>10564.800000000001</v>
      </c>
      <c r="AL16" s="100">
        <v>15</v>
      </c>
      <c r="AM16" s="100">
        <v>5112</v>
      </c>
      <c r="AN16" s="100">
        <v>21</v>
      </c>
      <c r="AO16" s="100">
        <v>7156.8</v>
      </c>
      <c r="AP16" s="100">
        <v>18</v>
      </c>
      <c r="AQ16" s="100">
        <v>6134.4000000000005</v>
      </c>
      <c r="AR16" s="100">
        <v>19</v>
      </c>
      <c r="AS16" s="100">
        <v>6475.2</v>
      </c>
      <c r="AT16" s="100">
        <v>23</v>
      </c>
      <c r="AU16" s="100">
        <v>7838.4000000000005</v>
      </c>
      <c r="AV16" s="100">
        <v>24</v>
      </c>
      <c r="AW16" s="100">
        <v>8179.2000000000007</v>
      </c>
      <c r="AX16" s="100">
        <v>19</v>
      </c>
      <c r="AY16" s="100">
        <v>6475.2</v>
      </c>
      <c r="AZ16" s="100">
        <v>14</v>
      </c>
      <c r="BA16" s="100">
        <v>4771.2</v>
      </c>
      <c r="BB16" s="100">
        <v>16</v>
      </c>
      <c r="BC16" s="100">
        <v>5452.8</v>
      </c>
      <c r="BD16" s="100">
        <v>26</v>
      </c>
      <c r="BE16" s="100">
        <v>8860.8000000000011</v>
      </c>
      <c r="BF16" s="100">
        <v>18</v>
      </c>
      <c r="BG16" s="100">
        <v>6134.4000000000005</v>
      </c>
      <c r="BH16" s="100">
        <v>18</v>
      </c>
      <c r="BI16" s="100">
        <v>6134.4000000000005</v>
      </c>
      <c r="BJ16" s="100">
        <v>21</v>
      </c>
      <c r="BK16" s="100">
        <v>7156.8</v>
      </c>
      <c r="BL16" s="100">
        <v>21</v>
      </c>
      <c r="BM16" s="100">
        <v>7156.8</v>
      </c>
      <c r="BN16" s="100">
        <v>19</v>
      </c>
      <c r="BO16" s="100">
        <v>6475.2</v>
      </c>
      <c r="BP16" s="100">
        <v>24</v>
      </c>
      <c r="BQ16" s="100">
        <v>8179.2000000000007</v>
      </c>
      <c r="BR16" s="100">
        <v>32</v>
      </c>
      <c r="BS16" s="100">
        <v>10905.6</v>
      </c>
      <c r="BT16" s="100">
        <v>29</v>
      </c>
      <c r="BU16" s="100">
        <v>9883.2000000000007</v>
      </c>
      <c r="BV16" s="100">
        <v>19</v>
      </c>
      <c r="BW16" s="100">
        <v>6475.2</v>
      </c>
      <c r="BX16" s="100">
        <v>18</v>
      </c>
      <c r="BY16" s="100">
        <v>6134.4000000000005</v>
      </c>
      <c r="BZ16" s="100">
        <v>31</v>
      </c>
      <c r="CA16" s="100">
        <v>10564.800000000001</v>
      </c>
      <c r="CB16" s="100">
        <v>31</v>
      </c>
      <c r="CC16" s="100">
        <v>10564.800000000001</v>
      </c>
      <c r="CD16" s="100">
        <v>24.93098113663515</v>
      </c>
      <c r="CE16" s="100">
        <v>8496.4783713652596</v>
      </c>
      <c r="CF16" s="100">
        <v>26.668436267117457</v>
      </c>
      <c r="CG16" s="100">
        <v>9088.6030798336287</v>
      </c>
      <c r="CH16" s="100">
        <v>28.337342240410887</v>
      </c>
      <c r="CI16" s="100">
        <v>9657.3662355320303</v>
      </c>
      <c r="CJ16" s="100">
        <v>22.165818150370022</v>
      </c>
      <c r="CK16" s="100">
        <v>7554.1108256461039</v>
      </c>
      <c r="CL16" s="100">
        <v>22.292273510641085</v>
      </c>
      <c r="CM16" s="100">
        <v>7597.2068124264815</v>
      </c>
      <c r="CN16" s="100">
        <v>24.634166833993557</v>
      </c>
      <c r="CO16" s="100">
        <v>8395.3240570250055</v>
      </c>
      <c r="CP16" s="100">
        <v>21.529790023121478</v>
      </c>
      <c r="CQ16" s="100">
        <v>7337.3524398797999</v>
      </c>
      <c r="CR16" s="100">
        <v>18</v>
      </c>
      <c r="CS16" s="100">
        <v>6134.4000000000005</v>
      </c>
      <c r="CT16" s="100">
        <v>33</v>
      </c>
      <c r="CU16" s="100">
        <v>11246.4</v>
      </c>
    </row>
    <row r="17" spans="2:99">
      <c r="C17" s="99" t="s">
        <v>183</v>
      </c>
      <c r="D17" s="100">
        <v>15</v>
      </c>
      <c r="E17" s="100">
        <v>6336</v>
      </c>
      <c r="F17" s="100">
        <v>21.471043400690689</v>
      </c>
      <c r="G17" s="100">
        <v>9069.3687324517468</v>
      </c>
      <c r="H17" s="100">
        <v>14.726604867101329</v>
      </c>
      <c r="I17" s="100">
        <v>6220.5178958636016</v>
      </c>
      <c r="J17" s="100">
        <v>16.920791754861312</v>
      </c>
      <c r="K17" s="100">
        <v>7147.3424372534182</v>
      </c>
      <c r="L17" s="100">
        <v>19.096142140969963</v>
      </c>
      <c r="M17" s="100">
        <v>8066.2104403457124</v>
      </c>
      <c r="N17" s="100">
        <v>17</v>
      </c>
      <c r="O17" s="100">
        <v>7180.7999999999993</v>
      </c>
      <c r="P17" s="100">
        <v>20</v>
      </c>
      <c r="Q17" s="100">
        <v>8448</v>
      </c>
      <c r="R17" s="100">
        <v>14</v>
      </c>
      <c r="S17" s="100">
        <v>5913.5999999999995</v>
      </c>
      <c r="T17" s="100">
        <v>23</v>
      </c>
      <c r="U17" s="100">
        <v>9715.1999999999989</v>
      </c>
      <c r="V17" s="100">
        <v>20.126443851731757</v>
      </c>
      <c r="W17" s="100">
        <v>8501.4098829714931</v>
      </c>
      <c r="X17" s="100">
        <v>18</v>
      </c>
      <c r="Y17" s="100">
        <v>7603.2</v>
      </c>
      <c r="Z17" s="100">
        <v>25</v>
      </c>
      <c r="AA17" s="100">
        <v>10560</v>
      </c>
      <c r="AB17" s="100">
        <v>22</v>
      </c>
      <c r="AC17" s="100">
        <v>9292.7999999999993</v>
      </c>
      <c r="AD17" s="100">
        <v>14</v>
      </c>
      <c r="AE17" s="100">
        <v>5913.5999999999995</v>
      </c>
      <c r="AF17" s="100">
        <v>21</v>
      </c>
      <c r="AG17" s="100">
        <v>8870.4</v>
      </c>
      <c r="AH17" s="100">
        <v>24</v>
      </c>
      <c r="AI17" s="100">
        <v>10137.599999999999</v>
      </c>
      <c r="AJ17" s="100">
        <v>31</v>
      </c>
      <c r="AK17" s="100">
        <v>13094.4</v>
      </c>
      <c r="AL17" s="100">
        <v>15</v>
      </c>
      <c r="AM17" s="100">
        <v>6336</v>
      </c>
      <c r="AN17" s="100">
        <v>22</v>
      </c>
      <c r="AO17" s="100">
        <v>9292.7999999999993</v>
      </c>
      <c r="AP17" s="100">
        <v>16</v>
      </c>
      <c r="AQ17" s="100">
        <v>6758.4</v>
      </c>
      <c r="AR17" s="100">
        <v>18</v>
      </c>
      <c r="AS17" s="100">
        <v>7603.2</v>
      </c>
      <c r="AT17" s="100">
        <v>19</v>
      </c>
      <c r="AU17" s="100">
        <v>8025.5999999999995</v>
      </c>
      <c r="AV17" s="100">
        <v>26</v>
      </c>
      <c r="AW17" s="100">
        <v>10982.4</v>
      </c>
      <c r="AX17" s="100">
        <v>18</v>
      </c>
      <c r="AY17" s="100">
        <v>7603.2</v>
      </c>
      <c r="AZ17" s="100">
        <v>15</v>
      </c>
      <c r="BA17" s="100">
        <v>6336</v>
      </c>
      <c r="BB17" s="100">
        <v>15</v>
      </c>
      <c r="BC17" s="100">
        <v>6336</v>
      </c>
      <c r="BD17" s="100">
        <v>23</v>
      </c>
      <c r="BE17" s="100">
        <v>9715.1999999999989</v>
      </c>
      <c r="BF17" s="100">
        <v>17</v>
      </c>
      <c r="BG17" s="100">
        <v>7180.7999999999993</v>
      </c>
      <c r="BH17" s="100">
        <v>15</v>
      </c>
      <c r="BI17" s="100">
        <v>6336</v>
      </c>
      <c r="BJ17" s="100">
        <v>24</v>
      </c>
      <c r="BK17" s="100">
        <v>10137.599999999999</v>
      </c>
      <c r="BL17" s="100">
        <v>21</v>
      </c>
      <c r="BM17" s="100">
        <v>8870.4</v>
      </c>
      <c r="BN17" s="100">
        <v>19</v>
      </c>
      <c r="BO17" s="100">
        <v>8025.5999999999995</v>
      </c>
      <c r="BP17" s="100">
        <v>22</v>
      </c>
      <c r="BQ17" s="100">
        <v>9292.7999999999993</v>
      </c>
      <c r="BR17" s="100">
        <v>32</v>
      </c>
      <c r="BS17" s="100">
        <v>13516.8</v>
      </c>
      <c r="BT17" s="100">
        <v>32</v>
      </c>
      <c r="BU17" s="100">
        <v>13516.8</v>
      </c>
      <c r="BV17" s="100">
        <v>20</v>
      </c>
      <c r="BW17" s="100">
        <v>8448</v>
      </c>
      <c r="BX17" s="100">
        <v>17</v>
      </c>
      <c r="BY17" s="100">
        <v>7180.7999999999993</v>
      </c>
      <c r="BZ17" s="100">
        <v>28</v>
      </c>
      <c r="CA17" s="100">
        <v>11827.199999999999</v>
      </c>
      <c r="CB17" s="100">
        <v>33</v>
      </c>
      <c r="CC17" s="100">
        <v>13939.199999999999</v>
      </c>
      <c r="CD17" s="100">
        <v>24.93098113663515</v>
      </c>
      <c r="CE17" s="100">
        <v>10530.846432114688</v>
      </c>
      <c r="CF17" s="100">
        <v>25.748835016527202</v>
      </c>
      <c r="CG17" s="100">
        <v>10876.30791098109</v>
      </c>
      <c r="CH17" s="100">
        <v>29.222884185423727</v>
      </c>
      <c r="CI17" s="100">
        <v>12343.746279922982</v>
      </c>
      <c r="CJ17" s="100">
        <v>21.313286683048101</v>
      </c>
      <c r="CK17" s="100">
        <v>9002.7322949195168</v>
      </c>
      <c r="CL17" s="100">
        <v>22.292273510641085</v>
      </c>
      <c r="CM17" s="100">
        <v>9416.2563308947938</v>
      </c>
      <c r="CN17" s="100">
        <v>21.736029559406081</v>
      </c>
      <c r="CO17" s="100">
        <v>9181.2988858931276</v>
      </c>
      <c r="CP17" s="100">
        <v>20.551163203888684</v>
      </c>
      <c r="CQ17" s="100">
        <v>8680.8113373225806</v>
      </c>
      <c r="CR17" s="100">
        <v>19</v>
      </c>
      <c r="CS17" s="100">
        <v>8025.5999999999995</v>
      </c>
      <c r="CT17" s="100">
        <v>30</v>
      </c>
      <c r="CU17" s="100">
        <v>12672</v>
      </c>
    </row>
    <row r="18" spans="2:99">
      <c r="C18" s="99" t="s">
        <v>184</v>
      </c>
      <c r="D18" s="100">
        <v>16</v>
      </c>
      <c r="E18" s="100">
        <v>10444.799999999999</v>
      </c>
      <c r="F18" s="100">
        <v>21.471043400690689</v>
      </c>
      <c r="G18" s="100">
        <v>14016.297131970881</v>
      </c>
      <c r="H18" s="100">
        <v>13.990274623746261</v>
      </c>
      <c r="I18" s="100">
        <v>9132.8512743815591</v>
      </c>
      <c r="J18" s="100">
        <v>16.920791754861312</v>
      </c>
      <c r="K18" s="100">
        <v>11045.892857573464</v>
      </c>
      <c r="L18" s="100">
        <v>15.62411629715724</v>
      </c>
      <c r="M18" s="100">
        <v>10199.423118784245</v>
      </c>
      <c r="N18" s="100">
        <v>16</v>
      </c>
      <c r="O18" s="100">
        <v>10444.799999999999</v>
      </c>
      <c r="P18" s="100">
        <v>20</v>
      </c>
      <c r="Q18" s="100">
        <v>13056</v>
      </c>
      <c r="R18" s="100">
        <v>14</v>
      </c>
      <c r="S18" s="100">
        <v>9139.1999999999989</v>
      </c>
      <c r="T18" s="100">
        <v>20</v>
      </c>
      <c r="U18" s="100">
        <v>13056</v>
      </c>
      <c r="V18" s="100">
        <v>19.168041763554054</v>
      </c>
      <c r="W18" s="100">
        <v>12512.897663248086</v>
      </c>
      <c r="X18" s="100">
        <v>18</v>
      </c>
      <c r="Y18" s="100">
        <v>11750.4</v>
      </c>
      <c r="Z18" s="100">
        <v>23</v>
      </c>
      <c r="AA18" s="100">
        <v>15014.4</v>
      </c>
      <c r="AB18" s="100">
        <v>23</v>
      </c>
      <c r="AC18" s="100">
        <v>15014.4</v>
      </c>
      <c r="AD18" s="100">
        <v>15</v>
      </c>
      <c r="AE18" s="100">
        <v>9792</v>
      </c>
      <c r="AF18" s="100">
        <v>21</v>
      </c>
      <c r="AG18" s="100">
        <v>13708.8</v>
      </c>
      <c r="AH18" s="100">
        <v>25</v>
      </c>
      <c r="AI18" s="100">
        <v>16319.999999999998</v>
      </c>
      <c r="AJ18" s="100">
        <v>25</v>
      </c>
      <c r="AK18" s="100">
        <v>16319.999999999998</v>
      </c>
      <c r="AL18" s="100">
        <v>14</v>
      </c>
      <c r="AM18" s="100">
        <v>9139.1999999999989</v>
      </c>
      <c r="AN18" s="100">
        <v>20</v>
      </c>
      <c r="AO18" s="100">
        <v>13056</v>
      </c>
      <c r="AP18" s="100">
        <v>18</v>
      </c>
      <c r="AQ18" s="100">
        <v>11750.4</v>
      </c>
      <c r="AR18" s="100">
        <v>18</v>
      </c>
      <c r="AS18" s="100">
        <v>11750.4</v>
      </c>
      <c r="AT18" s="100">
        <v>22</v>
      </c>
      <c r="AU18" s="100">
        <v>14361.599999999999</v>
      </c>
      <c r="AV18" s="100">
        <v>26</v>
      </c>
      <c r="AW18" s="100">
        <v>16972.8</v>
      </c>
      <c r="AX18" s="100">
        <v>18</v>
      </c>
      <c r="AY18" s="100">
        <v>11750.4</v>
      </c>
      <c r="AZ18" s="100">
        <v>15</v>
      </c>
      <c r="BA18" s="100">
        <v>9792</v>
      </c>
      <c r="BB18" s="100">
        <v>16</v>
      </c>
      <c r="BC18" s="100">
        <v>10444.799999999999</v>
      </c>
      <c r="BD18" s="100">
        <v>22</v>
      </c>
      <c r="BE18" s="100">
        <v>14361.599999999999</v>
      </c>
      <c r="BF18" s="100">
        <v>17</v>
      </c>
      <c r="BG18" s="100">
        <v>11097.599999999999</v>
      </c>
      <c r="BH18" s="100">
        <v>16</v>
      </c>
      <c r="BI18" s="100">
        <v>10444.799999999999</v>
      </c>
      <c r="BJ18" s="100">
        <v>23</v>
      </c>
      <c r="BK18" s="100">
        <v>15014.4</v>
      </c>
      <c r="BL18" s="100">
        <v>21</v>
      </c>
      <c r="BM18" s="100">
        <v>13708.8</v>
      </c>
      <c r="BN18" s="100">
        <v>19</v>
      </c>
      <c r="BO18" s="100">
        <v>12403.199999999999</v>
      </c>
      <c r="BP18" s="100">
        <v>22</v>
      </c>
      <c r="BQ18" s="100">
        <v>14361.599999999999</v>
      </c>
      <c r="BR18" s="100">
        <v>29</v>
      </c>
      <c r="BS18" s="100">
        <v>18931.199999999997</v>
      </c>
      <c r="BT18" s="100">
        <v>31</v>
      </c>
      <c r="BU18" s="100">
        <v>20236.8</v>
      </c>
      <c r="BV18" s="100">
        <v>17</v>
      </c>
      <c r="BW18" s="100">
        <v>11097.599999999999</v>
      </c>
      <c r="BX18" s="100">
        <v>16</v>
      </c>
      <c r="BY18" s="100">
        <v>10444.799999999999</v>
      </c>
      <c r="BZ18" s="100">
        <v>31</v>
      </c>
      <c r="CA18" s="100">
        <v>20236.8</v>
      </c>
      <c r="CB18" s="100">
        <v>30</v>
      </c>
      <c r="CC18" s="100">
        <v>19584</v>
      </c>
      <c r="CD18" s="100">
        <v>21.939263400238929</v>
      </c>
      <c r="CE18" s="100">
        <v>14321.951147675971</v>
      </c>
      <c r="CF18" s="100">
        <v>27.588037517707715</v>
      </c>
      <c r="CG18" s="100">
        <v>18009.470891559595</v>
      </c>
      <c r="CH18" s="100">
        <v>26.566258350385208</v>
      </c>
      <c r="CI18" s="100">
        <v>17342.453451131463</v>
      </c>
      <c r="CJ18" s="100">
        <v>18.755692281082329</v>
      </c>
      <c r="CK18" s="100">
        <v>12243.715921090543</v>
      </c>
      <c r="CL18" s="100">
        <v>21.434878375616428</v>
      </c>
      <c r="CM18" s="100">
        <v>13992.688603602403</v>
      </c>
      <c r="CN18" s="100">
        <v>22.460563878052948</v>
      </c>
      <c r="CO18" s="100">
        <v>14662.256099592963</v>
      </c>
      <c r="CP18" s="100">
        <v>17.615282746190303</v>
      </c>
      <c r="CQ18" s="100">
        <v>11499.256576713029</v>
      </c>
      <c r="CR18" s="100">
        <v>17</v>
      </c>
      <c r="CS18" s="100">
        <v>11097.599999999999</v>
      </c>
      <c r="CT18" s="100">
        <v>31</v>
      </c>
      <c r="CU18" s="100">
        <v>20236.8</v>
      </c>
    </row>
    <row r="19" spans="2:99">
      <c r="C19" s="99" t="s">
        <v>185</v>
      </c>
      <c r="D19" s="100">
        <v>17</v>
      </c>
      <c r="E19" s="100">
        <v>5610</v>
      </c>
      <c r="F19" s="100">
        <v>22.329885136718314</v>
      </c>
      <c r="G19" s="100">
        <v>7368.8620951170433</v>
      </c>
      <c r="H19" s="100">
        <v>16.935595597166529</v>
      </c>
      <c r="I19" s="100">
        <v>5588.7465470649549</v>
      </c>
      <c r="J19" s="100">
        <v>15.449418558786416</v>
      </c>
      <c r="K19" s="100">
        <v>5098.3081243995175</v>
      </c>
      <c r="L19" s="100">
        <v>19.096142140969963</v>
      </c>
      <c r="M19" s="100">
        <v>6301.7269065200881</v>
      </c>
      <c r="N19" s="100">
        <v>15</v>
      </c>
      <c r="O19" s="100">
        <v>4950</v>
      </c>
      <c r="P19" s="100">
        <v>24</v>
      </c>
      <c r="Q19" s="100">
        <v>7920</v>
      </c>
      <c r="R19" s="100">
        <v>15</v>
      </c>
      <c r="S19" s="100">
        <v>4950</v>
      </c>
      <c r="T19" s="100">
        <v>22</v>
      </c>
      <c r="U19" s="100">
        <v>7260</v>
      </c>
      <c r="V19" s="100">
        <v>20.126443851731757</v>
      </c>
      <c r="W19" s="100">
        <v>6641.7264710714799</v>
      </c>
      <c r="X19" s="100">
        <v>20</v>
      </c>
      <c r="Y19" s="100">
        <v>6600</v>
      </c>
      <c r="Z19" s="100">
        <v>23</v>
      </c>
      <c r="AA19" s="100">
        <v>7590</v>
      </c>
      <c r="AB19" s="100">
        <v>25</v>
      </c>
      <c r="AC19" s="100">
        <v>8250</v>
      </c>
      <c r="AD19" s="100">
        <v>16</v>
      </c>
      <c r="AE19" s="100">
        <v>5280</v>
      </c>
      <c r="AF19" s="100">
        <v>22</v>
      </c>
      <c r="AG19" s="100">
        <v>7260</v>
      </c>
      <c r="AH19" s="100">
        <v>23</v>
      </c>
      <c r="AI19" s="100">
        <v>7590</v>
      </c>
      <c r="AJ19" s="100">
        <v>29</v>
      </c>
      <c r="AK19" s="100">
        <v>9570</v>
      </c>
      <c r="AL19" s="100">
        <v>14</v>
      </c>
      <c r="AM19" s="100">
        <v>4620</v>
      </c>
      <c r="AN19" s="100">
        <v>22</v>
      </c>
      <c r="AO19" s="100">
        <v>7260</v>
      </c>
      <c r="AP19" s="100">
        <v>18</v>
      </c>
      <c r="AQ19" s="100">
        <v>5940</v>
      </c>
      <c r="AR19" s="100">
        <v>18</v>
      </c>
      <c r="AS19" s="100">
        <v>5940</v>
      </c>
      <c r="AT19" s="100">
        <v>22</v>
      </c>
      <c r="AU19" s="100">
        <v>7260</v>
      </c>
      <c r="AV19" s="100">
        <v>25</v>
      </c>
      <c r="AW19" s="100">
        <v>8250</v>
      </c>
      <c r="AX19" s="100">
        <v>17</v>
      </c>
      <c r="AY19" s="100">
        <v>5610</v>
      </c>
      <c r="AZ19" s="100">
        <v>15</v>
      </c>
      <c r="BA19" s="100">
        <v>4950</v>
      </c>
      <c r="BB19" s="100">
        <v>16</v>
      </c>
      <c r="BC19" s="100">
        <v>5280</v>
      </c>
      <c r="BD19" s="100">
        <v>22</v>
      </c>
      <c r="BE19" s="100">
        <v>7260</v>
      </c>
      <c r="BF19" s="100">
        <v>19</v>
      </c>
      <c r="BG19" s="100">
        <v>6270</v>
      </c>
      <c r="BH19" s="100">
        <v>16</v>
      </c>
      <c r="BI19" s="100">
        <v>5280</v>
      </c>
      <c r="BJ19" s="100">
        <v>23</v>
      </c>
      <c r="BK19" s="100">
        <v>7590</v>
      </c>
      <c r="BL19" s="100">
        <v>20</v>
      </c>
      <c r="BM19" s="100">
        <v>6600</v>
      </c>
      <c r="BN19" s="100">
        <v>19</v>
      </c>
      <c r="BO19" s="100">
        <v>6270</v>
      </c>
      <c r="BP19" s="100">
        <v>26</v>
      </c>
      <c r="BQ19" s="100">
        <v>8580</v>
      </c>
      <c r="BR19" s="100">
        <v>32</v>
      </c>
      <c r="BS19" s="100">
        <v>10560</v>
      </c>
      <c r="BT19" s="100">
        <v>28</v>
      </c>
      <c r="BU19" s="100">
        <v>9240</v>
      </c>
      <c r="BV19" s="100">
        <v>18</v>
      </c>
      <c r="BW19" s="100">
        <v>5940</v>
      </c>
      <c r="BX19" s="100">
        <v>16</v>
      </c>
      <c r="BY19" s="100">
        <v>5280</v>
      </c>
      <c r="BZ19" s="100">
        <v>29</v>
      </c>
      <c r="CA19" s="100">
        <v>9570</v>
      </c>
      <c r="CB19" s="100">
        <v>33</v>
      </c>
      <c r="CC19" s="100">
        <v>10890</v>
      </c>
      <c r="CD19" s="100">
        <v>26.92545962756596</v>
      </c>
      <c r="CE19" s="100">
        <v>8885.4016770967664</v>
      </c>
      <c r="CF19" s="100">
        <v>30.346841269478489</v>
      </c>
      <c r="CG19" s="100">
        <v>10014.457618927901</v>
      </c>
      <c r="CH19" s="100">
        <v>27.451800295398048</v>
      </c>
      <c r="CI19" s="100">
        <v>9059.0940974813566</v>
      </c>
      <c r="CJ19" s="100">
        <v>20.460755215726177</v>
      </c>
      <c r="CK19" s="100">
        <v>6752.049221189638</v>
      </c>
      <c r="CL19" s="100">
        <v>24.007063780690398</v>
      </c>
      <c r="CM19" s="100">
        <v>7922.3310476278311</v>
      </c>
      <c r="CN19" s="100">
        <v>24.634166833993557</v>
      </c>
      <c r="CO19" s="100">
        <v>8129.2750552178741</v>
      </c>
      <c r="CP19" s="100">
        <v>22.508416842354276</v>
      </c>
      <c r="CQ19" s="100">
        <v>7427.7775579769113</v>
      </c>
      <c r="CR19" s="100">
        <v>19</v>
      </c>
      <c r="CS19" s="100">
        <v>6270</v>
      </c>
      <c r="CT19" s="100">
        <v>30</v>
      </c>
      <c r="CU19" s="100">
        <v>9900</v>
      </c>
    </row>
    <row r="20" spans="2:99">
      <c r="B20" s="99" t="s">
        <v>127</v>
      </c>
      <c r="C20" s="99" t="s">
        <v>186</v>
      </c>
      <c r="D20" s="100">
        <v>16</v>
      </c>
      <c r="E20" s="100">
        <v>4588.8</v>
      </c>
      <c r="F20" s="100">
        <v>16.317992984524921</v>
      </c>
      <c r="G20" s="100">
        <v>4680.000387961747</v>
      </c>
      <c r="H20" s="100">
        <v>19.880916570586795</v>
      </c>
      <c r="I20" s="100">
        <v>5701.8468724442928</v>
      </c>
      <c r="J20" s="100">
        <v>19.127851548973659</v>
      </c>
      <c r="K20" s="100">
        <v>5485.8678242456454</v>
      </c>
      <c r="L20" s="100">
        <v>19.964148601923142</v>
      </c>
      <c r="M20" s="100">
        <v>5725.7178190315572</v>
      </c>
      <c r="N20" s="100">
        <v>26</v>
      </c>
      <c r="O20" s="100">
        <v>7456.8</v>
      </c>
      <c r="P20" s="100">
        <v>21</v>
      </c>
      <c r="Q20" s="100">
        <v>6022.8</v>
      </c>
      <c r="R20" s="100">
        <v>29</v>
      </c>
      <c r="S20" s="100">
        <v>8317.2000000000007</v>
      </c>
      <c r="T20" s="100">
        <v>19</v>
      </c>
      <c r="U20" s="100">
        <v>5449.2</v>
      </c>
      <c r="V20" s="100">
        <v>23.960052204442569</v>
      </c>
      <c r="W20" s="100">
        <v>6871.7429722341294</v>
      </c>
      <c r="X20" s="100">
        <v>18</v>
      </c>
      <c r="Y20" s="100">
        <v>5162.4000000000005</v>
      </c>
      <c r="Z20" s="100">
        <v>21</v>
      </c>
      <c r="AA20" s="100">
        <v>6022.8</v>
      </c>
      <c r="AB20" s="100">
        <v>17</v>
      </c>
      <c r="AC20" s="100">
        <v>4875.6000000000004</v>
      </c>
      <c r="AD20" s="100">
        <v>16</v>
      </c>
      <c r="AE20" s="100">
        <v>4588.8</v>
      </c>
      <c r="AF20" s="100">
        <v>18</v>
      </c>
      <c r="AG20" s="100">
        <v>5162.4000000000005</v>
      </c>
      <c r="AH20" s="100">
        <v>21</v>
      </c>
      <c r="AI20" s="100">
        <v>6022.8</v>
      </c>
      <c r="AJ20" s="100">
        <v>15</v>
      </c>
      <c r="AK20" s="100">
        <v>4302</v>
      </c>
      <c r="AL20" s="100">
        <v>14</v>
      </c>
      <c r="AM20" s="100">
        <v>4015.2000000000003</v>
      </c>
      <c r="AN20" s="100">
        <v>22</v>
      </c>
      <c r="AO20" s="100">
        <v>6309.6</v>
      </c>
      <c r="AP20" s="100">
        <v>25</v>
      </c>
      <c r="AQ20" s="100">
        <v>7170</v>
      </c>
      <c r="AR20" s="100">
        <v>28</v>
      </c>
      <c r="AS20" s="100">
        <v>8030.4000000000005</v>
      </c>
      <c r="AT20" s="100">
        <v>23</v>
      </c>
      <c r="AU20" s="100">
        <v>6596.4000000000005</v>
      </c>
      <c r="AV20" s="100">
        <v>22</v>
      </c>
      <c r="AW20" s="100">
        <v>6309.6</v>
      </c>
      <c r="AX20" s="100">
        <v>17</v>
      </c>
      <c r="AY20" s="100">
        <v>4875.6000000000004</v>
      </c>
      <c r="AZ20" s="100">
        <v>23</v>
      </c>
      <c r="BA20" s="100">
        <v>6596.4000000000005</v>
      </c>
      <c r="BB20" s="100">
        <v>22</v>
      </c>
      <c r="BC20" s="100">
        <v>6309.6</v>
      </c>
      <c r="BD20" s="100">
        <v>21</v>
      </c>
      <c r="BE20" s="100">
        <v>6022.8</v>
      </c>
      <c r="BF20" s="100">
        <v>26</v>
      </c>
      <c r="BG20" s="100">
        <v>7456.8</v>
      </c>
      <c r="BH20" s="100">
        <v>19</v>
      </c>
      <c r="BI20" s="100">
        <v>5449.2</v>
      </c>
      <c r="BJ20" s="100">
        <v>18</v>
      </c>
      <c r="BK20" s="100">
        <v>5162.4000000000005</v>
      </c>
      <c r="BL20" s="100">
        <v>24</v>
      </c>
      <c r="BM20" s="100">
        <v>6883.2000000000007</v>
      </c>
      <c r="BN20" s="100">
        <v>29</v>
      </c>
      <c r="BO20" s="100">
        <v>8317.2000000000007</v>
      </c>
      <c r="BP20" s="100">
        <v>19</v>
      </c>
      <c r="BQ20" s="100">
        <v>5449.2</v>
      </c>
      <c r="BR20" s="100">
        <v>18</v>
      </c>
      <c r="BS20" s="100">
        <v>5162.4000000000005</v>
      </c>
      <c r="BT20" s="100">
        <v>25</v>
      </c>
      <c r="BU20" s="100">
        <v>7170</v>
      </c>
      <c r="BV20" s="100">
        <v>22</v>
      </c>
      <c r="BW20" s="100">
        <v>6309.6</v>
      </c>
      <c r="BX20" s="100">
        <v>27</v>
      </c>
      <c r="BY20" s="100">
        <v>7743.6</v>
      </c>
      <c r="BZ20" s="100">
        <v>25</v>
      </c>
      <c r="CA20" s="100">
        <v>7170</v>
      </c>
      <c r="CB20" s="100">
        <v>18</v>
      </c>
      <c r="CC20" s="100">
        <v>5162.4000000000005</v>
      </c>
      <c r="CD20" s="100">
        <v>22.936502645704337</v>
      </c>
      <c r="CE20" s="100">
        <v>6578.1889587880041</v>
      </c>
      <c r="CF20" s="100">
        <v>23.909632515346686</v>
      </c>
      <c r="CG20" s="100">
        <v>6857.2826054014304</v>
      </c>
      <c r="CH20" s="100">
        <v>16.825296955243964</v>
      </c>
      <c r="CI20" s="100">
        <v>4825.4951667639689</v>
      </c>
      <c r="CJ20" s="100">
        <v>23.87088108501387</v>
      </c>
      <c r="CK20" s="100">
        <v>6846.1686951819784</v>
      </c>
      <c r="CL20" s="100">
        <v>21.434878375616428</v>
      </c>
      <c r="CM20" s="100">
        <v>6147.5231181267918</v>
      </c>
      <c r="CN20" s="100">
        <v>21.736029559406081</v>
      </c>
      <c r="CO20" s="100">
        <v>6233.8932776376641</v>
      </c>
      <c r="CP20" s="100">
        <v>24.465670480819863</v>
      </c>
      <c r="CQ20" s="100">
        <v>7016.7542938991373</v>
      </c>
      <c r="CR20" s="100">
        <v>22</v>
      </c>
      <c r="CS20" s="100">
        <v>6309.6</v>
      </c>
      <c r="CT20" s="100">
        <v>18</v>
      </c>
      <c r="CU20" s="100">
        <v>5162.4000000000005</v>
      </c>
    </row>
    <row r="21" spans="2:99">
      <c r="C21" s="99" t="s">
        <v>187</v>
      </c>
      <c r="D21" s="100">
        <v>17</v>
      </c>
      <c r="E21" s="100">
        <v>1060.8</v>
      </c>
      <c r="F21" s="100">
        <v>19.75335992863543</v>
      </c>
      <c r="G21" s="100">
        <v>1232.6096595468507</v>
      </c>
      <c r="H21" s="100">
        <v>16.935595597166529</v>
      </c>
      <c r="I21" s="100">
        <v>1056.7811652631913</v>
      </c>
      <c r="J21" s="100">
        <v>19.127851548973659</v>
      </c>
      <c r="K21" s="100">
        <v>1193.5779366559564</v>
      </c>
      <c r="L21" s="100">
        <v>23.436174445735858</v>
      </c>
      <c r="M21" s="100">
        <v>1462.4172854139176</v>
      </c>
      <c r="N21" s="100">
        <v>23</v>
      </c>
      <c r="O21" s="100">
        <v>1435.2</v>
      </c>
      <c r="P21" s="100">
        <v>21</v>
      </c>
      <c r="Q21" s="100">
        <v>1310.3999999999999</v>
      </c>
      <c r="R21" s="100">
        <v>30</v>
      </c>
      <c r="S21" s="100">
        <v>1872</v>
      </c>
      <c r="T21" s="100">
        <v>20</v>
      </c>
      <c r="U21" s="100">
        <v>1248</v>
      </c>
      <c r="V21" s="100">
        <v>23.960052204442569</v>
      </c>
      <c r="W21" s="100">
        <v>1495.1072575572164</v>
      </c>
      <c r="X21" s="100">
        <v>20</v>
      </c>
      <c r="Y21" s="100">
        <v>1248</v>
      </c>
      <c r="Z21" s="100">
        <v>20</v>
      </c>
      <c r="AA21" s="100">
        <v>1248</v>
      </c>
      <c r="AB21" s="100">
        <v>19</v>
      </c>
      <c r="AC21" s="100">
        <v>1185.5999999999999</v>
      </c>
      <c r="AD21" s="100">
        <v>17</v>
      </c>
      <c r="AE21" s="100">
        <v>1060.8</v>
      </c>
      <c r="AF21" s="100">
        <v>19</v>
      </c>
      <c r="AG21" s="100">
        <v>1185.5999999999999</v>
      </c>
      <c r="AH21" s="100">
        <v>24</v>
      </c>
      <c r="AI21" s="100">
        <v>1497.6</v>
      </c>
      <c r="AJ21" s="100">
        <v>15</v>
      </c>
      <c r="AK21" s="100">
        <v>936</v>
      </c>
      <c r="AL21" s="100">
        <v>14</v>
      </c>
      <c r="AM21" s="100">
        <v>873.6</v>
      </c>
      <c r="AN21" s="100">
        <v>21</v>
      </c>
      <c r="AO21" s="100">
        <v>1310.3999999999999</v>
      </c>
      <c r="AP21" s="100">
        <v>30</v>
      </c>
      <c r="AQ21" s="100">
        <v>1872</v>
      </c>
      <c r="AR21" s="100">
        <v>26</v>
      </c>
      <c r="AS21" s="100">
        <v>1622.3999999999999</v>
      </c>
      <c r="AT21" s="100">
        <v>26</v>
      </c>
      <c r="AU21" s="100">
        <v>1622.3999999999999</v>
      </c>
      <c r="AV21" s="100">
        <v>22</v>
      </c>
      <c r="AW21" s="100">
        <v>1372.8</v>
      </c>
      <c r="AX21" s="100">
        <v>17</v>
      </c>
      <c r="AY21" s="100">
        <v>1060.8</v>
      </c>
      <c r="AZ21" s="100">
        <v>22</v>
      </c>
      <c r="BA21" s="100">
        <v>1372.8</v>
      </c>
      <c r="BB21" s="100">
        <v>23</v>
      </c>
      <c r="BC21" s="100">
        <v>1435.2</v>
      </c>
      <c r="BD21" s="100">
        <v>20</v>
      </c>
      <c r="BE21" s="100">
        <v>1248</v>
      </c>
      <c r="BF21" s="100">
        <v>31</v>
      </c>
      <c r="BG21" s="100">
        <v>1934.3999999999999</v>
      </c>
      <c r="BH21" s="100">
        <v>21</v>
      </c>
      <c r="BI21" s="100">
        <v>1310.3999999999999</v>
      </c>
      <c r="BJ21" s="100">
        <v>19</v>
      </c>
      <c r="BK21" s="100">
        <v>1185.5999999999999</v>
      </c>
      <c r="BL21" s="100">
        <v>23</v>
      </c>
      <c r="BM21" s="100">
        <v>1435.2</v>
      </c>
      <c r="BN21" s="100">
        <v>27</v>
      </c>
      <c r="BO21" s="100">
        <v>1684.8</v>
      </c>
      <c r="BP21" s="100">
        <v>17</v>
      </c>
      <c r="BQ21" s="100">
        <v>1060.8</v>
      </c>
      <c r="BR21" s="100">
        <v>20</v>
      </c>
      <c r="BS21" s="100">
        <v>1248</v>
      </c>
      <c r="BT21" s="100">
        <v>24</v>
      </c>
      <c r="BU21" s="100">
        <v>1497.6</v>
      </c>
      <c r="BV21" s="100">
        <v>24</v>
      </c>
      <c r="BW21" s="100">
        <v>1497.6</v>
      </c>
      <c r="BX21" s="100">
        <v>30</v>
      </c>
      <c r="BY21" s="100">
        <v>1872</v>
      </c>
      <c r="BZ21" s="100">
        <v>27</v>
      </c>
      <c r="CA21" s="100">
        <v>1684.8</v>
      </c>
      <c r="CB21" s="100">
        <v>18</v>
      </c>
      <c r="CC21" s="100">
        <v>1123.2</v>
      </c>
      <c r="CD21" s="100">
        <v>22.936502645704337</v>
      </c>
      <c r="CE21" s="100">
        <v>1431.2377650919507</v>
      </c>
      <c r="CF21" s="100">
        <v>22.070430014166174</v>
      </c>
      <c r="CG21" s="100">
        <v>1377.1948328839692</v>
      </c>
      <c r="CH21" s="100">
        <v>19.481922790282486</v>
      </c>
      <c r="CI21" s="100">
        <v>1215.6719821136271</v>
      </c>
      <c r="CJ21" s="100">
        <v>23.87088108501387</v>
      </c>
      <c r="CK21" s="100">
        <v>1489.5429797048655</v>
      </c>
      <c r="CL21" s="100">
        <v>24.007063780690398</v>
      </c>
      <c r="CM21" s="100">
        <v>1498.0407799150807</v>
      </c>
      <c r="CN21" s="100">
        <v>24.634166833993557</v>
      </c>
      <c r="CO21" s="100">
        <v>1537.1720104411979</v>
      </c>
      <c r="CP21" s="100">
        <v>24.465670480819863</v>
      </c>
      <c r="CQ21" s="100">
        <v>1526.6578380031594</v>
      </c>
      <c r="CR21" s="100">
        <v>24</v>
      </c>
      <c r="CS21" s="100">
        <v>1497.6</v>
      </c>
      <c r="CT21" s="100">
        <v>17</v>
      </c>
      <c r="CU21" s="100">
        <v>1060.8</v>
      </c>
    </row>
    <row r="22" spans="2:99">
      <c r="C22" s="99" t="s">
        <v>188</v>
      </c>
      <c r="D22" s="100">
        <v>16</v>
      </c>
      <c r="E22" s="100">
        <v>2995.2</v>
      </c>
      <c r="F22" s="100">
        <v>17.176834720552549</v>
      </c>
      <c r="G22" s="100">
        <v>3215.503459687437</v>
      </c>
      <c r="H22" s="100">
        <v>19.144586327231728</v>
      </c>
      <c r="I22" s="100">
        <v>3583.8665604577791</v>
      </c>
      <c r="J22" s="100">
        <v>18.392164950936209</v>
      </c>
      <c r="K22" s="100">
        <v>3443.0132788152582</v>
      </c>
      <c r="L22" s="100">
        <v>19.964148601923142</v>
      </c>
      <c r="M22" s="100">
        <v>3737.2886182800121</v>
      </c>
      <c r="N22" s="100">
        <v>23</v>
      </c>
      <c r="O22" s="100">
        <v>4305.5999999999995</v>
      </c>
      <c r="P22" s="100">
        <v>23</v>
      </c>
      <c r="Q22" s="100">
        <v>4305.5999999999995</v>
      </c>
      <c r="R22" s="100">
        <v>28</v>
      </c>
      <c r="S22" s="100">
        <v>5241.5999999999995</v>
      </c>
      <c r="T22" s="100">
        <v>19</v>
      </c>
      <c r="U22" s="100">
        <v>3556.7999999999997</v>
      </c>
      <c r="V22" s="100">
        <v>24.918454292620272</v>
      </c>
      <c r="W22" s="100">
        <v>4664.7346435785148</v>
      </c>
      <c r="X22" s="100">
        <v>19</v>
      </c>
      <c r="Y22" s="100">
        <v>3556.7999999999997</v>
      </c>
      <c r="Z22" s="100">
        <v>22</v>
      </c>
      <c r="AA22" s="100">
        <v>4118.3999999999996</v>
      </c>
      <c r="AB22" s="100">
        <v>18</v>
      </c>
      <c r="AC22" s="100">
        <v>3369.6</v>
      </c>
      <c r="AD22" s="100">
        <v>16</v>
      </c>
      <c r="AE22" s="100">
        <v>2995.2</v>
      </c>
      <c r="AF22" s="100">
        <v>17</v>
      </c>
      <c r="AG22" s="100">
        <v>3182.3999999999996</v>
      </c>
      <c r="AH22" s="100">
        <v>22</v>
      </c>
      <c r="AI22" s="100">
        <v>4118.3999999999996</v>
      </c>
      <c r="AJ22" s="100">
        <v>16</v>
      </c>
      <c r="AK22" s="100">
        <v>2995.2</v>
      </c>
      <c r="AL22" s="100">
        <v>17</v>
      </c>
      <c r="AM22" s="100">
        <v>3182.3999999999996</v>
      </c>
      <c r="AN22" s="100">
        <v>22</v>
      </c>
      <c r="AO22" s="100">
        <v>4118.3999999999996</v>
      </c>
      <c r="AP22" s="100">
        <v>30</v>
      </c>
      <c r="AQ22" s="100">
        <v>5616</v>
      </c>
      <c r="AR22" s="100">
        <v>26</v>
      </c>
      <c r="AS22" s="100">
        <v>4867.2</v>
      </c>
      <c r="AT22" s="100">
        <v>26</v>
      </c>
      <c r="AU22" s="100">
        <v>4867.2</v>
      </c>
      <c r="AV22" s="100">
        <v>23</v>
      </c>
      <c r="AW22" s="100">
        <v>4305.5999999999995</v>
      </c>
      <c r="AX22" s="100">
        <v>18</v>
      </c>
      <c r="AY22" s="100">
        <v>3369.6</v>
      </c>
      <c r="AZ22" s="100">
        <v>20</v>
      </c>
      <c r="BA22" s="100">
        <v>3744</v>
      </c>
      <c r="BB22" s="100">
        <v>22</v>
      </c>
      <c r="BC22" s="100">
        <v>4118.3999999999996</v>
      </c>
      <c r="BD22" s="100">
        <v>20</v>
      </c>
      <c r="BE22" s="100">
        <v>3744</v>
      </c>
      <c r="BF22" s="100">
        <v>28</v>
      </c>
      <c r="BG22" s="100">
        <v>5241.5999999999995</v>
      </c>
      <c r="BH22" s="100">
        <v>20</v>
      </c>
      <c r="BI22" s="100">
        <v>3744</v>
      </c>
      <c r="BJ22" s="100">
        <v>16</v>
      </c>
      <c r="BK22" s="100">
        <v>2995.2</v>
      </c>
      <c r="BL22" s="100">
        <v>23</v>
      </c>
      <c r="BM22" s="100">
        <v>4305.5999999999995</v>
      </c>
      <c r="BN22" s="100">
        <v>29</v>
      </c>
      <c r="BO22" s="100">
        <v>5428.7999999999993</v>
      </c>
      <c r="BP22" s="100">
        <v>18</v>
      </c>
      <c r="BQ22" s="100">
        <v>3369.6</v>
      </c>
      <c r="BR22" s="100">
        <v>19</v>
      </c>
      <c r="BS22" s="100">
        <v>3556.7999999999997</v>
      </c>
      <c r="BT22" s="100">
        <v>25</v>
      </c>
      <c r="BU22" s="100">
        <v>4680</v>
      </c>
      <c r="BV22" s="100">
        <v>24</v>
      </c>
      <c r="BW22" s="100">
        <v>4492.7999999999993</v>
      </c>
      <c r="BX22" s="100">
        <v>28</v>
      </c>
      <c r="BY22" s="100">
        <v>5241.5999999999995</v>
      </c>
      <c r="BZ22" s="100">
        <v>25</v>
      </c>
      <c r="CA22" s="100">
        <v>4680</v>
      </c>
      <c r="CB22" s="100">
        <v>17</v>
      </c>
      <c r="CC22" s="100">
        <v>3182.3999999999996</v>
      </c>
      <c r="CD22" s="100">
        <v>23.933741891169742</v>
      </c>
      <c r="CE22" s="100">
        <v>4480.3964820269757</v>
      </c>
      <c r="CF22" s="100">
        <v>24.829233765936941</v>
      </c>
      <c r="CG22" s="100">
        <v>4648.0325609833953</v>
      </c>
      <c r="CH22" s="100">
        <v>17.710838900256803</v>
      </c>
      <c r="CI22" s="100">
        <v>3315.4690421280734</v>
      </c>
      <c r="CJ22" s="100">
        <v>23.87088108501387</v>
      </c>
      <c r="CK22" s="100">
        <v>4468.6289391145965</v>
      </c>
      <c r="CL22" s="100">
        <v>23.149668645665741</v>
      </c>
      <c r="CM22" s="100">
        <v>4333.6179704686265</v>
      </c>
      <c r="CN22" s="100">
        <v>23.909632515346686</v>
      </c>
      <c r="CO22" s="100">
        <v>4475.8832068728998</v>
      </c>
      <c r="CP22" s="100">
        <v>27.401550938518252</v>
      </c>
      <c r="CQ22" s="100">
        <v>5129.570335690616</v>
      </c>
      <c r="CR22" s="100">
        <v>23</v>
      </c>
      <c r="CS22" s="100">
        <v>4305.5999999999995</v>
      </c>
      <c r="CT22" s="100">
        <v>20</v>
      </c>
      <c r="CU22" s="100">
        <v>3744</v>
      </c>
    </row>
    <row r="23" spans="2:99">
      <c r="C23" s="99" t="s">
        <v>189</v>
      </c>
      <c r="D23" s="100">
        <v>19</v>
      </c>
      <c r="E23" s="100">
        <v>5586</v>
      </c>
      <c r="F23" s="100">
        <v>17.176834720552549</v>
      </c>
      <c r="G23" s="100">
        <v>5049.9894078424495</v>
      </c>
      <c r="H23" s="100">
        <v>19.880916570586795</v>
      </c>
      <c r="I23" s="100">
        <v>5844.9894717525176</v>
      </c>
      <c r="J23" s="100">
        <v>17.656478352898763</v>
      </c>
      <c r="K23" s="100">
        <v>5191.004635752236</v>
      </c>
      <c r="L23" s="100">
        <v>22.568167984782679</v>
      </c>
      <c r="M23" s="100">
        <v>6635.0413875261074</v>
      </c>
      <c r="N23" s="100">
        <v>23</v>
      </c>
      <c r="O23" s="100">
        <v>6762</v>
      </c>
      <c r="P23" s="100">
        <v>21</v>
      </c>
      <c r="Q23" s="100">
        <v>6174</v>
      </c>
      <c r="R23" s="100">
        <v>31</v>
      </c>
      <c r="S23" s="100">
        <v>9114</v>
      </c>
      <c r="T23" s="100">
        <v>18</v>
      </c>
      <c r="U23" s="100">
        <v>5292</v>
      </c>
      <c r="V23" s="100">
        <v>23.001650116264866</v>
      </c>
      <c r="W23" s="100">
        <v>6762.4851341818703</v>
      </c>
      <c r="X23" s="100">
        <v>20</v>
      </c>
      <c r="Y23" s="100">
        <v>5880</v>
      </c>
      <c r="Z23" s="100">
        <v>20</v>
      </c>
      <c r="AA23" s="100">
        <v>5880</v>
      </c>
      <c r="AB23" s="100">
        <v>19</v>
      </c>
      <c r="AC23" s="100">
        <v>5586</v>
      </c>
      <c r="AD23" s="100">
        <v>17</v>
      </c>
      <c r="AE23" s="100">
        <v>4998</v>
      </c>
      <c r="AF23" s="100">
        <v>19</v>
      </c>
      <c r="AG23" s="100">
        <v>5586</v>
      </c>
      <c r="AH23" s="100">
        <v>21</v>
      </c>
      <c r="AI23" s="100">
        <v>6174</v>
      </c>
      <c r="AJ23" s="100">
        <v>14</v>
      </c>
      <c r="AK23" s="100">
        <v>4116</v>
      </c>
      <c r="AL23" s="100">
        <v>14</v>
      </c>
      <c r="AM23" s="100">
        <v>4116</v>
      </c>
      <c r="AN23" s="100">
        <v>22</v>
      </c>
      <c r="AO23" s="100">
        <v>6468</v>
      </c>
      <c r="AP23" s="100">
        <v>26</v>
      </c>
      <c r="AQ23" s="100">
        <v>7644</v>
      </c>
      <c r="AR23" s="100">
        <v>26</v>
      </c>
      <c r="AS23" s="100">
        <v>7644</v>
      </c>
      <c r="AT23" s="100">
        <v>27</v>
      </c>
      <c r="AU23" s="100">
        <v>7938</v>
      </c>
      <c r="AV23" s="100">
        <v>22</v>
      </c>
      <c r="AW23" s="100">
        <v>6468</v>
      </c>
      <c r="AX23" s="100">
        <v>20</v>
      </c>
      <c r="AY23" s="100">
        <v>5880</v>
      </c>
      <c r="AZ23" s="100">
        <v>24</v>
      </c>
      <c r="BA23" s="100">
        <v>7056</v>
      </c>
      <c r="BB23" s="100">
        <v>19</v>
      </c>
      <c r="BC23" s="100">
        <v>5586</v>
      </c>
      <c r="BD23" s="100">
        <v>21</v>
      </c>
      <c r="BE23" s="100">
        <v>6174</v>
      </c>
      <c r="BF23" s="100">
        <v>28</v>
      </c>
      <c r="BG23" s="100">
        <v>8232</v>
      </c>
      <c r="BH23" s="100">
        <v>19</v>
      </c>
      <c r="BI23" s="100">
        <v>5586</v>
      </c>
      <c r="BJ23" s="100">
        <v>18</v>
      </c>
      <c r="BK23" s="100">
        <v>5292</v>
      </c>
      <c r="BL23" s="100">
        <v>22</v>
      </c>
      <c r="BM23" s="100">
        <v>6468</v>
      </c>
      <c r="BN23" s="100">
        <v>30</v>
      </c>
      <c r="BO23" s="100">
        <v>8820</v>
      </c>
      <c r="BP23" s="100">
        <v>17</v>
      </c>
      <c r="BQ23" s="100">
        <v>4998</v>
      </c>
      <c r="BR23" s="100">
        <v>17</v>
      </c>
      <c r="BS23" s="100">
        <v>4998</v>
      </c>
      <c r="BT23" s="100">
        <v>26</v>
      </c>
      <c r="BU23" s="100">
        <v>7644</v>
      </c>
      <c r="BV23" s="100">
        <v>27</v>
      </c>
      <c r="BW23" s="100">
        <v>7938</v>
      </c>
      <c r="BX23" s="100">
        <v>26</v>
      </c>
      <c r="BY23" s="100">
        <v>7644</v>
      </c>
      <c r="BZ23" s="100">
        <v>26</v>
      </c>
      <c r="CA23" s="100">
        <v>7644</v>
      </c>
      <c r="CB23" s="100">
        <v>16</v>
      </c>
      <c r="CC23" s="100">
        <v>4704</v>
      </c>
      <c r="CD23" s="100">
        <v>23.933741891169742</v>
      </c>
      <c r="CE23" s="100">
        <v>7036.5201160039041</v>
      </c>
      <c r="CF23" s="100">
        <v>21.150828763575912</v>
      </c>
      <c r="CG23" s="100">
        <v>6218.3436564913181</v>
      </c>
      <c r="CH23" s="100">
        <v>17.710838900256803</v>
      </c>
      <c r="CI23" s="100">
        <v>5206.9866366755004</v>
      </c>
      <c r="CJ23" s="100">
        <v>23.87088108501387</v>
      </c>
      <c r="CK23" s="100">
        <v>7018.0390389940776</v>
      </c>
      <c r="CL23" s="100">
        <v>22.292273510641085</v>
      </c>
      <c r="CM23" s="100">
        <v>6553.9284121284791</v>
      </c>
      <c r="CN23" s="100">
        <v>23.909632515346686</v>
      </c>
      <c r="CO23" s="100">
        <v>7029.4319595119259</v>
      </c>
      <c r="CP23" s="100">
        <v>27.401550938518252</v>
      </c>
      <c r="CQ23" s="100">
        <v>8056.0559759243661</v>
      </c>
      <c r="CR23" s="100">
        <v>22</v>
      </c>
      <c r="CS23" s="100">
        <v>6468</v>
      </c>
      <c r="CT23" s="100">
        <v>16</v>
      </c>
      <c r="CU23" s="100">
        <v>4704</v>
      </c>
    </row>
    <row r="24" spans="2:99">
      <c r="C24" s="99" t="s">
        <v>190</v>
      </c>
      <c r="D24" s="100">
        <v>16</v>
      </c>
      <c r="E24" s="100">
        <v>5875.2</v>
      </c>
      <c r="F24" s="100">
        <v>18.035676456580177</v>
      </c>
      <c r="G24" s="100">
        <v>6622.7003948562406</v>
      </c>
      <c r="H24" s="100">
        <v>16.935595597166529</v>
      </c>
      <c r="I24" s="100">
        <v>6218.7507032795493</v>
      </c>
      <c r="J24" s="100">
        <v>19.863538147011106</v>
      </c>
      <c r="K24" s="100">
        <v>7293.8912075824774</v>
      </c>
      <c r="L24" s="100">
        <v>20.832155062876321</v>
      </c>
      <c r="M24" s="100">
        <v>7649.5673390881848</v>
      </c>
      <c r="N24" s="100">
        <v>25</v>
      </c>
      <c r="O24" s="100">
        <v>9180</v>
      </c>
      <c r="P24" s="100">
        <v>20</v>
      </c>
      <c r="Q24" s="100">
        <v>7344</v>
      </c>
      <c r="R24" s="100">
        <v>29</v>
      </c>
      <c r="S24" s="100">
        <v>10648.8</v>
      </c>
      <c r="T24" s="100">
        <v>18</v>
      </c>
      <c r="U24" s="100">
        <v>6609.5999999999995</v>
      </c>
      <c r="V24" s="100">
        <v>22.043248028087163</v>
      </c>
      <c r="W24" s="100">
        <v>8094.2806759136056</v>
      </c>
      <c r="X24" s="100">
        <v>19</v>
      </c>
      <c r="Y24" s="100">
        <v>6976.8</v>
      </c>
      <c r="Z24" s="100">
        <v>20</v>
      </c>
      <c r="AA24" s="100">
        <v>7344</v>
      </c>
      <c r="AB24" s="100">
        <v>19</v>
      </c>
      <c r="AC24" s="100">
        <v>6976.8</v>
      </c>
      <c r="AD24" s="100">
        <v>17</v>
      </c>
      <c r="AE24" s="100">
        <v>6242.4</v>
      </c>
      <c r="AF24" s="100">
        <v>17</v>
      </c>
      <c r="AG24" s="100">
        <v>6242.4</v>
      </c>
      <c r="AH24" s="100">
        <v>20</v>
      </c>
      <c r="AI24" s="100">
        <v>7344</v>
      </c>
      <c r="AJ24" s="100">
        <v>16</v>
      </c>
      <c r="AK24" s="100">
        <v>5875.2</v>
      </c>
      <c r="AL24" s="100">
        <v>16</v>
      </c>
      <c r="AM24" s="100">
        <v>5875.2</v>
      </c>
      <c r="AN24" s="100">
        <v>21</v>
      </c>
      <c r="AO24" s="100">
        <v>7711.2</v>
      </c>
      <c r="AP24" s="100">
        <v>28</v>
      </c>
      <c r="AQ24" s="100">
        <v>10281.6</v>
      </c>
      <c r="AR24" s="100">
        <v>28</v>
      </c>
      <c r="AS24" s="100">
        <v>10281.6</v>
      </c>
      <c r="AT24" s="100">
        <v>25</v>
      </c>
      <c r="AU24" s="100">
        <v>9180</v>
      </c>
      <c r="AV24" s="100">
        <v>21</v>
      </c>
      <c r="AW24" s="100">
        <v>7711.2</v>
      </c>
      <c r="AX24" s="100">
        <v>19</v>
      </c>
      <c r="AY24" s="100">
        <v>6976.8</v>
      </c>
      <c r="AZ24" s="100">
        <v>24</v>
      </c>
      <c r="BA24" s="100">
        <v>8812.7999999999993</v>
      </c>
      <c r="BB24" s="100">
        <v>20</v>
      </c>
      <c r="BC24" s="100">
        <v>7344</v>
      </c>
      <c r="BD24" s="100">
        <v>18</v>
      </c>
      <c r="BE24" s="100">
        <v>6609.5999999999995</v>
      </c>
      <c r="BF24" s="100">
        <v>29</v>
      </c>
      <c r="BG24" s="100">
        <v>10648.8</v>
      </c>
      <c r="BH24" s="100">
        <v>20</v>
      </c>
      <c r="BI24" s="100">
        <v>7344</v>
      </c>
      <c r="BJ24" s="100">
        <v>18</v>
      </c>
      <c r="BK24" s="100">
        <v>6609.5999999999995</v>
      </c>
      <c r="BL24" s="100">
        <v>21</v>
      </c>
      <c r="BM24" s="100">
        <v>7711.2</v>
      </c>
      <c r="BN24" s="100">
        <v>27</v>
      </c>
      <c r="BO24" s="100">
        <v>9914.4</v>
      </c>
      <c r="BP24" s="100">
        <v>19</v>
      </c>
      <c r="BQ24" s="100">
        <v>6976.8</v>
      </c>
      <c r="BR24" s="100">
        <v>19</v>
      </c>
      <c r="BS24" s="100">
        <v>6976.8</v>
      </c>
      <c r="BT24" s="100">
        <v>24</v>
      </c>
      <c r="BU24" s="100">
        <v>8812.7999999999993</v>
      </c>
      <c r="BV24" s="100">
        <v>25</v>
      </c>
      <c r="BW24" s="100">
        <v>9180</v>
      </c>
      <c r="BX24" s="100">
        <v>28</v>
      </c>
      <c r="BY24" s="100">
        <v>10281.6</v>
      </c>
      <c r="BZ24" s="100">
        <v>26</v>
      </c>
      <c r="CA24" s="100">
        <v>9547.1999999999989</v>
      </c>
      <c r="CB24" s="100">
        <v>16</v>
      </c>
      <c r="CC24" s="100">
        <v>5875.2</v>
      </c>
      <c r="CD24" s="100">
        <v>20.942024154773524</v>
      </c>
      <c r="CE24" s="100">
        <v>7689.9112696328375</v>
      </c>
      <c r="CF24" s="100">
        <v>21.150828763575912</v>
      </c>
      <c r="CG24" s="100">
        <v>7766.5843219850749</v>
      </c>
      <c r="CH24" s="100">
        <v>15.939755010231124</v>
      </c>
      <c r="CI24" s="100">
        <v>5853.0780397568687</v>
      </c>
      <c r="CJ24" s="100">
        <v>23.87088108501387</v>
      </c>
      <c r="CK24" s="100">
        <v>8765.3875344170938</v>
      </c>
      <c r="CL24" s="100">
        <v>23.149668645665741</v>
      </c>
      <c r="CM24" s="100">
        <v>8500.5583266884605</v>
      </c>
      <c r="CN24" s="100">
        <v>22.460563878052948</v>
      </c>
      <c r="CO24" s="100">
        <v>8247.5190560210431</v>
      </c>
      <c r="CP24" s="100">
        <v>25.444297300052657</v>
      </c>
      <c r="CQ24" s="100">
        <v>9343.1459685793361</v>
      </c>
      <c r="CR24" s="100">
        <v>22</v>
      </c>
      <c r="CS24" s="100">
        <v>8078.4</v>
      </c>
      <c r="CT24" s="100">
        <v>17</v>
      </c>
      <c r="CU24" s="100">
        <v>6242.4</v>
      </c>
    </row>
    <row r="25" spans="2:99">
      <c r="C25" s="99" t="s">
        <v>191</v>
      </c>
      <c r="D25" s="100">
        <v>16</v>
      </c>
      <c r="E25" s="100">
        <v>8486.4</v>
      </c>
      <c r="F25" s="100">
        <v>18.035676456580177</v>
      </c>
      <c r="G25" s="100">
        <v>9566.122792570126</v>
      </c>
      <c r="H25" s="100">
        <v>16.935595597166529</v>
      </c>
      <c r="I25" s="100">
        <v>8982.6399047371269</v>
      </c>
      <c r="J25" s="100">
        <v>17.656478352898763</v>
      </c>
      <c r="K25" s="100">
        <v>9364.9961183775031</v>
      </c>
      <c r="L25" s="100">
        <v>22.568167984782679</v>
      </c>
      <c r="M25" s="100">
        <v>11970.156299128732</v>
      </c>
      <c r="N25" s="100">
        <v>25</v>
      </c>
      <c r="O25" s="100">
        <v>13260</v>
      </c>
      <c r="P25" s="100">
        <v>20</v>
      </c>
      <c r="Q25" s="100">
        <v>10608</v>
      </c>
      <c r="R25" s="100">
        <v>29</v>
      </c>
      <c r="S25" s="100">
        <v>15381.599999999999</v>
      </c>
      <c r="T25" s="100">
        <v>19</v>
      </c>
      <c r="U25" s="100">
        <v>10077.6</v>
      </c>
      <c r="V25" s="100">
        <v>22.043248028087163</v>
      </c>
      <c r="W25" s="100">
        <v>11691.738754097431</v>
      </c>
      <c r="X25" s="100">
        <v>19</v>
      </c>
      <c r="Y25" s="100">
        <v>10077.6</v>
      </c>
      <c r="Z25" s="100">
        <v>19</v>
      </c>
      <c r="AA25" s="100">
        <v>10077.6</v>
      </c>
      <c r="AB25" s="100">
        <v>16</v>
      </c>
      <c r="AC25" s="100">
        <v>8486.4</v>
      </c>
      <c r="AD25" s="100">
        <v>17</v>
      </c>
      <c r="AE25" s="100">
        <v>9016.7999999999993</v>
      </c>
      <c r="AF25" s="100">
        <v>17</v>
      </c>
      <c r="AG25" s="100">
        <v>9016.7999999999993</v>
      </c>
      <c r="AH25" s="100">
        <v>21</v>
      </c>
      <c r="AI25" s="100">
        <v>11138.4</v>
      </c>
      <c r="AJ25" s="100">
        <v>16</v>
      </c>
      <c r="AK25" s="100">
        <v>8486.4</v>
      </c>
      <c r="AL25" s="100">
        <v>15</v>
      </c>
      <c r="AM25" s="100">
        <v>7956</v>
      </c>
      <c r="AN25" s="100">
        <v>20</v>
      </c>
      <c r="AO25" s="100">
        <v>10608</v>
      </c>
      <c r="AP25" s="100">
        <v>28</v>
      </c>
      <c r="AQ25" s="100">
        <v>14851.199999999999</v>
      </c>
      <c r="AR25" s="100">
        <v>29</v>
      </c>
      <c r="AS25" s="100">
        <v>15381.599999999999</v>
      </c>
      <c r="AT25" s="100">
        <v>22</v>
      </c>
      <c r="AU25" s="100">
        <v>11668.8</v>
      </c>
      <c r="AV25" s="100">
        <v>20</v>
      </c>
      <c r="AW25" s="100">
        <v>10608</v>
      </c>
      <c r="AX25" s="100">
        <v>18</v>
      </c>
      <c r="AY25" s="100">
        <v>9547.1999999999989</v>
      </c>
      <c r="AZ25" s="100">
        <v>20</v>
      </c>
      <c r="BA25" s="100">
        <v>10608</v>
      </c>
      <c r="BB25" s="100">
        <v>21</v>
      </c>
      <c r="BC25" s="100">
        <v>11138.4</v>
      </c>
      <c r="BD25" s="100">
        <v>18</v>
      </c>
      <c r="BE25" s="100">
        <v>9547.1999999999989</v>
      </c>
      <c r="BF25" s="100">
        <v>29</v>
      </c>
      <c r="BG25" s="100">
        <v>15381.599999999999</v>
      </c>
      <c r="BH25" s="100">
        <v>19</v>
      </c>
      <c r="BI25" s="100">
        <v>10077.6</v>
      </c>
      <c r="BJ25" s="100">
        <v>18</v>
      </c>
      <c r="BK25" s="100">
        <v>9547.1999999999989</v>
      </c>
      <c r="BL25" s="100">
        <v>21</v>
      </c>
      <c r="BM25" s="100">
        <v>11138.4</v>
      </c>
      <c r="BN25" s="100">
        <v>28</v>
      </c>
      <c r="BO25" s="100">
        <v>14851.199999999999</v>
      </c>
      <c r="BP25" s="100">
        <v>18</v>
      </c>
      <c r="BQ25" s="100">
        <v>9547.1999999999989</v>
      </c>
      <c r="BR25" s="100">
        <v>16</v>
      </c>
      <c r="BS25" s="100">
        <v>8486.4</v>
      </c>
      <c r="BT25" s="100">
        <v>22</v>
      </c>
      <c r="BU25" s="100">
        <v>11668.8</v>
      </c>
      <c r="BV25" s="100">
        <v>25</v>
      </c>
      <c r="BW25" s="100">
        <v>13260</v>
      </c>
      <c r="BX25" s="100">
        <v>28</v>
      </c>
      <c r="BY25" s="100">
        <v>14851.199999999999</v>
      </c>
      <c r="BZ25" s="100">
        <v>25</v>
      </c>
      <c r="CA25" s="100">
        <v>13260</v>
      </c>
      <c r="CB25" s="100">
        <v>17</v>
      </c>
      <c r="CC25" s="100">
        <v>9016.7999999999993</v>
      </c>
      <c r="CD25" s="100">
        <v>23.933741891169742</v>
      </c>
      <c r="CE25" s="100">
        <v>12694.456699076431</v>
      </c>
      <c r="CF25" s="100">
        <v>22.990031264756428</v>
      </c>
      <c r="CG25" s="100">
        <v>12193.91258282681</v>
      </c>
      <c r="CH25" s="100">
        <v>16.825296955243964</v>
      </c>
      <c r="CI25" s="100">
        <v>8924.1375050613988</v>
      </c>
      <c r="CJ25" s="100">
        <v>25.575944019657722</v>
      </c>
      <c r="CK25" s="100">
        <v>13565.480708026455</v>
      </c>
      <c r="CL25" s="100">
        <v>22.292273510641085</v>
      </c>
      <c r="CM25" s="100">
        <v>11823.82187004403</v>
      </c>
      <c r="CN25" s="100">
        <v>22.460563878052948</v>
      </c>
      <c r="CO25" s="100">
        <v>11913.083080919283</v>
      </c>
      <c r="CP25" s="100">
        <v>25.444297300052657</v>
      </c>
      <c r="CQ25" s="100">
        <v>13495.65528794793</v>
      </c>
      <c r="CR25" s="100">
        <v>19</v>
      </c>
      <c r="CS25" s="100">
        <v>10077.6</v>
      </c>
      <c r="CT25" s="100">
        <v>16</v>
      </c>
      <c r="CU25" s="100">
        <v>8486.4</v>
      </c>
    </row>
    <row r="26" spans="2:99">
      <c r="C26" s="99" t="s">
        <v>192</v>
      </c>
      <c r="D26" s="100">
        <v>17</v>
      </c>
      <c r="E26" s="100">
        <v>8262</v>
      </c>
      <c r="F26" s="100">
        <v>17.176834720552549</v>
      </c>
      <c r="G26" s="100">
        <v>8347.9416741885379</v>
      </c>
      <c r="H26" s="100">
        <v>19.144586327231728</v>
      </c>
      <c r="I26" s="100">
        <v>9304.2689550346204</v>
      </c>
      <c r="J26" s="100">
        <v>17.656478352898763</v>
      </c>
      <c r="K26" s="100">
        <v>8581.0484795087978</v>
      </c>
      <c r="L26" s="100">
        <v>21.7001615238295</v>
      </c>
      <c r="M26" s="100">
        <v>10546.278500581137</v>
      </c>
      <c r="N26" s="100">
        <v>26</v>
      </c>
      <c r="O26" s="100">
        <v>12636</v>
      </c>
      <c r="P26" s="100">
        <v>21</v>
      </c>
      <c r="Q26" s="100">
        <v>10206</v>
      </c>
      <c r="R26" s="100">
        <v>31</v>
      </c>
      <c r="S26" s="100">
        <v>15066</v>
      </c>
      <c r="T26" s="100">
        <v>16</v>
      </c>
      <c r="U26" s="100">
        <v>7776</v>
      </c>
      <c r="V26" s="100">
        <v>23.960052204442569</v>
      </c>
      <c r="W26" s="100">
        <v>11644.585371359088</v>
      </c>
      <c r="X26" s="100">
        <v>20</v>
      </c>
      <c r="Y26" s="100">
        <v>9720</v>
      </c>
      <c r="Z26" s="100">
        <v>21</v>
      </c>
      <c r="AA26" s="100">
        <v>10206</v>
      </c>
      <c r="AB26" s="100">
        <v>16</v>
      </c>
      <c r="AC26" s="100">
        <v>7776</v>
      </c>
      <c r="AD26" s="100">
        <v>15</v>
      </c>
      <c r="AE26" s="100">
        <v>7290</v>
      </c>
      <c r="AF26" s="100">
        <v>18</v>
      </c>
      <c r="AG26" s="100">
        <v>8748</v>
      </c>
      <c r="AH26" s="100">
        <v>23</v>
      </c>
      <c r="AI26" s="100">
        <v>11178</v>
      </c>
      <c r="AJ26" s="100">
        <v>15</v>
      </c>
      <c r="AK26" s="100">
        <v>7290</v>
      </c>
      <c r="AL26" s="100">
        <v>16</v>
      </c>
      <c r="AM26" s="100">
        <v>7776</v>
      </c>
      <c r="AN26" s="100">
        <v>20</v>
      </c>
      <c r="AO26" s="100">
        <v>9720</v>
      </c>
      <c r="AP26" s="100">
        <v>24</v>
      </c>
      <c r="AQ26" s="100">
        <v>11664</v>
      </c>
      <c r="AR26" s="100">
        <v>27</v>
      </c>
      <c r="AS26" s="100">
        <v>13122</v>
      </c>
      <c r="AT26" s="100">
        <v>23</v>
      </c>
      <c r="AU26" s="100">
        <v>11178</v>
      </c>
      <c r="AV26" s="100">
        <v>22</v>
      </c>
      <c r="AW26" s="100">
        <v>10692</v>
      </c>
      <c r="AX26" s="100">
        <v>20</v>
      </c>
      <c r="AY26" s="100">
        <v>9720</v>
      </c>
      <c r="AZ26" s="100">
        <v>20</v>
      </c>
      <c r="BA26" s="100">
        <v>9720</v>
      </c>
      <c r="BB26" s="100">
        <v>22</v>
      </c>
      <c r="BC26" s="100">
        <v>10692</v>
      </c>
      <c r="BD26" s="100">
        <v>20</v>
      </c>
      <c r="BE26" s="100">
        <v>9720</v>
      </c>
      <c r="BF26" s="100">
        <v>30</v>
      </c>
      <c r="BG26" s="100">
        <v>14580</v>
      </c>
      <c r="BH26" s="100">
        <v>19</v>
      </c>
      <c r="BI26" s="100">
        <v>9234</v>
      </c>
      <c r="BJ26" s="100">
        <v>19</v>
      </c>
      <c r="BK26" s="100">
        <v>9234</v>
      </c>
      <c r="BL26" s="100">
        <v>22</v>
      </c>
      <c r="BM26" s="100">
        <v>10692</v>
      </c>
      <c r="BN26" s="100">
        <v>28</v>
      </c>
      <c r="BO26" s="100">
        <v>13608</v>
      </c>
      <c r="BP26" s="100">
        <v>18</v>
      </c>
      <c r="BQ26" s="100">
        <v>8748</v>
      </c>
      <c r="BR26" s="100">
        <v>19</v>
      </c>
      <c r="BS26" s="100">
        <v>9234</v>
      </c>
      <c r="BT26" s="100">
        <v>22</v>
      </c>
      <c r="BU26" s="100">
        <v>10692</v>
      </c>
      <c r="BV26" s="100">
        <v>23</v>
      </c>
      <c r="BW26" s="100">
        <v>11178</v>
      </c>
      <c r="BX26" s="100">
        <v>29</v>
      </c>
      <c r="BY26" s="100">
        <v>14094</v>
      </c>
      <c r="BZ26" s="100">
        <v>27</v>
      </c>
      <c r="CA26" s="100">
        <v>13122</v>
      </c>
      <c r="CB26" s="100">
        <v>16</v>
      </c>
      <c r="CC26" s="100">
        <v>7776</v>
      </c>
      <c r="CD26" s="100">
        <v>24.93098113663515</v>
      </c>
      <c r="CE26" s="100">
        <v>12116.456832404683</v>
      </c>
      <c r="CF26" s="100">
        <v>21.150828763575912</v>
      </c>
      <c r="CG26" s="100">
        <v>10279.302779097894</v>
      </c>
      <c r="CH26" s="100">
        <v>17.710838900256803</v>
      </c>
      <c r="CI26" s="100">
        <v>8607.4677055248067</v>
      </c>
      <c r="CJ26" s="100">
        <v>24.723412552335795</v>
      </c>
      <c r="CK26" s="100">
        <v>12015.578500435196</v>
      </c>
      <c r="CL26" s="100">
        <v>23.149668645665741</v>
      </c>
      <c r="CM26" s="100">
        <v>11250.73896179355</v>
      </c>
      <c r="CN26" s="100">
        <v>22.460563878052948</v>
      </c>
      <c r="CO26" s="100">
        <v>10915.834044733732</v>
      </c>
      <c r="CP26" s="100">
        <v>23.487043661587069</v>
      </c>
      <c r="CQ26" s="100">
        <v>11414.703219531315</v>
      </c>
      <c r="CR26" s="100">
        <v>21</v>
      </c>
      <c r="CS26" s="100">
        <v>10206</v>
      </c>
      <c r="CT26" s="100">
        <v>17</v>
      </c>
      <c r="CU26" s="100">
        <v>8262</v>
      </c>
    </row>
    <row r="27" spans="2:99">
      <c r="C27" s="99" t="s">
        <v>193</v>
      </c>
      <c r="D27" s="100">
        <v>16</v>
      </c>
      <c r="E27" s="100">
        <v>6835.2</v>
      </c>
      <c r="F27" s="100">
        <v>16.317992984524921</v>
      </c>
      <c r="G27" s="100">
        <v>6971.0466029890458</v>
      </c>
      <c r="H27" s="100">
        <v>17.671925840521595</v>
      </c>
      <c r="I27" s="100">
        <v>7549.4467190708256</v>
      </c>
      <c r="J27" s="100">
        <v>19.863538147011106</v>
      </c>
      <c r="K27" s="100">
        <v>8485.7034964031445</v>
      </c>
      <c r="L27" s="100">
        <v>21.7001615238295</v>
      </c>
      <c r="M27" s="100">
        <v>9270.3090029799623</v>
      </c>
      <c r="N27" s="100">
        <v>24</v>
      </c>
      <c r="O27" s="100">
        <v>10252.799999999999</v>
      </c>
      <c r="P27" s="100">
        <v>22</v>
      </c>
      <c r="Q27" s="100">
        <v>9398.4</v>
      </c>
      <c r="R27" s="100">
        <v>30</v>
      </c>
      <c r="S27" s="100">
        <v>12816</v>
      </c>
      <c r="T27" s="100">
        <v>19</v>
      </c>
      <c r="U27" s="100">
        <v>8116.8</v>
      </c>
      <c r="V27" s="100">
        <v>24.918454292620272</v>
      </c>
      <c r="W27" s="100">
        <v>10645.163673807379</v>
      </c>
      <c r="X27" s="100">
        <v>18</v>
      </c>
      <c r="Y27" s="100">
        <v>7689.5999999999995</v>
      </c>
      <c r="Z27" s="100">
        <v>22</v>
      </c>
      <c r="AA27" s="100">
        <v>9398.4</v>
      </c>
      <c r="AB27" s="100">
        <v>17</v>
      </c>
      <c r="AC27" s="100">
        <v>7262.4</v>
      </c>
      <c r="AD27" s="100">
        <v>16</v>
      </c>
      <c r="AE27" s="100">
        <v>6835.2</v>
      </c>
      <c r="AF27" s="100">
        <v>17</v>
      </c>
      <c r="AG27" s="100">
        <v>7262.4</v>
      </c>
      <c r="AH27" s="100">
        <v>23</v>
      </c>
      <c r="AI27" s="100">
        <v>9825.6</v>
      </c>
      <c r="AJ27" s="100">
        <v>14</v>
      </c>
      <c r="AK27" s="100">
        <v>5980.8</v>
      </c>
      <c r="AL27" s="100">
        <v>16</v>
      </c>
      <c r="AM27" s="100">
        <v>6835.2</v>
      </c>
      <c r="AN27" s="100">
        <v>20</v>
      </c>
      <c r="AO27" s="100">
        <v>8544</v>
      </c>
      <c r="AP27" s="100">
        <v>27</v>
      </c>
      <c r="AQ27" s="100">
        <v>11534.4</v>
      </c>
      <c r="AR27" s="100">
        <v>30</v>
      </c>
      <c r="AS27" s="100">
        <v>12816</v>
      </c>
      <c r="AT27" s="100">
        <v>23</v>
      </c>
      <c r="AU27" s="100">
        <v>9825.6</v>
      </c>
      <c r="AV27" s="100">
        <v>19</v>
      </c>
      <c r="AW27" s="100">
        <v>8116.8</v>
      </c>
      <c r="AX27" s="100">
        <v>18</v>
      </c>
      <c r="AY27" s="100">
        <v>7689.5999999999995</v>
      </c>
      <c r="AZ27" s="100">
        <v>20</v>
      </c>
      <c r="BA27" s="100">
        <v>8544</v>
      </c>
      <c r="BB27" s="100">
        <v>21</v>
      </c>
      <c r="BC27" s="100">
        <v>8971.1999999999989</v>
      </c>
      <c r="BD27" s="100">
        <v>18</v>
      </c>
      <c r="BE27" s="100">
        <v>7689.5999999999995</v>
      </c>
      <c r="BF27" s="100">
        <v>28</v>
      </c>
      <c r="BG27" s="100">
        <v>11961.6</v>
      </c>
      <c r="BH27" s="100">
        <v>19</v>
      </c>
      <c r="BI27" s="100">
        <v>8116.8</v>
      </c>
      <c r="BJ27" s="100">
        <v>17</v>
      </c>
      <c r="BK27" s="100">
        <v>7262.4</v>
      </c>
      <c r="BL27" s="100">
        <v>21</v>
      </c>
      <c r="BM27" s="100">
        <v>8971.1999999999989</v>
      </c>
      <c r="BN27" s="100">
        <v>27</v>
      </c>
      <c r="BO27" s="100">
        <v>11534.4</v>
      </c>
      <c r="BP27" s="100">
        <v>17</v>
      </c>
      <c r="BQ27" s="100">
        <v>7262.4</v>
      </c>
      <c r="BR27" s="100">
        <v>20</v>
      </c>
      <c r="BS27" s="100">
        <v>8544</v>
      </c>
      <c r="BT27" s="100">
        <v>22</v>
      </c>
      <c r="BU27" s="100">
        <v>9398.4</v>
      </c>
      <c r="BV27" s="100">
        <v>22</v>
      </c>
      <c r="BW27" s="100">
        <v>9398.4</v>
      </c>
      <c r="BX27" s="100">
        <v>27</v>
      </c>
      <c r="BY27" s="100">
        <v>11534.4</v>
      </c>
      <c r="BZ27" s="100">
        <v>24</v>
      </c>
      <c r="CA27" s="100">
        <v>10252.799999999999</v>
      </c>
      <c r="CB27" s="100">
        <v>17</v>
      </c>
      <c r="CC27" s="100">
        <v>7262.4</v>
      </c>
      <c r="CD27" s="100">
        <v>20.942024154773524</v>
      </c>
      <c r="CE27" s="100">
        <v>8946.43271891925</v>
      </c>
      <c r="CF27" s="100">
        <v>20.231227512985658</v>
      </c>
      <c r="CG27" s="100">
        <v>8642.7803935474731</v>
      </c>
      <c r="CH27" s="100">
        <v>16.825296955243964</v>
      </c>
      <c r="CI27" s="100">
        <v>7187.7668592802211</v>
      </c>
      <c r="CJ27" s="100">
        <v>23.01834961769195</v>
      </c>
      <c r="CK27" s="100">
        <v>9833.438956678001</v>
      </c>
      <c r="CL27" s="100">
        <v>23.149668645665741</v>
      </c>
      <c r="CM27" s="100">
        <v>9889.5384454284049</v>
      </c>
      <c r="CN27" s="100">
        <v>23.185098196699819</v>
      </c>
      <c r="CO27" s="100">
        <v>9904.6739496301616</v>
      </c>
      <c r="CP27" s="100">
        <v>23.487043661587069</v>
      </c>
      <c r="CQ27" s="100">
        <v>10033.665052229995</v>
      </c>
      <c r="CR27" s="100">
        <v>23</v>
      </c>
      <c r="CS27" s="100">
        <v>9825.6</v>
      </c>
      <c r="CT27" s="100">
        <v>19</v>
      </c>
      <c r="CU27" s="100">
        <v>8116.8</v>
      </c>
    </row>
    <row r="28" spans="2:99">
      <c r="C28" s="99" t="s">
        <v>194</v>
      </c>
      <c r="D28" s="100">
        <v>16</v>
      </c>
      <c r="E28" s="100">
        <v>11808</v>
      </c>
      <c r="F28" s="100">
        <v>18.894518192607801</v>
      </c>
      <c r="G28" s="100">
        <v>13944.154426144558</v>
      </c>
      <c r="H28" s="100">
        <v>17.671925840521595</v>
      </c>
      <c r="I28" s="100">
        <v>13041.881270304937</v>
      </c>
      <c r="J28" s="100">
        <v>18.392164950936209</v>
      </c>
      <c r="K28" s="100">
        <v>13573.417733790922</v>
      </c>
      <c r="L28" s="100">
        <v>21.7001615238295</v>
      </c>
      <c r="M28" s="100">
        <v>16014.719204586172</v>
      </c>
      <c r="N28" s="100">
        <v>22</v>
      </c>
      <c r="O28" s="100">
        <v>16236</v>
      </c>
      <c r="P28" s="100">
        <v>22</v>
      </c>
      <c r="Q28" s="100">
        <v>16236</v>
      </c>
      <c r="R28" s="100">
        <v>30</v>
      </c>
      <c r="S28" s="100">
        <v>22140</v>
      </c>
      <c r="T28" s="100">
        <v>17</v>
      </c>
      <c r="U28" s="100">
        <v>12546</v>
      </c>
      <c r="V28" s="100">
        <v>23.001650116264866</v>
      </c>
      <c r="W28" s="100">
        <v>16975.21778580347</v>
      </c>
      <c r="X28" s="100">
        <v>19</v>
      </c>
      <c r="Y28" s="100">
        <v>14022</v>
      </c>
      <c r="Z28" s="100">
        <v>20</v>
      </c>
      <c r="AA28" s="100">
        <v>14760</v>
      </c>
      <c r="AB28" s="100">
        <v>18</v>
      </c>
      <c r="AC28" s="100">
        <v>13284</v>
      </c>
      <c r="AD28" s="100">
        <v>16</v>
      </c>
      <c r="AE28" s="100">
        <v>11808</v>
      </c>
      <c r="AF28" s="100">
        <v>16</v>
      </c>
      <c r="AG28" s="100">
        <v>11808</v>
      </c>
      <c r="AH28" s="100">
        <v>21</v>
      </c>
      <c r="AI28" s="100">
        <v>15498</v>
      </c>
      <c r="AJ28" s="100">
        <v>16</v>
      </c>
      <c r="AK28" s="100">
        <v>11808</v>
      </c>
      <c r="AL28" s="100">
        <v>16</v>
      </c>
      <c r="AM28" s="100">
        <v>11808</v>
      </c>
      <c r="AN28" s="100">
        <v>20</v>
      </c>
      <c r="AO28" s="100">
        <v>14760</v>
      </c>
      <c r="AP28" s="100">
        <v>24</v>
      </c>
      <c r="AQ28" s="100">
        <v>17712</v>
      </c>
      <c r="AR28" s="100">
        <v>28</v>
      </c>
      <c r="AS28" s="100">
        <v>20664</v>
      </c>
      <c r="AT28" s="100">
        <v>24</v>
      </c>
      <c r="AU28" s="100">
        <v>17712</v>
      </c>
      <c r="AV28" s="100">
        <v>21</v>
      </c>
      <c r="AW28" s="100">
        <v>15498</v>
      </c>
      <c r="AX28" s="100">
        <v>16</v>
      </c>
      <c r="AY28" s="100">
        <v>11808</v>
      </c>
      <c r="AZ28" s="100">
        <v>22</v>
      </c>
      <c r="BA28" s="100">
        <v>16236</v>
      </c>
      <c r="BB28" s="100">
        <v>19</v>
      </c>
      <c r="BC28" s="100">
        <v>14022</v>
      </c>
      <c r="BD28" s="100">
        <v>18</v>
      </c>
      <c r="BE28" s="100">
        <v>13284</v>
      </c>
      <c r="BF28" s="100">
        <v>29</v>
      </c>
      <c r="BG28" s="100">
        <v>21402</v>
      </c>
      <c r="BH28" s="100">
        <v>17</v>
      </c>
      <c r="BI28" s="100">
        <v>12546</v>
      </c>
      <c r="BJ28" s="100">
        <v>18</v>
      </c>
      <c r="BK28" s="100">
        <v>13284</v>
      </c>
      <c r="BL28" s="100">
        <v>20</v>
      </c>
      <c r="BM28" s="100">
        <v>14760</v>
      </c>
      <c r="BN28" s="100">
        <v>26</v>
      </c>
      <c r="BO28" s="100">
        <v>19188</v>
      </c>
      <c r="BP28" s="100">
        <v>18</v>
      </c>
      <c r="BQ28" s="100">
        <v>13284</v>
      </c>
      <c r="BR28" s="100">
        <v>19</v>
      </c>
      <c r="BS28" s="100">
        <v>14022</v>
      </c>
      <c r="BT28" s="100">
        <v>22</v>
      </c>
      <c r="BU28" s="100">
        <v>16236</v>
      </c>
      <c r="BV28" s="100">
        <v>25</v>
      </c>
      <c r="BW28" s="100">
        <v>18450</v>
      </c>
      <c r="BX28" s="100">
        <v>26</v>
      </c>
      <c r="BY28" s="100">
        <v>19188</v>
      </c>
      <c r="BZ28" s="100">
        <v>24</v>
      </c>
      <c r="CA28" s="100">
        <v>17712</v>
      </c>
      <c r="CB28" s="100">
        <v>15</v>
      </c>
      <c r="CC28" s="100">
        <v>11070</v>
      </c>
      <c r="CD28" s="100">
        <v>23.933741891169742</v>
      </c>
      <c r="CE28" s="100">
        <v>17663.101515683269</v>
      </c>
      <c r="CF28" s="100">
        <v>21.150828763575912</v>
      </c>
      <c r="CG28" s="100">
        <v>15609.311627519024</v>
      </c>
      <c r="CH28" s="100">
        <v>16.825296955243964</v>
      </c>
      <c r="CI28" s="100">
        <v>12417.069152970045</v>
      </c>
      <c r="CJ28" s="100">
        <v>24.723412552335795</v>
      </c>
      <c r="CK28" s="100">
        <v>18245.878463623816</v>
      </c>
      <c r="CL28" s="100">
        <v>21.434878375616428</v>
      </c>
      <c r="CM28" s="100">
        <v>15818.940241204924</v>
      </c>
      <c r="CN28" s="100">
        <v>20.286960922112339</v>
      </c>
      <c r="CO28" s="100">
        <v>14971.777160518906</v>
      </c>
      <c r="CP28" s="100">
        <v>22.508416842354276</v>
      </c>
      <c r="CQ28" s="100">
        <v>16611.211629657457</v>
      </c>
      <c r="CR28" s="100">
        <v>18</v>
      </c>
      <c r="CS28" s="100">
        <v>13284</v>
      </c>
      <c r="CT28" s="100">
        <v>18</v>
      </c>
      <c r="CU28" s="100">
        <v>13284</v>
      </c>
    </row>
    <row r="29" spans="2:99">
      <c r="C29" s="99" t="s">
        <v>195</v>
      </c>
      <c r="D29" s="100">
        <v>17</v>
      </c>
      <c r="E29" s="100">
        <v>5752.7999999999993</v>
      </c>
      <c r="F29" s="100">
        <v>18.894518192607801</v>
      </c>
      <c r="G29" s="100">
        <v>6393.9049563784793</v>
      </c>
      <c r="H29" s="100">
        <v>16.935595597166529</v>
      </c>
      <c r="I29" s="100">
        <v>5731.0055500811532</v>
      </c>
      <c r="J29" s="100">
        <v>19.863538147011106</v>
      </c>
      <c r="K29" s="100">
        <v>6721.821308948558</v>
      </c>
      <c r="L29" s="100">
        <v>22.568167984782679</v>
      </c>
      <c r="M29" s="100">
        <v>7637.0680460504582</v>
      </c>
      <c r="N29" s="100">
        <v>26</v>
      </c>
      <c r="O29" s="100">
        <v>8798.4</v>
      </c>
      <c r="P29" s="100">
        <v>21</v>
      </c>
      <c r="Q29" s="100">
        <v>7106.4</v>
      </c>
      <c r="R29" s="100">
        <v>27</v>
      </c>
      <c r="S29" s="100">
        <v>9136.7999999999993</v>
      </c>
      <c r="T29" s="100">
        <v>19</v>
      </c>
      <c r="U29" s="100">
        <v>6429.5999999999995</v>
      </c>
      <c r="V29" s="100">
        <v>23.960052204442569</v>
      </c>
      <c r="W29" s="100">
        <v>8108.0816659833645</v>
      </c>
      <c r="X29" s="100">
        <v>18</v>
      </c>
      <c r="Y29" s="100">
        <v>6091.2</v>
      </c>
      <c r="Z29" s="100">
        <v>21</v>
      </c>
      <c r="AA29" s="100">
        <v>7106.4</v>
      </c>
      <c r="AB29" s="100">
        <v>17</v>
      </c>
      <c r="AC29" s="100">
        <v>5752.7999999999993</v>
      </c>
      <c r="AD29" s="100">
        <v>16</v>
      </c>
      <c r="AE29" s="100">
        <v>5414.4</v>
      </c>
      <c r="AF29" s="100">
        <v>17</v>
      </c>
      <c r="AG29" s="100">
        <v>5752.7999999999993</v>
      </c>
      <c r="AH29" s="100">
        <v>22</v>
      </c>
      <c r="AI29" s="100">
        <v>7444.7999999999993</v>
      </c>
      <c r="AJ29" s="100">
        <v>16</v>
      </c>
      <c r="AK29" s="100">
        <v>5414.4</v>
      </c>
      <c r="AL29" s="100">
        <v>15</v>
      </c>
      <c r="AM29" s="100">
        <v>5076</v>
      </c>
      <c r="AN29" s="100">
        <v>19</v>
      </c>
      <c r="AO29" s="100">
        <v>6429.5999999999995</v>
      </c>
      <c r="AP29" s="100">
        <v>29</v>
      </c>
      <c r="AQ29" s="100">
        <v>9813.5999999999985</v>
      </c>
      <c r="AR29" s="100">
        <v>29</v>
      </c>
      <c r="AS29" s="100">
        <v>9813.5999999999985</v>
      </c>
      <c r="AT29" s="100">
        <v>26</v>
      </c>
      <c r="AU29" s="100">
        <v>8798.4</v>
      </c>
      <c r="AV29" s="100">
        <v>22</v>
      </c>
      <c r="AW29" s="100">
        <v>7444.7999999999993</v>
      </c>
      <c r="AX29" s="100">
        <v>17</v>
      </c>
      <c r="AY29" s="100">
        <v>5752.7999999999993</v>
      </c>
      <c r="AZ29" s="100">
        <v>20</v>
      </c>
      <c r="BA29" s="100">
        <v>6768</v>
      </c>
      <c r="BB29" s="100">
        <v>22</v>
      </c>
      <c r="BC29" s="100">
        <v>7444.7999999999993</v>
      </c>
      <c r="BD29" s="100">
        <v>20</v>
      </c>
      <c r="BE29" s="100">
        <v>6768</v>
      </c>
      <c r="BF29" s="100">
        <v>28</v>
      </c>
      <c r="BG29" s="100">
        <v>9475.1999999999989</v>
      </c>
      <c r="BH29" s="100">
        <v>18</v>
      </c>
      <c r="BI29" s="100">
        <v>6091.2</v>
      </c>
      <c r="BJ29" s="100">
        <v>17</v>
      </c>
      <c r="BK29" s="100">
        <v>5752.7999999999993</v>
      </c>
      <c r="BL29" s="100">
        <v>20</v>
      </c>
      <c r="BM29" s="100">
        <v>6768</v>
      </c>
      <c r="BN29" s="100">
        <v>28</v>
      </c>
      <c r="BO29" s="100">
        <v>9475.1999999999989</v>
      </c>
      <c r="BP29" s="100">
        <v>17</v>
      </c>
      <c r="BQ29" s="100">
        <v>5752.7999999999993</v>
      </c>
      <c r="BR29" s="100">
        <v>18</v>
      </c>
      <c r="BS29" s="100">
        <v>6091.2</v>
      </c>
      <c r="BT29" s="100">
        <v>22</v>
      </c>
      <c r="BU29" s="100">
        <v>7444.7999999999993</v>
      </c>
      <c r="BV29" s="100">
        <v>27</v>
      </c>
      <c r="BW29" s="100">
        <v>9136.7999999999993</v>
      </c>
      <c r="BX29" s="100">
        <v>29</v>
      </c>
      <c r="BY29" s="100">
        <v>9813.5999999999985</v>
      </c>
      <c r="BZ29" s="100">
        <v>29</v>
      </c>
      <c r="CA29" s="100">
        <v>9813.5999999999985</v>
      </c>
      <c r="CB29" s="100">
        <v>16</v>
      </c>
      <c r="CC29" s="100">
        <v>5414.4</v>
      </c>
      <c r="CD29" s="100">
        <v>20.942024154773524</v>
      </c>
      <c r="CE29" s="100">
        <v>7086.7809739753602</v>
      </c>
      <c r="CF29" s="100">
        <v>24.829233765936941</v>
      </c>
      <c r="CG29" s="100">
        <v>8402.2127063930602</v>
      </c>
      <c r="CH29" s="100">
        <v>15.939755010231124</v>
      </c>
      <c r="CI29" s="100">
        <v>5394.0130954622118</v>
      </c>
      <c r="CJ29" s="100">
        <v>25.575944019657722</v>
      </c>
      <c r="CK29" s="100">
        <v>8654.899456252173</v>
      </c>
      <c r="CL29" s="100">
        <v>23.149668645665741</v>
      </c>
      <c r="CM29" s="100">
        <v>7833.8478696932862</v>
      </c>
      <c r="CN29" s="100">
        <v>21.736029559406081</v>
      </c>
      <c r="CO29" s="100">
        <v>7355.4724029030176</v>
      </c>
      <c r="CP29" s="100">
        <v>23.487043661587069</v>
      </c>
      <c r="CQ29" s="100">
        <v>7948.0155750810636</v>
      </c>
      <c r="CR29" s="100">
        <v>21</v>
      </c>
      <c r="CS29" s="100">
        <v>7106.4</v>
      </c>
      <c r="CT29" s="100">
        <v>19</v>
      </c>
      <c r="CU29" s="100">
        <v>6429.5999999999995</v>
      </c>
    </row>
    <row r="30" spans="2:99">
      <c r="C30" s="99" t="s">
        <v>196</v>
      </c>
      <c r="D30" s="100">
        <v>17</v>
      </c>
      <c r="E30" s="100">
        <v>2366.3999999999996</v>
      </c>
      <c r="F30" s="100">
        <v>16.317992984524921</v>
      </c>
      <c r="G30" s="100">
        <v>2271.4646234458687</v>
      </c>
      <c r="H30" s="100">
        <v>19.880916570586795</v>
      </c>
      <c r="I30" s="100">
        <v>2767.4235866256818</v>
      </c>
      <c r="J30" s="100">
        <v>20.599224745048556</v>
      </c>
      <c r="K30" s="100">
        <v>2867.4120845107586</v>
      </c>
      <c r="L30" s="100">
        <v>21.7001615238295</v>
      </c>
      <c r="M30" s="100">
        <v>3020.662484117066</v>
      </c>
      <c r="N30" s="100">
        <v>26</v>
      </c>
      <c r="O30" s="100">
        <v>3619.2</v>
      </c>
      <c r="P30" s="100">
        <v>22</v>
      </c>
      <c r="Q30" s="100">
        <v>3062.3999999999996</v>
      </c>
      <c r="R30" s="100">
        <v>28</v>
      </c>
      <c r="S30" s="100">
        <v>3897.5999999999995</v>
      </c>
      <c r="T30" s="100">
        <v>19</v>
      </c>
      <c r="U30" s="100">
        <v>2644.7999999999997</v>
      </c>
      <c r="V30" s="100">
        <v>23.960052204442569</v>
      </c>
      <c r="W30" s="100">
        <v>3335.2392668584052</v>
      </c>
      <c r="X30" s="100">
        <v>22</v>
      </c>
      <c r="Y30" s="100">
        <v>3062.3999999999996</v>
      </c>
      <c r="Z30" s="100">
        <v>21</v>
      </c>
      <c r="AA30" s="100">
        <v>2923.2</v>
      </c>
      <c r="AB30" s="100">
        <v>17</v>
      </c>
      <c r="AC30" s="100">
        <v>2366.3999999999996</v>
      </c>
      <c r="AD30" s="100">
        <v>16</v>
      </c>
      <c r="AE30" s="100">
        <v>2227.1999999999998</v>
      </c>
      <c r="AF30" s="100">
        <v>19</v>
      </c>
      <c r="AG30" s="100">
        <v>2644.7999999999997</v>
      </c>
      <c r="AH30" s="100">
        <v>21</v>
      </c>
      <c r="AI30" s="100">
        <v>2923.2</v>
      </c>
      <c r="AJ30" s="100">
        <v>16</v>
      </c>
      <c r="AK30" s="100">
        <v>2227.1999999999998</v>
      </c>
      <c r="AL30" s="100">
        <v>16</v>
      </c>
      <c r="AM30" s="100">
        <v>2227.1999999999998</v>
      </c>
      <c r="AN30" s="100">
        <v>22</v>
      </c>
      <c r="AO30" s="100">
        <v>3062.3999999999996</v>
      </c>
      <c r="AP30" s="100">
        <v>29</v>
      </c>
      <c r="AQ30" s="100">
        <v>4036.7999999999997</v>
      </c>
      <c r="AR30" s="100">
        <v>26</v>
      </c>
      <c r="AS30" s="100">
        <v>3619.2</v>
      </c>
      <c r="AT30" s="100">
        <v>23</v>
      </c>
      <c r="AU30" s="100">
        <v>3201.6</v>
      </c>
      <c r="AV30" s="100">
        <v>20</v>
      </c>
      <c r="AW30" s="100">
        <v>2784</v>
      </c>
      <c r="AX30" s="100">
        <v>18</v>
      </c>
      <c r="AY30" s="100">
        <v>2505.6</v>
      </c>
      <c r="AZ30" s="100">
        <v>24</v>
      </c>
      <c r="BA30" s="100">
        <v>3340.7999999999997</v>
      </c>
      <c r="BB30" s="100">
        <v>20</v>
      </c>
      <c r="BC30" s="100">
        <v>2784</v>
      </c>
      <c r="BD30" s="100">
        <v>18</v>
      </c>
      <c r="BE30" s="100">
        <v>2505.6</v>
      </c>
      <c r="BF30" s="100">
        <v>27</v>
      </c>
      <c r="BG30" s="100">
        <v>3758.3999999999996</v>
      </c>
      <c r="BH30" s="100">
        <v>18</v>
      </c>
      <c r="BI30" s="100">
        <v>2505.6</v>
      </c>
      <c r="BJ30" s="100">
        <v>17</v>
      </c>
      <c r="BK30" s="100">
        <v>2366.3999999999996</v>
      </c>
      <c r="BL30" s="100">
        <v>23</v>
      </c>
      <c r="BM30" s="100">
        <v>3201.6</v>
      </c>
      <c r="BN30" s="100">
        <v>28</v>
      </c>
      <c r="BO30" s="100">
        <v>3897.5999999999995</v>
      </c>
      <c r="BP30" s="100">
        <v>17</v>
      </c>
      <c r="BQ30" s="100">
        <v>2366.3999999999996</v>
      </c>
      <c r="BR30" s="100">
        <v>18</v>
      </c>
      <c r="BS30" s="100">
        <v>2505.6</v>
      </c>
      <c r="BT30" s="100">
        <v>26</v>
      </c>
      <c r="BU30" s="100">
        <v>3619.2</v>
      </c>
      <c r="BV30" s="100">
        <v>26</v>
      </c>
      <c r="BW30" s="100">
        <v>3619.2</v>
      </c>
      <c r="BX30" s="100">
        <v>30</v>
      </c>
      <c r="BY30" s="100">
        <v>4176</v>
      </c>
      <c r="BZ30" s="100">
        <v>27</v>
      </c>
      <c r="CA30" s="100">
        <v>3758.3999999999996</v>
      </c>
      <c r="CB30" s="100">
        <v>16</v>
      </c>
      <c r="CC30" s="100">
        <v>2227.1999999999998</v>
      </c>
      <c r="CD30" s="100">
        <v>24.93098113663515</v>
      </c>
      <c r="CE30" s="100">
        <v>3470.3925742196125</v>
      </c>
      <c r="CF30" s="100">
        <v>22.070430014166174</v>
      </c>
      <c r="CG30" s="100">
        <v>3072.203857971931</v>
      </c>
      <c r="CH30" s="100">
        <v>17.710838900256803</v>
      </c>
      <c r="CI30" s="100">
        <v>2465.3487749157466</v>
      </c>
      <c r="CJ30" s="100">
        <v>26.428475486979643</v>
      </c>
      <c r="CK30" s="100">
        <v>3678.8437877875658</v>
      </c>
      <c r="CL30" s="100">
        <v>21.434878375616428</v>
      </c>
      <c r="CM30" s="100">
        <v>2983.7350698858068</v>
      </c>
      <c r="CN30" s="100">
        <v>24.634166833993557</v>
      </c>
      <c r="CO30" s="100">
        <v>3429.0760232919029</v>
      </c>
      <c r="CP30" s="100">
        <v>28.380177757751046</v>
      </c>
      <c r="CQ30" s="100">
        <v>3950.5207438789453</v>
      </c>
      <c r="CR30" s="100">
        <v>24</v>
      </c>
      <c r="CS30" s="100">
        <v>3340.7999999999997</v>
      </c>
      <c r="CT30" s="100">
        <v>17</v>
      </c>
      <c r="CU30" s="100">
        <v>2366.3999999999996</v>
      </c>
    </row>
    <row r="31" spans="2:99">
      <c r="C31" s="99" t="s">
        <v>197</v>
      </c>
      <c r="D31" s="100">
        <v>16</v>
      </c>
      <c r="E31" s="100">
        <v>5452.8</v>
      </c>
      <c r="F31" s="100">
        <v>18.894518192607801</v>
      </c>
      <c r="G31" s="100">
        <v>6439.251800040739</v>
      </c>
      <c r="H31" s="100">
        <v>16.935595597166529</v>
      </c>
      <c r="I31" s="100">
        <v>5771.6509795143529</v>
      </c>
      <c r="J31" s="100">
        <v>19.127851548973659</v>
      </c>
      <c r="K31" s="100">
        <v>6518.7718078902235</v>
      </c>
      <c r="L31" s="100">
        <v>23.436174445735858</v>
      </c>
      <c r="M31" s="100">
        <v>7987.0482511067812</v>
      </c>
      <c r="N31" s="100">
        <v>26</v>
      </c>
      <c r="O31" s="100">
        <v>8860.8000000000011</v>
      </c>
      <c r="P31" s="100">
        <v>23</v>
      </c>
      <c r="Q31" s="100">
        <v>7838.4000000000005</v>
      </c>
      <c r="R31" s="100">
        <v>27</v>
      </c>
      <c r="S31" s="100">
        <v>9201.6</v>
      </c>
      <c r="T31" s="100">
        <v>18</v>
      </c>
      <c r="U31" s="100">
        <v>6134.4000000000005</v>
      </c>
      <c r="V31" s="100">
        <v>23.960052204442569</v>
      </c>
      <c r="W31" s="100">
        <v>8165.5857912740275</v>
      </c>
      <c r="X31" s="100">
        <v>22</v>
      </c>
      <c r="Y31" s="100">
        <v>7497.6</v>
      </c>
      <c r="Z31" s="100">
        <v>19</v>
      </c>
      <c r="AA31" s="100">
        <v>6475.2</v>
      </c>
      <c r="AB31" s="100">
        <v>18</v>
      </c>
      <c r="AC31" s="100">
        <v>6134.4000000000005</v>
      </c>
      <c r="AD31" s="100">
        <v>15</v>
      </c>
      <c r="AE31" s="100">
        <v>5112</v>
      </c>
      <c r="AF31" s="100">
        <v>17</v>
      </c>
      <c r="AG31" s="100">
        <v>5793.6</v>
      </c>
      <c r="AH31" s="100">
        <v>23</v>
      </c>
      <c r="AI31" s="100">
        <v>7838.4000000000005</v>
      </c>
      <c r="AJ31" s="100">
        <v>14</v>
      </c>
      <c r="AK31" s="100">
        <v>4771.2</v>
      </c>
      <c r="AL31" s="100">
        <v>15</v>
      </c>
      <c r="AM31" s="100">
        <v>5112</v>
      </c>
      <c r="AN31" s="100">
        <v>19</v>
      </c>
      <c r="AO31" s="100">
        <v>6475.2</v>
      </c>
      <c r="AP31" s="100">
        <v>29</v>
      </c>
      <c r="AQ31" s="100">
        <v>9883.2000000000007</v>
      </c>
      <c r="AR31" s="100">
        <v>28</v>
      </c>
      <c r="AS31" s="100">
        <v>9542.4</v>
      </c>
      <c r="AT31" s="100">
        <v>27</v>
      </c>
      <c r="AU31" s="100">
        <v>9201.6</v>
      </c>
      <c r="AV31" s="100">
        <v>22</v>
      </c>
      <c r="AW31" s="100">
        <v>7497.6</v>
      </c>
      <c r="AX31" s="100">
        <v>17</v>
      </c>
      <c r="AY31" s="100">
        <v>5793.6</v>
      </c>
      <c r="AZ31" s="100">
        <v>21</v>
      </c>
      <c r="BA31" s="100">
        <v>7156.8</v>
      </c>
      <c r="BB31" s="100">
        <v>19</v>
      </c>
      <c r="BC31" s="100">
        <v>6475.2</v>
      </c>
      <c r="BD31" s="100">
        <v>19</v>
      </c>
      <c r="BE31" s="100">
        <v>6475.2</v>
      </c>
      <c r="BF31" s="100">
        <v>28</v>
      </c>
      <c r="BG31" s="100">
        <v>9542.4</v>
      </c>
      <c r="BH31" s="100">
        <v>18</v>
      </c>
      <c r="BI31" s="100">
        <v>6134.4000000000005</v>
      </c>
      <c r="BJ31" s="100">
        <v>18</v>
      </c>
      <c r="BK31" s="100">
        <v>6134.4000000000005</v>
      </c>
      <c r="BL31" s="100">
        <v>23</v>
      </c>
      <c r="BM31" s="100">
        <v>7838.4000000000005</v>
      </c>
      <c r="BN31" s="100">
        <v>27</v>
      </c>
      <c r="BO31" s="100">
        <v>9201.6</v>
      </c>
      <c r="BP31" s="100">
        <v>18</v>
      </c>
      <c r="BQ31" s="100">
        <v>6134.4000000000005</v>
      </c>
      <c r="BR31" s="100">
        <v>19</v>
      </c>
      <c r="BS31" s="100">
        <v>6475.2</v>
      </c>
      <c r="BT31" s="100">
        <v>25</v>
      </c>
      <c r="BU31" s="100">
        <v>8520</v>
      </c>
      <c r="BV31" s="100">
        <v>27</v>
      </c>
      <c r="BW31" s="100">
        <v>9201.6</v>
      </c>
      <c r="BX31" s="100">
        <v>29</v>
      </c>
      <c r="BY31" s="100">
        <v>9883.2000000000007</v>
      </c>
      <c r="BZ31" s="100">
        <v>28</v>
      </c>
      <c r="CA31" s="100">
        <v>9542.4</v>
      </c>
      <c r="CB31" s="100">
        <v>17</v>
      </c>
      <c r="CC31" s="100">
        <v>5793.6</v>
      </c>
      <c r="CD31" s="100">
        <v>21.939263400238929</v>
      </c>
      <c r="CE31" s="100">
        <v>7476.9009668014269</v>
      </c>
      <c r="CF31" s="100">
        <v>20.231227512985658</v>
      </c>
      <c r="CG31" s="100">
        <v>6894.8023364255123</v>
      </c>
      <c r="CH31" s="100">
        <v>17.710838900256803</v>
      </c>
      <c r="CI31" s="100">
        <v>6035.8538972075185</v>
      </c>
      <c r="CJ31" s="100">
        <v>23.01834961769195</v>
      </c>
      <c r="CK31" s="100">
        <v>7844.6535497094164</v>
      </c>
      <c r="CL31" s="100">
        <v>22.292273510641085</v>
      </c>
      <c r="CM31" s="100">
        <v>7597.2068124264815</v>
      </c>
      <c r="CN31" s="100">
        <v>23.185098196699819</v>
      </c>
      <c r="CO31" s="100">
        <v>7901.4814654352986</v>
      </c>
      <c r="CP31" s="100">
        <v>25.444297300052657</v>
      </c>
      <c r="CQ31" s="100">
        <v>8671.4165198579467</v>
      </c>
      <c r="CR31" s="100">
        <v>23</v>
      </c>
      <c r="CS31" s="100">
        <v>7838.4000000000005</v>
      </c>
      <c r="CT31" s="100">
        <v>18</v>
      </c>
      <c r="CU31" s="100">
        <v>6134.4000000000005</v>
      </c>
    </row>
    <row r="32" spans="2:99">
      <c r="C32" s="99" t="s">
        <v>198</v>
      </c>
      <c r="D32" s="100">
        <v>16</v>
      </c>
      <c r="E32" s="100">
        <v>13440</v>
      </c>
      <c r="F32" s="100">
        <v>18.035676456580177</v>
      </c>
      <c r="G32" s="100">
        <v>15149.968223527349</v>
      </c>
      <c r="H32" s="100">
        <v>16.199265353811462</v>
      </c>
      <c r="I32" s="100">
        <v>13607.382897201629</v>
      </c>
      <c r="J32" s="100">
        <v>16.920791754861312</v>
      </c>
      <c r="K32" s="100">
        <v>14213.465074083502</v>
      </c>
      <c r="L32" s="100">
        <v>18.228135680016781</v>
      </c>
      <c r="M32" s="100">
        <v>15311.633971214096</v>
      </c>
      <c r="N32" s="100">
        <v>24</v>
      </c>
      <c r="O32" s="100">
        <v>20160</v>
      </c>
      <c r="P32" s="100">
        <v>21</v>
      </c>
      <c r="Q32" s="100">
        <v>17640</v>
      </c>
      <c r="R32" s="100">
        <v>26</v>
      </c>
      <c r="S32" s="100">
        <v>21840</v>
      </c>
      <c r="T32" s="100">
        <v>19</v>
      </c>
      <c r="U32" s="100">
        <v>15960</v>
      </c>
      <c r="V32" s="100">
        <v>23.001650116264866</v>
      </c>
      <c r="W32" s="100">
        <v>19321.386097662486</v>
      </c>
      <c r="X32" s="100">
        <v>18</v>
      </c>
      <c r="Y32" s="100">
        <v>15120</v>
      </c>
      <c r="Z32" s="100">
        <v>18</v>
      </c>
      <c r="AA32" s="100">
        <v>15120</v>
      </c>
      <c r="AB32" s="100">
        <v>17</v>
      </c>
      <c r="AC32" s="100">
        <v>14280</v>
      </c>
      <c r="AD32" s="100">
        <v>15</v>
      </c>
      <c r="AE32" s="100">
        <v>12600</v>
      </c>
      <c r="AF32" s="100">
        <v>17</v>
      </c>
      <c r="AG32" s="100">
        <v>14280</v>
      </c>
      <c r="AH32" s="100">
        <v>20</v>
      </c>
      <c r="AI32" s="100">
        <v>16800</v>
      </c>
      <c r="AJ32" s="100">
        <v>15</v>
      </c>
      <c r="AK32" s="100">
        <v>12600</v>
      </c>
      <c r="AL32" s="100">
        <v>14</v>
      </c>
      <c r="AM32" s="100">
        <v>11760</v>
      </c>
      <c r="AN32" s="100">
        <v>21</v>
      </c>
      <c r="AO32" s="100">
        <v>17640</v>
      </c>
      <c r="AP32" s="100">
        <v>24</v>
      </c>
      <c r="AQ32" s="100">
        <v>20160</v>
      </c>
      <c r="AR32" s="100">
        <v>25</v>
      </c>
      <c r="AS32" s="100">
        <v>21000</v>
      </c>
      <c r="AT32" s="100">
        <v>26</v>
      </c>
      <c r="AU32" s="100">
        <v>21840</v>
      </c>
      <c r="AV32" s="100">
        <v>20</v>
      </c>
      <c r="AW32" s="100">
        <v>16800</v>
      </c>
      <c r="AX32" s="100">
        <v>18</v>
      </c>
      <c r="AY32" s="100">
        <v>15120</v>
      </c>
      <c r="AZ32" s="100">
        <v>22</v>
      </c>
      <c r="BA32" s="100">
        <v>18480</v>
      </c>
      <c r="BB32" s="100">
        <v>21</v>
      </c>
      <c r="BC32" s="100">
        <v>17640</v>
      </c>
      <c r="BD32" s="100">
        <v>20</v>
      </c>
      <c r="BE32" s="100">
        <v>16800</v>
      </c>
      <c r="BF32" s="100">
        <v>29</v>
      </c>
      <c r="BG32" s="100">
        <v>24360</v>
      </c>
      <c r="BH32" s="100">
        <v>17</v>
      </c>
      <c r="BI32" s="100">
        <v>14280</v>
      </c>
      <c r="BJ32" s="100">
        <v>17</v>
      </c>
      <c r="BK32" s="100">
        <v>14280</v>
      </c>
      <c r="BL32" s="100">
        <v>20</v>
      </c>
      <c r="BM32" s="100">
        <v>16800</v>
      </c>
      <c r="BN32" s="100">
        <v>28</v>
      </c>
      <c r="BO32" s="100">
        <v>23520</v>
      </c>
      <c r="BP32" s="100">
        <v>17</v>
      </c>
      <c r="BQ32" s="100">
        <v>14280</v>
      </c>
      <c r="BR32" s="100">
        <v>16</v>
      </c>
      <c r="BS32" s="100">
        <v>13440</v>
      </c>
      <c r="BT32" s="100">
        <v>21</v>
      </c>
      <c r="BU32" s="100">
        <v>17640</v>
      </c>
      <c r="BV32" s="100">
        <v>24</v>
      </c>
      <c r="BW32" s="100">
        <v>20160</v>
      </c>
      <c r="BX32" s="100">
        <v>24</v>
      </c>
      <c r="BY32" s="100">
        <v>20160</v>
      </c>
      <c r="BZ32" s="100">
        <v>27</v>
      </c>
      <c r="CA32" s="100">
        <v>22680</v>
      </c>
      <c r="CB32" s="100">
        <v>17</v>
      </c>
      <c r="CC32" s="100">
        <v>14280</v>
      </c>
      <c r="CD32" s="100">
        <v>22.936502645704337</v>
      </c>
      <c r="CE32" s="100">
        <v>19266.662222391642</v>
      </c>
      <c r="CF32" s="100">
        <v>22.990031264756428</v>
      </c>
      <c r="CG32" s="100">
        <v>19311.626262395399</v>
      </c>
      <c r="CH32" s="100">
        <v>15.939755010231124</v>
      </c>
      <c r="CI32" s="100">
        <v>13389.394208594145</v>
      </c>
      <c r="CJ32" s="100">
        <v>23.87088108501387</v>
      </c>
      <c r="CK32" s="100">
        <v>20051.54011141165</v>
      </c>
      <c r="CL32" s="100">
        <v>19.720088105567111</v>
      </c>
      <c r="CM32" s="100">
        <v>16564.874008676372</v>
      </c>
      <c r="CN32" s="100">
        <v>20.286960922112339</v>
      </c>
      <c r="CO32" s="100">
        <v>17041.047174574363</v>
      </c>
      <c r="CP32" s="100">
        <v>26.422924119285454</v>
      </c>
      <c r="CQ32" s="100">
        <v>22195.256260199782</v>
      </c>
      <c r="CR32" s="100">
        <v>20</v>
      </c>
      <c r="CS32" s="100">
        <v>16800</v>
      </c>
      <c r="CT32" s="100">
        <v>16</v>
      </c>
      <c r="CU32" s="100">
        <v>13440</v>
      </c>
    </row>
    <row r="33" spans="2:99">
      <c r="C33" s="99" t="s">
        <v>199</v>
      </c>
      <c r="D33" s="100">
        <v>17</v>
      </c>
      <c r="E33" s="100">
        <v>8058</v>
      </c>
      <c r="F33" s="100">
        <v>16.317992984524921</v>
      </c>
      <c r="G33" s="100">
        <v>7734.7286746648124</v>
      </c>
      <c r="H33" s="100">
        <v>16.935595597166529</v>
      </c>
      <c r="I33" s="100">
        <v>8027.4723130569346</v>
      </c>
      <c r="J33" s="100">
        <v>19.863538147011106</v>
      </c>
      <c r="K33" s="100">
        <v>9415.3170816832644</v>
      </c>
      <c r="L33" s="100">
        <v>19.964148601923142</v>
      </c>
      <c r="M33" s="100">
        <v>9463.0064373115692</v>
      </c>
      <c r="N33" s="100">
        <v>26</v>
      </c>
      <c r="O33" s="100">
        <v>12324</v>
      </c>
      <c r="P33" s="100">
        <v>20</v>
      </c>
      <c r="Q33" s="100">
        <v>9480</v>
      </c>
      <c r="R33" s="100">
        <v>26</v>
      </c>
      <c r="S33" s="100">
        <v>12324</v>
      </c>
      <c r="T33" s="100">
        <v>17</v>
      </c>
      <c r="U33" s="100">
        <v>8058</v>
      </c>
      <c r="V33" s="100">
        <v>23.960052204442569</v>
      </c>
      <c r="W33" s="100">
        <v>11357.064744905778</v>
      </c>
      <c r="X33" s="100">
        <v>19</v>
      </c>
      <c r="Y33" s="100">
        <v>9006</v>
      </c>
      <c r="Z33" s="100">
        <v>21</v>
      </c>
      <c r="AA33" s="100">
        <v>9954</v>
      </c>
      <c r="AB33" s="100">
        <v>18</v>
      </c>
      <c r="AC33" s="100">
        <v>8532</v>
      </c>
      <c r="AD33" s="100">
        <v>16</v>
      </c>
      <c r="AE33" s="100">
        <v>7584</v>
      </c>
      <c r="AF33" s="100">
        <v>17</v>
      </c>
      <c r="AG33" s="100">
        <v>8058</v>
      </c>
      <c r="AH33" s="100">
        <v>22</v>
      </c>
      <c r="AI33" s="100">
        <v>10428</v>
      </c>
      <c r="AJ33" s="100">
        <v>16</v>
      </c>
      <c r="AK33" s="100">
        <v>7584</v>
      </c>
      <c r="AL33" s="100">
        <v>16</v>
      </c>
      <c r="AM33" s="100">
        <v>7584</v>
      </c>
      <c r="AN33" s="100">
        <v>19</v>
      </c>
      <c r="AO33" s="100">
        <v>9006</v>
      </c>
      <c r="AP33" s="100">
        <v>25</v>
      </c>
      <c r="AQ33" s="100">
        <v>11850</v>
      </c>
      <c r="AR33" s="100">
        <v>25</v>
      </c>
      <c r="AS33" s="100">
        <v>11850</v>
      </c>
      <c r="AT33" s="100">
        <v>22</v>
      </c>
      <c r="AU33" s="100">
        <v>10428</v>
      </c>
      <c r="AV33" s="100">
        <v>20</v>
      </c>
      <c r="AW33" s="100">
        <v>9480</v>
      </c>
      <c r="AX33" s="100">
        <v>17</v>
      </c>
      <c r="AY33" s="100">
        <v>8058</v>
      </c>
      <c r="AZ33" s="100">
        <v>23</v>
      </c>
      <c r="BA33" s="100">
        <v>10902</v>
      </c>
      <c r="BB33" s="100">
        <v>21</v>
      </c>
      <c r="BC33" s="100">
        <v>9954</v>
      </c>
      <c r="BD33" s="100">
        <v>20</v>
      </c>
      <c r="BE33" s="100">
        <v>9480</v>
      </c>
      <c r="BF33" s="100">
        <v>29</v>
      </c>
      <c r="BG33" s="100">
        <v>13746</v>
      </c>
      <c r="BH33" s="100">
        <v>19</v>
      </c>
      <c r="BI33" s="100">
        <v>9006</v>
      </c>
      <c r="BJ33" s="100">
        <v>17</v>
      </c>
      <c r="BK33" s="100">
        <v>8058</v>
      </c>
      <c r="BL33" s="100">
        <v>19</v>
      </c>
      <c r="BM33" s="100">
        <v>9006</v>
      </c>
      <c r="BN33" s="100">
        <v>26</v>
      </c>
      <c r="BO33" s="100">
        <v>12324</v>
      </c>
      <c r="BP33" s="100">
        <v>19</v>
      </c>
      <c r="BQ33" s="100">
        <v>9006</v>
      </c>
      <c r="BR33" s="100">
        <v>17</v>
      </c>
      <c r="BS33" s="100">
        <v>8058</v>
      </c>
      <c r="BT33" s="100">
        <v>24</v>
      </c>
      <c r="BU33" s="100">
        <v>11376</v>
      </c>
      <c r="BV33" s="100">
        <v>22</v>
      </c>
      <c r="BW33" s="100">
        <v>10428</v>
      </c>
      <c r="BX33" s="100">
        <v>25</v>
      </c>
      <c r="BY33" s="100">
        <v>11850</v>
      </c>
      <c r="BZ33" s="100">
        <v>25</v>
      </c>
      <c r="CA33" s="100">
        <v>11850</v>
      </c>
      <c r="CB33" s="100">
        <v>15</v>
      </c>
      <c r="CC33" s="100">
        <v>7110</v>
      </c>
      <c r="CD33" s="100">
        <v>23.933741891169742</v>
      </c>
      <c r="CE33" s="100">
        <v>11344.593656414458</v>
      </c>
      <c r="CF33" s="100">
        <v>20.231227512985658</v>
      </c>
      <c r="CG33" s="100">
        <v>9589.6018411552013</v>
      </c>
      <c r="CH33" s="100">
        <v>15.939755010231124</v>
      </c>
      <c r="CI33" s="100">
        <v>7555.4438748495531</v>
      </c>
      <c r="CJ33" s="100">
        <v>23.01834961769195</v>
      </c>
      <c r="CK33" s="100">
        <v>10910.697718785985</v>
      </c>
      <c r="CL33" s="100">
        <v>23.149668645665741</v>
      </c>
      <c r="CM33" s="100">
        <v>10972.942938045562</v>
      </c>
      <c r="CN33" s="100">
        <v>21.01149524075921</v>
      </c>
      <c r="CO33" s="100">
        <v>9959.4487441198653</v>
      </c>
      <c r="CP33" s="100">
        <v>27.401550938518252</v>
      </c>
      <c r="CQ33" s="100">
        <v>12988.335144857652</v>
      </c>
      <c r="CR33" s="100">
        <v>22</v>
      </c>
      <c r="CS33" s="100">
        <v>10428</v>
      </c>
      <c r="CT33" s="100">
        <v>19</v>
      </c>
      <c r="CU33" s="100">
        <v>9006</v>
      </c>
    </row>
    <row r="34" spans="2:99">
      <c r="C34" s="99" t="s">
        <v>200</v>
      </c>
      <c r="D34" s="100">
        <v>19</v>
      </c>
      <c r="E34" s="100">
        <v>10419.6</v>
      </c>
      <c r="F34" s="100">
        <v>16.317992984524921</v>
      </c>
      <c r="G34" s="100">
        <v>8948.7873527134652</v>
      </c>
      <c r="H34" s="100">
        <v>18.408256083876662</v>
      </c>
      <c r="I34" s="100">
        <v>10095.087636397961</v>
      </c>
      <c r="J34" s="100">
        <v>18.392164950936209</v>
      </c>
      <c r="K34" s="100">
        <v>10086.263259093417</v>
      </c>
      <c r="L34" s="100">
        <v>20.832155062876321</v>
      </c>
      <c r="M34" s="100">
        <v>11424.353836481374</v>
      </c>
      <c r="N34" s="100">
        <v>25</v>
      </c>
      <c r="O34" s="100">
        <v>13710</v>
      </c>
      <c r="P34" s="100">
        <v>20</v>
      </c>
      <c r="Q34" s="100">
        <v>10968</v>
      </c>
      <c r="R34" s="100">
        <v>31</v>
      </c>
      <c r="S34" s="100">
        <v>17000.399999999998</v>
      </c>
      <c r="T34" s="100">
        <v>19</v>
      </c>
      <c r="U34" s="100">
        <v>10419.6</v>
      </c>
      <c r="V34" s="100">
        <v>22.043248028087163</v>
      </c>
      <c r="W34" s="100">
        <v>12088.517218602999</v>
      </c>
      <c r="X34" s="100">
        <v>19</v>
      </c>
      <c r="Y34" s="100">
        <v>10419.6</v>
      </c>
      <c r="Z34" s="100">
        <v>20</v>
      </c>
      <c r="AA34" s="100">
        <v>10968</v>
      </c>
      <c r="AB34" s="100">
        <v>19</v>
      </c>
      <c r="AC34" s="100">
        <v>10419.6</v>
      </c>
      <c r="AD34" s="100">
        <v>15</v>
      </c>
      <c r="AE34" s="100">
        <v>8226</v>
      </c>
      <c r="AF34" s="100">
        <v>16</v>
      </c>
      <c r="AG34" s="100">
        <v>8774.4</v>
      </c>
      <c r="AH34" s="100">
        <v>19</v>
      </c>
      <c r="AI34" s="100">
        <v>10419.6</v>
      </c>
      <c r="AJ34" s="100">
        <v>15</v>
      </c>
      <c r="AK34" s="100">
        <v>8226</v>
      </c>
      <c r="AL34" s="100">
        <v>15</v>
      </c>
      <c r="AM34" s="100">
        <v>8226</v>
      </c>
      <c r="AN34" s="100">
        <v>20</v>
      </c>
      <c r="AO34" s="100">
        <v>10968</v>
      </c>
      <c r="AP34" s="100">
        <v>26</v>
      </c>
      <c r="AQ34" s="100">
        <v>14258.4</v>
      </c>
      <c r="AR34" s="100">
        <v>29</v>
      </c>
      <c r="AS34" s="100">
        <v>15903.599999999999</v>
      </c>
      <c r="AT34" s="100">
        <v>22</v>
      </c>
      <c r="AU34" s="100">
        <v>12064.8</v>
      </c>
      <c r="AV34" s="100">
        <v>22</v>
      </c>
      <c r="AW34" s="100">
        <v>12064.8</v>
      </c>
      <c r="AX34" s="100">
        <v>17</v>
      </c>
      <c r="AY34" s="100">
        <v>9322.7999999999993</v>
      </c>
      <c r="AZ34" s="100">
        <v>20</v>
      </c>
      <c r="BA34" s="100">
        <v>10968</v>
      </c>
      <c r="BB34" s="100">
        <v>21</v>
      </c>
      <c r="BC34" s="100">
        <v>11516.4</v>
      </c>
      <c r="BD34" s="100">
        <v>19</v>
      </c>
      <c r="BE34" s="100">
        <v>10419.6</v>
      </c>
      <c r="BF34" s="100">
        <v>31</v>
      </c>
      <c r="BG34" s="100">
        <v>17000.399999999998</v>
      </c>
      <c r="BH34" s="100">
        <v>17</v>
      </c>
      <c r="BI34" s="100">
        <v>9322.7999999999993</v>
      </c>
      <c r="BJ34" s="100">
        <v>18</v>
      </c>
      <c r="BK34" s="100">
        <v>9871.1999999999989</v>
      </c>
      <c r="BL34" s="100">
        <v>23</v>
      </c>
      <c r="BM34" s="100">
        <v>12613.199999999999</v>
      </c>
      <c r="BN34" s="100">
        <v>26</v>
      </c>
      <c r="BO34" s="100">
        <v>14258.4</v>
      </c>
      <c r="BP34" s="100">
        <v>16</v>
      </c>
      <c r="BQ34" s="100">
        <v>8774.4</v>
      </c>
      <c r="BR34" s="100">
        <v>16</v>
      </c>
      <c r="BS34" s="100">
        <v>8774.4</v>
      </c>
      <c r="BT34" s="100">
        <v>22</v>
      </c>
      <c r="BU34" s="100">
        <v>12064.8</v>
      </c>
      <c r="BV34" s="100">
        <v>24</v>
      </c>
      <c r="BW34" s="100">
        <v>13161.599999999999</v>
      </c>
      <c r="BX34" s="100">
        <v>26</v>
      </c>
      <c r="BY34" s="100">
        <v>14258.4</v>
      </c>
      <c r="BZ34" s="100">
        <v>25</v>
      </c>
      <c r="CA34" s="100">
        <v>13710</v>
      </c>
      <c r="CB34" s="100">
        <v>16</v>
      </c>
      <c r="CC34" s="100">
        <v>8774.4</v>
      </c>
      <c r="CD34" s="100">
        <v>22.936502645704337</v>
      </c>
      <c r="CE34" s="100">
        <v>12578.378050904257</v>
      </c>
      <c r="CF34" s="100">
        <v>22.990031264756428</v>
      </c>
      <c r="CG34" s="100">
        <v>12607.733145592425</v>
      </c>
      <c r="CH34" s="100">
        <v>15.939755010231124</v>
      </c>
      <c r="CI34" s="100">
        <v>8741.3616476107491</v>
      </c>
      <c r="CJ34" s="100">
        <v>24.723412552335795</v>
      </c>
      <c r="CK34" s="100">
        <v>13558.31944370095</v>
      </c>
      <c r="CL34" s="100">
        <v>21.434878375616428</v>
      </c>
      <c r="CM34" s="100">
        <v>11754.887301188048</v>
      </c>
      <c r="CN34" s="100">
        <v>20.286960922112339</v>
      </c>
      <c r="CO34" s="100">
        <v>11125.369369686407</v>
      </c>
      <c r="CP34" s="100">
        <v>25.444297300052657</v>
      </c>
      <c r="CQ34" s="100">
        <v>13953.652639348877</v>
      </c>
      <c r="CR34" s="100">
        <v>19</v>
      </c>
      <c r="CS34" s="100">
        <v>10419.6</v>
      </c>
      <c r="CT34" s="100">
        <v>19</v>
      </c>
      <c r="CU34" s="100">
        <v>10419.6</v>
      </c>
    </row>
    <row r="35" spans="2:99">
      <c r="C35" s="99" t="s">
        <v>201</v>
      </c>
      <c r="D35" s="100">
        <v>17</v>
      </c>
      <c r="E35" s="100">
        <v>8547.5999999999985</v>
      </c>
      <c r="F35" s="100">
        <v>17.176834720552549</v>
      </c>
      <c r="G35" s="100">
        <v>8636.512497493819</v>
      </c>
      <c r="H35" s="100">
        <v>16.199265353811462</v>
      </c>
      <c r="I35" s="100">
        <v>8144.9906198964018</v>
      </c>
      <c r="J35" s="100">
        <v>19.863538147011106</v>
      </c>
      <c r="K35" s="100">
        <v>9987.386980317182</v>
      </c>
      <c r="L35" s="100">
        <v>22.568167984782679</v>
      </c>
      <c r="M35" s="100">
        <v>11347.274862748729</v>
      </c>
      <c r="N35" s="100">
        <v>23</v>
      </c>
      <c r="O35" s="100">
        <v>11564.399999999998</v>
      </c>
      <c r="P35" s="100">
        <v>20</v>
      </c>
      <c r="Q35" s="100">
        <v>10055.999999999998</v>
      </c>
      <c r="R35" s="100">
        <v>28</v>
      </c>
      <c r="S35" s="100">
        <v>14078.399999999998</v>
      </c>
      <c r="T35" s="100">
        <v>20</v>
      </c>
      <c r="U35" s="100">
        <v>10055.999999999998</v>
      </c>
      <c r="V35" s="100">
        <v>23.001650116264866</v>
      </c>
      <c r="W35" s="100">
        <v>11565.229678457972</v>
      </c>
      <c r="X35" s="100">
        <v>18</v>
      </c>
      <c r="Y35" s="100">
        <v>9050.3999999999978</v>
      </c>
      <c r="Z35" s="100">
        <v>20</v>
      </c>
      <c r="AA35" s="100">
        <v>10055.999999999998</v>
      </c>
      <c r="AB35" s="100">
        <v>16</v>
      </c>
      <c r="AC35" s="100">
        <v>8044.7999999999984</v>
      </c>
      <c r="AD35" s="100">
        <v>16</v>
      </c>
      <c r="AE35" s="100">
        <v>8044.7999999999984</v>
      </c>
      <c r="AF35" s="100">
        <v>17</v>
      </c>
      <c r="AG35" s="100">
        <v>8547.5999999999985</v>
      </c>
      <c r="AH35" s="100">
        <v>21</v>
      </c>
      <c r="AI35" s="100">
        <v>10558.799999999997</v>
      </c>
      <c r="AJ35" s="100">
        <v>16</v>
      </c>
      <c r="AK35" s="100">
        <v>8044.7999999999984</v>
      </c>
      <c r="AL35" s="100">
        <v>16</v>
      </c>
      <c r="AM35" s="100">
        <v>8044.7999999999984</v>
      </c>
      <c r="AN35" s="100">
        <v>21</v>
      </c>
      <c r="AO35" s="100">
        <v>10558.799999999997</v>
      </c>
      <c r="AP35" s="100">
        <v>28</v>
      </c>
      <c r="AQ35" s="100">
        <v>14078.399999999998</v>
      </c>
      <c r="AR35" s="100">
        <v>27</v>
      </c>
      <c r="AS35" s="100">
        <v>13575.599999999997</v>
      </c>
      <c r="AT35" s="100">
        <v>22</v>
      </c>
      <c r="AU35" s="100">
        <v>11061.599999999999</v>
      </c>
      <c r="AV35" s="100">
        <v>21</v>
      </c>
      <c r="AW35" s="100">
        <v>10558.799999999997</v>
      </c>
      <c r="AX35" s="100">
        <v>18</v>
      </c>
      <c r="AY35" s="100">
        <v>9050.3999999999978</v>
      </c>
      <c r="AZ35" s="100">
        <v>23</v>
      </c>
      <c r="BA35" s="100">
        <v>11564.399999999998</v>
      </c>
      <c r="BB35" s="100">
        <v>19</v>
      </c>
      <c r="BC35" s="100">
        <v>9553.1999999999989</v>
      </c>
      <c r="BD35" s="100">
        <v>19</v>
      </c>
      <c r="BE35" s="100">
        <v>9553.1999999999989</v>
      </c>
      <c r="BF35" s="100">
        <v>28</v>
      </c>
      <c r="BG35" s="100">
        <v>14078.399999999998</v>
      </c>
      <c r="BH35" s="100">
        <v>19</v>
      </c>
      <c r="BI35" s="100">
        <v>9553.1999999999989</v>
      </c>
      <c r="BJ35" s="100">
        <v>18</v>
      </c>
      <c r="BK35" s="100">
        <v>9050.3999999999978</v>
      </c>
      <c r="BL35" s="100">
        <v>21</v>
      </c>
      <c r="BM35" s="100">
        <v>10558.799999999997</v>
      </c>
      <c r="BN35" s="100">
        <v>29</v>
      </c>
      <c r="BO35" s="100">
        <v>14581.199999999997</v>
      </c>
      <c r="BP35" s="100">
        <v>17</v>
      </c>
      <c r="BQ35" s="100">
        <v>8547.5999999999985</v>
      </c>
      <c r="BR35" s="100">
        <v>16</v>
      </c>
      <c r="BS35" s="100">
        <v>8044.7999999999984</v>
      </c>
      <c r="BT35" s="100">
        <v>24</v>
      </c>
      <c r="BU35" s="100">
        <v>12067.199999999997</v>
      </c>
      <c r="BV35" s="100">
        <v>24</v>
      </c>
      <c r="BW35" s="100">
        <v>12067.199999999997</v>
      </c>
      <c r="BX35" s="100">
        <v>28</v>
      </c>
      <c r="BY35" s="100">
        <v>14078.399999999998</v>
      </c>
      <c r="BZ35" s="100">
        <v>27</v>
      </c>
      <c r="CA35" s="100">
        <v>13575.599999999997</v>
      </c>
      <c r="CB35" s="100">
        <v>17</v>
      </c>
      <c r="CC35" s="100">
        <v>8547.5999999999985</v>
      </c>
      <c r="CD35" s="100">
        <v>19.944784909308119</v>
      </c>
      <c r="CE35" s="100">
        <v>10028.23785240012</v>
      </c>
      <c r="CF35" s="100">
        <v>22.070430014166174</v>
      </c>
      <c r="CG35" s="100">
        <v>11097.01221112275</v>
      </c>
      <c r="CH35" s="100">
        <v>16.825296955243964</v>
      </c>
      <c r="CI35" s="100">
        <v>8459.7593090966639</v>
      </c>
      <c r="CJ35" s="100">
        <v>25.575944019657722</v>
      </c>
      <c r="CK35" s="100">
        <v>12859.584653083901</v>
      </c>
      <c r="CL35" s="100">
        <v>20.577483240591768</v>
      </c>
      <c r="CM35" s="100">
        <v>10346.358573369538</v>
      </c>
      <c r="CN35" s="100">
        <v>20.286960922112339</v>
      </c>
      <c r="CO35" s="100">
        <v>10200.283951638083</v>
      </c>
      <c r="CP35" s="100">
        <v>24.465670480819863</v>
      </c>
      <c r="CQ35" s="100">
        <v>12301.339117756224</v>
      </c>
      <c r="CR35" s="100">
        <v>22</v>
      </c>
      <c r="CS35" s="100">
        <v>11061.599999999999</v>
      </c>
      <c r="CT35" s="100">
        <v>17</v>
      </c>
      <c r="CU35" s="100">
        <v>8547.5999999999985</v>
      </c>
    </row>
    <row r="36" spans="2:99">
      <c r="C36" s="99" t="s">
        <v>202</v>
      </c>
      <c r="D36" s="100">
        <v>15</v>
      </c>
      <c r="E36" s="100">
        <v>11412</v>
      </c>
      <c r="F36" s="100">
        <v>17.176834720552549</v>
      </c>
      <c r="G36" s="100">
        <v>13068.135855396378</v>
      </c>
      <c r="H36" s="100">
        <v>18.408256083876662</v>
      </c>
      <c r="I36" s="100">
        <v>14005.001228613364</v>
      </c>
      <c r="J36" s="100">
        <v>17.656478352898763</v>
      </c>
      <c r="K36" s="100">
        <v>13433.048730885377</v>
      </c>
      <c r="L36" s="100">
        <v>21.7001615238295</v>
      </c>
      <c r="M36" s="100">
        <v>16509.482887329483</v>
      </c>
      <c r="N36" s="100">
        <v>21</v>
      </c>
      <c r="O36" s="100">
        <v>15976.8</v>
      </c>
      <c r="P36" s="100">
        <v>19</v>
      </c>
      <c r="Q36" s="100">
        <v>14455.199999999999</v>
      </c>
      <c r="R36" s="100">
        <v>26</v>
      </c>
      <c r="S36" s="100">
        <v>19780.8</v>
      </c>
      <c r="T36" s="100">
        <v>18</v>
      </c>
      <c r="U36" s="100">
        <v>13694.4</v>
      </c>
      <c r="V36" s="100">
        <v>23.001650116264866</v>
      </c>
      <c r="W36" s="100">
        <v>17499.65540845431</v>
      </c>
      <c r="X36" s="100">
        <v>18</v>
      </c>
      <c r="Y36" s="100">
        <v>13694.4</v>
      </c>
      <c r="Z36" s="100">
        <v>18</v>
      </c>
      <c r="AA36" s="100">
        <v>13694.4</v>
      </c>
      <c r="AB36" s="100">
        <v>16</v>
      </c>
      <c r="AC36" s="100">
        <v>12172.8</v>
      </c>
      <c r="AD36" s="100">
        <v>14</v>
      </c>
      <c r="AE36" s="100">
        <v>10651.199999999999</v>
      </c>
      <c r="AF36" s="100">
        <v>18</v>
      </c>
      <c r="AG36" s="100">
        <v>13694.4</v>
      </c>
      <c r="AH36" s="100">
        <v>19</v>
      </c>
      <c r="AI36" s="100">
        <v>14455.199999999999</v>
      </c>
      <c r="AJ36" s="100">
        <v>15</v>
      </c>
      <c r="AK36" s="100">
        <v>11412</v>
      </c>
      <c r="AL36" s="100">
        <v>15</v>
      </c>
      <c r="AM36" s="100">
        <v>11412</v>
      </c>
      <c r="AN36" s="100">
        <v>20</v>
      </c>
      <c r="AO36" s="100">
        <v>15216</v>
      </c>
      <c r="AP36" s="100">
        <v>25</v>
      </c>
      <c r="AQ36" s="100">
        <v>19020</v>
      </c>
      <c r="AR36" s="100">
        <v>24</v>
      </c>
      <c r="AS36" s="100">
        <v>18259.199999999997</v>
      </c>
      <c r="AT36" s="100">
        <v>23</v>
      </c>
      <c r="AU36" s="100">
        <v>17498.399999999998</v>
      </c>
      <c r="AV36" s="100">
        <v>19</v>
      </c>
      <c r="AW36" s="100">
        <v>14455.199999999999</v>
      </c>
      <c r="AX36" s="100">
        <v>17</v>
      </c>
      <c r="AY36" s="100">
        <v>12933.599999999999</v>
      </c>
      <c r="AZ36" s="100">
        <v>20</v>
      </c>
      <c r="BA36" s="100">
        <v>15216</v>
      </c>
      <c r="BB36" s="100">
        <v>18</v>
      </c>
      <c r="BC36" s="100">
        <v>13694.4</v>
      </c>
      <c r="BD36" s="100">
        <v>20</v>
      </c>
      <c r="BE36" s="100">
        <v>15216</v>
      </c>
      <c r="BF36" s="100">
        <v>29</v>
      </c>
      <c r="BG36" s="100">
        <v>22063.199999999997</v>
      </c>
      <c r="BH36" s="100">
        <v>16</v>
      </c>
      <c r="BI36" s="100">
        <v>12172.8</v>
      </c>
      <c r="BJ36" s="100">
        <v>16</v>
      </c>
      <c r="BK36" s="100">
        <v>12172.8</v>
      </c>
      <c r="BL36" s="100">
        <v>22</v>
      </c>
      <c r="BM36" s="100">
        <v>16737.599999999999</v>
      </c>
      <c r="BN36" s="100">
        <v>25</v>
      </c>
      <c r="BO36" s="100">
        <v>19020</v>
      </c>
      <c r="BP36" s="100">
        <v>19</v>
      </c>
      <c r="BQ36" s="100">
        <v>14455.199999999999</v>
      </c>
      <c r="BR36" s="100">
        <v>16</v>
      </c>
      <c r="BS36" s="100">
        <v>12172.8</v>
      </c>
      <c r="BT36" s="100">
        <v>21</v>
      </c>
      <c r="BU36" s="100">
        <v>15976.8</v>
      </c>
      <c r="BV36" s="100">
        <v>25</v>
      </c>
      <c r="BW36" s="100">
        <v>19020</v>
      </c>
      <c r="BX36" s="100">
        <v>25</v>
      </c>
      <c r="BY36" s="100">
        <v>19020</v>
      </c>
      <c r="BZ36" s="100">
        <v>24</v>
      </c>
      <c r="CA36" s="100">
        <v>18259.199999999997</v>
      </c>
      <c r="CB36" s="100">
        <v>16</v>
      </c>
      <c r="CC36" s="100">
        <v>12172.8</v>
      </c>
      <c r="CD36" s="100">
        <v>20.942024154773524</v>
      </c>
      <c r="CE36" s="100">
        <v>15932.691976951695</v>
      </c>
      <c r="CF36" s="100">
        <v>21.150828763575912</v>
      </c>
      <c r="CG36" s="100">
        <v>16091.550523328553</v>
      </c>
      <c r="CH36" s="100">
        <v>17.710838900256803</v>
      </c>
      <c r="CI36" s="100">
        <v>13474.406235315375</v>
      </c>
      <c r="CJ36" s="100">
        <v>20.460755215726177</v>
      </c>
      <c r="CK36" s="100">
        <v>15566.542568124474</v>
      </c>
      <c r="CL36" s="100">
        <v>18.862692970542454</v>
      </c>
      <c r="CM36" s="100">
        <v>14350.736811988698</v>
      </c>
      <c r="CN36" s="100">
        <v>21.736029559406081</v>
      </c>
      <c r="CO36" s="100">
        <v>16536.771288796146</v>
      </c>
      <c r="CP36" s="100">
        <v>26.422924119285454</v>
      </c>
      <c r="CQ36" s="100">
        <v>20102.560669952374</v>
      </c>
      <c r="CR36" s="100">
        <v>21</v>
      </c>
      <c r="CS36" s="100">
        <v>15976.8</v>
      </c>
      <c r="CT36" s="100">
        <v>17</v>
      </c>
      <c r="CU36" s="100">
        <v>12933.599999999999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8.5884173602762743</v>
      </c>
      <c r="G37" s="100">
        <v>7389.4742967817065</v>
      </c>
      <c r="H37" s="100">
        <v>8.0996326769057312</v>
      </c>
      <c r="I37" s="100">
        <v>6968.9239552096906</v>
      </c>
      <c r="J37" s="100">
        <v>11.770985568599174</v>
      </c>
      <c r="K37" s="100">
        <v>10127.755983222729</v>
      </c>
      <c r="L37" s="100">
        <v>15.62411629715724</v>
      </c>
      <c r="M37" s="100">
        <v>13442.989662074089</v>
      </c>
      <c r="N37" s="100">
        <v>16</v>
      </c>
      <c r="O37" s="100">
        <v>13766.4</v>
      </c>
      <c r="P37" s="100">
        <v>17</v>
      </c>
      <c r="Q37" s="100">
        <v>14626.8</v>
      </c>
      <c r="R37" s="100">
        <v>20</v>
      </c>
      <c r="S37" s="100">
        <v>17208</v>
      </c>
      <c r="T37" s="100">
        <v>18</v>
      </c>
      <c r="U37" s="100">
        <v>15487.199999999999</v>
      </c>
      <c r="V37" s="100">
        <v>15.334433410843245</v>
      </c>
      <c r="W37" s="100">
        <v>13193.746506689527</v>
      </c>
      <c r="X37" s="100">
        <v>12</v>
      </c>
      <c r="Y37" s="100">
        <v>10324.799999999999</v>
      </c>
      <c r="Z37" s="100">
        <v>14</v>
      </c>
      <c r="AA37" s="100">
        <v>12045.6</v>
      </c>
      <c r="AB37" s="100">
        <v>15</v>
      </c>
      <c r="AC37" s="100">
        <v>12906</v>
      </c>
      <c r="AD37" s="100">
        <v>12</v>
      </c>
      <c r="AE37" s="100">
        <v>10324.799999999999</v>
      </c>
      <c r="AF37" s="100">
        <v>10</v>
      </c>
      <c r="AG37" s="100">
        <v>8604</v>
      </c>
      <c r="AH37" s="100">
        <v>9</v>
      </c>
      <c r="AI37" s="100">
        <v>7743.5999999999995</v>
      </c>
      <c r="AJ37" s="100">
        <v>13</v>
      </c>
      <c r="AK37" s="100">
        <v>11185.199999999999</v>
      </c>
      <c r="AL37" s="100">
        <v>12</v>
      </c>
      <c r="AM37" s="100">
        <v>10324.799999999999</v>
      </c>
      <c r="AN37" s="100">
        <v>10</v>
      </c>
      <c r="AO37" s="100">
        <v>8604</v>
      </c>
      <c r="AP37" s="100">
        <v>19</v>
      </c>
      <c r="AQ37" s="100">
        <v>16347.6</v>
      </c>
      <c r="AR37" s="100">
        <v>12</v>
      </c>
      <c r="AS37" s="100">
        <v>10324.799999999999</v>
      </c>
      <c r="AT37" s="100">
        <v>14</v>
      </c>
      <c r="AU37" s="100">
        <v>12045.6</v>
      </c>
      <c r="AV37" s="100">
        <v>15</v>
      </c>
      <c r="AW37" s="100">
        <v>12906</v>
      </c>
      <c r="AX37" s="100">
        <v>19</v>
      </c>
      <c r="AY37" s="100">
        <v>16347.6</v>
      </c>
      <c r="AZ37" s="100">
        <v>20</v>
      </c>
      <c r="BA37" s="100">
        <v>17208</v>
      </c>
      <c r="BB37" s="100">
        <v>12</v>
      </c>
      <c r="BC37" s="100">
        <v>10324.799999999999</v>
      </c>
      <c r="BD37" s="100">
        <v>13</v>
      </c>
      <c r="BE37" s="100">
        <v>11185.199999999999</v>
      </c>
      <c r="BF37" s="100">
        <v>10</v>
      </c>
      <c r="BG37" s="100">
        <v>8604</v>
      </c>
      <c r="BH37" s="100">
        <v>11</v>
      </c>
      <c r="BI37" s="100">
        <v>9464.4</v>
      </c>
      <c r="BJ37" s="100">
        <v>18</v>
      </c>
      <c r="BK37" s="100">
        <v>15487.199999999999</v>
      </c>
      <c r="BL37" s="100">
        <v>15</v>
      </c>
      <c r="BM37" s="100">
        <v>12906</v>
      </c>
      <c r="BN37" s="100">
        <v>14</v>
      </c>
      <c r="BO37" s="100">
        <v>12045.6</v>
      </c>
      <c r="BP37" s="100">
        <v>11</v>
      </c>
      <c r="BQ37" s="100">
        <v>9464.4</v>
      </c>
      <c r="BR37" s="100">
        <v>13</v>
      </c>
      <c r="BS37" s="100">
        <v>11185.199999999999</v>
      </c>
      <c r="BT37" s="100">
        <v>14</v>
      </c>
      <c r="BU37" s="100">
        <v>12045.6</v>
      </c>
      <c r="BV37" s="100">
        <v>16</v>
      </c>
      <c r="BW37" s="100">
        <v>13766.4</v>
      </c>
      <c r="BX37" s="100">
        <v>13</v>
      </c>
      <c r="BY37" s="100">
        <v>11185.199999999999</v>
      </c>
      <c r="BZ37" s="100">
        <v>10</v>
      </c>
      <c r="CA37" s="100">
        <v>8604</v>
      </c>
      <c r="CB37" s="100">
        <v>18</v>
      </c>
      <c r="CC37" s="100">
        <v>15487.199999999999</v>
      </c>
      <c r="CD37" s="100">
        <v>15.955827927446494</v>
      </c>
      <c r="CE37" s="100">
        <v>13728.394348774964</v>
      </c>
      <c r="CF37" s="100">
        <v>11.035215007083087</v>
      </c>
      <c r="CG37" s="100">
        <v>9494.698992094287</v>
      </c>
      <c r="CH37" s="100">
        <v>13.283129175192604</v>
      </c>
      <c r="CI37" s="100">
        <v>11428.804342335716</v>
      </c>
      <c r="CJ37" s="100">
        <v>9.3778461405411644</v>
      </c>
      <c r="CK37" s="100">
        <v>8068.6988193216175</v>
      </c>
      <c r="CL37" s="100">
        <v>9.4313464852712272</v>
      </c>
      <c r="CM37" s="100">
        <v>8114.7305159273637</v>
      </c>
      <c r="CN37" s="100">
        <v>13.041617735643648</v>
      </c>
      <c r="CO37" s="100">
        <v>11221.007899747794</v>
      </c>
      <c r="CP37" s="100">
        <v>10.764895011560739</v>
      </c>
      <c r="CQ37" s="100">
        <v>9262.1156679468604</v>
      </c>
      <c r="CR37" s="100">
        <v>10</v>
      </c>
      <c r="CS37" s="100">
        <v>8604</v>
      </c>
      <c r="CT37" s="100">
        <v>14</v>
      </c>
      <c r="CU37" s="100">
        <v>12045.6</v>
      </c>
    </row>
    <row r="38" spans="2:99">
      <c r="C38" s="99" t="s">
        <v>204</v>
      </c>
      <c r="D38" s="100">
        <v>11</v>
      </c>
      <c r="E38" s="100">
        <v>13662</v>
      </c>
      <c r="F38" s="100">
        <v>8.5884173602762743</v>
      </c>
      <c r="G38" s="100">
        <v>10666.814361463134</v>
      </c>
      <c r="H38" s="100">
        <v>8.8359629202607977</v>
      </c>
      <c r="I38" s="100">
        <v>10974.265946963911</v>
      </c>
      <c r="J38" s="100">
        <v>11.035298970561726</v>
      </c>
      <c r="K38" s="100">
        <v>13705.841321437663</v>
      </c>
      <c r="L38" s="100">
        <v>15.62411629715724</v>
      </c>
      <c r="M38" s="100">
        <v>19405.152441069291</v>
      </c>
      <c r="N38" s="100">
        <v>16</v>
      </c>
      <c r="O38" s="100">
        <v>19872</v>
      </c>
      <c r="P38" s="100">
        <v>15</v>
      </c>
      <c r="Q38" s="100">
        <v>18630</v>
      </c>
      <c r="R38" s="100">
        <v>17</v>
      </c>
      <c r="S38" s="100">
        <v>21114</v>
      </c>
      <c r="T38" s="100">
        <v>16</v>
      </c>
      <c r="U38" s="100">
        <v>19872</v>
      </c>
      <c r="V38" s="100">
        <v>14.376031322665542</v>
      </c>
      <c r="W38" s="100">
        <v>17855.030902750601</v>
      </c>
      <c r="X38" s="100">
        <v>11</v>
      </c>
      <c r="Y38" s="100">
        <v>13662</v>
      </c>
      <c r="Z38" s="100">
        <v>15</v>
      </c>
      <c r="AA38" s="100">
        <v>18630</v>
      </c>
      <c r="AB38" s="100">
        <v>15</v>
      </c>
      <c r="AC38" s="100">
        <v>18630</v>
      </c>
      <c r="AD38" s="100">
        <v>11</v>
      </c>
      <c r="AE38" s="100">
        <v>13662</v>
      </c>
      <c r="AF38" s="100">
        <v>9</v>
      </c>
      <c r="AG38" s="100">
        <v>11178</v>
      </c>
      <c r="AH38" s="100">
        <v>10</v>
      </c>
      <c r="AI38" s="100">
        <v>12420</v>
      </c>
      <c r="AJ38" s="100">
        <v>15</v>
      </c>
      <c r="AK38" s="100">
        <v>18630</v>
      </c>
      <c r="AL38" s="100">
        <v>10</v>
      </c>
      <c r="AM38" s="100">
        <v>12420</v>
      </c>
      <c r="AN38" s="100">
        <v>11</v>
      </c>
      <c r="AO38" s="100">
        <v>13662</v>
      </c>
      <c r="AP38" s="100">
        <v>16</v>
      </c>
      <c r="AQ38" s="100">
        <v>19872</v>
      </c>
      <c r="AR38" s="100">
        <v>10</v>
      </c>
      <c r="AS38" s="100">
        <v>12420</v>
      </c>
      <c r="AT38" s="100">
        <v>11</v>
      </c>
      <c r="AU38" s="100">
        <v>13662</v>
      </c>
      <c r="AV38" s="100">
        <v>16</v>
      </c>
      <c r="AW38" s="100">
        <v>19872</v>
      </c>
      <c r="AX38" s="100">
        <v>18</v>
      </c>
      <c r="AY38" s="100">
        <v>22356</v>
      </c>
      <c r="AZ38" s="100">
        <v>16</v>
      </c>
      <c r="BA38" s="100">
        <v>19872</v>
      </c>
      <c r="BB38" s="100">
        <v>12</v>
      </c>
      <c r="BC38" s="100">
        <v>14904</v>
      </c>
      <c r="BD38" s="100">
        <v>11</v>
      </c>
      <c r="BE38" s="100">
        <v>13662</v>
      </c>
      <c r="BF38" s="100">
        <v>10</v>
      </c>
      <c r="BG38" s="100">
        <v>12420</v>
      </c>
      <c r="BH38" s="100">
        <v>9</v>
      </c>
      <c r="BI38" s="100">
        <v>11178</v>
      </c>
      <c r="BJ38" s="100">
        <v>18</v>
      </c>
      <c r="BK38" s="100">
        <v>22356</v>
      </c>
      <c r="BL38" s="100">
        <v>17</v>
      </c>
      <c r="BM38" s="100">
        <v>21114</v>
      </c>
      <c r="BN38" s="100">
        <v>14</v>
      </c>
      <c r="BO38" s="100">
        <v>17388</v>
      </c>
      <c r="BP38" s="100">
        <v>10</v>
      </c>
      <c r="BQ38" s="100">
        <v>12420</v>
      </c>
      <c r="BR38" s="100">
        <v>13</v>
      </c>
      <c r="BS38" s="100">
        <v>16146</v>
      </c>
      <c r="BT38" s="100">
        <v>13</v>
      </c>
      <c r="BU38" s="100">
        <v>16146</v>
      </c>
      <c r="BV38" s="100">
        <v>14</v>
      </c>
      <c r="BW38" s="100">
        <v>17388</v>
      </c>
      <c r="BX38" s="100">
        <v>15</v>
      </c>
      <c r="BY38" s="100">
        <v>18630</v>
      </c>
      <c r="BZ38" s="100">
        <v>9</v>
      </c>
      <c r="CA38" s="100">
        <v>11178</v>
      </c>
      <c r="CB38" s="100">
        <v>18</v>
      </c>
      <c r="CC38" s="100">
        <v>22356</v>
      </c>
      <c r="CD38" s="100">
        <v>17.950306418377306</v>
      </c>
      <c r="CE38" s="100">
        <v>22294.280571624615</v>
      </c>
      <c r="CF38" s="100">
        <v>10.115613756492829</v>
      </c>
      <c r="CG38" s="100">
        <v>12563.592285564093</v>
      </c>
      <c r="CH38" s="100">
        <v>13.283129175192604</v>
      </c>
      <c r="CI38" s="100">
        <v>16497.646435589213</v>
      </c>
      <c r="CJ38" s="100">
        <v>8.5253146732192402</v>
      </c>
      <c r="CK38" s="100">
        <v>10588.440824138297</v>
      </c>
      <c r="CL38" s="100">
        <v>9.4313464852712272</v>
      </c>
      <c r="CM38" s="100">
        <v>11713.732334706865</v>
      </c>
      <c r="CN38" s="100">
        <v>12.317083416996779</v>
      </c>
      <c r="CO38" s="100">
        <v>15297.81760391</v>
      </c>
      <c r="CP38" s="100">
        <v>9.7862681923279453</v>
      </c>
      <c r="CQ38" s="100">
        <v>12154.545094871308</v>
      </c>
      <c r="CR38" s="100">
        <v>11</v>
      </c>
      <c r="CS38" s="100">
        <v>13662</v>
      </c>
      <c r="CT38" s="100">
        <v>16</v>
      </c>
      <c r="CU38" s="100">
        <v>19872</v>
      </c>
    </row>
    <row r="39" spans="2:99">
      <c r="C39" s="99" t="s">
        <v>205</v>
      </c>
      <c r="D39" s="100">
        <v>10</v>
      </c>
      <c r="E39" s="100">
        <v>14232</v>
      </c>
      <c r="F39" s="100">
        <v>8.5884173602762743</v>
      </c>
      <c r="G39" s="100">
        <v>12223.035587145194</v>
      </c>
      <c r="H39" s="100">
        <v>7.3633024335506647</v>
      </c>
      <c r="I39" s="100">
        <v>10479.452023429307</v>
      </c>
      <c r="J39" s="100">
        <v>11.035298970561726</v>
      </c>
      <c r="K39" s="100">
        <v>15705.43749490345</v>
      </c>
      <c r="L39" s="100">
        <v>14.756109836204061</v>
      </c>
      <c r="M39" s="100">
        <v>21000.89551888562</v>
      </c>
      <c r="N39" s="100">
        <v>15</v>
      </c>
      <c r="O39" s="100">
        <v>21348</v>
      </c>
      <c r="P39" s="100">
        <v>15</v>
      </c>
      <c r="Q39" s="100">
        <v>21348</v>
      </c>
      <c r="R39" s="100">
        <v>18</v>
      </c>
      <c r="S39" s="100">
        <v>25617.600000000002</v>
      </c>
      <c r="T39" s="100">
        <v>15</v>
      </c>
      <c r="U39" s="100">
        <v>21348</v>
      </c>
      <c r="V39" s="100">
        <v>13.417629234487837</v>
      </c>
      <c r="W39" s="100">
        <v>19095.969926523088</v>
      </c>
      <c r="X39" s="100">
        <v>12</v>
      </c>
      <c r="Y39" s="100">
        <v>17078.400000000001</v>
      </c>
      <c r="Z39" s="100">
        <v>16</v>
      </c>
      <c r="AA39" s="100">
        <v>22771.200000000001</v>
      </c>
      <c r="AB39" s="100">
        <v>14</v>
      </c>
      <c r="AC39" s="100">
        <v>19924.8</v>
      </c>
      <c r="AD39" s="100">
        <v>12</v>
      </c>
      <c r="AE39" s="100">
        <v>17078.400000000001</v>
      </c>
      <c r="AF39" s="100">
        <v>9</v>
      </c>
      <c r="AG39" s="100">
        <v>12808.800000000001</v>
      </c>
      <c r="AH39" s="100">
        <v>9</v>
      </c>
      <c r="AI39" s="100">
        <v>12808.800000000001</v>
      </c>
      <c r="AJ39" s="100">
        <v>13</v>
      </c>
      <c r="AK39" s="100">
        <v>18501.600000000002</v>
      </c>
      <c r="AL39" s="100">
        <v>10</v>
      </c>
      <c r="AM39" s="100">
        <v>14232</v>
      </c>
      <c r="AN39" s="100">
        <v>11</v>
      </c>
      <c r="AO39" s="100">
        <v>15655.2</v>
      </c>
      <c r="AP39" s="100">
        <v>17</v>
      </c>
      <c r="AQ39" s="100">
        <v>24194.400000000001</v>
      </c>
      <c r="AR39" s="100">
        <v>10</v>
      </c>
      <c r="AS39" s="100">
        <v>14232</v>
      </c>
      <c r="AT39" s="100">
        <v>13</v>
      </c>
      <c r="AU39" s="100">
        <v>18501.600000000002</v>
      </c>
      <c r="AV39" s="100">
        <v>15</v>
      </c>
      <c r="AW39" s="100">
        <v>21348</v>
      </c>
      <c r="AX39" s="100">
        <v>17</v>
      </c>
      <c r="AY39" s="100">
        <v>24194.400000000001</v>
      </c>
      <c r="AZ39" s="100">
        <v>17</v>
      </c>
      <c r="BA39" s="100">
        <v>24194.400000000001</v>
      </c>
      <c r="BB39" s="100">
        <v>12</v>
      </c>
      <c r="BC39" s="100">
        <v>17078.400000000001</v>
      </c>
      <c r="BD39" s="100">
        <v>12</v>
      </c>
      <c r="BE39" s="100">
        <v>17078.400000000001</v>
      </c>
      <c r="BF39" s="100">
        <v>11</v>
      </c>
      <c r="BG39" s="100">
        <v>15655.2</v>
      </c>
      <c r="BH39" s="100">
        <v>10</v>
      </c>
      <c r="BI39" s="100">
        <v>14232</v>
      </c>
      <c r="BJ39" s="100">
        <v>17</v>
      </c>
      <c r="BK39" s="100">
        <v>24194.400000000001</v>
      </c>
      <c r="BL39" s="100">
        <v>15</v>
      </c>
      <c r="BM39" s="100">
        <v>21348</v>
      </c>
      <c r="BN39" s="100">
        <v>13</v>
      </c>
      <c r="BO39" s="100">
        <v>18501.600000000002</v>
      </c>
      <c r="BP39" s="100">
        <v>9</v>
      </c>
      <c r="BQ39" s="100">
        <v>12808.800000000001</v>
      </c>
      <c r="BR39" s="100">
        <v>15</v>
      </c>
      <c r="BS39" s="100">
        <v>21348</v>
      </c>
      <c r="BT39" s="100">
        <v>13</v>
      </c>
      <c r="BU39" s="100">
        <v>18501.600000000002</v>
      </c>
      <c r="BV39" s="100">
        <v>14</v>
      </c>
      <c r="BW39" s="100">
        <v>19924.8</v>
      </c>
      <c r="BX39" s="100">
        <v>12</v>
      </c>
      <c r="BY39" s="100">
        <v>17078.400000000001</v>
      </c>
      <c r="BZ39" s="100">
        <v>10</v>
      </c>
      <c r="CA39" s="100">
        <v>14232</v>
      </c>
      <c r="CB39" s="100">
        <v>16</v>
      </c>
      <c r="CC39" s="100">
        <v>22771.200000000001</v>
      </c>
      <c r="CD39" s="100">
        <v>15.955827927446494</v>
      </c>
      <c r="CE39" s="100">
        <v>22708.334306341851</v>
      </c>
      <c r="CF39" s="100">
        <v>9.1960125059025728</v>
      </c>
      <c r="CG39" s="100">
        <v>13087.764998400542</v>
      </c>
      <c r="CH39" s="100">
        <v>13.283129175192604</v>
      </c>
      <c r="CI39" s="100">
        <v>18904.549442134114</v>
      </c>
      <c r="CJ39" s="100">
        <v>7.672783205897316</v>
      </c>
      <c r="CK39" s="100">
        <v>10919.905058633061</v>
      </c>
      <c r="CL39" s="100">
        <v>9.4313464852712272</v>
      </c>
      <c r="CM39" s="100">
        <v>13422.692317838011</v>
      </c>
      <c r="CN39" s="100">
        <v>11.59254909834991</v>
      </c>
      <c r="CO39" s="100">
        <v>16498.515876771591</v>
      </c>
      <c r="CP39" s="100">
        <v>9.7862681923279453</v>
      </c>
      <c r="CQ39" s="100">
        <v>13927.816891321132</v>
      </c>
      <c r="CR39" s="100">
        <v>10</v>
      </c>
      <c r="CS39" s="100">
        <v>14232</v>
      </c>
      <c r="CT39" s="100">
        <v>14</v>
      </c>
      <c r="CU39" s="100">
        <v>19924.8</v>
      </c>
    </row>
    <row r="40" spans="2:99">
      <c r="C40" s="99" t="s">
        <v>206</v>
      </c>
      <c r="D40" s="100">
        <v>11</v>
      </c>
      <c r="E40" s="100">
        <v>7972.7999999999993</v>
      </c>
      <c r="F40" s="100">
        <v>7.7295756242486471</v>
      </c>
      <c r="G40" s="100">
        <v>5602.3964124554186</v>
      </c>
      <c r="H40" s="100">
        <v>9.5722931636158641</v>
      </c>
      <c r="I40" s="100">
        <v>6937.9980849887779</v>
      </c>
      <c r="J40" s="100">
        <v>11.770985568599174</v>
      </c>
      <c r="K40" s="100">
        <v>8531.6103401206819</v>
      </c>
      <c r="L40" s="100">
        <v>15.62411629715724</v>
      </c>
      <c r="M40" s="100">
        <v>11324.359492179567</v>
      </c>
      <c r="N40" s="100">
        <v>16</v>
      </c>
      <c r="O40" s="100">
        <v>11596.8</v>
      </c>
      <c r="P40" s="100">
        <v>16</v>
      </c>
      <c r="Q40" s="100">
        <v>11596.8</v>
      </c>
      <c r="R40" s="100">
        <v>17</v>
      </c>
      <c r="S40" s="100">
        <v>12321.599999999999</v>
      </c>
      <c r="T40" s="100">
        <v>16</v>
      </c>
      <c r="U40" s="100">
        <v>11596.8</v>
      </c>
      <c r="V40" s="100">
        <v>15.334433410843245</v>
      </c>
      <c r="W40" s="100">
        <v>11114.397336179183</v>
      </c>
      <c r="X40" s="100">
        <v>11</v>
      </c>
      <c r="Y40" s="100">
        <v>7972.7999999999993</v>
      </c>
      <c r="Z40" s="100">
        <v>15</v>
      </c>
      <c r="AA40" s="100">
        <v>10872</v>
      </c>
      <c r="AB40" s="100">
        <v>14</v>
      </c>
      <c r="AC40" s="100">
        <v>10147.199999999999</v>
      </c>
      <c r="AD40" s="100">
        <v>11</v>
      </c>
      <c r="AE40" s="100">
        <v>7972.7999999999993</v>
      </c>
      <c r="AF40" s="100">
        <v>11</v>
      </c>
      <c r="AG40" s="100">
        <v>7972.7999999999993</v>
      </c>
      <c r="AH40" s="100">
        <v>10</v>
      </c>
      <c r="AI40" s="100">
        <v>7248</v>
      </c>
      <c r="AJ40" s="100">
        <v>14</v>
      </c>
      <c r="AK40" s="100">
        <v>10147.199999999999</v>
      </c>
      <c r="AL40" s="100">
        <v>10</v>
      </c>
      <c r="AM40" s="100">
        <v>7248</v>
      </c>
      <c r="AN40" s="100">
        <v>10</v>
      </c>
      <c r="AO40" s="100">
        <v>7248</v>
      </c>
      <c r="AP40" s="100">
        <v>19</v>
      </c>
      <c r="AQ40" s="100">
        <v>13771.199999999999</v>
      </c>
      <c r="AR40" s="100">
        <v>13</v>
      </c>
      <c r="AS40" s="100">
        <v>9422.4</v>
      </c>
      <c r="AT40" s="100">
        <v>13</v>
      </c>
      <c r="AU40" s="100">
        <v>9422.4</v>
      </c>
      <c r="AV40" s="100">
        <v>16</v>
      </c>
      <c r="AW40" s="100">
        <v>11596.8</v>
      </c>
      <c r="AX40" s="100">
        <v>16</v>
      </c>
      <c r="AY40" s="100">
        <v>11596.8</v>
      </c>
      <c r="AZ40" s="100">
        <v>18</v>
      </c>
      <c r="BA40" s="100">
        <v>13046.4</v>
      </c>
      <c r="BB40" s="100">
        <v>12</v>
      </c>
      <c r="BC40" s="100">
        <v>8697.5999999999985</v>
      </c>
      <c r="BD40" s="100">
        <v>13</v>
      </c>
      <c r="BE40" s="100">
        <v>9422.4</v>
      </c>
      <c r="BF40" s="100">
        <v>12</v>
      </c>
      <c r="BG40" s="100">
        <v>8697.5999999999985</v>
      </c>
      <c r="BH40" s="100">
        <v>10</v>
      </c>
      <c r="BI40" s="100">
        <v>7248</v>
      </c>
      <c r="BJ40" s="100">
        <v>19</v>
      </c>
      <c r="BK40" s="100">
        <v>13771.199999999999</v>
      </c>
      <c r="BL40" s="100">
        <v>15</v>
      </c>
      <c r="BM40" s="100">
        <v>10872</v>
      </c>
      <c r="BN40" s="100">
        <v>13</v>
      </c>
      <c r="BO40" s="100">
        <v>9422.4</v>
      </c>
      <c r="BP40" s="100">
        <v>10</v>
      </c>
      <c r="BQ40" s="100">
        <v>7248</v>
      </c>
      <c r="BR40" s="100">
        <v>16</v>
      </c>
      <c r="BS40" s="100">
        <v>11596.8</v>
      </c>
      <c r="BT40" s="100">
        <v>14</v>
      </c>
      <c r="BU40" s="100">
        <v>10147.199999999999</v>
      </c>
      <c r="BV40" s="100">
        <v>17</v>
      </c>
      <c r="BW40" s="100">
        <v>12321.599999999999</v>
      </c>
      <c r="BX40" s="100">
        <v>14</v>
      </c>
      <c r="BY40" s="100">
        <v>10147.199999999999</v>
      </c>
      <c r="BZ40" s="100">
        <v>10</v>
      </c>
      <c r="CA40" s="100">
        <v>7248</v>
      </c>
      <c r="CB40" s="100">
        <v>18</v>
      </c>
      <c r="CC40" s="100">
        <v>13046.4</v>
      </c>
      <c r="CD40" s="100">
        <v>16.953067172911901</v>
      </c>
      <c r="CE40" s="100">
        <v>12287.583086926545</v>
      </c>
      <c r="CF40" s="100">
        <v>11.954816257673343</v>
      </c>
      <c r="CG40" s="100">
        <v>8664.8508235616391</v>
      </c>
      <c r="CH40" s="100">
        <v>14.168671120205444</v>
      </c>
      <c r="CI40" s="100">
        <v>10269.452827924904</v>
      </c>
      <c r="CJ40" s="100">
        <v>9.3778461405411644</v>
      </c>
      <c r="CK40" s="100">
        <v>6797.0628826642351</v>
      </c>
      <c r="CL40" s="100">
        <v>9.4313464852712272</v>
      </c>
      <c r="CM40" s="100">
        <v>6835.8399325245855</v>
      </c>
      <c r="CN40" s="100">
        <v>13.766152054290517</v>
      </c>
      <c r="CO40" s="100">
        <v>9977.7070089497665</v>
      </c>
      <c r="CP40" s="100">
        <v>11.743521830793535</v>
      </c>
      <c r="CQ40" s="100">
        <v>8511.7046229591542</v>
      </c>
      <c r="CR40" s="100">
        <v>12</v>
      </c>
      <c r="CS40" s="100">
        <v>8697.5999999999985</v>
      </c>
      <c r="CT40" s="100">
        <v>16</v>
      </c>
      <c r="CU40" s="100">
        <v>11596.8</v>
      </c>
    </row>
    <row r="41" spans="2:99">
      <c r="C41" s="99" t="s">
        <v>207</v>
      </c>
      <c r="D41" s="100">
        <v>11</v>
      </c>
      <c r="E41" s="100">
        <v>7260</v>
      </c>
      <c r="F41" s="100">
        <v>8.5884173602762743</v>
      </c>
      <c r="G41" s="100">
        <v>5668.3554577823406</v>
      </c>
      <c r="H41" s="100">
        <v>8.8359629202607977</v>
      </c>
      <c r="I41" s="100">
        <v>5831.7355273721269</v>
      </c>
      <c r="J41" s="100">
        <v>11.035298970561726</v>
      </c>
      <c r="K41" s="100">
        <v>7283.2973205707394</v>
      </c>
      <c r="L41" s="100">
        <v>16.492122758110419</v>
      </c>
      <c r="M41" s="100">
        <v>10884.801020352877</v>
      </c>
      <c r="N41" s="100">
        <v>18</v>
      </c>
      <c r="O41" s="100">
        <v>11880</v>
      </c>
      <c r="P41" s="100">
        <v>18</v>
      </c>
      <c r="Q41" s="100">
        <v>11880</v>
      </c>
      <c r="R41" s="100">
        <v>17</v>
      </c>
      <c r="S41" s="100">
        <v>11220</v>
      </c>
      <c r="T41" s="100">
        <v>19</v>
      </c>
      <c r="U41" s="100">
        <v>12540</v>
      </c>
      <c r="V41" s="100">
        <v>16.292835499020946</v>
      </c>
      <c r="W41" s="100">
        <v>10753.271429353825</v>
      </c>
      <c r="X41" s="100">
        <v>11</v>
      </c>
      <c r="Y41" s="100">
        <v>7260</v>
      </c>
      <c r="Z41" s="100">
        <v>18</v>
      </c>
      <c r="AA41" s="100">
        <v>11880</v>
      </c>
      <c r="AB41" s="100">
        <v>16</v>
      </c>
      <c r="AC41" s="100">
        <v>10560</v>
      </c>
      <c r="AD41" s="100">
        <v>12</v>
      </c>
      <c r="AE41" s="100">
        <v>7920</v>
      </c>
      <c r="AF41" s="100">
        <v>10</v>
      </c>
      <c r="AG41" s="100">
        <v>6600</v>
      </c>
      <c r="AH41" s="100">
        <v>10</v>
      </c>
      <c r="AI41" s="100">
        <v>6600</v>
      </c>
      <c r="AJ41" s="100">
        <v>13</v>
      </c>
      <c r="AK41" s="100">
        <v>8580</v>
      </c>
      <c r="AL41" s="100">
        <v>11</v>
      </c>
      <c r="AM41" s="100">
        <v>7260</v>
      </c>
      <c r="AN41" s="100">
        <v>12</v>
      </c>
      <c r="AO41" s="100">
        <v>7920</v>
      </c>
      <c r="AP41" s="100">
        <v>17</v>
      </c>
      <c r="AQ41" s="100">
        <v>11220</v>
      </c>
      <c r="AR41" s="100">
        <v>12</v>
      </c>
      <c r="AS41" s="100">
        <v>7920</v>
      </c>
      <c r="AT41" s="100">
        <v>13</v>
      </c>
      <c r="AU41" s="100">
        <v>8580</v>
      </c>
      <c r="AV41" s="100">
        <v>17</v>
      </c>
      <c r="AW41" s="100">
        <v>11220</v>
      </c>
      <c r="AX41" s="100">
        <v>16</v>
      </c>
      <c r="AY41" s="100">
        <v>10560</v>
      </c>
      <c r="AZ41" s="100">
        <v>17</v>
      </c>
      <c r="BA41" s="100">
        <v>11220</v>
      </c>
      <c r="BB41" s="100">
        <v>12</v>
      </c>
      <c r="BC41" s="100">
        <v>7920</v>
      </c>
      <c r="BD41" s="100">
        <v>13</v>
      </c>
      <c r="BE41" s="100">
        <v>8580</v>
      </c>
      <c r="BF41" s="100">
        <v>11</v>
      </c>
      <c r="BG41" s="100">
        <v>7260</v>
      </c>
      <c r="BH41" s="100">
        <v>10</v>
      </c>
      <c r="BI41" s="100">
        <v>6600</v>
      </c>
      <c r="BJ41" s="100">
        <v>19</v>
      </c>
      <c r="BK41" s="100">
        <v>12540</v>
      </c>
      <c r="BL41" s="100">
        <v>16</v>
      </c>
      <c r="BM41" s="100">
        <v>10560</v>
      </c>
      <c r="BN41" s="100">
        <v>14</v>
      </c>
      <c r="BO41" s="100">
        <v>9240</v>
      </c>
      <c r="BP41" s="100">
        <v>10</v>
      </c>
      <c r="BQ41" s="100">
        <v>6600</v>
      </c>
      <c r="BR41" s="100">
        <v>13</v>
      </c>
      <c r="BS41" s="100">
        <v>8580</v>
      </c>
      <c r="BT41" s="100">
        <v>14</v>
      </c>
      <c r="BU41" s="100">
        <v>9240</v>
      </c>
      <c r="BV41" s="100">
        <v>14</v>
      </c>
      <c r="BW41" s="100">
        <v>9240</v>
      </c>
      <c r="BX41" s="100">
        <v>13</v>
      </c>
      <c r="BY41" s="100">
        <v>8580</v>
      </c>
      <c r="BZ41" s="100">
        <v>11</v>
      </c>
      <c r="CA41" s="100">
        <v>7260</v>
      </c>
      <c r="CB41" s="100">
        <v>19</v>
      </c>
      <c r="CC41" s="100">
        <v>12540</v>
      </c>
      <c r="CD41" s="100">
        <v>16.953067172911901</v>
      </c>
      <c r="CE41" s="100">
        <v>11189.024334121854</v>
      </c>
      <c r="CF41" s="100">
        <v>11.954816257673343</v>
      </c>
      <c r="CG41" s="100">
        <v>7890.1787300644064</v>
      </c>
      <c r="CH41" s="100">
        <v>12.397587230179763</v>
      </c>
      <c r="CI41" s="100">
        <v>8182.407571918644</v>
      </c>
      <c r="CJ41" s="100">
        <v>8.5253146732192402</v>
      </c>
      <c r="CK41" s="100">
        <v>5626.7076843246987</v>
      </c>
      <c r="CL41" s="100">
        <v>9.4313464852712272</v>
      </c>
      <c r="CM41" s="100">
        <v>6224.6886802790095</v>
      </c>
      <c r="CN41" s="100">
        <v>11.59254909834991</v>
      </c>
      <c r="CO41" s="100">
        <v>7651.0824049109406</v>
      </c>
      <c r="CP41" s="100">
        <v>10.764895011560739</v>
      </c>
      <c r="CQ41" s="100">
        <v>7104.830707630088</v>
      </c>
      <c r="CR41" s="100">
        <v>11</v>
      </c>
      <c r="CS41" s="100">
        <v>7260</v>
      </c>
      <c r="CT41" s="100">
        <v>14</v>
      </c>
      <c r="CU41" s="100">
        <v>9240</v>
      </c>
    </row>
    <row r="42" spans="2:99">
      <c r="C42" s="99" t="s">
        <v>208</v>
      </c>
      <c r="D42" s="100">
        <v>12</v>
      </c>
      <c r="E42" s="100">
        <v>10152</v>
      </c>
      <c r="F42" s="100">
        <v>8.5884173602762743</v>
      </c>
      <c r="G42" s="100">
        <v>7265.8010867937282</v>
      </c>
      <c r="H42" s="100">
        <v>8.8359629202607977</v>
      </c>
      <c r="I42" s="100">
        <v>7475.2246305406352</v>
      </c>
      <c r="J42" s="100">
        <v>11.035298970561726</v>
      </c>
      <c r="K42" s="100">
        <v>9335.8629290952194</v>
      </c>
      <c r="L42" s="100">
        <v>16.492122758110419</v>
      </c>
      <c r="M42" s="100">
        <v>13952.335853361414</v>
      </c>
      <c r="N42" s="100">
        <v>17</v>
      </c>
      <c r="O42" s="100">
        <v>14382</v>
      </c>
      <c r="P42" s="100">
        <v>16</v>
      </c>
      <c r="Q42" s="100">
        <v>13536</v>
      </c>
      <c r="R42" s="100">
        <v>17</v>
      </c>
      <c r="S42" s="100">
        <v>14382</v>
      </c>
      <c r="T42" s="100">
        <v>17</v>
      </c>
      <c r="U42" s="100">
        <v>14382</v>
      </c>
      <c r="V42" s="100">
        <v>13.417629234487837</v>
      </c>
      <c r="W42" s="100">
        <v>11351.314332376711</v>
      </c>
      <c r="X42" s="100">
        <v>11</v>
      </c>
      <c r="Y42" s="100">
        <v>9306</v>
      </c>
      <c r="Z42" s="100">
        <v>17</v>
      </c>
      <c r="AA42" s="100">
        <v>14382</v>
      </c>
      <c r="AB42" s="100">
        <v>15</v>
      </c>
      <c r="AC42" s="100">
        <v>12690</v>
      </c>
      <c r="AD42" s="100">
        <v>11</v>
      </c>
      <c r="AE42" s="100">
        <v>9306</v>
      </c>
      <c r="AF42" s="100">
        <v>10</v>
      </c>
      <c r="AG42" s="100">
        <v>8460</v>
      </c>
      <c r="AH42" s="100">
        <v>11</v>
      </c>
      <c r="AI42" s="100">
        <v>9306</v>
      </c>
      <c r="AJ42" s="100">
        <v>14</v>
      </c>
      <c r="AK42" s="100">
        <v>11844</v>
      </c>
      <c r="AL42" s="100">
        <v>10</v>
      </c>
      <c r="AM42" s="100">
        <v>8460</v>
      </c>
      <c r="AN42" s="100">
        <v>11</v>
      </c>
      <c r="AO42" s="100">
        <v>9306</v>
      </c>
      <c r="AP42" s="100">
        <v>19</v>
      </c>
      <c r="AQ42" s="100">
        <v>16074</v>
      </c>
      <c r="AR42" s="100">
        <v>10</v>
      </c>
      <c r="AS42" s="100">
        <v>8460</v>
      </c>
      <c r="AT42" s="100">
        <v>14</v>
      </c>
      <c r="AU42" s="100">
        <v>11844</v>
      </c>
      <c r="AV42" s="100">
        <v>14</v>
      </c>
      <c r="AW42" s="100">
        <v>11844</v>
      </c>
      <c r="AX42" s="100">
        <v>18</v>
      </c>
      <c r="AY42" s="100">
        <v>15228</v>
      </c>
      <c r="AZ42" s="100">
        <v>18</v>
      </c>
      <c r="BA42" s="100">
        <v>15228</v>
      </c>
      <c r="BB42" s="100">
        <v>12</v>
      </c>
      <c r="BC42" s="100">
        <v>10152</v>
      </c>
      <c r="BD42" s="100">
        <v>13</v>
      </c>
      <c r="BE42" s="100">
        <v>10998</v>
      </c>
      <c r="BF42" s="100">
        <v>10</v>
      </c>
      <c r="BG42" s="100">
        <v>8460</v>
      </c>
      <c r="BH42" s="100">
        <v>11</v>
      </c>
      <c r="BI42" s="100">
        <v>9306</v>
      </c>
      <c r="BJ42" s="100">
        <v>20</v>
      </c>
      <c r="BK42" s="100">
        <v>16920</v>
      </c>
      <c r="BL42" s="100">
        <v>15</v>
      </c>
      <c r="BM42" s="100">
        <v>12690</v>
      </c>
      <c r="BN42" s="100">
        <v>14</v>
      </c>
      <c r="BO42" s="100">
        <v>11844</v>
      </c>
      <c r="BP42" s="100">
        <v>11</v>
      </c>
      <c r="BQ42" s="100">
        <v>9306</v>
      </c>
      <c r="BR42" s="100">
        <v>14</v>
      </c>
      <c r="BS42" s="100">
        <v>11844</v>
      </c>
      <c r="BT42" s="100">
        <v>12</v>
      </c>
      <c r="BU42" s="100">
        <v>10152</v>
      </c>
      <c r="BV42" s="100">
        <v>15</v>
      </c>
      <c r="BW42" s="100">
        <v>12690</v>
      </c>
      <c r="BX42" s="100">
        <v>13</v>
      </c>
      <c r="BY42" s="100">
        <v>10998</v>
      </c>
      <c r="BZ42" s="100">
        <v>9</v>
      </c>
      <c r="CA42" s="100">
        <v>7614</v>
      </c>
      <c r="CB42" s="100">
        <v>19</v>
      </c>
      <c r="CC42" s="100">
        <v>16074</v>
      </c>
      <c r="CD42" s="100">
        <v>16.953067172911901</v>
      </c>
      <c r="CE42" s="100">
        <v>14342.294828283468</v>
      </c>
      <c r="CF42" s="100">
        <v>11.035215007083087</v>
      </c>
      <c r="CG42" s="100">
        <v>9335.7918959922918</v>
      </c>
      <c r="CH42" s="100">
        <v>13.283129175192604</v>
      </c>
      <c r="CI42" s="100">
        <v>11237.527282212943</v>
      </c>
      <c r="CJ42" s="100">
        <v>9.3778461405411644</v>
      </c>
      <c r="CK42" s="100">
        <v>7933.6578348978255</v>
      </c>
      <c r="CL42" s="100">
        <v>10.288741620295884</v>
      </c>
      <c r="CM42" s="100">
        <v>8704.2754107703186</v>
      </c>
      <c r="CN42" s="100">
        <v>13.041617735643648</v>
      </c>
      <c r="CO42" s="100">
        <v>11033.208604354526</v>
      </c>
      <c r="CP42" s="100">
        <v>10.764895011560739</v>
      </c>
      <c r="CQ42" s="100">
        <v>9107.1011797803858</v>
      </c>
      <c r="CR42" s="100">
        <v>10</v>
      </c>
      <c r="CS42" s="100">
        <v>8460</v>
      </c>
      <c r="CT42" s="100">
        <v>14</v>
      </c>
      <c r="CU42" s="100">
        <v>11844</v>
      </c>
    </row>
    <row r="43" spans="2:99">
      <c r="C43" s="99" t="s">
        <v>209</v>
      </c>
      <c r="D43" s="100">
        <v>10</v>
      </c>
      <c r="E43" s="100">
        <v>10224</v>
      </c>
      <c r="F43" s="100">
        <v>8.5884173602762743</v>
      </c>
      <c r="G43" s="100">
        <v>8780.7979091464622</v>
      </c>
      <c r="H43" s="100">
        <v>8.0996326769057312</v>
      </c>
      <c r="I43" s="100">
        <v>8281.0644488684193</v>
      </c>
      <c r="J43" s="100">
        <v>10.299612372524278</v>
      </c>
      <c r="K43" s="100">
        <v>10530.323689668821</v>
      </c>
      <c r="L43" s="100">
        <v>13.88810337525088</v>
      </c>
      <c r="M43" s="100">
        <v>14199.1968908565</v>
      </c>
      <c r="N43" s="100">
        <v>16</v>
      </c>
      <c r="O43" s="100">
        <v>16358.4</v>
      </c>
      <c r="P43" s="100">
        <v>17</v>
      </c>
      <c r="Q43" s="100">
        <v>17380.8</v>
      </c>
      <c r="R43" s="100">
        <v>17</v>
      </c>
      <c r="S43" s="100">
        <v>17380.8</v>
      </c>
      <c r="T43" s="100">
        <v>16</v>
      </c>
      <c r="U43" s="100">
        <v>16358.4</v>
      </c>
      <c r="V43" s="100">
        <v>13.417629234487837</v>
      </c>
      <c r="W43" s="100">
        <v>13718.184129340365</v>
      </c>
      <c r="X43" s="100">
        <v>11</v>
      </c>
      <c r="Y43" s="100">
        <v>11246.4</v>
      </c>
      <c r="Z43" s="100">
        <v>15</v>
      </c>
      <c r="AA43" s="100">
        <v>15336</v>
      </c>
      <c r="AB43" s="100">
        <v>15</v>
      </c>
      <c r="AC43" s="100">
        <v>15336</v>
      </c>
      <c r="AD43" s="100">
        <v>12</v>
      </c>
      <c r="AE43" s="100">
        <v>12268.8</v>
      </c>
      <c r="AF43" s="100">
        <v>11</v>
      </c>
      <c r="AG43" s="100">
        <v>11246.4</v>
      </c>
      <c r="AH43" s="100">
        <v>9</v>
      </c>
      <c r="AI43" s="100">
        <v>9201.6</v>
      </c>
      <c r="AJ43" s="100">
        <v>14</v>
      </c>
      <c r="AK43" s="100">
        <v>14313.6</v>
      </c>
      <c r="AL43" s="100">
        <v>11</v>
      </c>
      <c r="AM43" s="100">
        <v>11246.4</v>
      </c>
      <c r="AN43" s="100">
        <v>11</v>
      </c>
      <c r="AO43" s="100">
        <v>11246.4</v>
      </c>
      <c r="AP43" s="100">
        <v>19</v>
      </c>
      <c r="AQ43" s="100">
        <v>19425.599999999999</v>
      </c>
      <c r="AR43" s="100">
        <v>11</v>
      </c>
      <c r="AS43" s="100">
        <v>11246.4</v>
      </c>
      <c r="AT43" s="100">
        <v>13</v>
      </c>
      <c r="AU43" s="100">
        <v>13291.199999999999</v>
      </c>
      <c r="AV43" s="100">
        <v>15</v>
      </c>
      <c r="AW43" s="100">
        <v>15336</v>
      </c>
      <c r="AX43" s="100">
        <v>16</v>
      </c>
      <c r="AY43" s="100">
        <v>16358.4</v>
      </c>
      <c r="AZ43" s="100">
        <v>19</v>
      </c>
      <c r="BA43" s="100">
        <v>19425.599999999999</v>
      </c>
      <c r="BB43" s="100">
        <v>12</v>
      </c>
      <c r="BC43" s="100">
        <v>12268.8</v>
      </c>
      <c r="BD43" s="100">
        <v>11</v>
      </c>
      <c r="BE43" s="100">
        <v>11246.4</v>
      </c>
      <c r="BF43" s="100">
        <v>10</v>
      </c>
      <c r="BG43" s="100">
        <v>10224</v>
      </c>
      <c r="BH43" s="100">
        <v>9</v>
      </c>
      <c r="BI43" s="100">
        <v>9201.6</v>
      </c>
      <c r="BJ43" s="100">
        <v>18</v>
      </c>
      <c r="BK43" s="100">
        <v>18403.2</v>
      </c>
      <c r="BL43" s="100">
        <v>17</v>
      </c>
      <c r="BM43" s="100">
        <v>17380.8</v>
      </c>
      <c r="BN43" s="100">
        <v>13</v>
      </c>
      <c r="BO43" s="100">
        <v>13291.199999999999</v>
      </c>
      <c r="BP43" s="100">
        <v>10</v>
      </c>
      <c r="BQ43" s="100">
        <v>10224</v>
      </c>
      <c r="BR43" s="100">
        <v>14</v>
      </c>
      <c r="BS43" s="100">
        <v>14313.6</v>
      </c>
      <c r="BT43" s="100">
        <v>13</v>
      </c>
      <c r="BU43" s="100">
        <v>13291.199999999999</v>
      </c>
      <c r="BV43" s="100">
        <v>15</v>
      </c>
      <c r="BW43" s="100">
        <v>15336</v>
      </c>
      <c r="BX43" s="100">
        <v>15</v>
      </c>
      <c r="BY43" s="100">
        <v>15336</v>
      </c>
      <c r="BZ43" s="100">
        <v>10</v>
      </c>
      <c r="CA43" s="100">
        <v>10224</v>
      </c>
      <c r="CB43" s="100">
        <v>17</v>
      </c>
      <c r="CC43" s="100">
        <v>17380.8</v>
      </c>
      <c r="CD43" s="100">
        <v>17.950306418377306</v>
      </c>
      <c r="CE43" s="100">
        <v>18352.393282148958</v>
      </c>
      <c r="CF43" s="100">
        <v>9.1960125059025728</v>
      </c>
      <c r="CG43" s="100">
        <v>9402.0031860347899</v>
      </c>
      <c r="CH43" s="100">
        <v>14.168671120205444</v>
      </c>
      <c r="CI43" s="100">
        <v>14486.049353298045</v>
      </c>
      <c r="CJ43" s="100">
        <v>8.5253146732192402</v>
      </c>
      <c r="CK43" s="100">
        <v>8716.2817218993514</v>
      </c>
      <c r="CL43" s="100">
        <v>9.4313464852712272</v>
      </c>
      <c r="CM43" s="100">
        <v>9642.6086465413027</v>
      </c>
      <c r="CN43" s="100">
        <v>12.317083416996779</v>
      </c>
      <c r="CO43" s="100">
        <v>12592.986085537506</v>
      </c>
      <c r="CP43" s="100">
        <v>10.764895011560739</v>
      </c>
      <c r="CQ43" s="100">
        <v>11006.0286598197</v>
      </c>
      <c r="CR43" s="100">
        <v>12</v>
      </c>
      <c r="CS43" s="100">
        <v>12268.8</v>
      </c>
      <c r="CT43" s="100">
        <v>14</v>
      </c>
      <c r="CU43" s="100">
        <v>14313.6</v>
      </c>
    </row>
    <row r="44" spans="2:99">
      <c r="C44" s="99" t="s">
        <v>210</v>
      </c>
      <c r="D44" s="100">
        <v>10</v>
      </c>
      <c r="E44" s="100">
        <v>10224</v>
      </c>
      <c r="F44" s="100">
        <v>7.7295756242486471</v>
      </c>
      <c r="G44" s="100">
        <v>7902.7181182318163</v>
      </c>
      <c r="H44" s="100">
        <v>9.5722931636158641</v>
      </c>
      <c r="I44" s="100">
        <v>9786.7125304808596</v>
      </c>
      <c r="J44" s="100">
        <v>11.035298970561726</v>
      </c>
      <c r="K44" s="100">
        <v>11282.489667502308</v>
      </c>
      <c r="L44" s="100">
        <v>13.88810337525088</v>
      </c>
      <c r="M44" s="100">
        <v>14199.1968908565</v>
      </c>
      <c r="N44" s="100">
        <v>18</v>
      </c>
      <c r="O44" s="100">
        <v>18403.2</v>
      </c>
      <c r="P44" s="100">
        <v>18</v>
      </c>
      <c r="Q44" s="100">
        <v>18403.2</v>
      </c>
      <c r="R44" s="100">
        <v>17</v>
      </c>
      <c r="S44" s="100">
        <v>17380.8</v>
      </c>
      <c r="T44" s="100">
        <v>15</v>
      </c>
      <c r="U44" s="100">
        <v>15336</v>
      </c>
      <c r="V44" s="100">
        <v>14.376031322665542</v>
      </c>
      <c r="W44" s="100">
        <v>14698.05442429325</v>
      </c>
      <c r="X44" s="100">
        <v>11</v>
      </c>
      <c r="Y44" s="100">
        <v>11246.4</v>
      </c>
      <c r="Z44" s="100">
        <v>15</v>
      </c>
      <c r="AA44" s="100">
        <v>15336</v>
      </c>
      <c r="AB44" s="100">
        <v>13</v>
      </c>
      <c r="AC44" s="100">
        <v>13291.199999999999</v>
      </c>
      <c r="AD44" s="100">
        <v>11</v>
      </c>
      <c r="AE44" s="100">
        <v>11246.4</v>
      </c>
      <c r="AF44" s="100">
        <v>10</v>
      </c>
      <c r="AG44" s="100">
        <v>10224</v>
      </c>
      <c r="AH44" s="100">
        <v>10</v>
      </c>
      <c r="AI44" s="100">
        <v>10224</v>
      </c>
      <c r="AJ44" s="100">
        <v>13</v>
      </c>
      <c r="AK44" s="100">
        <v>13291.199999999999</v>
      </c>
      <c r="AL44" s="100">
        <v>11</v>
      </c>
      <c r="AM44" s="100">
        <v>11246.4</v>
      </c>
      <c r="AN44" s="100">
        <v>11</v>
      </c>
      <c r="AO44" s="100">
        <v>11246.4</v>
      </c>
      <c r="AP44" s="100">
        <v>16</v>
      </c>
      <c r="AQ44" s="100">
        <v>16358.4</v>
      </c>
      <c r="AR44" s="100">
        <v>10</v>
      </c>
      <c r="AS44" s="100">
        <v>10224</v>
      </c>
      <c r="AT44" s="100">
        <v>12</v>
      </c>
      <c r="AU44" s="100">
        <v>12268.8</v>
      </c>
      <c r="AV44" s="100">
        <v>14</v>
      </c>
      <c r="AW44" s="100">
        <v>14313.6</v>
      </c>
      <c r="AX44" s="100">
        <v>16</v>
      </c>
      <c r="AY44" s="100">
        <v>16358.4</v>
      </c>
      <c r="AZ44" s="100">
        <v>17</v>
      </c>
      <c r="BA44" s="100">
        <v>17380.8</v>
      </c>
      <c r="BB44" s="100">
        <v>11</v>
      </c>
      <c r="BC44" s="100">
        <v>11246.4</v>
      </c>
      <c r="BD44" s="100">
        <v>13</v>
      </c>
      <c r="BE44" s="100">
        <v>13291.199999999999</v>
      </c>
      <c r="BF44" s="100">
        <v>12</v>
      </c>
      <c r="BG44" s="100">
        <v>12268.8</v>
      </c>
      <c r="BH44" s="100">
        <v>9</v>
      </c>
      <c r="BI44" s="100">
        <v>9201.6</v>
      </c>
      <c r="BJ44" s="100">
        <v>17</v>
      </c>
      <c r="BK44" s="100">
        <v>17380.8</v>
      </c>
      <c r="BL44" s="100">
        <v>14</v>
      </c>
      <c r="BM44" s="100">
        <v>14313.6</v>
      </c>
      <c r="BN44" s="100">
        <v>14</v>
      </c>
      <c r="BO44" s="100">
        <v>14313.6</v>
      </c>
      <c r="BP44" s="100">
        <v>9</v>
      </c>
      <c r="BQ44" s="100">
        <v>9201.6</v>
      </c>
      <c r="BR44" s="100">
        <v>13</v>
      </c>
      <c r="BS44" s="100">
        <v>13291.199999999999</v>
      </c>
      <c r="BT44" s="100">
        <v>12</v>
      </c>
      <c r="BU44" s="100">
        <v>12268.8</v>
      </c>
      <c r="BV44" s="100">
        <v>14</v>
      </c>
      <c r="BW44" s="100">
        <v>14313.6</v>
      </c>
      <c r="BX44" s="100">
        <v>13</v>
      </c>
      <c r="BY44" s="100">
        <v>13291.199999999999</v>
      </c>
      <c r="BZ44" s="100">
        <v>10</v>
      </c>
      <c r="CA44" s="100">
        <v>10224</v>
      </c>
      <c r="CB44" s="100">
        <v>17</v>
      </c>
      <c r="CC44" s="100">
        <v>17380.8</v>
      </c>
      <c r="CD44" s="100">
        <v>15.955827927446494</v>
      </c>
      <c r="CE44" s="100">
        <v>16313.238473021294</v>
      </c>
      <c r="CF44" s="100">
        <v>9.1960125059025728</v>
      </c>
      <c r="CG44" s="100">
        <v>9402.0031860347899</v>
      </c>
      <c r="CH44" s="100">
        <v>14.168671120205444</v>
      </c>
      <c r="CI44" s="100">
        <v>14486.049353298045</v>
      </c>
      <c r="CJ44" s="100">
        <v>7.672783205897316</v>
      </c>
      <c r="CK44" s="100">
        <v>7844.6535497094155</v>
      </c>
      <c r="CL44" s="100">
        <v>9.4313464852712272</v>
      </c>
      <c r="CM44" s="100">
        <v>9642.6086465413027</v>
      </c>
      <c r="CN44" s="100">
        <v>12.317083416996779</v>
      </c>
      <c r="CO44" s="100">
        <v>12592.986085537506</v>
      </c>
      <c r="CP44" s="100">
        <v>9.7862681923279453</v>
      </c>
      <c r="CQ44" s="100">
        <v>10005.480599836092</v>
      </c>
      <c r="CR44" s="100">
        <v>11</v>
      </c>
      <c r="CS44" s="100">
        <v>11246.4</v>
      </c>
      <c r="CT44" s="100">
        <v>14</v>
      </c>
      <c r="CU44" s="100">
        <v>14313.6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7.7295756242486471</v>
      </c>
      <c r="G45" s="100">
        <v>9655.7858698114105</v>
      </c>
      <c r="H45" s="100">
        <v>8.8359629202607977</v>
      </c>
      <c r="I45" s="100">
        <v>11037.88487998979</v>
      </c>
      <c r="J45" s="100">
        <v>11.035298970561726</v>
      </c>
      <c r="K45" s="100">
        <v>13785.295474025708</v>
      </c>
      <c r="L45" s="100">
        <v>13.88810337525088</v>
      </c>
      <c r="M45" s="100">
        <v>17349.0187363634</v>
      </c>
      <c r="N45" s="100">
        <v>17</v>
      </c>
      <c r="O45" s="100">
        <v>21236.400000000001</v>
      </c>
      <c r="P45" s="100">
        <v>15</v>
      </c>
      <c r="Q45" s="100">
        <v>18738</v>
      </c>
      <c r="R45" s="100">
        <v>17</v>
      </c>
      <c r="S45" s="100">
        <v>21236.400000000001</v>
      </c>
      <c r="T45" s="100">
        <v>18</v>
      </c>
      <c r="U45" s="100">
        <v>22485.600000000002</v>
      </c>
      <c r="V45" s="100">
        <v>14.376031322665542</v>
      </c>
      <c r="W45" s="100">
        <v>17958.538328273797</v>
      </c>
      <c r="X45" s="100">
        <v>10</v>
      </c>
      <c r="Y45" s="100">
        <v>12492</v>
      </c>
      <c r="Z45" s="100">
        <v>14</v>
      </c>
      <c r="AA45" s="100">
        <v>17488.8</v>
      </c>
      <c r="AB45" s="100">
        <v>14</v>
      </c>
      <c r="AC45" s="100">
        <v>17488.8</v>
      </c>
      <c r="AD45" s="100">
        <v>11</v>
      </c>
      <c r="AE45" s="100">
        <v>13741.2</v>
      </c>
      <c r="AF45" s="100">
        <v>9</v>
      </c>
      <c r="AG45" s="100">
        <v>11242.800000000001</v>
      </c>
      <c r="AH45" s="100">
        <v>9</v>
      </c>
      <c r="AI45" s="100">
        <v>11242.800000000001</v>
      </c>
      <c r="AJ45" s="100">
        <v>12</v>
      </c>
      <c r="AK45" s="100">
        <v>14990.400000000001</v>
      </c>
      <c r="AL45" s="100">
        <v>10</v>
      </c>
      <c r="AM45" s="100">
        <v>12492</v>
      </c>
      <c r="AN45" s="100">
        <v>10</v>
      </c>
      <c r="AO45" s="100">
        <v>12492</v>
      </c>
      <c r="AP45" s="100">
        <v>17</v>
      </c>
      <c r="AQ45" s="100">
        <v>21236.400000000001</v>
      </c>
      <c r="AR45" s="100">
        <v>10</v>
      </c>
      <c r="AS45" s="100">
        <v>12492</v>
      </c>
      <c r="AT45" s="100">
        <v>13</v>
      </c>
      <c r="AU45" s="100">
        <v>16239.6</v>
      </c>
      <c r="AV45" s="100">
        <v>16</v>
      </c>
      <c r="AW45" s="100">
        <v>19987.2</v>
      </c>
      <c r="AX45" s="100">
        <v>18</v>
      </c>
      <c r="AY45" s="100">
        <v>22485.600000000002</v>
      </c>
      <c r="AZ45" s="100">
        <v>17</v>
      </c>
      <c r="BA45" s="100">
        <v>21236.400000000001</v>
      </c>
      <c r="BB45" s="100">
        <v>11</v>
      </c>
      <c r="BC45" s="100">
        <v>13741.2</v>
      </c>
      <c r="BD45" s="100">
        <v>13</v>
      </c>
      <c r="BE45" s="100">
        <v>16239.6</v>
      </c>
      <c r="BF45" s="100">
        <v>11</v>
      </c>
      <c r="BG45" s="100">
        <v>13741.2</v>
      </c>
      <c r="BH45" s="100">
        <v>10</v>
      </c>
      <c r="BI45" s="100">
        <v>12492</v>
      </c>
      <c r="BJ45" s="100">
        <v>19</v>
      </c>
      <c r="BK45" s="100">
        <v>23734.799999999999</v>
      </c>
      <c r="BL45" s="100">
        <v>14</v>
      </c>
      <c r="BM45" s="100">
        <v>17488.8</v>
      </c>
      <c r="BN45" s="100">
        <v>13</v>
      </c>
      <c r="BO45" s="100">
        <v>16239.6</v>
      </c>
      <c r="BP45" s="100">
        <v>9</v>
      </c>
      <c r="BQ45" s="100">
        <v>11242.800000000001</v>
      </c>
      <c r="BR45" s="100">
        <v>14</v>
      </c>
      <c r="BS45" s="100">
        <v>17488.8</v>
      </c>
      <c r="BT45" s="100">
        <v>14</v>
      </c>
      <c r="BU45" s="100">
        <v>17488.8</v>
      </c>
      <c r="BV45" s="100">
        <v>15</v>
      </c>
      <c r="BW45" s="100">
        <v>18738</v>
      </c>
      <c r="BX45" s="100">
        <v>13</v>
      </c>
      <c r="BY45" s="100">
        <v>16239.6</v>
      </c>
      <c r="BZ45" s="100">
        <v>10</v>
      </c>
      <c r="CA45" s="100">
        <v>12492</v>
      </c>
      <c r="CB45" s="100">
        <v>16</v>
      </c>
      <c r="CC45" s="100">
        <v>19987.2</v>
      </c>
      <c r="CD45" s="100">
        <v>16.953067172911901</v>
      </c>
      <c r="CE45" s="100">
        <v>21177.771512401549</v>
      </c>
      <c r="CF45" s="100">
        <v>10.115613756492829</v>
      </c>
      <c r="CG45" s="100">
        <v>12636.424704610843</v>
      </c>
      <c r="CH45" s="100">
        <v>13.283129175192604</v>
      </c>
      <c r="CI45" s="100">
        <v>16593.2849656506</v>
      </c>
      <c r="CJ45" s="100">
        <v>8.5253146732192402</v>
      </c>
      <c r="CK45" s="100">
        <v>10649.823089785476</v>
      </c>
      <c r="CL45" s="100">
        <v>9.4313464852712272</v>
      </c>
      <c r="CM45" s="100">
        <v>11781.638029400818</v>
      </c>
      <c r="CN45" s="100">
        <v>10.86801477970304</v>
      </c>
      <c r="CO45" s="100">
        <v>13576.324062805039</v>
      </c>
      <c r="CP45" s="100">
        <v>11.743521830793535</v>
      </c>
      <c r="CQ45" s="100">
        <v>14670.007471027284</v>
      </c>
      <c r="CR45" s="100">
        <v>11</v>
      </c>
      <c r="CS45" s="100">
        <v>13741.2</v>
      </c>
      <c r="CT45" s="100">
        <v>15</v>
      </c>
      <c r="CU45" s="100">
        <v>18738</v>
      </c>
    </row>
    <row r="46" spans="2:99">
      <c r="C46" s="99" t="s">
        <v>212</v>
      </c>
      <c r="D46" s="100">
        <v>11</v>
      </c>
      <c r="E46" s="100">
        <v>13332</v>
      </c>
      <c r="F46" s="100">
        <v>7.7295756242486471</v>
      </c>
      <c r="G46" s="100">
        <v>9368.2456565893608</v>
      </c>
      <c r="H46" s="100">
        <v>8.0996326769057312</v>
      </c>
      <c r="I46" s="100">
        <v>9816.7548044097457</v>
      </c>
      <c r="J46" s="100">
        <v>11.770985568599174</v>
      </c>
      <c r="K46" s="100">
        <v>14266.4345091422</v>
      </c>
      <c r="L46" s="100">
        <v>14.756109836204061</v>
      </c>
      <c r="M46" s="100">
        <v>17884.405121479322</v>
      </c>
      <c r="N46" s="100">
        <v>18</v>
      </c>
      <c r="O46" s="100">
        <v>21816</v>
      </c>
      <c r="P46" s="100">
        <v>17</v>
      </c>
      <c r="Q46" s="100">
        <v>20604</v>
      </c>
      <c r="R46" s="100">
        <v>18</v>
      </c>
      <c r="S46" s="100">
        <v>21816</v>
      </c>
      <c r="T46" s="100">
        <v>17</v>
      </c>
      <c r="U46" s="100">
        <v>20604</v>
      </c>
      <c r="V46" s="100">
        <v>14.376031322665542</v>
      </c>
      <c r="W46" s="100">
        <v>17423.749963070637</v>
      </c>
      <c r="X46" s="100">
        <v>10</v>
      </c>
      <c r="Y46" s="100">
        <v>12120</v>
      </c>
      <c r="Z46" s="100">
        <v>14</v>
      </c>
      <c r="AA46" s="100">
        <v>16968</v>
      </c>
      <c r="AB46" s="100">
        <v>13</v>
      </c>
      <c r="AC46" s="100">
        <v>15756</v>
      </c>
      <c r="AD46" s="100">
        <v>10</v>
      </c>
      <c r="AE46" s="100">
        <v>12120</v>
      </c>
      <c r="AF46" s="100">
        <v>10</v>
      </c>
      <c r="AG46" s="100">
        <v>12120</v>
      </c>
      <c r="AH46" s="100">
        <v>10</v>
      </c>
      <c r="AI46" s="100">
        <v>12120</v>
      </c>
      <c r="AJ46" s="100">
        <v>13</v>
      </c>
      <c r="AK46" s="100">
        <v>15756</v>
      </c>
      <c r="AL46" s="100">
        <v>10</v>
      </c>
      <c r="AM46" s="100">
        <v>12120</v>
      </c>
      <c r="AN46" s="100">
        <v>11</v>
      </c>
      <c r="AO46" s="100">
        <v>13332</v>
      </c>
      <c r="AP46" s="100">
        <v>17</v>
      </c>
      <c r="AQ46" s="100">
        <v>20604</v>
      </c>
      <c r="AR46" s="100">
        <v>12</v>
      </c>
      <c r="AS46" s="100">
        <v>14544</v>
      </c>
      <c r="AT46" s="100">
        <v>14</v>
      </c>
      <c r="AU46" s="100">
        <v>16968</v>
      </c>
      <c r="AV46" s="100">
        <v>16</v>
      </c>
      <c r="AW46" s="100">
        <v>19392</v>
      </c>
      <c r="AX46" s="100">
        <v>16</v>
      </c>
      <c r="AY46" s="100">
        <v>19392</v>
      </c>
      <c r="AZ46" s="100">
        <v>19</v>
      </c>
      <c r="BA46" s="100">
        <v>23028</v>
      </c>
      <c r="BB46" s="100">
        <v>12</v>
      </c>
      <c r="BC46" s="100">
        <v>14544</v>
      </c>
      <c r="BD46" s="100">
        <v>11</v>
      </c>
      <c r="BE46" s="100">
        <v>13332</v>
      </c>
      <c r="BF46" s="100">
        <v>11</v>
      </c>
      <c r="BG46" s="100">
        <v>13332</v>
      </c>
      <c r="BH46" s="100">
        <v>10</v>
      </c>
      <c r="BI46" s="100">
        <v>12120</v>
      </c>
      <c r="BJ46" s="100">
        <v>17</v>
      </c>
      <c r="BK46" s="100">
        <v>20604</v>
      </c>
      <c r="BL46" s="100">
        <v>15</v>
      </c>
      <c r="BM46" s="100">
        <v>18180</v>
      </c>
      <c r="BN46" s="100">
        <v>12</v>
      </c>
      <c r="BO46" s="100">
        <v>14544</v>
      </c>
      <c r="BP46" s="100">
        <v>10</v>
      </c>
      <c r="BQ46" s="100">
        <v>12120</v>
      </c>
      <c r="BR46" s="100">
        <v>15</v>
      </c>
      <c r="BS46" s="100">
        <v>18180</v>
      </c>
      <c r="BT46" s="100">
        <v>13</v>
      </c>
      <c r="BU46" s="100">
        <v>15756</v>
      </c>
      <c r="BV46" s="100">
        <v>14</v>
      </c>
      <c r="BW46" s="100">
        <v>16968</v>
      </c>
      <c r="BX46" s="100">
        <v>15</v>
      </c>
      <c r="BY46" s="100">
        <v>18180</v>
      </c>
      <c r="BZ46" s="100">
        <v>10</v>
      </c>
      <c r="CA46" s="100">
        <v>12120</v>
      </c>
      <c r="CB46" s="100">
        <v>16</v>
      </c>
      <c r="CC46" s="100">
        <v>19392</v>
      </c>
      <c r="CD46" s="100">
        <v>17.950306418377306</v>
      </c>
      <c r="CE46" s="100">
        <v>21755.771379073296</v>
      </c>
      <c r="CF46" s="100">
        <v>10.115613756492829</v>
      </c>
      <c r="CG46" s="100">
        <v>12260.123872869308</v>
      </c>
      <c r="CH46" s="100">
        <v>12.397587230179763</v>
      </c>
      <c r="CI46" s="100">
        <v>15025.875722977873</v>
      </c>
      <c r="CJ46" s="100">
        <v>7.672783205897316</v>
      </c>
      <c r="CK46" s="100">
        <v>9299.4132455475465</v>
      </c>
      <c r="CL46" s="100">
        <v>8.5739513502465705</v>
      </c>
      <c r="CM46" s="100">
        <v>10391.629036498844</v>
      </c>
      <c r="CN46" s="100">
        <v>12.317083416996779</v>
      </c>
      <c r="CO46" s="100">
        <v>14928.305101400096</v>
      </c>
      <c r="CP46" s="100">
        <v>9.7862681923279453</v>
      </c>
      <c r="CQ46" s="100">
        <v>11860.957049101469</v>
      </c>
      <c r="CR46" s="100">
        <v>10</v>
      </c>
      <c r="CS46" s="100">
        <v>12120</v>
      </c>
      <c r="CT46" s="100">
        <v>15</v>
      </c>
      <c r="CU46" s="100">
        <v>18180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7.7295756242486471</v>
      </c>
      <c r="G47" s="100">
        <v>11807.699723602233</v>
      </c>
      <c r="H47" s="100">
        <v>8.8359629202607977</v>
      </c>
      <c r="I47" s="100">
        <v>13497.816956990393</v>
      </c>
      <c r="J47" s="100">
        <v>10.299612372524278</v>
      </c>
      <c r="K47" s="100">
        <v>15733.687860268086</v>
      </c>
      <c r="L47" s="100">
        <v>13.020096914297701</v>
      </c>
      <c r="M47" s="100">
        <v>19889.500046281166</v>
      </c>
      <c r="N47" s="100">
        <v>16</v>
      </c>
      <c r="O47" s="100">
        <v>24441.599999999999</v>
      </c>
      <c r="P47" s="100">
        <v>16</v>
      </c>
      <c r="Q47" s="100">
        <v>24441.599999999999</v>
      </c>
      <c r="R47" s="100">
        <v>17</v>
      </c>
      <c r="S47" s="100">
        <v>25969.199999999997</v>
      </c>
      <c r="T47" s="100">
        <v>16</v>
      </c>
      <c r="U47" s="100">
        <v>24441.599999999999</v>
      </c>
      <c r="V47" s="100">
        <v>13.417629234487837</v>
      </c>
      <c r="W47" s="100">
        <v>20496.770418603617</v>
      </c>
      <c r="X47" s="100">
        <v>10</v>
      </c>
      <c r="Y47" s="100">
        <v>15276</v>
      </c>
      <c r="Z47" s="100">
        <v>15</v>
      </c>
      <c r="AA47" s="100">
        <v>22914</v>
      </c>
      <c r="AB47" s="100">
        <v>12</v>
      </c>
      <c r="AC47" s="100">
        <v>18331.199999999997</v>
      </c>
      <c r="AD47" s="100">
        <v>11</v>
      </c>
      <c r="AE47" s="100">
        <v>16803.599999999999</v>
      </c>
      <c r="AF47" s="100">
        <v>9</v>
      </c>
      <c r="AG47" s="100">
        <v>13748.4</v>
      </c>
      <c r="AH47" s="100">
        <v>10</v>
      </c>
      <c r="AI47" s="100">
        <v>15276</v>
      </c>
      <c r="AJ47" s="100">
        <v>14</v>
      </c>
      <c r="AK47" s="100">
        <v>21386.399999999998</v>
      </c>
      <c r="AL47" s="100">
        <v>11</v>
      </c>
      <c r="AM47" s="100">
        <v>16803.599999999999</v>
      </c>
      <c r="AN47" s="100">
        <v>9</v>
      </c>
      <c r="AO47" s="100">
        <v>13748.4</v>
      </c>
      <c r="AP47" s="100">
        <v>16</v>
      </c>
      <c r="AQ47" s="100">
        <v>24441.599999999999</v>
      </c>
      <c r="AR47" s="100">
        <v>11</v>
      </c>
      <c r="AS47" s="100">
        <v>16803.599999999999</v>
      </c>
      <c r="AT47" s="100">
        <v>12</v>
      </c>
      <c r="AU47" s="100">
        <v>18331.199999999997</v>
      </c>
      <c r="AV47" s="100">
        <v>13</v>
      </c>
      <c r="AW47" s="100">
        <v>19858.8</v>
      </c>
      <c r="AX47" s="100">
        <v>18</v>
      </c>
      <c r="AY47" s="100">
        <v>27496.799999999999</v>
      </c>
      <c r="AZ47" s="100">
        <v>18</v>
      </c>
      <c r="BA47" s="100">
        <v>27496.799999999999</v>
      </c>
      <c r="BB47" s="100">
        <v>12</v>
      </c>
      <c r="BC47" s="100">
        <v>18331.199999999997</v>
      </c>
      <c r="BD47" s="100">
        <v>10</v>
      </c>
      <c r="BE47" s="100">
        <v>15276</v>
      </c>
      <c r="BF47" s="100">
        <v>10</v>
      </c>
      <c r="BG47" s="100">
        <v>15276</v>
      </c>
      <c r="BH47" s="100">
        <v>10</v>
      </c>
      <c r="BI47" s="100">
        <v>15276</v>
      </c>
      <c r="BJ47" s="100">
        <v>17</v>
      </c>
      <c r="BK47" s="100">
        <v>25969.199999999997</v>
      </c>
      <c r="BL47" s="100">
        <v>15</v>
      </c>
      <c r="BM47" s="100">
        <v>22914</v>
      </c>
      <c r="BN47" s="100">
        <v>13</v>
      </c>
      <c r="BO47" s="100">
        <v>19858.8</v>
      </c>
      <c r="BP47" s="100">
        <v>10</v>
      </c>
      <c r="BQ47" s="100">
        <v>15276</v>
      </c>
      <c r="BR47" s="100">
        <v>12</v>
      </c>
      <c r="BS47" s="100">
        <v>18331.199999999997</v>
      </c>
      <c r="BT47" s="100">
        <v>12</v>
      </c>
      <c r="BU47" s="100">
        <v>18331.199999999997</v>
      </c>
      <c r="BV47" s="100">
        <v>15</v>
      </c>
      <c r="BW47" s="100">
        <v>22914</v>
      </c>
      <c r="BX47" s="100">
        <v>15</v>
      </c>
      <c r="BY47" s="100">
        <v>22914</v>
      </c>
      <c r="BZ47" s="100">
        <v>10</v>
      </c>
      <c r="CA47" s="100">
        <v>15276</v>
      </c>
      <c r="CB47" s="100">
        <v>15</v>
      </c>
      <c r="CC47" s="100">
        <v>22914</v>
      </c>
      <c r="CD47" s="100">
        <v>16.953067172911901</v>
      </c>
      <c r="CE47" s="100">
        <v>25897.505413340219</v>
      </c>
      <c r="CF47" s="100">
        <v>9.1960125059025728</v>
      </c>
      <c r="CG47" s="100">
        <v>14047.828704016769</v>
      </c>
      <c r="CH47" s="100">
        <v>12.397587230179763</v>
      </c>
      <c r="CI47" s="100">
        <v>18938.554252822603</v>
      </c>
      <c r="CJ47" s="100">
        <v>7.672783205897316</v>
      </c>
      <c r="CK47" s="100">
        <v>11720.943625328739</v>
      </c>
      <c r="CL47" s="100">
        <v>9.4313464852712272</v>
      </c>
      <c r="CM47" s="100">
        <v>14407.324890900325</v>
      </c>
      <c r="CN47" s="100">
        <v>12.317083416996779</v>
      </c>
      <c r="CO47" s="100">
        <v>18815.576627804279</v>
      </c>
      <c r="CP47" s="100">
        <v>9.7862681923279453</v>
      </c>
      <c r="CQ47" s="100">
        <v>14949.503290600169</v>
      </c>
      <c r="CR47" s="100">
        <v>11</v>
      </c>
      <c r="CS47" s="100">
        <v>16803.599999999999</v>
      </c>
      <c r="CT47" s="100">
        <v>15</v>
      </c>
      <c r="CU47" s="100">
        <v>22914</v>
      </c>
    </row>
    <row r="48" spans="2:99">
      <c r="C48" s="99" t="s">
        <v>214</v>
      </c>
      <c r="D48" s="100">
        <v>12</v>
      </c>
      <c r="E48" s="100">
        <v>10411.200000000001</v>
      </c>
      <c r="F48" s="100">
        <v>9.4472590963039007</v>
      </c>
      <c r="G48" s="100">
        <v>8196.4419919532647</v>
      </c>
      <c r="H48" s="100">
        <v>9.5722931636158641</v>
      </c>
      <c r="I48" s="100">
        <v>8304.9215487531237</v>
      </c>
      <c r="J48" s="100">
        <v>12.506672166636623</v>
      </c>
      <c r="K48" s="100">
        <v>10850.788771773934</v>
      </c>
      <c r="L48" s="100">
        <v>15.62411629715724</v>
      </c>
      <c r="M48" s="100">
        <v>13555.483299413621</v>
      </c>
      <c r="N48" s="100">
        <v>17</v>
      </c>
      <c r="O48" s="100">
        <v>14749.2</v>
      </c>
      <c r="P48" s="100">
        <v>16</v>
      </c>
      <c r="Q48" s="100">
        <v>13881.6</v>
      </c>
      <c r="R48" s="100">
        <v>20</v>
      </c>
      <c r="S48" s="100">
        <v>17352</v>
      </c>
      <c r="T48" s="100">
        <v>16</v>
      </c>
      <c r="U48" s="100">
        <v>13881.6</v>
      </c>
      <c r="V48" s="100">
        <v>13.417629234487837</v>
      </c>
      <c r="W48" s="100">
        <v>11641.135123841648</v>
      </c>
      <c r="X48" s="100">
        <v>11</v>
      </c>
      <c r="Y48" s="100">
        <v>9543.6</v>
      </c>
      <c r="Z48" s="100">
        <v>15</v>
      </c>
      <c r="AA48" s="100">
        <v>13014</v>
      </c>
      <c r="AB48" s="100">
        <v>16</v>
      </c>
      <c r="AC48" s="100">
        <v>13881.6</v>
      </c>
      <c r="AD48" s="100">
        <v>10</v>
      </c>
      <c r="AE48" s="100">
        <v>8676</v>
      </c>
      <c r="AF48" s="100">
        <v>11</v>
      </c>
      <c r="AG48" s="100">
        <v>9543.6</v>
      </c>
      <c r="AH48" s="100">
        <v>9</v>
      </c>
      <c r="AI48" s="100">
        <v>7808.4000000000005</v>
      </c>
      <c r="AJ48" s="100">
        <v>14</v>
      </c>
      <c r="AK48" s="100">
        <v>12146.4</v>
      </c>
      <c r="AL48" s="100">
        <v>12</v>
      </c>
      <c r="AM48" s="100">
        <v>10411.200000000001</v>
      </c>
      <c r="AN48" s="100">
        <v>10</v>
      </c>
      <c r="AO48" s="100">
        <v>8676</v>
      </c>
      <c r="AP48" s="100">
        <v>19</v>
      </c>
      <c r="AQ48" s="100">
        <v>16484.400000000001</v>
      </c>
      <c r="AR48" s="100">
        <v>12</v>
      </c>
      <c r="AS48" s="100">
        <v>10411.200000000001</v>
      </c>
      <c r="AT48" s="100">
        <v>13</v>
      </c>
      <c r="AU48" s="100">
        <v>11278.800000000001</v>
      </c>
      <c r="AV48" s="100">
        <v>16</v>
      </c>
      <c r="AW48" s="100">
        <v>13881.6</v>
      </c>
      <c r="AX48" s="100">
        <v>18</v>
      </c>
      <c r="AY48" s="100">
        <v>15616.800000000001</v>
      </c>
      <c r="AZ48" s="100">
        <v>17</v>
      </c>
      <c r="BA48" s="100">
        <v>14749.2</v>
      </c>
      <c r="BB48" s="100">
        <v>12</v>
      </c>
      <c r="BC48" s="100">
        <v>10411.200000000001</v>
      </c>
      <c r="BD48" s="100">
        <v>13</v>
      </c>
      <c r="BE48" s="100">
        <v>11278.800000000001</v>
      </c>
      <c r="BF48" s="100">
        <v>11</v>
      </c>
      <c r="BG48" s="100">
        <v>9543.6</v>
      </c>
      <c r="BH48" s="100">
        <v>9</v>
      </c>
      <c r="BI48" s="100">
        <v>7808.4000000000005</v>
      </c>
      <c r="BJ48" s="100">
        <v>18</v>
      </c>
      <c r="BK48" s="100">
        <v>15616.800000000001</v>
      </c>
      <c r="BL48" s="100">
        <v>15</v>
      </c>
      <c r="BM48" s="100">
        <v>13014</v>
      </c>
      <c r="BN48" s="100">
        <v>14</v>
      </c>
      <c r="BO48" s="100">
        <v>12146.4</v>
      </c>
      <c r="BP48" s="100">
        <v>11</v>
      </c>
      <c r="BQ48" s="100">
        <v>9543.6</v>
      </c>
      <c r="BR48" s="100">
        <v>14</v>
      </c>
      <c r="BS48" s="100">
        <v>12146.4</v>
      </c>
      <c r="BT48" s="100">
        <v>12</v>
      </c>
      <c r="BU48" s="100">
        <v>10411.200000000001</v>
      </c>
      <c r="BV48" s="100">
        <v>15</v>
      </c>
      <c r="BW48" s="100">
        <v>13014</v>
      </c>
      <c r="BX48" s="100">
        <v>13</v>
      </c>
      <c r="BY48" s="100">
        <v>11278.800000000001</v>
      </c>
      <c r="BZ48" s="100">
        <v>10</v>
      </c>
      <c r="CA48" s="100">
        <v>8676</v>
      </c>
      <c r="CB48" s="100">
        <v>18</v>
      </c>
      <c r="CC48" s="100">
        <v>15616.800000000001</v>
      </c>
      <c r="CD48" s="100">
        <v>15.955827927446494</v>
      </c>
      <c r="CE48" s="100">
        <v>13843.276309852579</v>
      </c>
      <c r="CF48" s="100">
        <v>10.115613756492829</v>
      </c>
      <c r="CG48" s="100">
        <v>8776.306495133178</v>
      </c>
      <c r="CH48" s="100">
        <v>12.397587230179763</v>
      </c>
      <c r="CI48" s="100">
        <v>10756.146680903963</v>
      </c>
      <c r="CJ48" s="100">
        <v>9.3778461405411644</v>
      </c>
      <c r="CK48" s="100">
        <v>8136.2193115335149</v>
      </c>
      <c r="CL48" s="100">
        <v>10.288741620295884</v>
      </c>
      <c r="CM48" s="100">
        <v>8926.5122297687085</v>
      </c>
      <c r="CN48" s="100">
        <v>13.041617735643648</v>
      </c>
      <c r="CO48" s="100">
        <v>11314.907547444429</v>
      </c>
      <c r="CP48" s="100">
        <v>9.7862681923279453</v>
      </c>
      <c r="CQ48" s="100">
        <v>8490.5662836637257</v>
      </c>
      <c r="CR48" s="100">
        <v>12</v>
      </c>
      <c r="CS48" s="100">
        <v>10411.200000000001</v>
      </c>
      <c r="CT48" s="100">
        <v>16</v>
      </c>
      <c r="CU48" s="100">
        <v>13881.6</v>
      </c>
    </row>
    <row r="49" spans="2:99">
      <c r="B49" s="99" t="s">
        <v>129</v>
      </c>
      <c r="C49" s="99" t="s">
        <v>215</v>
      </c>
      <c r="D49" s="100">
        <v>11</v>
      </c>
      <c r="E49" s="100">
        <v>10837.199999999999</v>
      </c>
      <c r="F49" s="100">
        <v>12</v>
      </c>
      <c r="G49" s="100">
        <v>11822.4</v>
      </c>
      <c r="H49" s="100">
        <v>15</v>
      </c>
      <c r="I49" s="100">
        <v>14777.999999999998</v>
      </c>
      <c r="J49" s="100">
        <v>11</v>
      </c>
      <c r="K49" s="100">
        <v>10837.199999999999</v>
      </c>
      <c r="L49" s="100">
        <v>17</v>
      </c>
      <c r="M49" s="100">
        <v>16748.399999999998</v>
      </c>
      <c r="N49" s="100">
        <v>10</v>
      </c>
      <c r="O49" s="100">
        <v>9852</v>
      </c>
      <c r="P49" s="100">
        <v>9</v>
      </c>
      <c r="Q49" s="100">
        <v>8866.7999999999993</v>
      </c>
      <c r="R49" s="100">
        <v>9</v>
      </c>
      <c r="S49" s="100">
        <v>8866.7999999999993</v>
      </c>
      <c r="T49" s="100">
        <v>17</v>
      </c>
      <c r="U49" s="100">
        <v>16748.399999999998</v>
      </c>
      <c r="V49" s="100">
        <v>14</v>
      </c>
      <c r="W49" s="100">
        <v>13792.8</v>
      </c>
      <c r="X49" s="100">
        <v>12</v>
      </c>
      <c r="Y49" s="100">
        <v>11822.4</v>
      </c>
      <c r="Z49" s="100">
        <v>11</v>
      </c>
      <c r="AA49" s="100">
        <v>10837.199999999999</v>
      </c>
      <c r="AB49" s="100">
        <v>11</v>
      </c>
      <c r="AC49" s="100">
        <v>10837.199999999999</v>
      </c>
      <c r="AD49" s="100">
        <v>11</v>
      </c>
      <c r="AE49" s="100">
        <v>10837.199999999999</v>
      </c>
      <c r="AF49" s="100">
        <v>10</v>
      </c>
      <c r="AG49" s="100">
        <v>9852</v>
      </c>
      <c r="AH49" s="100">
        <v>8</v>
      </c>
      <c r="AI49" s="100">
        <v>7881.5999999999995</v>
      </c>
      <c r="AJ49" s="100">
        <v>11</v>
      </c>
      <c r="AK49" s="100">
        <v>10837.199999999999</v>
      </c>
      <c r="AL49" s="100">
        <v>16</v>
      </c>
      <c r="AM49" s="100">
        <v>15763.199999999999</v>
      </c>
      <c r="AN49" s="100">
        <v>9</v>
      </c>
      <c r="AO49" s="100">
        <v>8866.7999999999993</v>
      </c>
      <c r="AP49" s="100">
        <v>11</v>
      </c>
      <c r="AQ49" s="100">
        <v>10837.199999999999</v>
      </c>
      <c r="AR49" s="100">
        <v>13</v>
      </c>
      <c r="AS49" s="100">
        <v>12807.599999999999</v>
      </c>
      <c r="AT49" s="100">
        <v>17</v>
      </c>
      <c r="AU49" s="100">
        <v>16748.399999999998</v>
      </c>
      <c r="AV49" s="100">
        <v>11</v>
      </c>
      <c r="AW49" s="100">
        <v>10837.199999999999</v>
      </c>
      <c r="AX49" s="100">
        <v>11</v>
      </c>
      <c r="AY49" s="100">
        <v>10837.199999999999</v>
      </c>
      <c r="AZ49" s="100">
        <v>12</v>
      </c>
      <c r="BA49" s="100">
        <v>11822.4</v>
      </c>
      <c r="BB49" s="100">
        <v>10</v>
      </c>
      <c r="BC49" s="100">
        <v>9852</v>
      </c>
      <c r="BD49" s="100">
        <v>11</v>
      </c>
      <c r="BE49" s="100">
        <v>10837.199999999999</v>
      </c>
      <c r="BF49" s="100">
        <v>9</v>
      </c>
      <c r="BG49" s="100">
        <v>8866.7999999999993</v>
      </c>
      <c r="BH49" s="100">
        <v>12</v>
      </c>
      <c r="BI49" s="100">
        <v>11822.4</v>
      </c>
      <c r="BJ49" s="100">
        <v>14</v>
      </c>
      <c r="BK49" s="100">
        <v>13792.8</v>
      </c>
      <c r="BL49" s="100">
        <v>10</v>
      </c>
      <c r="BM49" s="100">
        <v>9852</v>
      </c>
      <c r="BN49" s="100">
        <v>10</v>
      </c>
      <c r="BO49" s="100">
        <v>9852</v>
      </c>
      <c r="BP49" s="100">
        <v>9</v>
      </c>
      <c r="BQ49" s="100">
        <v>8866.7999999999993</v>
      </c>
      <c r="BR49" s="100">
        <v>9</v>
      </c>
      <c r="BS49" s="100">
        <v>8866.7999999999993</v>
      </c>
      <c r="BT49" s="100">
        <v>10</v>
      </c>
      <c r="BU49" s="100">
        <v>9852</v>
      </c>
      <c r="BV49" s="100">
        <v>9</v>
      </c>
      <c r="BW49" s="100">
        <v>8866.7999999999993</v>
      </c>
      <c r="BX49" s="100">
        <v>13</v>
      </c>
      <c r="BY49" s="100">
        <v>12807.599999999999</v>
      </c>
      <c r="BZ49" s="100">
        <v>13</v>
      </c>
      <c r="CA49" s="100">
        <v>12807.599999999999</v>
      </c>
      <c r="CB49" s="100">
        <v>9</v>
      </c>
      <c r="CC49" s="100">
        <v>8866.7999999999993</v>
      </c>
      <c r="CD49" s="100">
        <v>14</v>
      </c>
      <c r="CE49" s="100">
        <v>13792.8</v>
      </c>
      <c r="CF49" s="100">
        <v>10</v>
      </c>
      <c r="CG49" s="100">
        <v>9852</v>
      </c>
      <c r="CH49" s="100">
        <v>15</v>
      </c>
      <c r="CI49" s="100">
        <v>14777.999999999998</v>
      </c>
      <c r="CJ49" s="100">
        <v>16</v>
      </c>
      <c r="CK49" s="100">
        <v>15763.199999999999</v>
      </c>
      <c r="CL49" s="100">
        <v>15</v>
      </c>
      <c r="CM49" s="100">
        <v>14777.999999999998</v>
      </c>
      <c r="CN49" s="100">
        <v>16</v>
      </c>
      <c r="CO49" s="100">
        <v>15763.199999999999</v>
      </c>
      <c r="CP49" s="100">
        <v>13</v>
      </c>
      <c r="CQ49" s="100">
        <v>12807.599999999999</v>
      </c>
      <c r="CR49" s="100">
        <v>12</v>
      </c>
      <c r="CS49" s="100">
        <v>11822.4</v>
      </c>
      <c r="CT49" s="100">
        <v>12</v>
      </c>
      <c r="CU49" s="100">
        <v>11822.4</v>
      </c>
    </row>
    <row r="50" spans="2:99">
      <c r="C50" s="99" t="s">
        <v>216</v>
      </c>
      <c r="D50" s="100">
        <v>11</v>
      </c>
      <c r="E50" s="100">
        <v>3102</v>
      </c>
      <c r="F50" s="100">
        <v>12.882626040414412</v>
      </c>
      <c r="G50" s="100">
        <v>3632.9005433968641</v>
      </c>
      <c r="H50" s="100">
        <v>13.253944380391196</v>
      </c>
      <c r="I50" s="100">
        <v>3737.6123152703176</v>
      </c>
      <c r="J50" s="100">
        <v>9.5639257744868296</v>
      </c>
      <c r="K50" s="100">
        <v>2697.0270684052857</v>
      </c>
      <c r="L50" s="100">
        <v>14.756109836204061</v>
      </c>
      <c r="M50" s="100">
        <v>4161.2229738095448</v>
      </c>
      <c r="N50" s="100">
        <v>10</v>
      </c>
      <c r="O50" s="100">
        <v>2820</v>
      </c>
      <c r="P50" s="100">
        <v>9</v>
      </c>
      <c r="Q50" s="100">
        <v>2538</v>
      </c>
      <c r="R50" s="100">
        <v>9</v>
      </c>
      <c r="S50" s="100">
        <v>2538</v>
      </c>
      <c r="T50" s="100">
        <v>18</v>
      </c>
      <c r="U50" s="100">
        <v>5076</v>
      </c>
      <c r="V50" s="100">
        <v>14.376031322665542</v>
      </c>
      <c r="W50" s="100">
        <v>4054.0408329916827</v>
      </c>
      <c r="X50" s="100">
        <v>13</v>
      </c>
      <c r="Y50" s="100">
        <v>3666</v>
      </c>
      <c r="Z50" s="100">
        <v>12</v>
      </c>
      <c r="AA50" s="100">
        <v>3384</v>
      </c>
      <c r="AB50" s="100">
        <v>13</v>
      </c>
      <c r="AC50" s="100">
        <v>3666</v>
      </c>
      <c r="AD50" s="100">
        <v>11</v>
      </c>
      <c r="AE50" s="100">
        <v>3102</v>
      </c>
      <c r="AF50" s="100">
        <v>9</v>
      </c>
      <c r="AG50" s="100">
        <v>2538</v>
      </c>
      <c r="AH50" s="100">
        <v>10</v>
      </c>
      <c r="AI50" s="100">
        <v>2820</v>
      </c>
      <c r="AJ50" s="100">
        <v>14</v>
      </c>
      <c r="AK50" s="100">
        <v>3948</v>
      </c>
      <c r="AL50" s="100">
        <v>17</v>
      </c>
      <c r="AM50" s="100">
        <v>4794</v>
      </c>
      <c r="AN50" s="100">
        <v>9</v>
      </c>
      <c r="AO50" s="100">
        <v>2538</v>
      </c>
      <c r="AP50" s="100">
        <v>10</v>
      </c>
      <c r="AQ50" s="100">
        <v>2820</v>
      </c>
      <c r="AR50" s="100">
        <v>13</v>
      </c>
      <c r="AS50" s="100">
        <v>3666</v>
      </c>
      <c r="AT50" s="100">
        <v>18</v>
      </c>
      <c r="AU50" s="100">
        <v>5076</v>
      </c>
      <c r="AV50" s="100">
        <v>13</v>
      </c>
      <c r="AW50" s="100">
        <v>3666</v>
      </c>
      <c r="AX50" s="100">
        <v>12</v>
      </c>
      <c r="AY50" s="100">
        <v>3384</v>
      </c>
      <c r="AZ50" s="100">
        <v>13</v>
      </c>
      <c r="BA50" s="100">
        <v>3666</v>
      </c>
      <c r="BB50" s="100">
        <v>11</v>
      </c>
      <c r="BC50" s="100">
        <v>3102</v>
      </c>
      <c r="BD50" s="100">
        <v>11</v>
      </c>
      <c r="BE50" s="100">
        <v>3102</v>
      </c>
      <c r="BF50" s="100">
        <v>9</v>
      </c>
      <c r="BG50" s="100">
        <v>2538</v>
      </c>
      <c r="BH50" s="100">
        <v>13</v>
      </c>
      <c r="BI50" s="100">
        <v>3666</v>
      </c>
      <c r="BJ50" s="100">
        <v>15</v>
      </c>
      <c r="BK50" s="100">
        <v>4230</v>
      </c>
      <c r="BL50" s="100">
        <v>10</v>
      </c>
      <c r="BM50" s="100">
        <v>2820</v>
      </c>
      <c r="BN50" s="100">
        <v>10</v>
      </c>
      <c r="BO50" s="100">
        <v>2820</v>
      </c>
      <c r="BP50" s="100">
        <v>9</v>
      </c>
      <c r="BQ50" s="100">
        <v>2538</v>
      </c>
      <c r="BR50" s="100">
        <v>11</v>
      </c>
      <c r="BS50" s="100">
        <v>3102</v>
      </c>
      <c r="BT50" s="100">
        <v>11</v>
      </c>
      <c r="BU50" s="100">
        <v>3102</v>
      </c>
      <c r="BV50" s="100">
        <v>11</v>
      </c>
      <c r="BW50" s="100">
        <v>3102</v>
      </c>
      <c r="BX50" s="100">
        <v>12</v>
      </c>
      <c r="BY50" s="100">
        <v>3384</v>
      </c>
      <c r="BZ50" s="100">
        <v>14</v>
      </c>
      <c r="CA50" s="100">
        <v>3948</v>
      </c>
      <c r="CB50" s="100">
        <v>11</v>
      </c>
      <c r="CC50" s="100">
        <v>3102</v>
      </c>
      <c r="CD50" s="100">
        <v>13.961349436515684</v>
      </c>
      <c r="CE50" s="100">
        <v>3937.100541097423</v>
      </c>
      <c r="CF50" s="100">
        <v>11.035215007083087</v>
      </c>
      <c r="CG50" s="100">
        <v>3111.9306319974307</v>
      </c>
      <c r="CH50" s="100">
        <v>14.168671120205444</v>
      </c>
      <c r="CI50" s="100">
        <v>3995.565255897935</v>
      </c>
      <c r="CJ50" s="100">
        <v>14.493034944472708</v>
      </c>
      <c r="CK50" s="100">
        <v>4087.0358543413035</v>
      </c>
      <c r="CL50" s="100">
        <v>14.575717295419169</v>
      </c>
      <c r="CM50" s="100">
        <v>4110.3522773082059</v>
      </c>
      <c r="CN50" s="100">
        <v>12.317083416996779</v>
      </c>
      <c r="CO50" s="100">
        <v>3473.4175235930916</v>
      </c>
      <c r="CP50" s="100">
        <v>11.743521830793535</v>
      </c>
      <c r="CQ50" s="100">
        <v>3311.6731562837767</v>
      </c>
      <c r="CR50" s="100">
        <v>13</v>
      </c>
      <c r="CS50" s="100">
        <v>3666</v>
      </c>
      <c r="CT50" s="100">
        <v>12</v>
      </c>
      <c r="CU50" s="100">
        <v>3384</v>
      </c>
    </row>
    <row r="51" spans="2:99">
      <c r="C51" s="99" t="s">
        <v>217</v>
      </c>
      <c r="D51" s="100">
        <v>12</v>
      </c>
      <c r="E51" s="100">
        <v>10252.799999999999</v>
      </c>
      <c r="F51" s="100">
        <v>11.164942568359157</v>
      </c>
      <c r="G51" s="100">
        <v>9539.3269304060632</v>
      </c>
      <c r="H51" s="100">
        <v>13.253944380391196</v>
      </c>
      <c r="I51" s="100">
        <v>11324.170078606237</v>
      </c>
      <c r="J51" s="100">
        <v>8.092552578411933</v>
      </c>
      <c r="K51" s="100">
        <v>6914.2769229951555</v>
      </c>
      <c r="L51" s="100">
        <v>13.020096914297701</v>
      </c>
      <c r="M51" s="100">
        <v>11124.370803575956</v>
      </c>
      <c r="N51" s="100">
        <v>10</v>
      </c>
      <c r="O51" s="100">
        <v>8544</v>
      </c>
      <c r="P51" s="100">
        <v>9</v>
      </c>
      <c r="Q51" s="100">
        <v>7689.5999999999995</v>
      </c>
      <c r="R51" s="100">
        <v>9</v>
      </c>
      <c r="S51" s="100">
        <v>7689.5999999999995</v>
      </c>
      <c r="T51" s="100">
        <v>16</v>
      </c>
      <c r="U51" s="100">
        <v>13670.4</v>
      </c>
      <c r="V51" s="100">
        <v>13.417629234487837</v>
      </c>
      <c r="W51" s="100">
        <v>11464.022417946408</v>
      </c>
      <c r="X51" s="100">
        <v>12</v>
      </c>
      <c r="Y51" s="100">
        <v>10252.799999999999</v>
      </c>
      <c r="Z51" s="100">
        <v>11</v>
      </c>
      <c r="AA51" s="100">
        <v>9398.4</v>
      </c>
      <c r="AB51" s="100">
        <v>12</v>
      </c>
      <c r="AC51" s="100">
        <v>10252.799999999999</v>
      </c>
      <c r="AD51" s="100">
        <v>11</v>
      </c>
      <c r="AE51" s="100">
        <v>9398.4</v>
      </c>
      <c r="AF51" s="100">
        <v>9</v>
      </c>
      <c r="AG51" s="100">
        <v>7689.5999999999995</v>
      </c>
      <c r="AH51" s="100">
        <v>9</v>
      </c>
      <c r="AI51" s="100">
        <v>7689.5999999999995</v>
      </c>
      <c r="AJ51" s="100">
        <v>12</v>
      </c>
      <c r="AK51" s="100">
        <v>10252.799999999999</v>
      </c>
      <c r="AL51" s="100">
        <v>16</v>
      </c>
      <c r="AM51" s="100">
        <v>13670.4</v>
      </c>
      <c r="AN51" s="100">
        <v>8</v>
      </c>
      <c r="AO51" s="100">
        <v>6835.2</v>
      </c>
      <c r="AP51" s="100">
        <v>12</v>
      </c>
      <c r="AQ51" s="100">
        <v>10252.799999999999</v>
      </c>
      <c r="AR51" s="100">
        <v>13</v>
      </c>
      <c r="AS51" s="100">
        <v>11107.199999999999</v>
      </c>
      <c r="AT51" s="100">
        <v>15</v>
      </c>
      <c r="AU51" s="100">
        <v>12816</v>
      </c>
      <c r="AV51" s="100">
        <v>12</v>
      </c>
      <c r="AW51" s="100">
        <v>10252.799999999999</v>
      </c>
      <c r="AX51" s="100">
        <v>11</v>
      </c>
      <c r="AY51" s="100">
        <v>9398.4</v>
      </c>
      <c r="AZ51" s="100">
        <v>13</v>
      </c>
      <c r="BA51" s="100">
        <v>11107.199999999999</v>
      </c>
      <c r="BB51" s="100">
        <v>11</v>
      </c>
      <c r="BC51" s="100">
        <v>9398.4</v>
      </c>
      <c r="BD51" s="100">
        <v>12</v>
      </c>
      <c r="BE51" s="100">
        <v>10252.799999999999</v>
      </c>
      <c r="BF51" s="100">
        <v>9</v>
      </c>
      <c r="BG51" s="100">
        <v>7689.5999999999995</v>
      </c>
      <c r="BH51" s="100">
        <v>12</v>
      </c>
      <c r="BI51" s="100">
        <v>10252.799999999999</v>
      </c>
      <c r="BJ51" s="100">
        <v>14</v>
      </c>
      <c r="BK51" s="100">
        <v>11961.6</v>
      </c>
      <c r="BL51" s="100">
        <v>10</v>
      </c>
      <c r="BM51" s="100">
        <v>8544</v>
      </c>
      <c r="BN51" s="100">
        <v>10</v>
      </c>
      <c r="BO51" s="100">
        <v>8544</v>
      </c>
      <c r="BP51" s="100">
        <v>8</v>
      </c>
      <c r="BQ51" s="100">
        <v>6835.2</v>
      </c>
      <c r="BR51" s="100">
        <v>9</v>
      </c>
      <c r="BS51" s="100">
        <v>7689.5999999999995</v>
      </c>
      <c r="BT51" s="100">
        <v>11</v>
      </c>
      <c r="BU51" s="100">
        <v>9398.4</v>
      </c>
      <c r="BV51" s="100">
        <v>9</v>
      </c>
      <c r="BW51" s="100">
        <v>7689.5999999999995</v>
      </c>
      <c r="BX51" s="100">
        <v>11</v>
      </c>
      <c r="BY51" s="100">
        <v>9398.4</v>
      </c>
      <c r="BZ51" s="100">
        <v>13</v>
      </c>
      <c r="CA51" s="100">
        <v>11107.199999999999</v>
      </c>
      <c r="CB51" s="100">
        <v>10</v>
      </c>
      <c r="CC51" s="100">
        <v>8544</v>
      </c>
      <c r="CD51" s="100">
        <v>13.961349436515684</v>
      </c>
      <c r="CE51" s="100">
        <v>11928.576958559001</v>
      </c>
      <c r="CF51" s="100">
        <v>9.1960125059025728</v>
      </c>
      <c r="CG51" s="100">
        <v>7857.0730850431582</v>
      </c>
      <c r="CH51" s="100">
        <v>12.397587230179763</v>
      </c>
      <c r="CI51" s="100">
        <v>10592.498529465589</v>
      </c>
      <c r="CJ51" s="100">
        <v>12.787972009828861</v>
      </c>
      <c r="CK51" s="100">
        <v>10926.043285197778</v>
      </c>
      <c r="CL51" s="100">
        <v>13.718322160394512</v>
      </c>
      <c r="CM51" s="100">
        <v>11720.934453841071</v>
      </c>
      <c r="CN51" s="100">
        <v>12.317083416996779</v>
      </c>
      <c r="CO51" s="100">
        <v>10523.716071482047</v>
      </c>
      <c r="CP51" s="100">
        <v>12.722148650026329</v>
      </c>
      <c r="CQ51" s="100">
        <v>10869.803806582495</v>
      </c>
      <c r="CR51" s="100">
        <v>13</v>
      </c>
      <c r="CS51" s="100">
        <v>11107.199999999999</v>
      </c>
      <c r="CT51" s="100">
        <v>12</v>
      </c>
      <c r="CU51" s="100">
        <v>10252.799999999999</v>
      </c>
    </row>
    <row r="52" spans="2:99">
      <c r="C52" s="99" t="s">
        <v>218</v>
      </c>
      <c r="D52" s="100">
        <v>11</v>
      </c>
      <c r="E52" s="100">
        <v>5940</v>
      </c>
      <c r="F52" s="100">
        <v>12.023784304386785</v>
      </c>
      <c r="G52" s="100">
        <v>6492.8435243688637</v>
      </c>
      <c r="H52" s="100">
        <v>12.51761413703613</v>
      </c>
      <c r="I52" s="100">
        <v>6759.5116339995102</v>
      </c>
      <c r="J52" s="100">
        <v>10.299612372524278</v>
      </c>
      <c r="K52" s="100">
        <v>5561.7906811631101</v>
      </c>
      <c r="L52" s="100">
        <v>13.88810337525088</v>
      </c>
      <c r="M52" s="100">
        <v>7499.5758226354756</v>
      </c>
      <c r="N52" s="100">
        <v>11</v>
      </c>
      <c r="O52" s="100">
        <v>5940</v>
      </c>
      <c r="P52" s="100">
        <v>9</v>
      </c>
      <c r="Q52" s="100">
        <v>4860</v>
      </c>
      <c r="R52" s="100">
        <v>9</v>
      </c>
      <c r="S52" s="100">
        <v>4860</v>
      </c>
      <c r="T52" s="100">
        <v>15</v>
      </c>
      <c r="U52" s="100">
        <v>8100</v>
      </c>
      <c r="V52" s="100">
        <v>14.376031322665542</v>
      </c>
      <c r="W52" s="100">
        <v>7763.0569142393924</v>
      </c>
      <c r="X52" s="100">
        <v>13</v>
      </c>
      <c r="Y52" s="100">
        <v>7020</v>
      </c>
      <c r="Z52" s="100">
        <v>10</v>
      </c>
      <c r="AA52" s="100">
        <v>5400</v>
      </c>
      <c r="AB52" s="100">
        <v>14</v>
      </c>
      <c r="AC52" s="100">
        <v>7560</v>
      </c>
      <c r="AD52" s="100">
        <v>11</v>
      </c>
      <c r="AE52" s="100">
        <v>5940</v>
      </c>
      <c r="AF52" s="100">
        <v>10</v>
      </c>
      <c r="AG52" s="100">
        <v>5400</v>
      </c>
      <c r="AH52" s="100">
        <v>9</v>
      </c>
      <c r="AI52" s="100">
        <v>4860</v>
      </c>
      <c r="AJ52" s="100">
        <v>12</v>
      </c>
      <c r="AK52" s="100">
        <v>6480</v>
      </c>
      <c r="AL52" s="100">
        <v>18</v>
      </c>
      <c r="AM52" s="100">
        <v>9720</v>
      </c>
      <c r="AN52" s="100">
        <v>8</v>
      </c>
      <c r="AO52" s="100">
        <v>4320</v>
      </c>
      <c r="AP52" s="100">
        <v>11</v>
      </c>
      <c r="AQ52" s="100">
        <v>5940</v>
      </c>
      <c r="AR52" s="100">
        <v>13</v>
      </c>
      <c r="AS52" s="100">
        <v>7020</v>
      </c>
      <c r="AT52" s="100">
        <v>19</v>
      </c>
      <c r="AU52" s="100">
        <v>10260</v>
      </c>
      <c r="AV52" s="100">
        <v>12</v>
      </c>
      <c r="AW52" s="100">
        <v>6480</v>
      </c>
      <c r="AX52" s="100">
        <v>10</v>
      </c>
      <c r="AY52" s="100">
        <v>5400</v>
      </c>
      <c r="AZ52" s="100">
        <v>13</v>
      </c>
      <c r="BA52" s="100">
        <v>7020</v>
      </c>
      <c r="BB52" s="100">
        <v>12</v>
      </c>
      <c r="BC52" s="100">
        <v>6480</v>
      </c>
      <c r="BD52" s="100">
        <v>11</v>
      </c>
      <c r="BE52" s="100">
        <v>5940</v>
      </c>
      <c r="BF52" s="100">
        <v>9</v>
      </c>
      <c r="BG52" s="100">
        <v>4860</v>
      </c>
      <c r="BH52" s="100">
        <v>12</v>
      </c>
      <c r="BI52" s="100">
        <v>6480</v>
      </c>
      <c r="BJ52" s="100">
        <v>16</v>
      </c>
      <c r="BK52" s="100">
        <v>8640</v>
      </c>
      <c r="BL52" s="100">
        <v>10</v>
      </c>
      <c r="BM52" s="100">
        <v>5400</v>
      </c>
      <c r="BN52" s="100">
        <v>10</v>
      </c>
      <c r="BO52" s="100">
        <v>5400</v>
      </c>
      <c r="BP52" s="100">
        <v>9</v>
      </c>
      <c r="BQ52" s="100">
        <v>4860</v>
      </c>
      <c r="BR52" s="100">
        <v>9</v>
      </c>
      <c r="BS52" s="100">
        <v>4860</v>
      </c>
      <c r="BT52" s="100">
        <v>10</v>
      </c>
      <c r="BU52" s="100">
        <v>5400</v>
      </c>
      <c r="BV52" s="100">
        <v>10</v>
      </c>
      <c r="BW52" s="100">
        <v>5400</v>
      </c>
      <c r="BX52" s="100">
        <v>12</v>
      </c>
      <c r="BY52" s="100">
        <v>6480</v>
      </c>
      <c r="BZ52" s="100">
        <v>14</v>
      </c>
      <c r="CA52" s="100">
        <v>7560</v>
      </c>
      <c r="CB52" s="100">
        <v>9</v>
      </c>
      <c r="CC52" s="100">
        <v>4860</v>
      </c>
      <c r="CD52" s="100">
        <v>14.958588681981089</v>
      </c>
      <c r="CE52" s="100">
        <v>8077.6378882697882</v>
      </c>
      <c r="CF52" s="100">
        <v>10.115613756492829</v>
      </c>
      <c r="CG52" s="100">
        <v>5462.4314285061273</v>
      </c>
      <c r="CH52" s="100">
        <v>11.512045285166923</v>
      </c>
      <c r="CI52" s="100">
        <v>6216.5044539901382</v>
      </c>
      <c r="CJ52" s="100">
        <v>12.787972009828861</v>
      </c>
      <c r="CK52" s="100">
        <v>6905.504885307585</v>
      </c>
      <c r="CL52" s="100">
        <v>13.718322160394512</v>
      </c>
      <c r="CM52" s="100">
        <v>7407.8939666130364</v>
      </c>
      <c r="CN52" s="100">
        <v>11.59254909834991</v>
      </c>
      <c r="CO52" s="100">
        <v>6259.9765131089507</v>
      </c>
      <c r="CP52" s="100">
        <v>12.722148650026329</v>
      </c>
      <c r="CQ52" s="100">
        <v>6869.9602710142171</v>
      </c>
      <c r="CR52" s="100">
        <v>11</v>
      </c>
      <c r="CS52" s="100">
        <v>5940</v>
      </c>
      <c r="CT52" s="100">
        <v>13</v>
      </c>
      <c r="CU52" s="100">
        <v>7020</v>
      </c>
    </row>
    <row r="53" spans="2:99">
      <c r="C53" s="99" t="s">
        <v>219</v>
      </c>
      <c r="D53" s="100">
        <v>11</v>
      </c>
      <c r="E53" s="100">
        <v>4474.8</v>
      </c>
      <c r="F53" s="100">
        <v>12.882626040414412</v>
      </c>
      <c r="G53" s="100">
        <v>5240.6522732405829</v>
      </c>
      <c r="H53" s="100">
        <v>13.253944380391196</v>
      </c>
      <c r="I53" s="100">
        <v>5391.7045739431387</v>
      </c>
      <c r="J53" s="100">
        <v>8.8282391764493813</v>
      </c>
      <c r="K53" s="100">
        <v>3591.3276969796084</v>
      </c>
      <c r="L53" s="100">
        <v>14.756109836204061</v>
      </c>
      <c r="M53" s="100">
        <v>6002.7854813678123</v>
      </c>
      <c r="N53" s="100">
        <v>11</v>
      </c>
      <c r="O53" s="100">
        <v>4474.8</v>
      </c>
      <c r="P53" s="100">
        <v>8</v>
      </c>
      <c r="Q53" s="100">
        <v>3254.4</v>
      </c>
      <c r="R53" s="100">
        <v>9</v>
      </c>
      <c r="S53" s="100">
        <v>3661.2000000000003</v>
      </c>
      <c r="T53" s="100">
        <v>16</v>
      </c>
      <c r="U53" s="100">
        <v>6508.8</v>
      </c>
      <c r="V53" s="100">
        <v>12.459227146310136</v>
      </c>
      <c r="W53" s="100">
        <v>5068.4136031189637</v>
      </c>
      <c r="X53" s="100">
        <v>12</v>
      </c>
      <c r="Y53" s="100">
        <v>4881.6000000000004</v>
      </c>
      <c r="Z53" s="100">
        <v>10</v>
      </c>
      <c r="AA53" s="100">
        <v>4068</v>
      </c>
      <c r="AB53" s="100">
        <v>14</v>
      </c>
      <c r="AC53" s="100">
        <v>5695.2</v>
      </c>
      <c r="AD53" s="100">
        <v>13</v>
      </c>
      <c r="AE53" s="100">
        <v>5288.4000000000005</v>
      </c>
      <c r="AF53" s="100">
        <v>10</v>
      </c>
      <c r="AG53" s="100">
        <v>4068</v>
      </c>
      <c r="AH53" s="100">
        <v>10</v>
      </c>
      <c r="AI53" s="100">
        <v>4068</v>
      </c>
      <c r="AJ53" s="100">
        <v>12</v>
      </c>
      <c r="AK53" s="100">
        <v>4881.6000000000004</v>
      </c>
      <c r="AL53" s="100">
        <v>18</v>
      </c>
      <c r="AM53" s="100">
        <v>7322.4000000000005</v>
      </c>
      <c r="AN53" s="100">
        <v>9</v>
      </c>
      <c r="AO53" s="100">
        <v>3661.2000000000003</v>
      </c>
      <c r="AP53" s="100">
        <v>11</v>
      </c>
      <c r="AQ53" s="100">
        <v>4474.8</v>
      </c>
      <c r="AR53" s="100">
        <v>12</v>
      </c>
      <c r="AS53" s="100">
        <v>4881.6000000000004</v>
      </c>
      <c r="AT53" s="100">
        <v>16</v>
      </c>
      <c r="AU53" s="100">
        <v>6508.8</v>
      </c>
      <c r="AV53" s="100">
        <v>13</v>
      </c>
      <c r="AW53" s="100">
        <v>5288.4000000000005</v>
      </c>
      <c r="AX53" s="100">
        <v>12</v>
      </c>
      <c r="AY53" s="100">
        <v>4881.6000000000004</v>
      </c>
      <c r="AZ53" s="100">
        <v>12</v>
      </c>
      <c r="BA53" s="100">
        <v>4881.6000000000004</v>
      </c>
      <c r="BB53" s="100">
        <v>11</v>
      </c>
      <c r="BC53" s="100">
        <v>4474.8</v>
      </c>
      <c r="BD53" s="100">
        <v>11</v>
      </c>
      <c r="BE53" s="100">
        <v>4474.8</v>
      </c>
      <c r="BF53" s="100">
        <v>9</v>
      </c>
      <c r="BG53" s="100">
        <v>3661.2000000000003</v>
      </c>
      <c r="BH53" s="100">
        <v>13</v>
      </c>
      <c r="BI53" s="100">
        <v>5288.4000000000005</v>
      </c>
      <c r="BJ53" s="100">
        <v>14</v>
      </c>
      <c r="BK53" s="100">
        <v>5695.2</v>
      </c>
      <c r="BL53" s="100">
        <v>10</v>
      </c>
      <c r="BM53" s="100">
        <v>4068</v>
      </c>
      <c r="BN53" s="100">
        <v>10</v>
      </c>
      <c r="BO53" s="100">
        <v>4068</v>
      </c>
      <c r="BP53" s="100">
        <v>9</v>
      </c>
      <c r="BQ53" s="100">
        <v>3661.2000000000003</v>
      </c>
      <c r="BR53" s="100">
        <v>10</v>
      </c>
      <c r="BS53" s="100">
        <v>4068</v>
      </c>
      <c r="BT53" s="100">
        <v>12</v>
      </c>
      <c r="BU53" s="100">
        <v>4881.6000000000004</v>
      </c>
      <c r="BV53" s="100">
        <v>11</v>
      </c>
      <c r="BW53" s="100">
        <v>4474.8</v>
      </c>
      <c r="BX53" s="100">
        <v>12</v>
      </c>
      <c r="BY53" s="100">
        <v>4881.6000000000004</v>
      </c>
      <c r="BZ53" s="100">
        <v>15</v>
      </c>
      <c r="CA53" s="100">
        <v>6102</v>
      </c>
      <c r="CB53" s="100">
        <v>10</v>
      </c>
      <c r="CC53" s="100">
        <v>4068</v>
      </c>
      <c r="CD53" s="100">
        <v>16.953067172911901</v>
      </c>
      <c r="CE53" s="100">
        <v>6896.5077259405616</v>
      </c>
      <c r="CF53" s="100">
        <v>10.115613756492829</v>
      </c>
      <c r="CG53" s="100">
        <v>4115.0316761412832</v>
      </c>
      <c r="CH53" s="100">
        <v>13.283129175192604</v>
      </c>
      <c r="CI53" s="100">
        <v>5403.5769484683515</v>
      </c>
      <c r="CJ53" s="100">
        <v>12.787972009828861</v>
      </c>
      <c r="CK53" s="100">
        <v>5202.1470135983809</v>
      </c>
      <c r="CL53" s="100">
        <v>12.003531890345199</v>
      </c>
      <c r="CM53" s="100">
        <v>4883.0367729924274</v>
      </c>
      <c r="CN53" s="100">
        <v>11.59254909834991</v>
      </c>
      <c r="CO53" s="100">
        <v>4715.8489732087437</v>
      </c>
      <c r="CP53" s="100">
        <v>11.743521830793535</v>
      </c>
      <c r="CQ53" s="100">
        <v>4777.2646807668098</v>
      </c>
      <c r="CR53" s="100">
        <v>13</v>
      </c>
      <c r="CS53" s="100">
        <v>5288.4000000000005</v>
      </c>
      <c r="CT53" s="100">
        <v>12</v>
      </c>
      <c r="CU53" s="100">
        <v>4881.6000000000004</v>
      </c>
    </row>
    <row r="54" spans="2:99">
      <c r="C54" s="99" t="s">
        <v>220</v>
      </c>
      <c r="D54" s="100">
        <v>11</v>
      </c>
      <c r="E54" s="100">
        <v>3682.8</v>
      </c>
      <c r="F54" s="100">
        <v>11.164942568359157</v>
      </c>
      <c r="G54" s="100">
        <v>3738.0227718866458</v>
      </c>
      <c r="H54" s="100">
        <v>12.51761413703613</v>
      </c>
      <c r="I54" s="100">
        <v>4190.8972130796965</v>
      </c>
      <c r="J54" s="100">
        <v>10.299612372524278</v>
      </c>
      <c r="K54" s="100">
        <v>3448.3102223211285</v>
      </c>
      <c r="L54" s="100">
        <v>15.62411629715724</v>
      </c>
      <c r="M54" s="100">
        <v>5230.9541362882437</v>
      </c>
      <c r="N54" s="100">
        <v>9</v>
      </c>
      <c r="O54" s="100">
        <v>3013.2000000000003</v>
      </c>
      <c r="P54" s="100">
        <v>9</v>
      </c>
      <c r="Q54" s="100">
        <v>3013.2000000000003</v>
      </c>
      <c r="R54" s="100">
        <v>10</v>
      </c>
      <c r="S54" s="100">
        <v>3348</v>
      </c>
      <c r="T54" s="100">
        <v>17</v>
      </c>
      <c r="U54" s="100">
        <v>5691.6</v>
      </c>
      <c r="V54" s="100">
        <v>13.417629234487837</v>
      </c>
      <c r="W54" s="100">
        <v>4492.2222677065283</v>
      </c>
      <c r="X54" s="100">
        <v>12</v>
      </c>
      <c r="Y54" s="100">
        <v>4017.6000000000004</v>
      </c>
      <c r="Z54" s="100">
        <v>11</v>
      </c>
      <c r="AA54" s="100">
        <v>3682.8</v>
      </c>
      <c r="AB54" s="100">
        <v>14</v>
      </c>
      <c r="AC54" s="100">
        <v>4687.2</v>
      </c>
      <c r="AD54" s="100">
        <v>12</v>
      </c>
      <c r="AE54" s="100">
        <v>4017.6000000000004</v>
      </c>
      <c r="AF54" s="100">
        <v>10</v>
      </c>
      <c r="AG54" s="100">
        <v>3348</v>
      </c>
      <c r="AH54" s="100">
        <v>9</v>
      </c>
      <c r="AI54" s="100">
        <v>3013.2000000000003</v>
      </c>
      <c r="AJ54" s="100">
        <v>13</v>
      </c>
      <c r="AK54" s="100">
        <v>4352.4000000000005</v>
      </c>
      <c r="AL54" s="100">
        <v>16</v>
      </c>
      <c r="AM54" s="100">
        <v>5356.8</v>
      </c>
      <c r="AN54" s="100">
        <v>9</v>
      </c>
      <c r="AO54" s="100">
        <v>3013.2000000000003</v>
      </c>
      <c r="AP54" s="100">
        <v>10</v>
      </c>
      <c r="AQ54" s="100">
        <v>3348</v>
      </c>
      <c r="AR54" s="100">
        <v>14</v>
      </c>
      <c r="AS54" s="100">
        <v>4687.2</v>
      </c>
      <c r="AT54" s="100">
        <v>17</v>
      </c>
      <c r="AU54" s="100">
        <v>5691.6</v>
      </c>
      <c r="AV54" s="100">
        <v>12</v>
      </c>
      <c r="AW54" s="100">
        <v>4017.6000000000004</v>
      </c>
      <c r="AX54" s="100">
        <v>11</v>
      </c>
      <c r="AY54" s="100">
        <v>3682.8</v>
      </c>
      <c r="AZ54" s="100">
        <v>14</v>
      </c>
      <c r="BA54" s="100">
        <v>4687.2</v>
      </c>
      <c r="BB54" s="100">
        <v>11</v>
      </c>
      <c r="BC54" s="100">
        <v>3682.8</v>
      </c>
      <c r="BD54" s="100">
        <v>11</v>
      </c>
      <c r="BE54" s="100">
        <v>3682.8</v>
      </c>
      <c r="BF54" s="100">
        <v>8</v>
      </c>
      <c r="BG54" s="100">
        <v>2678.4</v>
      </c>
      <c r="BH54" s="100">
        <v>15</v>
      </c>
      <c r="BI54" s="100">
        <v>5022</v>
      </c>
      <c r="BJ54" s="100">
        <v>16</v>
      </c>
      <c r="BK54" s="100">
        <v>5356.8</v>
      </c>
      <c r="BL54" s="100">
        <v>10</v>
      </c>
      <c r="BM54" s="100">
        <v>3348</v>
      </c>
      <c r="BN54" s="100">
        <v>11</v>
      </c>
      <c r="BO54" s="100">
        <v>3682.8</v>
      </c>
      <c r="BP54" s="100">
        <v>8</v>
      </c>
      <c r="BQ54" s="100">
        <v>2678.4</v>
      </c>
      <c r="BR54" s="100">
        <v>11</v>
      </c>
      <c r="BS54" s="100">
        <v>3682.8</v>
      </c>
      <c r="BT54" s="100">
        <v>11</v>
      </c>
      <c r="BU54" s="100">
        <v>3682.8</v>
      </c>
      <c r="BV54" s="100">
        <v>10</v>
      </c>
      <c r="BW54" s="100">
        <v>3348</v>
      </c>
      <c r="BX54" s="100">
        <v>12</v>
      </c>
      <c r="BY54" s="100">
        <v>4017.6000000000004</v>
      </c>
      <c r="BZ54" s="100">
        <v>13</v>
      </c>
      <c r="CA54" s="100">
        <v>4352.4000000000005</v>
      </c>
      <c r="CB54" s="100">
        <v>9</v>
      </c>
      <c r="CC54" s="100">
        <v>3013.2000000000003</v>
      </c>
      <c r="CD54" s="100">
        <v>14.958588681981089</v>
      </c>
      <c r="CE54" s="100">
        <v>5008.1354907272689</v>
      </c>
      <c r="CF54" s="100">
        <v>11.035215007083087</v>
      </c>
      <c r="CG54" s="100">
        <v>3694.5899843714178</v>
      </c>
      <c r="CH54" s="100">
        <v>13.283129175192604</v>
      </c>
      <c r="CI54" s="100">
        <v>4447.1916478544845</v>
      </c>
      <c r="CJ54" s="100">
        <v>14.493034944472708</v>
      </c>
      <c r="CK54" s="100">
        <v>4852.2680994094626</v>
      </c>
      <c r="CL54" s="100">
        <v>14.575717295419169</v>
      </c>
      <c r="CM54" s="100">
        <v>4879.9501505063381</v>
      </c>
      <c r="CN54" s="100">
        <v>13.041617735643648</v>
      </c>
      <c r="CO54" s="100">
        <v>4366.3336178934933</v>
      </c>
      <c r="CP54" s="100">
        <v>11.743521830793535</v>
      </c>
      <c r="CQ54" s="100">
        <v>3931.7311089496757</v>
      </c>
      <c r="CR54" s="100">
        <v>14</v>
      </c>
      <c r="CS54" s="100">
        <v>4687.2</v>
      </c>
      <c r="CT54" s="100">
        <v>14</v>
      </c>
      <c r="CU54" s="100">
        <v>4687.2</v>
      </c>
    </row>
    <row r="55" spans="2:99">
      <c r="C55" s="99" t="s">
        <v>221</v>
      </c>
      <c r="D55" s="100">
        <v>12</v>
      </c>
      <c r="E55" s="100">
        <v>7963.2000000000007</v>
      </c>
      <c r="F55" s="100">
        <v>12.023784304386785</v>
      </c>
      <c r="G55" s="100">
        <v>7978.9832643910713</v>
      </c>
      <c r="H55" s="100">
        <v>12.51761413703613</v>
      </c>
      <c r="I55" s="100">
        <v>8306.6887413371769</v>
      </c>
      <c r="J55" s="100">
        <v>9.5639257744868296</v>
      </c>
      <c r="K55" s="100">
        <v>6346.62114394946</v>
      </c>
      <c r="L55" s="100">
        <v>15.62411629715724</v>
      </c>
      <c r="M55" s="100">
        <v>10368.163574793545</v>
      </c>
      <c r="N55" s="100">
        <v>10</v>
      </c>
      <c r="O55" s="100">
        <v>6636</v>
      </c>
      <c r="P55" s="100">
        <v>10</v>
      </c>
      <c r="Q55" s="100">
        <v>6636</v>
      </c>
      <c r="R55" s="100">
        <v>10</v>
      </c>
      <c r="S55" s="100">
        <v>6636</v>
      </c>
      <c r="T55" s="100">
        <v>17</v>
      </c>
      <c r="U55" s="100">
        <v>11281.2</v>
      </c>
      <c r="V55" s="100">
        <v>13.417629234487837</v>
      </c>
      <c r="W55" s="100">
        <v>8903.9387600061291</v>
      </c>
      <c r="X55" s="100">
        <v>13</v>
      </c>
      <c r="Y55" s="100">
        <v>8626.8000000000011</v>
      </c>
      <c r="Z55" s="100">
        <v>11</v>
      </c>
      <c r="AA55" s="100">
        <v>7299.6</v>
      </c>
      <c r="AB55" s="100">
        <v>14</v>
      </c>
      <c r="AC55" s="100">
        <v>9290.4</v>
      </c>
      <c r="AD55" s="100">
        <v>12</v>
      </c>
      <c r="AE55" s="100">
        <v>7963.2000000000007</v>
      </c>
      <c r="AF55" s="100">
        <v>10</v>
      </c>
      <c r="AG55" s="100">
        <v>6636</v>
      </c>
      <c r="AH55" s="100">
        <v>9</v>
      </c>
      <c r="AI55" s="100">
        <v>5972.4000000000005</v>
      </c>
      <c r="AJ55" s="100">
        <v>11</v>
      </c>
      <c r="AK55" s="100">
        <v>7299.6</v>
      </c>
      <c r="AL55" s="100">
        <v>18</v>
      </c>
      <c r="AM55" s="100">
        <v>11944.800000000001</v>
      </c>
      <c r="AN55" s="100">
        <v>9</v>
      </c>
      <c r="AO55" s="100">
        <v>5972.4000000000005</v>
      </c>
      <c r="AP55" s="100">
        <v>11</v>
      </c>
      <c r="AQ55" s="100">
        <v>7299.6</v>
      </c>
      <c r="AR55" s="100">
        <v>12</v>
      </c>
      <c r="AS55" s="100">
        <v>7963.2000000000007</v>
      </c>
      <c r="AT55" s="100">
        <v>18</v>
      </c>
      <c r="AU55" s="100">
        <v>11944.800000000001</v>
      </c>
      <c r="AV55" s="100">
        <v>12</v>
      </c>
      <c r="AW55" s="100">
        <v>7963.2000000000007</v>
      </c>
      <c r="AX55" s="100">
        <v>12</v>
      </c>
      <c r="AY55" s="100">
        <v>7963.2000000000007</v>
      </c>
      <c r="AZ55" s="100">
        <v>12</v>
      </c>
      <c r="BA55" s="100">
        <v>7963.2000000000007</v>
      </c>
      <c r="BB55" s="100">
        <v>10</v>
      </c>
      <c r="BC55" s="100">
        <v>6636</v>
      </c>
      <c r="BD55" s="100">
        <v>10</v>
      </c>
      <c r="BE55" s="100">
        <v>6636</v>
      </c>
      <c r="BF55" s="100">
        <v>9</v>
      </c>
      <c r="BG55" s="100">
        <v>5972.4000000000005</v>
      </c>
      <c r="BH55" s="100">
        <v>14</v>
      </c>
      <c r="BI55" s="100">
        <v>9290.4</v>
      </c>
      <c r="BJ55" s="100">
        <v>17</v>
      </c>
      <c r="BK55" s="100">
        <v>11281.2</v>
      </c>
      <c r="BL55" s="100">
        <v>9</v>
      </c>
      <c r="BM55" s="100">
        <v>5972.4000000000005</v>
      </c>
      <c r="BN55" s="100">
        <v>10</v>
      </c>
      <c r="BO55" s="100">
        <v>6636</v>
      </c>
      <c r="BP55" s="100">
        <v>8</v>
      </c>
      <c r="BQ55" s="100">
        <v>5308.8</v>
      </c>
      <c r="BR55" s="100">
        <v>10</v>
      </c>
      <c r="BS55" s="100">
        <v>6636</v>
      </c>
      <c r="BT55" s="100">
        <v>10</v>
      </c>
      <c r="BU55" s="100">
        <v>6636</v>
      </c>
      <c r="BV55" s="100">
        <v>11</v>
      </c>
      <c r="BW55" s="100">
        <v>7299.6</v>
      </c>
      <c r="BX55" s="100">
        <v>13</v>
      </c>
      <c r="BY55" s="100">
        <v>8626.8000000000011</v>
      </c>
      <c r="BZ55" s="100">
        <v>13</v>
      </c>
      <c r="CA55" s="100">
        <v>8626.8000000000011</v>
      </c>
      <c r="CB55" s="100">
        <v>9</v>
      </c>
      <c r="CC55" s="100">
        <v>5972.4000000000005</v>
      </c>
      <c r="CD55" s="100">
        <v>12.964110191050276</v>
      </c>
      <c r="CE55" s="100">
        <v>8602.9835227809635</v>
      </c>
      <c r="CF55" s="100">
        <v>9.1960125059025728</v>
      </c>
      <c r="CG55" s="100">
        <v>6102.4738989169473</v>
      </c>
      <c r="CH55" s="100">
        <v>14.168671120205444</v>
      </c>
      <c r="CI55" s="100">
        <v>9402.3301553683323</v>
      </c>
      <c r="CJ55" s="100">
        <v>13.640503477150784</v>
      </c>
      <c r="CK55" s="100">
        <v>9051.838107437261</v>
      </c>
      <c r="CL55" s="100">
        <v>13.718322160394512</v>
      </c>
      <c r="CM55" s="100">
        <v>9103.4785856377985</v>
      </c>
      <c r="CN55" s="100">
        <v>12.317083416996779</v>
      </c>
      <c r="CO55" s="100">
        <v>8173.6165555190628</v>
      </c>
      <c r="CP55" s="100">
        <v>11.743521830793535</v>
      </c>
      <c r="CQ55" s="100">
        <v>7793.0010869145899</v>
      </c>
      <c r="CR55" s="100">
        <v>12</v>
      </c>
      <c r="CS55" s="100">
        <v>7963.2000000000007</v>
      </c>
      <c r="CT55" s="100">
        <v>13</v>
      </c>
      <c r="CU55" s="100">
        <v>8626.8000000000011</v>
      </c>
    </row>
    <row r="56" spans="2:99">
      <c r="C56" s="99" t="s">
        <v>222</v>
      </c>
      <c r="D56" s="100">
        <v>11</v>
      </c>
      <c r="E56" s="100">
        <v>10797.599999999999</v>
      </c>
      <c r="F56" s="100">
        <v>13</v>
      </c>
      <c r="G56" s="100">
        <v>12760.8</v>
      </c>
      <c r="H56" s="100">
        <v>16</v>
      </c>
      <c r="I56" s="100">
        <v>15705.599999999999</v>
      </c>
      <c r="J56" s="100">
        <v>11</v>
      </c>
      <c r="K56" s="100">
        <v>10797.599999999999</v>
      </c>
      <c r="L56" s="100">
        <v>17</v>
      </c>
      <c r="M56" s="100">
        <v>16687.199999999997</v>
      </c>
      <c r="N56" s="100">
        <v>8.16181173637057</v>
      </c>
      <c r="O56" s="100">
        <v>8011.6344004213506</v>
      </c>
      <c r="P56" s="100">
        <v>6.8743718592964829</v>
      </c>
      <c r="Q56" s="100">
        <v>6747.883417085427</v>
      </c>
      <c r="R56" s="100">
        <v>9</v>
      </c>
      <c r="S56" s="100">
        <v>8834.4</v>
      </c>
      <c r="T56" s="100">
        <v>14.62857142857143</v>
      </c>
      <c r="U56" s="100">
        <v>14359.405714285715</v>
      </c>
      <c r="V56" s="100">
        <v>11.176470588235293</v>
      </c>
      <c r="W56" s="100">
        <v>10970.823529411764</v>
      </c>
      <c r="X56" s="100">
        <v>13</v>
      </c>
      <c r="Y56" s="100">
        <v>12760.8</v>
      </c>
      <c r="Z56" s="100">
        <v>10</v>
      </c>
      <c r="AA56" s="100">
        <v>9816</v>
      </c>
      <c r="AB56" s="100">
        <v>13</v>
      </c>
      <c r="AC56" s="100">
        <v>12760.8</v>
      </c>
      <c r="AD56" s="100">
        <v>11</v>
      </c>
      <c r="AE56" s="100">
        <v>10797.599999999999</v>
      </c>
      <c r="AF56" s="100">
        <v>9</v>
      </c>
      <c r="AG56" s="100">
        <v>8834.4</v>
      </c>
      <c r="AH56" s="100">
        <v>10</v>
      </c>
      <c r="AI56" s="100">
        <v>9816</v>
      </c>
      <c r="AJ56" s="100">
        <v>11.834905660377359</v>
      </c>
      <c r="AK56" s="100">
        <v>11617.143396226415</v>
      </c>
      <c r="AL56" s="100">
        <v>13.881278538812785</v>
      </c>
      <c r="AM56" s="100">
        <v>13625.863013698628</v>
      </c>
      <c r="AN56" s="100">
        <v>8.4653465346534649</v>
      </c>
      <c r="AO56" s="100">
        <v>8309.5841584158406</v>
      </c>
      <c r="AP56" s="100">
        <v>11</v>
      </c>
      <c r="AQ56" s="100">
        <v>10797.599999999999</v>
      </c>
      <c r="AR56" s="100">
        <v>13</v>
      </c>
      <c r="AS56" s="100">
        <v>12760.8</v>
      </c>
      <c r="AT56" s="100">
        <v>16</v>
      </c>
      <c r="AU56" s="100">
        <v>15705.599999999999</v>
      </c>
      <c r="AV56" s="100">
        <v>12</v>
      </c>
      <c r="AW56" s="100">
        <v>11779.199999999999</v>
      </c>
      <c r="AX56" s="100">
        <v>10</v>
      </c>
      <c r="AY56" s="100">
        <v>9816</v>
      </c>
      <c r="AZ56" s="100">
        <v>13</v>
      </c>
      <c r="BA56" s="100">
        <v>12760.8</v>
      </c>
      <c r="BB56" s="100">
        <v>11</v>
      </c>
      <c r="BC56" s="100">
        <v>10797.599999999999</v>
      </c>
      <c r="BD56" s="100">
        <v>10</v>
      </c>
      <c r="BE56" s="100">
        <v>9816</v>
      </c>
      <c r="BF56" s="100">
        <v>9</v>
      </c>
      <c r="BG56" s="100">
        <v>8834.4</v>
      </c>
      <c r="BH56" s="100">
        <v>12.892561983471074</v>
      </c>
      <c r="BI56" s="100">
        <v>12655.338842975205</v>
      </c>
      <c r="BJ56" s="100">
        <v>15</v>
      </c>
      <c r="BK56" s="100">
        <v>14723.999999999998</v>
      </c>
      <c r="BL56" s="100">
        <v>10</v>
      </c>
      <c r="BM56" s="100">
        <v>9816</v>
      </c>
      <c r="BN56" s="100">
        <v>7.9726027397260273</v>
      </c>
      <c r="BO56" s="100">
        <v>7825.906849315068</v>
      </c>
      <c r="BP56" s="100">
        <v>8.6363636363636367</v>
      </c>
      <c r="BQ56" s="100">
        <v>8477.4545454545441</v>
      </c>
      <c r="BR56" s="100">
        <v>8.2211538461538467</v>
      </c>
      <c r="BS56" s="100">
        <v>8069.8846153846152</v>
      </c>
      <c r="BT56" s="100">
        <v>9</v>
      </c>
      <c r="BU56" s="100">
        <v>8834.4</v>
      </c>
      <c r="BV56" s="100">
        <v>9.0909090909090917</v>
      </c>
      <c r="BW56" s="100">
        <v>8923.636363636364</v>
      </c>
      <c r="BX56" s="100">
        <v>11.875</v>
      </c>
      <c r="BY56" s="100">
        <v>11656.499999999998</v>
      </c>
      <c r="BZ56" s="100">
        <v>13</v>
      </c>
      <c r="CA56" s="100">
        <v>12760.8</v>
      </c>
      <c r="CB56" s="100">
        <v>8.3364055299539164</v>
      </c>
      <c r="CC56" s="100">
        <v>8183.0156682027637</v>
      </c>
      <c r="CD56" s="100">
        <v>14</v>
      </c>
      <c r="CE56" s="100">
        <v>13742.399999999998</v>
      </c>
      <c r="CF56" s="100">
        <v>11</v>
      </c>
      <c r="CG56" s="100">
        <v>10797.599999999999</v>
      </c>
      <c r="CH56" s="100">
        <v>14</v>
      </c>
      <c r="CI56" s="100">
        <v>13742.399999999998</v>
      </c>
      <c r="CJ56" s="100">
        <v>15</v>
      </c>
      <c r="CK56" s="100">
        <v>14723.999999999998</v>
      </c>
      <c r="CL56" s="100">
        <v>14</v>
      </c>
      <c r="CM56" s="100">
        <v>13742.399999999998</v>
      </c>
      <c r="CN56" s="100">
        <v>12.278688524590164</v>
      </c>
      <c r="CO56" s="100">
        <v>12052.760655737704</v>
      </c>
      <c r="CP56" s="100">
        <v>12.93193717277487</v>
      </c>
      <c r="CQ56" s="100">
        <v>12693.989528795812</v>
      </c>
      <c r="CR56" s="100">
        <v>9.785407725321889</v>
      </c>
      <c r="CS56" s="100">
        <v>9605.3562231759661</v>
      </c>
      <c r="CT56" s="100">
        <v>11</v>
      </c>
      <c r="CU56" s="100">
        <v>10797.599999999999</v>
      </c>
    </row>
    <row r="57" spans="2:99">
      <c r="C57" s="99" t="s">
        <v>223</v>
      </c>
      <c r="D57" s="100">
        <v>10</v>
      </c>
      <c r="E57" s="100">
        <v>14112</v>
      </c>
      <c r="F57" s="100">
        <v>10.306100832331529</v>
      </c>
      <c r="G57" s="100">
        <v>14543.969494586254</v>
      </c>
      <c r="H57" s="100">
        <v>11.044953650325997</v>
      </c>
      <c r="I57" s="100">
        <v>15586.638591340048</v>
      </c>
      <c r="J57" s="100">
        <v>8.092552578411933</v>
      </c>
      <c r="K57" s="100">
        <v>11420.210198654921</v>
      </c>
      <c r="L57" s="100">
        <v>13.020096914297701</v>
      </c>
      <c r="M57" s="100">
        <v>18373.960765456915</v>
      </c>
      <c r="N57" s="100">
        <v>10</v>
      </c>
      <c r="O57" s="100">
        <v>14112</v>
      </c>
      <c r="P57" s="100">
        <v>7</v>
      </c>
      <c r="Q57" s="100">
        <v>9878.4</v>
      </c>
      <c r="R57" s="100">
        <v>9</v>
      </c>
      <c r="S57" s="100">
        <v>12700.800000000001</v>
      </c>
      <c r="T57" s="100">
        <v>14</v>
      </c>
      <c r="U57" s="100">
        <v>19756.8</v>
      </c>
      <c r="V57" s="100">
        <v>13.417629234487837</v>
      </c>
      <c r="W57" s="100">
        <v>18934.958375709237</v>
      </c>
      <c r="X57" s="100">
        <v>12</v>
      </c>
      <c r="Y57" s="100">
        <v>16934.400000000001</v>
      </c>
      <c r="Z57" s="100">
        <v>10</v>
      </c>
      <c r="AA57" s="100">
        <v>14112</v>
      </c>
      <c r="AB57" s="100">
        <v>12</v>
      </c>
      <c r="AC57" s="100">
        <v>16934.400000000001</v>
      </c>
      <c r="AD57" s="100">
        <v>10</v>
      </c>
      <c r="AE57" s="100">
        <v>14112</v>
      </c>
      <c r="AF57" s="100">
        <v>8</v>
      </c>
      <c r="AG57" s="100">
        <v>11289.6</v>
      </c>
      <c r="AH57" s="100">
        <v>9</v>
      </c>
      <c r="AI57" s="100">
        <v>12700.800000000001</v>
      </c>
      <c r="AJ57" s="100">
        <v>11</v>
      </c>
      <c r="AK57" s="100">
        <v>15523.2</v>
      </c>
      <c r="AL57" s="100">
        <v>17</v>
      </c>
      <c r="AM57" s="100">
        <v>23990.400000000001</v>
      </c>
      <c r="AN57" s="100">
        <v>8</v>
      </c>
      <c r="AO57" s="100">
        <v>11289.6</v>
      </c>
      <c r="AP57" s="100">
        <v>9</v>
      </c>
      <c r="AQ57" s="100">
        <v>12700.800000000001</v>
      </c>
      <c r="AR57" s="100">
        <v>13</v>
      </c>
      <c r="AS57" s="100">
        <v>18345.600000000002</v>
      </c>
      <c r="AT57" s="100">
        <v>14</v>
      </c>
      <c r="AU57" s="100">
        <v>19756.8</v>
      </c>
      <c r="AV57" s="100">
        <v>12</v>
      </c>
      <c r="AW57" s="100">
        <v>16934.400000000001</v>
      </c>
      <c r="AX57" s="100">
        <v>10</v>
      </c>
      <c r="AY57" s="100">
        <v>14112</v>
      </c>
      <c r="AZ57" s="100">
        <v>13</v>
      </c>
      <c r="BA57" s="100">
        <v>18345.600000000002</v>
      </c>
      <c r="BB57" s="100">
        <v>11</v>
      </c>
      <c r="BC57" s="100">
        <v>15523.2</v>
      </c>
      <c r="BD57" s="100">
        <v>11</v>
      </c>
      <c r="BE57" s="100">
        <v>15523.2</v>
      </c>
      <c r="BF57" s="100">
        <v>8</v>
      </c>
      <c r="BG57" s="100">
        <v>11289.6</v>
      </c>
      <c r="BH57" s="100">
        <v>12</v>
      </c>
      <c r="BI57" s="100">
        <v>16934.400000000001</v>
      </c>
      <c r="BJ57" s="100">
        <v>15</v>
      </c>
      <c r="BK57" s="100">
        <v>21168</v>
      </c>
      <c r="BL57" s="100">
        <v>10</v>
      </c>
      <c r="BM57" s="100">
        <v>14112</v>
      </c>
      <c r="BN57" s="100">
        <v>10</v>
      </c>
      <c r="BO57" s="100">
        <v>14112</v>
      </c>
      <c r="BP57" s="100">
        <v>9</v>
      </c>
      <c r="BQ57" s="100">
        <v>12700.800000000001</v>
      </c>
      <c r="BR57" s="100">
        <v>9</v>
      </c>
      <c r="BS57" s="100">
        <v>12700.800000000001</v>
      </c>
      <c r="BT57" s="100">
        <v>9</v>
      </c>
      <c r="BU57" s="100">
        <v>12700.800000000001</v>
      </c>
      <c r="BV57" s="100">
        <v>9</v>
      </c>
      <c r="BW57" s="100">
        <v>12700.800000000001</v>
      </c>
      <c r="BX57" s="100">
        <v>12</v>
      </c>
      <c r="BY57" s="100">
        <v>16934.400000000001</v>
      </c>
      <c r="BZ57" s="100">
        <v>13</v>
      </c>
      <c r="CA57" s="100">
        <v>18345.600000000002</v>
      </c>
      <c r="CB57" s="100">
        <v>9</v>
      </c>
      <c r="CC57" s="100">
        <v>12700.800000000001</v>
      </c>
      <c r="CD57" s="100">
        <v>14.958588681981089</v>
      </c>
      <c r="CE57" s="100">
        <v>21109.560348011713</v>
      </c>
      <c r="CF57" s="100">
        <v>9.1960125059025728</v>
      </c>
      <c r="CG57" s="100">
        <v>12977.412848329712</v>
      </c>
      <c r="CH57" s="100">
        <v>10.626503340154084</v>
      </c>
      <c r="CI57" s="100">
        <v>14996.121513625443</v>
      </c>
      <c r="CJ57" s="100">
        <v>13.640503477150784</v>
      </c>
      <c r="CK57" s="100">
        <v>19249.478506955187</v>
      </c>
      <c r="CL57" s="100">
        <v>12.860927025369856</v>
      </c>
      <c r="CM57" s="100">
        <v>18149.340218201942</v>
      </c>
      <c r="CN57" s="100">
        <v>10.14348046105617</v>
      </c>
      <c r="CO57" s="100">
        <v>14314.479626642467</v>
      </c>
      <c r="CP57" s="100">
        <v>10.764895011560739</v>
      </c>
      <c r="CQ57" s="100">
        <v>15191.419840314515</v>
      </c>
      <c r="CR57" s="100">
        <v>12</v>
      </c>
      <c r="CS57" s="100">
        <v>16934.400000000001</v>
      </c>
      <c r="CT57" s="100">
        <v>12</v>
      </c>
      <c r="CU57" s="100">
        <v>16934.400000000001</v>
      </c>
    </row>
    <row r="58" spans="2:99">
      <c r="C58" s="99" t="s">
        <v>224</v>
      </c>
      <c r="D58" s="100">
        <v>10</v>
      </c>
      <c r="E58" s="100">
        <v>11772</v>
      </c>
      <c r="F58" s="100">
        <v>13</v>
      </c>
      <c r="G58" s="100">
        <v>15303.6</v>
      </c>
      <c r="H58" s="100">
        <v>16</v>
      </c>
      <c r="I58" s="100">
        <v>18835.2</v>
      </c>
      <c r="J58" s="100">
        <v>13</v>
      </c>
      <c r="K58" s="100">
        <v>15303.6</v>
      </c>
      <c r="L58" s="100">
        <v>16</v>
      </c>
      <c r="M58" s="100">
        <v>18835.2</v>
      </c>
      <c r="N58" s="100">
        <v>10</v>
      </c>
      <c r="O58" s="100">
        <v>11772</v>
      </c>
      <c r="P58" s="100">
        <v>9</v>
      </c>
      <c r="Q58" s="100">
        <v>10594.800000000001</v>
      </c>
      <c r="R58" s="100">
        <v>8</v>
      </c>
      <c r="S58" s="100">
        <v>9417.6</v>
      </c>
      <c r="T58" s="100">
        <v>14</v>
      </c>
      <c r="U58" s="100">
        <v>16480.8</v>
      </c>
      <c r="V58" s="100">
        <v>12</v>
      </c>
      <c r="W58" s="100">
        <v>14126.400000000001</v>
      </c>
      <c r="X58" s="100">
        <v>11</v>
      </c>
      <c r="Y58" s="100">
        <v>12949.2</v>
      </c>
      <c r="Z58" s="100">
        <v>10</v>
      </c>
      <c r="AA58" s="100">
        <v>11772</v>
      </c>
      <c r="AB58" s="100">
        <v>12</v>
      </c>
      <c r="AC58" s="100">
        <v>14126.400000000001</v>
      </c>
      <c r="AD58" s="100">
        <v>11</v>
      </c>
      <c r="AE58" s="100">
        <v>12949.2</v>
      </c>
      <c r="AF58" s="100">
        <v>9</v>
      </c>
      <c r="AG58" s="100">
        <v>10594.800000000001</v>
      </c>
      <c r="AH58" s="100">
        <v>10</v>
      </c>
      <c r="AI58" s="100">
        <v>11772</v>
      </c>
      <c r="AJ58" s="100">
        <v>12</v>
      </c>
      <c r="AK58" s="100">
        <v>14126.400000000001</v>
      </c>
      <c r="AL58" s="100">
        <v>16</v>
      </c>
      <c r="AM58" s="100">
        <v>18835.2</v>
      </c>
      <c r="AN58" s="100">
        <v>8</v>
      </c>
      <c r="AO58" s="100">
        <v>9417.6</v>
      </c>
      <c r="AP58" s="100">
        <v>11</v>
      </c>
      <c r="AQ58" s="100">
        <v>12949.2</v>
      </c>
      <c r="AR58" s="100">
        <v>12</v>
      </c>
      <c r="AS58" s="100">
        <v>14126.400000000001</v>
      </c>
      <c r="AT58" s="100">
        <v>17</v>
      </c>
      <c r="AU58" s="100">
        <v>20012.400000000001</v>
      </c>
      <c r="AV58" s="100">
        <v>12</v>
      </c>
      <c r="AW58" s="100">
        <v>14126.400000000001</v>
      </c>
      <c r="AX58" s="100">
        <v>12</v>
      </c>
      <c r="AY58" s="100">
        <v>14126.400000000001</v>
      </c>
      <c r="AZ58" s="100">
        <v>12</v>
      </c>
      <c r="BA58" s="100">
        <v>14126.400000000001</v>
      </c>
      <c r="BB58" s="100">
        <v>11</v>
      </c>
      <c r="BC58" s="100">
        <v>12949.2</v>
      </c>
      <c r="BD58" s="100">
        <v>11</v>
      </c>
      <c r="BE58" s="100">
        <v>12949.2</v>
      </c>
      <c r="BF58" s="100">
        <v>8</v>
      </c>
      <c r="BG58" s="100">
        <v>9417.6</v>
      </c>
      <c r="BH58" s="100">
        <v>13</v>
      </c>
      <c r="BI58" s="100">
        <v>15303.6</v>
      </c>
      <c r="BJ58" s="100">
        <v>16</v>
      </c>
      <c r="BK58" s="100">
        <v>18835.2</v>
      </c>
      <c r="BL58" s="100">
        <v>11</v>
      </c>
      <c r="BM58" s="100">
        <v>12949.2</v>
      </c>
      <c r="BN58" s="100">
        <v>9</v>
      </c>
      <c r="BO58" s="100">
        <v>10594.800000000001</v>
      </c>
      <c r="BP58" s="100">
        <v>9</v>
      </c>
      <c r="BQ58" s="100">
        <v>10594.800000000001</v>
      </c>
      <c r="BR58" s="100">
        <v>8</v>
      </c>
      <c r="BS58" s="100">
        <v>9417.6</v>
      </c>
      <c r="BT58" s="100">
        <v>11</v>
      </c>
      <c r="BU58" s="100">
        <v>12949.2</v>
      </c>
      <c r="BV58" s="100">
        <v>10</v>
      </c>
      <c r="BW58" s="100">
        <v>11772</v>
      </c>
      <c r="BX58" s="100">
        <v>11</v>
      </c>
      <c r="BY58" s="100">
        <v>12949.2</v>
      </c>
      <c r="BZ58" s="100">
        <v>13</v>
      </c>
      <c r="CA58" s="100">
        <v>15303.6</v>
      </c>
      <c r="CB58" s="100">
        <v>10</v>
      </c>
      <c r="CC58" s="100">
        <v>11772</v>
      </c>
      <c r="CD58" s="100">
        <v>15</v>
      </c>
      <c r="CE58" s="100">
        <v>17658</v>
      </c>
      <c r="CF58" s="100">
        <v>10</v>
      </c>
      <c r="CG58" s="100">
        <v>11772</v>
      </c>
      <c r="CH58" s="100">
        <v>15</v>
      </c>
      <c r="CI58" s="100">
        <v>17658</v>
      </c>
      <c r="CJ58" s="100">
        <v>16</v>
      </c>
      <c r="CK58" s="100">
        <v>18835.2</v>
      </c>
      <c r="CL58" s="100">
        <v>15</v>
      </c>
      <c r="CM58" s="100">
        <v>17658</v>
      </c>
      <c r="CN58" s="100">
        <v>16</v>
      </c>
      <c r="CO58" s="100">
        <v>18835.2</v>
      </c>
      <c r="CP58" s="100">
        <v>11</v>
      </c>
      <c r="CQ58" s="100">
        <v>12949.2</v>
      </c>
      <c r="CR58" s="100">
        <v>11</v>
      </c>
      <c r="CS58" s="100">
        <v>12949.2</v>
      </c>
      <c r="CT58" s="100">
        <v>13</v>
      </c>
      <c r="CU58" s="100">
        <v>15303.6</v>
      </c>
    </row>
    <row r="59" spans="2:99">
      <c r="C59" s="99" t="s">
        <v>225</v>
      </c>
      <c r="D59" s="100">
        <v>12</v>
      </c>
      <c r="E59" s="100">
        <v>3643.2</v>
      </c>
      <c r="F59" s="100">
        <v>12.882626040414412</v>
      </c>
      <c r="G59" s="100">
        <v>3911.1652658698149</v>
      </c>
      <c r="H59" s="100">
        <v>13.253944380391196</v>
      </c>
      <c r="I59" s="100">
        <v>4023.8975138867668</v>
      </c>
      <c r="J59" s="100">
        <v>9.5639257744868296</v>
      </c>
      <c r="K59" s="100">
        <v>2903.6078651342013</v>
      </c>
      <c r="L59" s="100">
        <v>15.62411629715724</v>
      </c>
      <c r="M59" s="100">
        <v>4743.4817078169372</v>
      </c>
      <c r="N59" s="100">
        <v>9</v>
      </c>
      <c r="O59" s="100">
        <v>2732.3999999999996</v>
      </c>
      <c r="P59" s="100">
        <v>9</v>
      </c>
      <c r="Q59" s="100">
        <v>2732.3999999999996</v>
      </c>
      <c r="R59" s="100">
        <v>9</v>
      </c>
      <c r="S59" s="100">
        <v>2732.3999999999996</v>
      </c>
      <c r="T59" s="100">
        <v>18</v>
      </c>
      <c r="U59" s="100">
        <v>5464.7999999999993</v>
      </c>
      <c r="V59" s="100">
        <v>14.376031322665542</v>
      </c>
      <c r="W59" s="100">
        <v>4364.563109561258</v>
      </c>
      <c r="X59" s="100">
        <v>13</v>
      </c>
      <c r="Y59" s="100">
        <v>3946.7999999999997</v>
      </c>
      <c r="Z59" s="100">
        <v>12</v>
      </c>
      <c r="AA59" s="100">
        <v>3643.2</v>
      </c>
      <c r="AB59" s="100">
        <v>14</v>
      </c>
      <c r="AC59" s="100">
        <v>4250.3999999999996</v>
      </c>
      <c r="AD59" s="100">
        <v>13</v>
      </c>
      <c r="AE59" s="100">
        <v>3946.7999999999997</v>
      </c>
      <c r="AF59" s="100">
        <v>11</v>
      </c>
      <c r="AG59" s="100">
        <v>3339.5999999999995</v>
      </c>
      <c r="AH59" s="100">
        <v>10</v>
      </c>
      <c r="AI59" s="100">
        <v>3035.9999999999995</v>
      </c>
      <c r="AJ59" s="100">
        <v>12</v>
      </c>
      <c r="AK59" s="100">
        <v>3643.2</v>
      </c>
      <c r="AL59" s="100">
        <v>17</v>
      </c>
      <c r="AM59" s="100">
        <v>5161.2</v>
      </c>
      <c r="AN59" s="100">
        <v>9</v>
      </c>
      <c r="AO59" s="100">
        <v>2732.3999999999996</v>
      </c>
      <c r="AP59" s="100">
        <v>11</v>
      </c>
      <c r="AQ59" s="100">
        <v>3339.5999999999995</v>
      </c>
      <c r="AR59" s="100">
        <v>14</v>
      </c>
      <c r="AS59" s="100">
        <v>4250.3999999999996</v>
      </c>
      <c r="AT59" s="100">
        <v>18</v>
      </c>
      <c r="AU59" s="100">
        <v>5464.7999999999993</v>
      </c>
      <c r="AV59" s="100">
        <v>13</v>
      </c>
      <c r="AW59" s="100">
        <v>3946.7999999999997</v>
      </c>
      <c r="AX59" s="100">
        <v>11</v>
      </c>
      <c r="AY59" s="100">
        <v>3339.5999999999995</v>
      </c>
      <c r="AZ59" s="100">
        <v>13</v>
      </c>
      <c r="BA59" s="100">
        <v>3946.7999999999997</v>
      </c>
      <c r="BB59" s="100">
        <v>12</v>
      </c>
      <c r="BC59" s="100">
        <v>3643.2</v>
      </c>
      <c r="BD59" s="100">
        <v>10</v>
      </c>
      <c r="BE59" s="100">
        <v>3035.9999999999995</v>
      </c>
      <c r="BF59" s="100">
        <v>10</v>
      </c>
      <c r="BG59" s="100">
        <v>3035.9999999999995</v>
      </c>
      <c r="BH59" s="100">
        <v>14</v>
      </c>
      <c r="BI59" s="100">
        <v>4250.3999999999996</v>
      </c>
      <c r="BJ59" s="100">
        <v>16</v>
      </c>
      <c r="BK59" s="100">
        <v>4857.5999999999995</v>
      </c>
      <c r="BL59" s="100">
        <v>11</v>
      </c>
      <c r="BM59" s="100">
        <v>3339.5999999999995</v>
      </c>
      <c r="BN59" s="100">
        <v>10</v>
      </c>
      <c r="BO59" s="100">
        <v>3035.9999999999995</v>
      </c>
      <c r="BP59" s="100">
        <v>8</v>
      </c>
      <c r="BQ59" s="100">
        <v>2428.7999999999997</v>
      </c>
      <c r="BR59" s="100">
        <v>10</v>
      </c>
      <c r="BS59" s="100">
        <v>3035.9999999999995</v>
      </c>
      <c r="BT59" s="100">
        <v>12</v>
      </c>
      <c r="BU59" s="100">
        <v>3643.2</v>
      </c>
      <c r="BV59" s="100">
        <v>11</v>
      </c>
      <c r="BW59" s="100">
        <v>3339.5999999999995</v>
      </c>
      <c r="BX59" s="100">
        <v>13</v>
      </c>
      <c r="BY59" s="100">
        <v>3946.7999999999997</v>
      </c>
      <c r="BZ59" s="100">
        <v>13</v>
      </c>
      <c r="CA59" s="100">
        <v>3946.7999999999997</v>
      </c>
      <c r="CB59" s="100">
        <v>10</v>
      </c>
      <c r="CC59" s="100">
        <v>3035.9999999999995</v>
      </c>
      <c r="CD59" s="100">
        <v>14.958588681981089</v>
      </c>
      <c r="CE59" s="100">
        <v>4541.4275238494583</v>
      </c>
      <c r="CF59" s="100">
        <v>9.1960125059025728</v>
      </c>
      <c r="CG59" s="100">
        <v>2791.9093967920207</v>
      </c>
      <c r="CH59" s="100">
        <v>12.397587230179763</v>
      </c>
      <c r="CI59" s="100">
        <v>3763.9074830825757</v>
      </c>
      <c r="CJ59" s="100">
        <v>14.493034944472708</v>
      </c>
      <c r="CK59" s="100">
        <v>4400.0854091419133</v>
      </c>
      <c r="CL59" s="100">
        <v>14.575717295419169</v>
      </c>
      <c r="CM59" s="100">
        <v>4425.1877708892589</v>
      </c>
      <c r="CN59" s="100">
        <v>11.59254909834991</v>
      </c>
      <c r="CO59" s="100">
        <v>3519.4979062590323</v>
      </c>
      <c r="CP59" s="100">
        <v>11.743521830793535</v>
      </c>
      <c r="CQ59" s="100">
        <v>3565.3332278289167</v>
      </c>
      <c r="CR59" s="100">
        <v>12</v>
      </c>
      <c r="CS59" s="100">
        <v>3643.2</v>
      </c>
      <c r="CT59" s="100">
        <v>12</v>
      </c>
      <c r="CU59" s="100">
        <v>3643.2</v>
      </c>
    </row>
    <row r="60" spans="2:99">
      <c r="C60" s="99" t="s">
        <v>226</v>
      </c>
      <c r="D60" s="100">
        <v>11</v>
      </c>
      <c r="E60" s="100">
        <v>7167.6</v>
      </c>
      <c r="F60" s="100">
        <v>12.882626040414412</v>
      </c>
      <c r="G60" s="100">
        <v>8394.3191279340317</v>
      </c>
      <c r="H60" s="100">
        <v>12.51761413703613</v>
      </c>
      <c r="I60" s="100">
        <v>8156.477371692743</v>
      </c>
      <c r="J60" s="100">
        <v>8.8282391764493813</v>
      </c>
      <c r="K60" s="100">
        <v>5752.4806473744175</v>
      </c>
      <c r="L60" s="100">
        <v>14.756109836204061</v>
      </c>
      <c r="M60" s="100">
        <v>9615.0811692705665</v>
      </c>
      <c r="N60" s="100">
        <v>9</v>
      </c>
      <c r="O60" s="100">
        <v>5864.4000000000005</v>
      </c>
      <c r="P60" s="100">
        <v>9</v>
      </c>
      <c r="Q60" s="100">
        <v>5864.4000000000005</v>
      </c>
      <c r="R60" s="100">
        <v>9</v>
      </c>
      <c r="S60" s="100">
        <v>5864.4000000000005</v>
      </c>
      <c r="T60" s="100">
        <v>15</v>
      </c>
      <c r="U60" s="100">
        <v>9774</v>
      </c>
      <c r="V60" s="100">
        <v>13.417629234487837</v>
      </c>
      <c r="W60" s="100">
        <v>8742.9272091922758</v>
      </c>
      <c r="X60" s="100">
        <v>14</v>
      </c>
      <c r="Y60" s="100">
        <v>9122.4</v>
      </c>
      <c r="Z60" s="100">
        <v>12</v>
      </c>
      <c r="AA60" s="100">
        <v>7819.2000000000007</v>
      </c>
      <c r="AB60" s="100">
        <v>14</v>
      </c>
      <c r="AC60" s="100">
        <v>9122.4</v>
      </c>
      <c r="AD60" s="100">
        <v>11</v>
      </c>
      <c r="AE60" s="100">
        <v>7167.6</v>
      </c>
      <c r="AF60" s="100">
        <v>10</v>
      </c>
      <c r="AG60" s="100">
        <v>6516</v>
      </c>
      <c r="AH60" s="100">
        <v>9</v>
      </c>
      <c r="AI60" s="100">
        <v>5864.4000000000005</v>
      </c>
      <c r="AJ60" s="100">
        <v>11</v>
      </c>
      <c r="AK60" s="100">
        <v>7167.6</v>
      </c>
      <c r="AL60" s="100">
        <v>16</v>
      </c>
      <c r="AM60" s="100">
        <v>10425.6</v>
      </c>
      <c r="AN60" s="100">
        <v>9</v>
      </c>
      <c r="AO60" s="100">
        <v>5864.4000000000005</v>
      </c>
      <c r="AP60" s="100">
        <v>11</v>
      </c>
      <c r="AQ60" s="100">
        <v>7167.6</v>
      </c>
      <c r="AR60" s="100">
        <v>11</v>
      </c>
      <c r="AS60" s="100">
        <v>7167.6</v>
      </c>
      <c r="AT60" s="100">
        <v>17</v>
      </c>
      <c r="AU60" s="100">
        <v>11077.2</v>
      </c>
      <c r="AV60" s="100">
        <v>12</v>
      </c>
      <c r="AW60" s="100">
        <v>7819.2000000000007</v>
      </c>
      <c r="AX60" s="100">
        <v>11</v>
      </c>
      <c r="AY60" s="100">
        <v>7167.6</v>
      </c>
      <c r="AZ60" s="100">
        <v>14</v>
      </c>
      <c r="BA60" s="100">
        <v>9122.4</v>
      </c>
      <c r="BB60" s="100">
        <v>12</v>
      </c>
      <c r="BC60" s="100">
        <v>7819.2000000000007</v>
      </c>
      <c r="BD60" s="100">
        <v>11</v>
      </c>
      <c r="BE60" s="100">
        <v>7167.6</v>
      </c>
      <c r="BF60" s="100">
        <v>9</v>
      </c>
      <c r="BG60" s="100">
        <v>5864.4000000000005</v>
      </c>
      <c r="BH60" s="100">
        <v>13</v>
      </c>
      <c r="BI60" s="100">
        <v>8470.8000000000011</v>
      </c>
      <c r="BJ60" s="100">
        <v>16</v>
      </c>
      <c r="BK60" s="100">
        <v>10425.6</v>
      </c>
      <c r="BL60" s="100">
        <v>9</v>
      </c>
      <c r="BM60" s="100">
        <v>5864.4000000000005</v>
      </c>
      <c r="BN60" s="100">
        <v>9</v>
      </c>
      <c r="BO60" s="100">
        <v>5864.4000000000005</v>
      </c>
      <c r="BP60" s="100">
        <v>8</v>
      </c>
      <c r="BQ60" s="100">
        <v>5212.8</v>
      </c>
      <c r="BR60" s="100">
        <v>9</v>
      </c>
      <c r="BS60" s="100">
        <v>5864.4000000000005</v>
      </c>
      <c r="BT60" s="100">
        <v>11</v>
      </c>
      <c r="BU60" s="100">
        <v>7167.6</v>
      </c>
      <c r="BV60" s="100">
        <v>9</v>
      </c>
      <c r="BW60" s="100">
        <v>5864.4000000000005</v>
      </c>
      <c r="BX60" s="100">
        <v>11</v>
      </c>
      <c r="BY60" s="100">
        <v>7167.6</v>
      </c>
      <c r="BZ60" s="100">
        <v>13</v>
      </c>
      <c r="CA60" s="100">
        <v>8470.8000000000011</v>
      </c>
      <c r="CB60" s="100">
        <v>10</v>
      </c>
      <c r="CC60" s="100">
        <v>6516</v>
      </c>
      <c r="CD60" s="100">
        <v>15.955827927446494</v>
      </c>
      <c r="CE60" s="100">
        <v>10396.817477524135</v>
      </c>
      <c r="CF60" s="100">
        <v>9.1960125059025728</v>
      </c>
      <c r="CG60" s="100">
        <v>5992.121748846117</v>
      </c>
      <c r="CH60" s="100">
        <v>12.397587230179763</v>
      </c>
      <c r="CI60" s="100">
        <v>8078.2678391851341</v>
      </c>
      <c r="CJ60" s="100">
        <v>12.787972009828861</v>
      </c>
      <c r="CK60" s="100">
        <v>8332.6425616044871</v>
      </c>
      <c r="CL60" s="100">
        <v>13.718322160394512</v>
      </c>
      <c r="CM60" s="100">
        <v>8938.8587197130655</v>
      </c>
      <c r="CN60" s="100">
        <v>10.86801477970304</v>
      </c>
      <c r="CO60" s="100">
        <v>7081.5984304545018</v>
      </c>
      <c r="CP60" s="100">
        <v>12.722148650026329</v>
      </c>
      <c r="CQ60" s="100">
        <v>8289.7520603571556</v>
      </c>
      <c r="CR60" s="100">
        <v>13</v>
      </c>
      <c r="CS60" s="100">
        <v>8470.8000000000011</v>
      </c>
      <c r="CT60" s="100">
        <v>13</v>
      </c>
      <c r="CU60" s="100">
        <v>8470.8000000000011</v>
      </c>
    </row>
    <row r="61" spans="2:99">
      <c r="C61" s="99" t="s">
        <v>227</v>
      </c>
      <c r="D61" s="100">
        <v>10</v>
      </c>
      <c r="E61" s="100">
        <v>9516</v>
      </c>
      <c r="F61" s="100">
        <v>10.306100832331529</v>
      </c>
      <c r="G61" s="100">
        <v>9807.2855520466819</v>
      </c>
      <c r="H61" s="100">
        <v>11.781283893681064</v>
      </c>
      <c r="I61" s="100">
        <v>11211.069753226899</v>
      </c>
      <c r="J61" s="100">
        <v>8.8282391764493813</v>
      </c>
      <c r="K61" s="100">
        <v>8400.9524003092301</v>
      </c>
      <c r="L61" s="100">
        <v>13.020096914297701</v>
      </c>
      <c r="M61" s="100">
        <v>12389.924223645692</v>
      </c>
      <c r="N61" s="100">
        <v>10</v>
      </c>
      <c r="O61" s="100">
        <v>9516</v>
      </c>
      <c r="P61" s="100">
        <v>8</v>
      </c>
      <c r="Q61" s="100">
        <v>7612.7999999999993</v>
      </c>
      <c r="R61" s="100">
        <v>8</v>
      </c>
      <c r="S61" s="100">
        <v>7612.7999999999993</v>
      </c>
      <c r="T61" s="100">
        <v>15</v>
      </c>
      <c r="U61" s="100">
        <v>14273.999999999998</v>
      </c>
      <c r="V61" s="100">
        <v>13.417629234487837</v>
      </c>
      <c r="W61" s="100">
        <v>12768.215979538625</v>
      </c>
      <c r="X61" s="100">
        <v>12</v>
      </c>
      <c r="Y61" s="100">
        <v>11419.199999999999</v>
      </c>
      <c r="Z61" s="100">
        <v>11</v>
      </c>
      <c r="AA61" s="100">
        <v>10467.599999999999</v>
      </c>
      <c r="AB61" s="100">
        <v>14</v>
      </c>
      <c r="AC61" s="100">
        <v>13322.399999999998</v>
      </c>
      <c r="AD61" s="100">
        <v>12</v>
      </c>
      <c r="AE61" s="100">
        <v>11419.199999999999</v>
      </c>
      <c r="AF61" s="100">
        <v>10</v>
      </c>
      <c r="AG61" s="100">
        <v>9516</v>
      </c>
      <c r="AH61" s="100">
        <v>9</v>
      </c>
      <c r="AI61" s="100">
        <v>8564.4</v>
      </c>
      <c r="AJ61" s="100">
        <v>11</v>
      </c>
      <c r="AK61" s="100">
        <v>10467.599999999999</v>
      </c>
      <c r="AL61" s="100">
        <v>17</v>
      </c>
      <c r="AM61" s="100">
        <v>16177.199999999999</v>
      </c>
      <c r="AN61" s="100">
        <v>8</v>
      </c>
      <c r="AO61" s="100">
        <v>7612.7999999999993</v>
      </c>
      <c r="AP61" s="100">
        <v>10</v>
      </c>
      <c r="AQ61" s="100">
        <v>9516</v>
      </c>
      <c r="AR61" s="100">
        <v>12</v>
      </c>
      <c r="AS61" s="100">
        <v>11419.199999999999</v>
      </c>
      <c r="AT61" s="100">
        <v>17</v>
      </c>
      <c r="AU61" s="100">
        <v>16177.199999999999</v>
      </c>
      <c r="AV61" s="100">
        <v>11</v>
      </c>
      <c r="AW61" s="100">
        <v>10467.599999999999</v>
      </c>
      <c r="AX61" s="100">
        <v>10</v>
      </c>
      <c r="AY61" s="100">
        <v>9516</v>
      </c>
      <c r="AZ61" s="100">
        <v>12</v>
      </c>
      <c r="BA61" s="100">
        <v>11419.199999999999</v>
      </c>
      <c r="BB61" s="100">
        <v>11</v>
      </c>
      <c r="BC61" s="100">
        <v>10467.599999999999</v>
      </c>
      <c r="BD61" s="100">
        <v>11</v>
      </c>
      <c r="BE61" s="100">
        <v>10467.599999999999</v>
      </c>
      <c r="BF61" s="100">
        <v>8</v>
      </c>
      <c r="BG61" s="100">
        <v>7612.7999999999993</v>
      </c>
      <c r="BH61" s="100">
        <v>13</v>
      </c>
      <c r="BI61" s="100">
        <v>12370.8</v>
      </c>
      <c r="BJ61" s="100">
        <v>14</v>
      </c>
      <c r="BK61" s="100">
        <v>13322.399999999998</v>
      </c>
      <c r="BL61" s="100">
        <v>11</v>
      </c>
      <c r="BM61" s="100">
        <v>10467.599999999999</v>
      </c>
      <c r="BN61" s="100">
        <v>9</v>
      </c>
      <c r="BO61" s="100">
        <v>8564.4</v>
      </c>
      <c r="BP61" s="100">
        <v>8</v>
      </c>
      <c r="BQ61" s="100">
        <v>7612.7999999999993</v>
      </c>
      <c r="BR61" s="100">
        <v>9</v>
      </c>
      <c r="BS61" s="100">
        <v>8564.4</v>
      </c>
      <c r="BT61" s="100">
        <v>10</v>
      </c>
      <c r="BU61" s="100">
        <v>9516</v>
      </c>
      <c r="BV61" s="100">
        <v>10</v>
      </c>
      <c r="BW61" s="100">
        <v>9516</v>
      </c>
      <c r="BX61" s="100">
        <v>11</v>
      </c>
      <c r="BY61" s="100">
        <v>10467.599999999999</v>
      </c>
      <c r="BZ61" s="100">
        <v>15</v>
      </c>
      <c r="CA61" s="100">
        <v>14273.999999999998</v>
      </c>
      <c r="CB61" s="100">
        <v>9</v>
      </c>
      <c r="CC61" s="100">
        <v>8564.4</v>
      </c>
      <c r="CD61" s="100">
        <v>14.958588681981089</v>
      </c>
      <c r="CE61" s="100">
        <v>14234.592989773204</v>
      </c>
      <c r="CF61" s="100">
        <v>8.2764112553123148</v>
      </c>
      <c r="CG61" s="100">
        <v>7875.8329505551983</v>
      </c>
      <c r="CH61" s="100">
        <v>12.397587230179763</v>
      </c>
      <c r="CI61" s="100">
        <v>11797.544008239061</v>
      </c>
      <c r="CJ61" s="100">
        <v>13.640503477150784</v>
      </c>
      <c r="CK61" s="100">
        <v>12980.303108856684</v>
      </c>
      <c r="CL61" s="100">
        <v>12.003531890345199</v>
      </c>
      <c r="CM61" s="100">
        <v>11422.560946852491</v>
      </c>
      <c r="CN61" s="100">
        <v>10.14348046105617</v>
      </c>
      <c r="CO61" s="100">
        <v>9652.5360067410493</v>
      </c>
      <c r="CP61" s="100">
        <v>10.764895011560739</v>
      </c>
      <c r="CQ61" s="100">
        <v>10243.874093001199</v>
      </c>
      <c r="CR61" s="100">
        <v>11</v>
      </c>
      <c r="CS61" s="100">
        <v>10467.599999999999</v>
      </c>
      <c r="CT61" s="100">
        <v>12</v>
      </c>
      <c r="CU61" s="100">
        <v>11419.199999999999</v>
      </c>
    </row>
    <row r="62" spans="2:99">
      <c r="C62" s="99" t="s">
        <v>228</v>
      </c>
      <c r="D62" s="100">
        <v>11</v>
      </c>
      <c r="E62" s="100">
        <v>18361.2</v>
      </c>
      <c r="F62" s="100">
        <v>12</v>
      </c>
      <c r="G62" s="100">
        <v>20030.400000000001</v>
      </c>
      <c r="H62" s="100">
        <v>15</v>
      </c>
      <c r="I62" s="100">
        <v>25038</v>
      </c>
      <c r="J62" s="100">
        <v>12</v>
      </c>
      <c r="K62" s="100">
        <v>20030.400000000001</v>
      </c>
      <c r="L62" s="100">
        <v>15</v>
      </c>
      <c r="M62" s="100">
        <v>25038</v>
      </c>
      <c r="N62" s="100">
        <v>7.3456305627335139</v>
      </c>
      <c r="O62" s="100">
        <v>12261.326535314782</v>
      </c>
      <c r="P62" s="100">
        <v>6.1105527638190953</v>
      </c>
      <c r="Q62" s="100">
        <v>10199.734673366835</v>
      </c>
      <c r="R62" s="100">
        <v>8</v>
      </c>
      <c r="S62" s="100">
        <v>13353.6</v>
      </c>
      <c r="T62" s="100">
        <v>13.714285714285714</v>
      </c>
      <c r="U62" s="100">
        <v>22891.885714285712</v>
      </c>
      <c r="V62" s="100">
        <v>10.316742081447964</v>
      </c>
      <c r="W62" s="100">
        <v>17220.705882352944</v>
      </c>
      <c r="X62" s="100">
        <v>11</v>
      </c>
      <c r="Y62" s="100">
        <v>18361.2</v>
      </c>
      <c r="Z62" s="100">
        <v>11</v>
      </c>
      <c r="AA62" s="100">
        <v>18361.2</v>
      </c>
      <c r="AB62" s="100">
        <v>11</v>
      </c>
      <c r="AC62" s="100">
        <v>18361.2</v>
      </c>
      <c r="AD62" s="100">
        <v>11</v>
      </c>
      <c r="AE62" s="100">
        <v>18361.2</v>
      </c>
      <c r="AF62" s="100">
        <v>9</v>
      </c>
      <c r="AG62" s="100">
        <v>15022.800000000001</v>
      </c>
      <c r="AH62" s="100">
        <v>8</v>
      </c>
      <c r="AI62" s="100">
        <v>13353.6</v>
      </c>
      <c r="AJ62" s="100">
        <v>10.014150943396228</v>
      </c>
      <c r="AK62" s="100">
        <v>16715.620754716983</v>
      </c>
      <c r="AL62" s="100">
        <v>12.146118721461187</v>
      </c>
      <c r="AM62" s="100">
        <v>20274.301369863013</v>
      </c>
      <c r="AN62" s="100">
        <v>7.5247524752475252</v>
      </c>
      <c r="AO62" s="100">
        <v>12560.316831683169</v>
      </c>
      <c r="AP62" s="100">
        <v>9</v>
      </c>
      <c r="AQ62" s="100">
        <v>15022.800000000001</v>
      </c>
      <c r="AR62" s="100">
        <v>11</v>
      </c>
      <c r="AS62" s="100">
        <v>18361.2</v>
      </c>
      <c r="AT62" s="100">
        <v>15</v>
      </c>
      <c r="AU62" s="100">
        <v>25038</v>
      </c>
      <c r="AV62" s="100">
        <v>11</v>
      </c>
      <c r="AW62" s="100">
        <v>18361.2</v>
      </c>
      <c r="AX62" s="100">
        <v>11</v>
      </c>
      <c r="AY62" s="100">
        <v>18361.2</v>
      </c>
      <c r="AZ62" s="100">
        <v>11</v>
      </c>
      <c r="BA62" s="100">
        <v>18361.2</v>
      </c>
      <c r="BB62" s="100">
        <v>10</v>
      </c>
      <c r="BC62" s="100">
        <v>16692</v>
      </c>
      <c r="BD62" s="100">
        <v>11</v>
      </c>
      <c r="BE62" s="100">
        <v>18361.2</v>
      </c>
      <c r="BF62" s="100">
        <v>9</v>
      </c>
      <c r="BG62" s="100">
        <v>15022.800000000001</v>
      </c>
      <c r="BH62" s="100">
        <v>10.90909090909091</v>
      </c>
      <c r="BI62" s="100">
        <v>18209.454545454548</v>
      </c>
      <c r="BJ62" s="100">
        <v>15</v>
      </c>
      <c r="BK62" s="100">
        <v>25038</v>
      </c>
      <c r="BL62" s="100">
        <v>9</v>
      </c>
      <c r="BM62" s="100">
        <v>15022.800000000001</v>
      </c>
      <c r="BN62" s="100">
        <v>7.9726027397260273</v>
      </c>
      <c r="BO62" s="100">
        <v>13307.868493150685</v>
      </c>
      <c r="BP62" s="100">
        <v>8.6363636363636367</v>
      </c>
      <c r="BQ62" s="100">
        <v>14415.818181818182</v>
      </c>
      <c r="BR62" s="100">
        <v>7.3076923076923084</v>
      </c>
      <c r="BS62" s="100">
        <v>12198.000000000002</v>
      </c>
      <c r="BT62" s="100">
        <v>11</v>
      </c>
      <c r="BU62" s="100">
        <v>18361.2</v>
      </c>
      <c r="BV62" s="100">
        <v>9.0909090909090917</v>
      </c>
      <c r="BW62" s="100">
        <v>15174.545454545456</v>
      </c>
      <c r="BX62" s="100">
        <v>10.048076923076923</v>
      </c>
      <c r="BY62" s="100">
        <v>16772.25</v>
      </c>
      <c r="BZ62" s="100">
        <v>13</v>
      </c>
      <c r="CA62" s="100">
        <v>21699.600000000002</v>
      </c>
      <c r="CB62" s="100">
        <v>9.2626728110599075</v>
      </c>
      <c r="CC62" s="100">
        <v>15461.253456221199</v>
      </c>
      <c r="CD62" s="100">
        <v>14</v>
      </c>
      <c r="CE62" s="100">
        <v>23368.799999999999</v>
      </c>
      <c r="CF62" s="100">
        <v>9</v>
      </c>
      <c r="CG62" s="100">
        <v>15022.800000000001</v>
      </c>
      <c r="CH62" s="100">
        <v>13</v>
      </c>
      <c r="CI62" s="100">
        <v>21699.600000000002</v>
      </c>
      <c r="CJ62" s="100">
        <v>15</v>
      </c>
      <c r="CK62" s="100">
        <v>25038</v>
      </c>
      <c r="CL62" s="100">
        <v>14</v>
      </c>
      <c r="CM62" s="100">
        <v>23368.799999999999</v>
      </c>
      <c r="CN62" s="100">
        <v>13.155737704918032</v>
      </c>
      <c r="CO62" s="100">
        <v>21959.557377049179</v>
      </c>
      <c r="CP62" s="100">
        <v>10.94240837696335</v>
      </c>
      <c r="CQ62" s="100">
        <v>18265.068062827224</v>
      </c>
      <c r="CR62" s="100">
        <v>9.785407725321889</v>
      </c>
      <c r="CS62" s="100">
        <v>16333.802575107298</v>
      </c>
      <c r="CT62" s="100">
        <v>11</v>
      </c>
      <c r="CU62" s="100">
        <v>18361.2</v>
      </c>
    </row>
    <row r="63" spans="2:99">
      <c r="C63" s="99" t="s">
        <v>229</v>
      </c>
      <c r="D63" s="100">
        <v>12</v>
      </c>
      <c r="E63" s="100">
        <v>9547.2000000000007</v>
      </c>
      <c r="F63" s="100">
        <v>12.882626040414412</v>
      </c>
      <c r="G63" s="100">
        <v>10249.417277753706</v>
      </c>
      <c r="H63" s="100">
        <v>11.781283893681064</v>
      </c>
      <c r="I63" s="100">
        <v>9373.1894658126548</v>
      </c>
      <c r="J63" s="100">
        <v>8.8282391764493813</v>
      </c>
      <c r="K63" s="100">
        <v>7023.7470887831278</v>
      </c>
      <c r="L63" s="100">
        <v>14.756109836204061</v>
      </c>
      <c r="M63" s="100">
        <v>11739.960985683951</v>
      </c>
      <c r="N63" s="100">
        <v>10</v>
      </c>
      <c r="O63" s="100">
        <v>7956</v>
      </c>
      <c r="P63" s="100">
        <v>8</v>
      </c>
      <c r="Q63" s="100">
        <v>6364.8</v>
      </c>
      <c r="R63" s="100">
        <v>9</v>
      </c>
      <c r="S63" s="100">
        <v>7160.4000000000005</v>
      </c>
      <c r="T63" s="100">
        <v>17</v>
      </c>
      <c r="U63" s="100">
        <v>13525.2</v>
      </c>
      <c r="V63" s="100">
        <v>12.459227146310136</v>
      </c>
      <c r="W63" s="100">
        <v>9912.561117604344</v>
      </c>
      <c r="X63" s="100">
        <v>13</v>
      </c>
      <c r="Y63" s="100">
        <v>10342.800000000001</v>
      </c>
      <c r="Z63" s="100">
        <v>12</v>
      </c>
      <c r="AA63" s="100">
        <v>9547.2000000000007</v>
      </c>
      <c r="AB63" s="100">
        <v>12</v>
      </c>
      <c r="AC63" s="100">
        <v>9547.2000000000007</v>
      </c>
      <c r="AD63" s="100">
        <v>12</v>
      </c>
      <c r="AE63" s="100">
        <v>9547.2000000000007</v>
      </c>
      <c r="AF63" s="100">
        <v>9</v>
      </c>
      <c r="AG63" s="100">
        <v>7160.4000000000005</v>
      </c>
      <c r="AH63" s="100">
        <v>9</v>
      </c>
      <c r="AI63" s="100">
        <v>7160.4000000000005</v>
      </c>
      <c r="AJ63" s="100">
        <v>12</v>
      </c>
      <c r="AK63" s="100">
        <v>9547.2000000000007</v>
      </c>
      <c r="AL63" s="100">
        <v>15</v>
      </c>
      <c r="AM63" s="100">
        <v>11934</v>
      </c>
      <c r="AN63" s="100">
        <v>8</v>
      </c>
      <c r="AO63" s="100">
        <v>6364.8</v>
      </c>
      <c r="AP63" s="100">
        <v>11</v>
      </c>
      <c r="AQ63" s="100">
        <v>8751.6</v>
      </c>
      <c r="AR63" s="100">
        <v>13</v>
      </c>
      <c r="AS63" s="100">
        <v>10342.800000000001</v>
      </c>
      <c r="AT63" s="100">
        <v>17</v>
      </c>
      <c r="AU63" s="100">
        <v>13525.2</v>
      </c>
      <c r="AV63" s="100">
        <v>13</v>
      </c>
      <c r="AW63" s="100">
        <v>10342.800000000001</v>
      </c>
      <c r="AX63" s="100">
        <v>10</v>
      </c>
      <c r="AY63" s="100">
        <v>7956</v>
      </c>
      <c r="AZ63" s="100">
        <v>13</v>
      </c>
      <c r="BA63" s="100">
        <v>10342.800000000001</v>
      </c>
      <c r="BB63" s="100">
        <v>10</v>
      </c>
      <c r="BC63" s="100">
        <v>7956</v>
      </c>
      <c r="BD63" s="100">
        <v>10</v>
      </c>
      <c r="BE63" s="100">
        <v>7956</v>
      </c>
      <c r="BF63" s="100">
        <v>9</v>
      </c>
      <c r="BG63" s="100">
        <v>7160.4000000000005</v>
      </c>
      <c r="BH63" s="100">
        <v>15</v>
      </c>
      <c r="BI63" s="100">
        <v>11934</v>
      </c>
      <c r="BJ63" s="100">
        <v>14</v>
      </c>
      <c r="BK63" s="100">
        <v>11138.4</v>
      </c>
      <c r="BL63" s="100">
        <v>11</v>
      </c>
      <c r="BM63" s="100">
        <v>8751.6</v>
      </c>
      <c r="BN63" s="100">
        <v>9</v>
      </c>
      <c r="BO63" s="100">
        <v>7160.4000000000005</v>
      </c>
      <c r="BP63" s="100">
        <v>8</v>
      </c>
      <c r="BQ63" s="100">
        <v>6364.8</v>
      </c>
      <c r="BR63" s="100">
        <v>9</v>
      </c>
      <c r="BS63" s="100">
        <v>7160.4000000000005</v>
      </c>
      <c r="BT63" s="100">
        <v>10</v>
      </c>
      <c r="BU63" s="100">
        <v>7956</v>
      </c>
      <c r="BV63" s="100">
        <v>11</v>
      </c>
      <c r="BW63" s="100">
        <v>8751.6</v>
      </c>
      <c r="BX63" s="100">
        <v>12</v>
      </c>
      <c r="BY63" s="100">
        <v>9547.2000000000007</v>
      </c>
      <c r="BZ63" s="100">
        <v>14</v>
      </c>
      <c r="CA63" s="100">
        <v>11138.4</v>
      </c>
      <c r="CB63" s="100">
        <v>11</v>
      </c>
      <c r="CC63" s="100">
        <v>8751.6</v>
      </c>
      <c r="CD63" s="100">
        <v>14.958588681981089</v>
      </c>
      <c r="CE63" s="100">
        <v>11901.053155384156</v>
      </c>
      <c r="CF63" s="100">
        <v>10.115613756492829</v>
      </c>
      <c r="CG63" s="100">
        <v>8047.9823046656948</v>
      </c>
      <c r="CH63" s="100">
        <v>13.283129175192604</v>
      </c>
      <c r="CI63" s="100">
        <v>10568.057571783236</v>
      </c>
      <c r="CJ63" s="100">
        <v>14.493034944472708</v>
      </c>
      <c r="CK63" s="100">
        <v>11530.658601822486</v>
      </c>
      <c r="CL63" s="100">
        <v>12.860927025369856</v>
      </c>
      <c r="CM63" s="100">
        <v>10232.153541384258</v>
      </c>
      <c r="CN63" s="100">
        <v>10.86801477970304</v>
      </c>
      <c r="CO63" s="100">
        <v>8646.5925587317397</v>
      </c>
      <c r="CP63" s="100">
        <v>10.764895011560739</v>
      </c>
      <c r="CQ63" s="100">
        <v>8564.5504711977246</v>
      </c>
      <c r="CR63" s="100">
        <v>11</v>
      </c>
      <c r="CS63" s="100">
        <v>8751.6</v>
      </c>
      <c r="CT63" s="100">
        <v>12</v>
      </c>
      <c r="CU63" s="100">
        <v>9547.2000000000007</v>
      </c>
    </row>
    <row r="64" spans="2:99">
      <c r="C64" s="99" t="s">
        <v>230</v>
      </c>
      <c r="D64" s="100">
        <v>10</v>
      </c>
      <c r="E64" s="100">
        <v>10091.999999999998</v>
      </c>
      <c r="F64" s="100">
        <v>11.164942568359157</v>
      </c>
      <c r="G64" s="100">
        <v>11267.660039988059</v>
      </c>
      <c r="H64" s="100">
        <v>12.51761413703613</v>
      </c>
      <c r="I64" s="100">
        <v>12632.776187096861</v>
      </c>
      <c r="J64" s="100">
        <v>8.8282391764493813</v>
      </c>
      <c r="K64" s="100">
        <v>8909.4589768727146</v>
      </c>
      <c r="L64" s="100">
        <v>13.020096914297701</v>
      </c>
      <c r="M64" s="100">
        <v>13139.881805909237</v>
      </c>
      <c r="N64" s="100">
        <v>9</v>
      </c>
      <c r="O64" s="100">
        <v>9082.7999999999993</v>
      </c>
      <c r="P64" s="100">
        <v>8</v>
      </c>
      <c r="Q64" s="100">
        <v>8073.5999999999985</v>
      </c>
      <c r="R64" s="100">
        <v>9</v>
      </c>
      <c r="S64" s="100">
        <v>9082.7999999999993</v>
      </c>
      <c r="T64" s="100">
        <v>16</v>
      </c>
      <c r="U64" s="100">
        <v>16147.199999999997</v>
      </c>
      <c r="V64" s="100">
        <v>11.500825058132433</v>
      </c>
      <c r="W64" s="100">
        <v>11606.63264866725</v>
      </c>
      <c r="X64" s="100">
        <v>11</v>
      </c>
      <c r="Y64" s="100">
        <v>11101.199999999997</v>
      </c>
      <c r="Z64" s="100">
        <v>10</v>
      </c>
      <c r="AA64" s="100">
        <v>10091.999999999998</v>
      </c>
      <c r="AB64" s="100">
        <v>13</v>
      </c>
      <c r="AC64" s="100">
        <v>13119.599999999999</v>
      </c>
      <c r="AD64" s="100">
        <v>11</v>
      </c>
      <c r="AE64" s="100">
        <v>11101.199999999997</v>
      </c>
      <c r="AF64" s="100">
        <v>10</v>
      </c>
      <c r="AG64" s="100">
        <v>10091.999999999998</v>
      </c>
      <c r="AH64" s="100">
        <v>10</v>
      </c>
      <c r="AI64" s="100">
        <v>10091.999999999998</v>
      </c>
      <c r="AJ64" s="100">
        <v>11</v>
      </c>
      <c r="AK64" s="100">
        <v>11101.199999999997</v>
      </c>
      <c r="AL64" s="100">
        <v>15</v>
      </c>
      <c r="AM64" s="100">
        <v>15137.999999999996</v>
      </c>
      <c r="AN64" s="100">
        <v>9</v>
      </c>
      <c r="AO64" s="100">
        <v>9082.7999999999993</v>
      </c>
      <c r="AP64" s="100">
        <v>10</v>
      </c>
      <c r="AQ64" s="100">
        <v>10091.999999999998</v>
      </c>
      <c r="AR64" s="100">
        <v>12</v>
      </c>
      <c r="AS64" s="100">
        <v>12110.399999999998</v>
      </c>
      <c r="AT64" s="100">
        <v>18</v>
      </c>
      <c r="AU64" s="100">
        <v>18165.599999999999</v>
      </c>
      <c r="AV64" s="100">
        <v>11</v>
      </c>
      <c r="AW64" s="100">
        <v>11101.199999999997</v>
      </c>
      <c r="AX64" s="100">
        <v>11</v>
      </c>
      <c r="AY64" s="100">
        <v>11101.199999999997</v>
      </c>
      <c r="AZ64" s="100">
        <v>13</v>
      </c>
      <c r="BA64" s="100">
        <v>13119.599999999999</v>
      </c>
      <c r="BB64" s="100">
        <v>12</v>
      </c>
      <c r="BC64" s="100">
        <v>12110.399999999998</v>
      </c>
      <c r="BD64" s="100">
        <v>10</v>
      </c>
      <c r="BE64" s="100">
        <v>10091.999999999998</v>
      </c>
      <c r="BF64" s="100">
        <v>9</v>
      </c>
      <c r="BG64" s="100">
        <v>9082.7999999999993</v>
      </c>
      <c r="BH64" s="100">
        <v>14</v>
      </c>
      <c r="BI64" s="100">
        <v>14128.799999999997</v>
      </c>
      <c r="BJ64" s="100">
        <v>16</v>
      </c>
      <c r="BK64" s="100">
        <v>16147.199999999997</v>
      </c>
      <c r="BL64" s="100">
        <v>9</v>
      </c>
      <c r="BM64" s="100">
        <v>9082.7999999999993</v>
      </c>
      <c r="BN64" s="100">
        <v>8</v>
      </c>
      <c r="BO64" s="100">
        <v>8073.5999999999985</v>
      </c>
      <c r="BP64" s="100">
        <v>8</v>
      </c>
      <c r="BQ64" s="100">
        <v>8073.5999999999985</v>
      </c>
      <c r="BR64" s="100">
        <v>9</v>
      </c>
      <c r="BS64" s="100">
        <v>9082.7999999999993</v>
      </c>
      <c r="BT64" s="100">
        <v>10</v>
      </c>
      <c r="BU64" s="100">
        <v>10091.999999999998</v>
      </c>
      <c r="BV64" s="100">
        <v>9</v>
      </c>
      <c r="BW64" s="100">
        <v>9082.7999999999993</v>
      </c>
      <c r="BX64" s="100">
        <v>12</v>
      </c>
      <c r="BY64" s="100">
        <v>12110.399999999998</v>
      </c>
      <c r="BZ64" s="100">
        <v>14</v>
      </c>
      <c r="CA64" s="100">
        <v>14128.799999999997</v>
      </c>
      <c r="CB64" s="100">
        <v>10</v>
      </c>
      <c r="CC64" s="100">
        <v>10091.999999999998</v>
      </c>
      <c r="CD64" s="100">
        <v>12.964110191050276</v>
      </c>
      <c r="CE64" s="100">
        <v>13083.380004807936</v>
      </c>
      <c r="CF64" s="100">
        <v>9.1960125059025728</v>
      </c>
      <c r="CG64" s="100">
        <v>9280.6158209568748</v>
      </c>
      <c r="CH64" s="100">
        <v>11.512045285166923</v>
      </c>
      <c r="CI64" s="100">
        <v>11617.956101790458</v>
      </c>
      <c r="CJ64" s="100">
        <v>11.935440542506935</v>
      </c>
      <c r="CK64" s="100">
        <v>12045.246595497996</v>
      </c>
      <c r="CL64" s="100">
        <v>12.860927025369856</v>
      </c>
      <c r="CM64" s="100">
        <v>12979.247554003256</v>
      </c>
      <c r="CN64" s="100">
        <v>10.86801477970304</v>
      </c>
      <c r="CO64" s="100">
        <v>10968.000515676307</v>
      </c>
      <c r="CP64" s="100">
        <v>11.743521830793535</v>
      </c>
      <c r="CQ64" s="100">
        <v>11851.562231636834</v>
      </c>
      <c r="CR64" s="100">
        <v>13</v>
      </c>
      <c r="CS64" s="100">
        <v>13119.599999999999</v>
      </c>
      <c r="CT64" s="100">
        <v>12</v>
      </c>
      <c r="CU64" s="100">
        <v>12110.399999999998</v>
      </c>
    </row>
    <row r="65" spans="2:99">
      <c r="C65" s="99" t="s">
        <v>231</v>
      </c>
      <c r="D65" s="100">
        <v>11</v>
      </c>
      <c r="E65" s="100">
        <v>11286</v>
      </c>
      <c r="F65" s="100">
        <v>11.164942568359157</v>
      </c>
      <c r="G65" s="100">
        <v>11455.231075136495</v>
      </c>
      <c r="H65" s="100">
        <v>11.781283893681064</v>
      </c>
      <c r="I65" s="100">
        <v>12087.59727491677</v>
      </c>
      <c r="J65" s="100">
        <v>9.5639257744868296</v>
      </c>
      <c r="K65" s="100">
        <v>9812.5878446234874</v>
      </c>
      <c r="L65" s="100">
        <v>14.756109836204061</v>
      </c>
      <c r="M65" s="100">
        <v>15139.768691945366</v>
      </c>
      <c r="N65" s="100">
        <v>10</v>
      </c>
      <c r="O65" s="100">
        <v>10260</v>
      </c>
      <c r="P65" s="100">
        <v>8</v>
      </c>
      <c r="Q65" s="100">
        <v>8208</v>
      </c>
      <c r="R65" s="100">
        <v>9</v>
      </c>
      <c r="S65" s="100">
        <v>9234</v>
      </c>
      <c r="T65" s="100">
        <v>15</v>
      </c>
      <c r="U65" s="100">
        <v>15390</v>
      </c>
      <c r="V65" s="100">
        <v>13.417629234487837</v>
      </c>
      <c r="W65" s="100">
        <v>13766.487594584522</v>
      </c>
      <c r="X65" s="100">
        <v>13</v>
      </c>
      <c r="Y65" s="100">
        <v>13338</v>
      </c>
      <c r="Z65" s="100">
        <v>10</v>
      </c>
      <c r="AA65" s="100">
        <v>10260</v>
      </c>
      <c r="AB65" s="100">
        <v>14</v>
      </c>
      <c r="AC65" s="100">
        <v>14364</v>
      </c>
      <c r="AD65" s="100">
        <v>12</v>
      </c>
      <c r="AE65" s="100">
        <v>12312</v>
      </c>
      <c r="AF65" s="100">
        <v>9</v>
      </c>
      <c r="AG65" s="100">
        <v>9234</v>
      </c>
      <c r="AH65" s="100">
        <v>10</v>
      </c>
      <c r="AI65" s="100">
        <v>10260</v>
      </c>
      <c r="AJ65" s="100">
        <v>13</v>
      </c>
      <c r="AK65" s="100">
        <v>13338</v>
      </c>
      <c r="AL65" s="100">
        <v>17</v>
      </c>
      <c r="AM65" s="100">
        <v>17442</v>
      </c>
      <c r="AN65" s="100">
        <v>8</v>
      </c>
      <c r="AO65" s="100">
        <v>8208</v>
      </c>
      <c r="AP65" s="100">
        <v>11</v>
      </c>
      <c r="AQ65" s="100">
        <v>11286</v>
      </c>
      <c r="AR65" s="100">
        <v>12</v>
      </c>
      <c r="AS65" s="100">
        <v>12312</v>
      </c>
      <c r="AT65" s="100">
        <v>17</v>
      </c>
      <c r="AU65" s="100">
        <v>17442</v>
      </c>
      <c r="AV65" s="100">
        <v>11</v>
      </c>
      <c r="AW65" s="100">
        <v>11286</v>
      </c>
      <c r="AX65" s="100">
        <v>11</v>
      </c>
      <c r="AY65" s="100">
        <v>11286</v>
      </c>
      <c r="AZ65" s="100">
        <v>13</v>
      </c>
      <c r="BA65" s="100">
        <v>13338</v>
      </c>
      <c r="BB65" s="100">
        <v>10</v>
      </c>
      <c r="BC65" s="100">
        <v>10260</v>
      </c>
      <c r="BD65" s="100">
        <v>11</v>
      </c>
      <c r="BE65" s="100">
        <v>11286</v>
      </c>
      <c r="BF65" s="100">
        <v>8</v>
      </c>
      <c r="BG65" s="100">
        <v>8208</v>
      </c>
      <c r="BH65" s="100">
        <v>13</v>
      </c>
      <c r="BI65" s="100">
        <v>13338</v>
      </c>
      <c r="BJ65" s="100">
        <v>14</v>
      </c>
      <c r="BK65" s="100">
        <v>14364</v>
      </c>
      <c r="BL65" s="100">
        <v>10</v>
      </c>
      <c r="BM65" s="100">
        <v>10260</v>
      </c>
      <c r="BN65" s="100">
        <v>9</v>
      </c>
      <c r="BO65" s="100">
        <v>9234</v>
      </c>
      <c r="BP65" s="100">
        <v>8</v>
      </c>
      <c r="BQ65" s="100">
        <v>8208</v>
      </c>
      <c r="BR65" s="100">
        <v>9</v>
      </c>
      <c r="BS65" s="100">
        <v>9234</v>
      </c>
      <c r="BT65" s="100">
        <v>10</v>
      </c>
      <c r="BU65" s="100">
        <v>10260</v>
      </c>
      <c r="BV65" s="100">
        <v>9</v>
      </c>
      <c r="BW65" s="100">
        <v>9234</v>
      </c>
      <c r="BX65" s="100">
        <v>11</v>
      </c>
      <c r="BY65" s="100">
        <v>11286</v>
      </c>
      <c r="BZ65" s="100">
        <v>14</v>
      </c>
      <c r="CA65" s="100">
        <v>14364</v>
      </c>
      <c r="CB65" s="100">
        <v>9</v>
      </c>
      <c r="CC65" s="100">
        <v>9234</v>
      </c>
      <c r="CD65" s="100">
        <v>12.964110191050276</v>
      </c>
      <c r="CE65" s="100">
        <v>13301.177056017583</v>
      </c>
      <c r="CF65" s="100">
        <v>8.2764112553123148</v>
      </c>
      <c r="CG65" s="100">
        <v>8491.5979479504349</v>
      </c>
      <c r="CH65" s="100">
        <v>11.512045285166923</v>
      </c>
      <c r="CI65" s="100">
        <v>11811.358462581264</v>
      </c>
      <c r="CJ65" s="100">
        <v>12.787972009828861</v>
      </c>
      <c r="CK65" s="100">
        <v>13120.459282084412</v>
      </c>
      <c r="CL65" s="100">
        <v>12.860927025369856</v>
      </c>
      <c r="CM65" s="100">
        <v>13195.311128029472</v>
      </c>
      <c r="CN65" s="100">
        <v>10.86801477970304</v>
      </c>
      <c r="CO65" s="100">
        <v>11150.58316397532</v>
      </c>
      <c r="CP65" s="100">
        <v>12.722148650026329</v>
      </c>
      <c r="CQ65" s="100">
        <v>13052.924514927014</v>
      </c>
      <c r="CR65" s="100">
        <v>12</v>
      </c>
      <c r="CS65" s="100">
        <v>12312</v>
      </c>
      <c r="CT65" s="100">
        <v>12</v>
      </c>
      <c r="CU65" s="100">
        <v>12312</v>
      </c>
    </row>
    <row r="66" spans="2:99">
      <c r="C66" s="99" t="s">
        <v>232</v>
      </c>
      <c r="D66" s="100">
        <v>11</v>
      </c>
      <c r="E66" s="100">
        <v>13094.399999999998</v>
      </c>
      <c r="F66" s="100">
        <v>11.164942568359157</v>
      </c>
      <c r="G66" s="100">
        <v>13290.747633374738</v>
      </c>
      <c r="H66" s="100">
        <v>11.781283893681064</v>
      </c>
      <c r="I66" s="100">
        <v>14024.440347037937</v>
      </c>
      <c r="J66" s="100">
        <v>8.8282391764493813</v>
      </c>
      <c r="K66" s="100">
        <v>10509.135915645342</v>
      </c>
      <c r="L66" s="100">
        <v>12.15209045334452</v>
      </c>
      <c r="M66" s="100">
        <v>14465.848475661316</v>
      </c>
      <c r="N66" s="100">
        <v>9</v>
      </c>
      <c r="O66" s="100">
        <v>10713.599999999999</v>
      </c>
      <c r="P66" s="100">
        <v>8</v>
      </c>
      <c r="Q66" s="100">
        <v>9523.1999999999989</v>
      </c>
      <c r="R66" s="100">
        <v>9</v>
      </c>
      <c r="S66" s="100">
        <v>10713.599999999999</v>
      </c>
      <c r="T66" s="100">
        <v>15</v>
      </c>
      <c r="U66" s="100">
        <v>17855.999999999996</v>
      </c>
      <c r="V66" s="100">
        <v>11.500825058132433</v>
      </c>
      <c r="W66" s="100">
        <v>13690.582149200847</v>
      </c>
      <c r="X66" s="100">
        <v>13</v>
      </c>
      <c r="Y66" s="100">
        <v>15475.199999999999</v>
      </c>
      <c r="Z66" s="100">
        <v>10</v>
      </c>
      <c r="AA66" s="100">
        <v>11903.999999999998</v>
      </c>
      <c r="AB66" s="100">
        <v>12</v>
      </c>
      <c r="AC66" s="100">
        <v>14284.8</v>
      </c>
      <c r="AD66" s="100">
        <v>12</v>
      </c>
      <c r="AE66" s="100">
        <v>14284.8</v>
      </c>
      <c r="AF66" s="100">
        <v>9</v>
      </c>
      <c r="AG66" s="100">
        <v>10713.599999999999</v>
      </c>
      <c r="AH66" s="100">
        <v>9</v>
      </c>
      <c r="AI66" s="100">
        <v>10713.599999999999</v>
      </c>
      <c r="AJ66" s="100">
        <v>10</v>
      </c>
      <c r="AK66" s="100">
        <v>11903.999999999998</v>
      </c>
      <c r="AL66" s="100">
        <v>17</v>
      </c>
      <c r="AM66" s="100">
        <v>20236.8</v>
      </c>
      <c r="AN66" s="100">
        <v>8</v>
      </c>
      <c r="AO66" s="100">
        <v>9523.1999999999989</v>
      </c>
      <c r="AP66" s="100">
        <v>9</v>
      </c>
      <c r="AQ66" s="100">
        <v>10713.599999999999</v>
      </c>
      <c r="AR66" s="100">
        <v>12</v>
      </c>
      <c r="AS66" s="100">
        <v>14284.8</v>
      </c>
      <c r="AT66" s="100">
        <v>15</v>
      </c>
      <c r="AU66" s="100">
        <v>17855.999999999996</v>
      </c>
      <c r="AV66" s="100">
        <v>11</v>
      </c>
      <c r="AW66" s="100">
        <v>13094.399999999998</v>
      </c>
      <c r="AX66" s="100">
        <v>11</v>
      </c>
      <c r="AY66" s="100">
        <v>13094.399999999998</v>
      </c>
      <c r="AZ66" s="100">
        <v>13</v>
      </c>
      <c r="BA66" s="100">
        <v>15475.199999999999</v>
      </c>
      <c r="BB66" s="100">
        <v>10</v>
      </c>
      <c r="BC66" s="100">
        <v>11903.999999999998</v>
      </c>
      <c r="BD66" s="100">
        <v>11</v>
      </c>
      <c r="BE66" s="100">
        <v>13094.399999999998</v>
      </c>
      <c r="BF66" s="100">
        <v>9</v>
      </c>
      <c r="BG66" s="100">
        <v>10713.599999999999</v>
      </c>
      <c r="BH66" s="100">
        <v>13</v>
      </c>
      <c r="BI66" s="100">
        <v>15475.199999999999</v>
      </c>
      <c r="BJ66" s="100">
        <v>15</v>
      </c>
      <c r="BK66" s="100">
        <v>17855.999999999996</v>
      </c>
      <c r="BL66" s="100">
        <v>10</v>
      </c>
      <c r="BM66" s="100">
        <v>11903.999999999998</v>
      </c>
      <c r="BN66" s="100">
        <v>9</v>
      </c>
      <c r="BO66" s="100">
        <v>10713.599999999999</v>
      </c>
      <c r="BP66" s="100">
        <v>9</v>
      </c>
      <c r="BQ66" s="100">
        <v>10713.599999999999</v>
      </c>
      <c r="BR66" s="100">
        <v>10</v>
      </c>
      <c r="BS66" s="100">
        <v>11903.999999999998</v>
      </c>
      <c r="BT66" s="100">
        <v>10</v>
      </c>
      <c r="BU66" s="100">
        <v>11903.999999999998</v>
      </c>
      <c r="BV66" s="100">
        <v>9</v>
      </c>
      <c r="BW66" s="100">
        <v>10713.599999999999</v>
      </c>
      <c r="BX66" s="100">
        <v>12</v>
      </c>
      <c r="BY66" s="100">
        <v>14284.8</v>
      </c>
      <c r="BZ66" s="100">
        <v>14</v>
      </c>
      <c r="CA66" s="100">
        <v>16665.599999999999</v>
      </c>
      <c r="CB66" s="100">
        <v>9</v>
      </c>
      <c r="CC66" s="100">
        <v>10713.599999999999</v>
      </c>
      <c r="CD66" s="100">
        <v>14.958588681981089</v>
      </c>
      <c r="CE66" s="100">
        <v>17806.703967030287</v>
      </c>
      <c r="CF66" s="100">
        <v>9.1960125059025728</v>
      </c>
      <c r="CG66" s="100">
        <v>10946.933287026421</v>
      </c>
      <c r="CH66" s="100">
        <v>12.397587230179763</v>
      </c>
      <c r="CI66" s="100">
        <v>14758.087838805988</v>
      </c>
      <c r="CJ66" s="100">
        <v>13.640503477150784</v>
      </c>
      <c r="CK66" s="100">
        <v>16237.655339200292</v>
      </c>
      <c r="CL66" s="100">
        <v>11.146136755320542</v>
      </c>
      <c r="CM66" s="100">
        <v>13268.361193533572</v>
      </c>
      <c r="CN66" s="100">
        <v>10.14348046105617</v>
      </c>
      <c r="CO66" s="100">
        <v>12074.799140841264</v>
      </c>
      <c r="CP66" s="100">
        <v>9.7862681923279453</v>
      </c>
      <c r="CQ66" s="100">
        <v>11649.573656147184</v>
      </c>
      <c r="CR66" s="100">
        <v>12</v>
      </c>
      <c r="CS66" s="100">
        <v>14284.8</v>
      </c>
      <c r="CT66" s="100">
        <v>11</v>
      </c>
      <c r="CU66" s="100">
        <v>13094.399999999998</v>
      </c>
    </row>
    <row r="67" spans="2:99">
      <c r="C67" s="99" t="s">
        <v>233</v>
      </c>
      <c r="D67" s="100">
        <v>11</v>
      </c>
      <c r="E67" s="100">
        <v>12355.2</v>
      </c>
      <c r="F67" s="100">
        <v>10.306100832331529</v>
      </c>
      <c r="G67" s="100">
        <v>11575.812454874773</v>
      </c>
      <c r="H67" s="100">
        <v>11.044953650325997</v>
      </c>
      <c r="I67" s="100">
        <v>12405.691940046161</v>
      </c>
      <c r="J67" s="100">
        <v>8.8282391764493813</v>
      </c>
      <c r="K67" s="100">
        <v>9915.8782429879448</v>
      </c>
      <c r="L67" s="100">
        <v>13.020096914297701</v>
      </c>
      <c r="M67" s="100">
        <v>14624.172854139179</v>
      </c>
      <c r="N67" s="100">
        <v>10</v>
      </c>
      <c r="O67" s="100">
        <v>11232</v>
      </c>
      <c r="P67" s="100">
        <v>9</v>
      </c>
      <c r="Q67" s="100">
        <v>10108.800000000001</v>
      </c>
      <c r="R67" s="100">
        <v>9</v>
      </c>
      <c r="S67" s="100">
        <v>10108.800000000001</v>
      </c>
      <c r="T67" s="100">
        <v>15</v>
      </c>
      <c r="U67" s="100">
        <v>16848</v>
      </c>
      <c r="V67" s="100">
        <v>12.459227146310136</v>
      </c>
      <c r="W67" s="100">
        <v>13994.203930735544</v>
      </c>
      <c r="X67" s="100">
        <v>12</v>
      </c>
      <c r="Y67" s="100">
        <v>13478.400000000001</v>
      </c>
      <c r="Z67" s="100">
        <v>11</v>
      </c>
      <c r="AA67" s="100">
        <v>12355.2</v>
      </c>
      <c r="AB67" s="100">
        <v>13</v>
      </c>
      <c r="AC67" s="100">
        <v>14601.6</v>
      </c>
      <c r="AD67" s="100">
        <v>12</v>
      </c>
      <c r="AE67" s="100">
        <v>13478.400000000001</v>
      </c>
      <c r="AF67" s="100">
        <v>9</v>
      </c>
      <c r="AG67" s="100">
        <v>10108.800000000001</v>
      </c>
      <c r="AH67" s="100">
        <v>9</v>
      </c>
      <c r="AI67" s="100">
        <v>10108.800000000001</v>
      </c>
      <c r="AJ67" s="100">
        <v>12</v>
      </c>
      <c r="AK67" s="100">
        <v>13478.400000000001</v>
      </c>
      <c r="AL67" s="100">
        <v>16</v>
      </c>
      <c r="AM67" s="100">
        <v>17971.2</v>
      </c>
      <c r="AN67" s="100">
        <v>8</v>
      </c>
      <c r="AO67" s="100">
        <v>8985.6</v>
      </c>
      <c r="AP67" s="100">
        <v>11</v>
      </c>
      <c r="AQ67" s="100">
        <v>12355.2</v>
      </c>
      <c r="AR67" s="100">
        <v>12</v>
      </c>
      <c r="AS67" s="100">
        <v>13478.400000000001</v>
      </c>
      <c r="AT67" s="100">
        <v>17</v>
      </c>
      <c r="AU67" s="100">
        <v>19094.400000000001</v>
      </c>
      <c r="AV67" s="100">
        <v>10</v>
      </c>
      <c r="AW67" s="100">
        <v>11232</v>
      </c>
      <c r="AX67" s="100">
        <v>10</v>
      </c>
      <c r="AY67" s="100">
        <v>11232</v>
      </c>
      <c r="AZ67" s="100">
        <v>12</v>
      </c>
      <c r="BA67" s="100">
        <v>13478.400000000001</v>
      </c>
      <c r="BB67" s="100">
        <v>11</v>
      </c>
      <c r="BC67" s="100">
        <v>12355.2</v>
      </c>
      <c r="BD67" s="100">
        <v>9</v>
      </c>
      <c r="BE67" s="100">
        <v>10108.800000000001</v>
      </c>
      <c r="BF67" s="100">
        <v>8</v>
      </c>
      <c r="BG67" s="100">
        <v>8985.6</v>
      </c>
      <c r="BH67" s="100">
        <v>13</v>
      </c>
      <c r="BI67" s="100">
        <v>14601.6</v>
      </c>
      <c r="BJ67" s="100">
        <v>14</v>
      </c>
      <c r="BK67" s="100">
        <v>15724.800000000001</v>
      </c>
      <c r="BL67" s="100">
        <v>10</v>
      </c>
      <c r="BM67" s="100">
        <v>11232</v>
      </c>
      <c r="BN67" s="100">
        <v>9</v>
      </c>
      <c r="BO67" s="100">
        <v>10108.800000000001</v>
      </c>
      <c r="BP67" s="100">
        <v>8</v>
      </c>
      <c r="BQ67" s="100">
        <v>8985.6</v>
      </c>
      <c r="BR67" s="100">
        <v>10</v>
      </c>
      <c r="BS67" s="100">
        <v>11232</v>
      </c>
      <c r="BT67" s="100">
        <v>9</v>
      </c>
      <c r="BU67" s="100">
        <v>10108.800000000001</v>
      </c>
      <c r="BV67" s="100">
        <v>10</v>
      </c>
      <c r="BW67" s="100">
        <v>11232</v>
      </c>
      <c r="BX67" s="100">
        <v>12</v>
      </c>
      <c r="BY67" s="100">
        <v>13478.400000000001</v>
      </c>
      <c r="BZ67" s="100">
        <v>12</v>
      </c>
      <c r="CA67" s="100">
        <v>13478.400000000001</v>
      </c>
      <c r="CB67" s="100">
        <v>9</v>
      </c>
      <c r="CC67" s="100">
        <v>10108.800000000001</v>
      </c>
      <c r="CD67" s="100">
        <v>12.964110191050276</v>
      </c>
      <c r="CE67" s="100">
        <v>14561.288566587671</v>
      </c>
      <c r="CF67" s="100">
        <v>8.2764112553123148</v>
      </c>
      <c r="CG67" s="100">
        <v>9296.0651219667925</v>
      </c>
      <c r="CH67" s="100">
        <v>13.283129175192604</v>
      </c>
      <c r="CI67" s="100">
        <v>14919.610689576333</v>
      </c>
      <c r="CJ67" s="100">
        <v>12.787972009828861</v>
      </c>
      <c r="CK67" s="100">
        <v>14363.450161439778</v>
      </c>
      <c r="CL67" s="100">
        <v>12.003531890345199</v>
      </c>
      <c r="CM67" s="100">
        <v>13482.367019235728</v>
      </c>
      <c r="CN67" s="100">
        <v>10.86801477970304</v>
      </c>
      <c r="CO67" s="100">
        <v>12206.954200562455</v>
      </c>
      <c r="CP67" s="100">
        <v>10.764895011560739</v>
      </c>
      <c r="CQ67" s="100">
        <v>12091.130076985022</v>
      </c>
      <c r="CR67" s="100">
        <v>12</v>
      </c>
      <c r="CS67" s="100">
        <v>13478.400000000001</v>
      </c>
      <c r="CT67" s="100">
        <v>12</v>
      </c>
      <c r="CU67" s="100">
        <v>13478.400000000001</v>
      </c>
    </row>
    <row r="68" spans="2:99">
      <c r="C68" s="99" t="s">
        <v>234</v>
      </c>
      <c r="D68" s="100">
        <v>10</v>
      </c>
      <c r="E68" s="100">
        <v>10332</v>
      </c>
      <c r="F68" s="100">
        <v>11.164942568359157</v>
      </c>
      <c r="G68" s="100">
        <v>11535.618661628681</v>
      </c>
      <c r="H68" s="100">
        <v>11.044953650325997</v>
      </c>
      <c r="I68" s="100">
        <v>11411.64611151682</v>
      </c>
      <c r="J68" s="100">
        <v>8.8282391764493813</v>
      </c>
      <c r="K68" s="100">
        <v>9121.3367171075006</v>
      </c>
      <c r="L68" s="100">
        <v>13.88810337525088</v>
      </c>
      <c r="M68" s="100">
        <v>14349.18840730921</v>
      </c>
      <c r="N68" s="100">
        <v>9</v>
      </c>
      <c r="O68" s="100">
        <v>9298.8000000000011</v>
      </c>
      <c r="P68" s="100">
        <v>8</v>
      </c>
      <c r="Q68" s="100">
        <v>8265.6</v>
      </c>
      <c r="R68" s="100">
        <v>10</v>
      </c>
      <c r="S68" s="100">
        <v>10332</v>
      </c>
      <c r="T68" s="100">
        <v>15</v>
      </c>
      <c r="U68" s="100">
        <v>15498</v>
      </c>
      <c r="V68" s="100">
        <v>13.417629234487837</v>
      </c>
      <c r="W68" s="100">
        <v>13863.094525072835</v>
      </c>
      <c r="X68" s="100">
        <v>13</v>
      </c>
      <c r="Y68" s="100">
        <v>13431.6</v>
      </c>
      <c r="Z68" s="100">
        <v>10</v>
      </c>
      <c r="AA68" s="100">
        <v>10332</v>
      </c>
      <c r="AB68" s="100">
        <v>12</v>
      </c>
      <c r="AC68" s="100">
        <v>12398.400000000001</v>
      </c>
      <c r="AD68" s="100">
        <v>12</v>
      </c>
      <c r="AE68" s="100">
        <v>12398.400000000001</v>
      </c>
      <c r="AF68" s="100">
        <v>9</v>
      </c>
      <c r="AG68" s="100">
        <v>9298.8000000000011</v>
      </c>
      <c r="AH68" s="100">
        <v>9</v>
      </c>
      <c r="AI68" s="100">
        <v>9298.8000000000011</v>
      </c>
      <c r="AJ68" s="100">
        <v>11</v>
      </c>
      <c r="AK68" s="100">
        <v>11365.2</v>
      </c>
      <c r="AL68" s="100">
        <v>15</v>
      </c>
      <c r="AM68" s="100">
        <v>15498</v>
      </c>
      <c r="AN68" s="100">
        <v>8</v>
      </c>
      <c r="AO68" s="100">
        <v>8265.6</v>
      </c>
      <c r="AP68" s="100">
        <v>11</v>
      </c>
      <c r="AQ68" s="100">
        <v>11365.2</v>
      </c>
      <c r="AR68" s="100">
        <v>11</v>
      </c>
      <c r="AS68" s="100">
        <v>11365.2</v>
      </c>
      <c r="AT68" s="100">
        <v>16</v>
      </c>
      <c r="AU68" s="100">
        <v>16531.2</v>
      </c>
      <c r="AV68" s="100">
        <v>13</v>
      </c>
      <c r="AW68" s="100">
        <v>13431.6</v>
      </c>
      <c r="AX68" s="100">
        <v>10</v>
      </c>
      <c r="AY68" s="100">
        <v>10332</v>
      </c>
      <c r="AZ68" s="100">
        <v>12</v>
      </c>
      <c r="BA68" s="100">
        <v>12398.400000000001</v>
      </c>
      <c r="BB68" s="100">
        <v>10</v>
      </c>
      <c r="BC68" s="100">
        <v>10332</v>
      </c>
      <c r="BD68" s="100">
        <v>11</v>
      </c>
      <c r="BE68" s="100">
        <v>11365.2</v>
      </c>
      <c r="BF68" s="100">
        <v>8</v>
      </c>
      <c r="BG68" s="100">
        <v>8265.6</v>
      </c>
      <c r="BH68" s="100">
        <v>12</v>
      </c>
      <c r="BI68" s="100">
        <v>12398.400000000001</v>
      </c>
      <c r="BJ68" s="100">
        <v>16</v>
      </c>
      <c r="BK68" s="100">
        <v>16531.2</v>
      </c>
      <c r="BL68" s="100">
        <v>9</v>
      </c>
      <c r="BM68" s="100">
        <v>9298.8000000000011</v>
      </c>
      <c r="BN68" s="100">
        <v>10</v>
      </c>
      <c r="BO68" s="100">
        <v>10332</v>
      </c>
      <c r="BP68" s="100">
        <v>8</v>
      </c>
      <c r="BQ68" s="100">
        <v>8265.6</v>
      </c>
      <c r="BR68" s="100">
        <v>9</v>
      </c>
      <c r="BS68" s="100">
        <v>9298.8000000000011</v>
      </c>
      <c r="BT68" s="100">
        <v>10</v>
      </c>
      <c r="BU68" s="100">
        <v>10332</v>
      </c>
      <c r="BV68" s="100">
        <v>11</v>
      </c>
      <c r="BW68" s="100">
        <v>11365.2</v>
      </c>
      <c r="BX68" s="100">
        <v>11</v>
      </c>
      <c r="BY68" s="100">
        <v>11365.2</v>
      </c>
      <c r="BZ68" s="100">
        <v>14</v>
      </c>
      <c r="CA68" s="100">
        <v>14464.800000000001</v>
      </c>
      <c r="CB68" s="100">
        <v>9</v>
      </c>
      <c r="CC68" s="100">
        <v>9298.8000000000011</v>
      </c>
      <c r="CD68" s="100">
        <v>14.958588681981089</v>
      </c>
      <c r="CE68" s="100">
        <v>15455.213826222862</v>
      </c>
      <c r="CF68" s="100">
        <v>8.2764112553123148</v>
      </c>
      <c r="CG68" s="100">
        <v>8551.1881089886847</v>
      </c>
      <c r="CH68" s="100">
        <v>13.283129175192604</v>
      </c>
      <c r="CI68" s="100">
        <v>13724.129063808999</v>
      </c>
      <c r="CJ68" s="100">
        <v>14.493034944472708</v>
      </c>
      <c r="CK68" s="100">
        <v>14974.203704629203</v>
      </c>
      <c r="CL68" s="100">
        <v>13.718322160394512</v>
      </c>
      <c r="CM68" s="100">
        <v>14173.770456119611</v>
      </c>
      <c r="CN68" s="100">
        <v>10.86801477970304</v>
      </c>
      <c r="CO68" s="100">
        <v>11228.832870389182</v>
      </c>
      <c r="CP68" s="100">
        <v>11.743521830793535</v>
      </c>
      <c r="CQ68" s="100">
        <v>12133.406755575881</v>
      </c>
      <c r="CR68" s="100">
        <v>11</v>
      </c>
      <c r="CS68" s="100">
        <v>11365.2</v>
      </c>
      <c r="CT68" s="100">
        <v>12</v>
      </c>
      <c r="CU68" s="100">
        <v>12398.400000000001</v>
      </c>
    </row>
    <row r="69" spans="2:99">
      <c r="C69" s="99" t="s">
        <v>235</v>
      </c>
      <c r="D69" s="100">
        <v>11</v>
      </c>
      <c r="E69" s="100">
        <v>8342.4</v>
      </c>
      <c r="F69" s="100">
        <v>12.882626040414412</v>
      </c>
      <c r="G69" s="100">
        <v>9770.1835890502898</v>
      </c>
      <c r="H69" s="100">
        <v>12.51761413703613</v>
      </c>
      <c r="I69" s="100">
        <v>9493.3585615282009</v>
      </c>
      <c r="J69" s="100">
        <v>8.092552578411933</v>
      </c>
      <c r="K69" s="100">
        <v>6137.3918754676097</v>
      </c>
      <c r="L69" s="100">
        <v>14.756109836204061</v>
      </c>
      <c r="M69" s="100">
        <v>11191.033699777159</v>
      </c>
      <c r="N69" s="100">
        <v>9</v>
      </c>
      <c r="O69" s="100">
        <v>6825.5999999999995</v>
      </c>
      <c r="P69" s="100">
        <v>8</v>
      </c>
      <c r="Q69" s="100">
        <v>6067.2</v>
      </c>
      <c r="R69" s="100">
        <v>10</v>
      </c>
      <c r="S69" s="100">
        <v>7584</v>
      </c>
      <c r="T69" s="100">
        <v>18</v>
      </c>
      <c r="U69" s="100">
        <v>13651.199999999999</v>
      </c>
      <c r="V69" s="100">
        <v>13.417629234487837</v>
      </c>
      <c r="W69" s="100">
        <v>10175.930011435576</v>
      </c>
      <c r="X69" s="100">
        <v>13</v>
      </c>
      <c r="Y69" s="100">
        <v>9859.1999999999989</v>
      </c>
      <c r="Z69" s="100">
        <v>10</v>
      </c>
      <c r="AA69" s="100">
        <v>7584</v>
      </c>
      <c r="AB69" s="100">
        <v>14</v>
      </c>
      <c r="AC69" s="100">
        <v>10617.6</v>
      </c>
      <c r="AD69" s="100">
        <v>12</v>
      </c>
      <c r="AE69" s="100">
        <v>9100.7999999999993</v>
      </c>
      <c r="AF69" s="100">
        <v>9</v>
      </c>
      <c r="AG69" s="100">
        <v>6825.5999999999995</v>
      </c>
      <c r="AH69" s="100">
        <v>9</v>
      </c>
      <c r="AI69" s="100">
        <v>6825.5999999999995</v>
      </c>
      <c r="AJ69" s="100">
        <v>12</v>
      </c>
      <c r="AK69" s="100">
        <v>9100.7999999999993</v>
      </c>
      <c r="AL69" s="100">
        <v>16</v>
      </c>
      <c r="AM69" s="100">
        <v>12134.4</v>
      </c>
      <c r="AN69" s="100">
        <v>8</v>
      </c>
      <c r="AO69" s="100">
        <v>6067.2</v>
      </c>
      <c r="AP69" s="100">
        <v>11</v>
      </c>
      <c r="AQ69" s="100">
        <v>8342.4</v>
      </c>
      <c r="AR69" s="100">
        <v>11</v>
      </c>
      <c r="AS69" s="100">
        <v>8342.4</v>
      </c>
      <c r="AT69" s="100">
        <v>15</v>
      </c>
      <c r="AU69" s="100">
        <v>11376</v>
      </c>
      <c r="AV69" s="100">
        <v>12</v>
      </c>
      <c r="AW69" s="100">
        <v>9100.7999999999993</v>
      </c>
      <c r="AX69" s="100">
        <v>11</v>
      </c>
      <c r="AY69" s="100">
        <v>8342.4</v>
      </c>
      <c r="AZ69" s="100">
        <v>14</v>
      </c>
      <c r="BA69" s="100">
        <v>10617.6</v>
      </c>
      <c r="BB69" s="100">
        <v>12</v>
      </c>
      <c r="BC69" s="100">
        <v>9100.7999999999993</v>
      </c>
      <c r="BD69" s="100">
        <v>11</v>
      </c>
      <c r="BE69" s="100">
        <v>8342.4</v>
      </c>
      <c r="BF69" s="100">
        <v>9</v>
      </c>
      <c r="BG69" s="100">
        <v>6825.5999999999995</v>
      </c>
      <c r="BH69" s="100">
        <v>14</v>
      </c>
      <c r="BI69" s="100">
        <v>10617.6</v>
      </c>
      <c r="BJ69" s="100">
        <v>16</v>
      </c>
      <c r="BK69" s="100">
        <v>12134.4</v>
      </c>
      <c r="BL69" s="100">
        <v>9</v>
      </c>
      <c r="BM69" s="100">
        <v>6825.5999999999995</v>
      </c>
      <c r="BN69" s="100">
        <v>9</v>
      </c>
      <c r="BO69" s="100">
        <v>6825.5999999999995</v>
      </c>
      <c r="BP69" s="100">
        <v>9</v>
      </c>
      <c r="BQ69" s="100">
        <v>6825.5999999999995</v>
      </c>
      <c r="BR69" s="100">
        <v>9</v>
      </c>
      <c r="BS69" s="100">
        <v>6825.5999999999995</v>
      </c>
      <c r="BT69" s="100">
        <v>11</v>
      </c>
      <c r="BU69" s="100">
        <v>8342.4</v>
      </c>
      <c r="BV69" s="100">
        <v>10</v>
      </c>
      <c r="BW69" s="100">
        <v>7584</v>
      </c>
      <c r="BX69" s="100">
        <v>13</v>
      </c>
      <c r="BY69" s="100">
        <v>9859.1999999999989</v>
      </c>
      <c r="BZ69" s="100">
        <v>14</v>
      </c>
      <c r="CA69" s="100">
        <v>10617.6</v>
      </c>
      <c r="CB69" s="100">
        <v>10</v>
      </c>
      <c r="CC69" s="100">
        <v>7584</v>
      </c>
      <c r="CD69" s="100">
        <v>14.958588681981089</v>
      </c>
      <c r="CE69" s="100">
        <v>11344.593656414458</v>
      </c>
      <c r="CF69" s="100">
        <v>10.115613756492829</v>
      </c>
      <c r="CG69" s="100">
        <v>7671.6814729241614</v>
      </c>
      <c r="CH69" s="100">
        <v>14.168671120205444</v>
      </c>
      <c r="CI69" s="100">
        <v>10745.520177563809</v>
      </c>
      <c r="CJ69" s="100">
        <v>12.787972009828861</v>
      </c>
      <c r="CK69" s="100">
        <v>9698.3979722542081</v>
      </c>
      <c r="CL69" s="100">
        <v>12.003531890345199</v>
      </c>
      <c r="CM69" s="100">
        <v>9103.4785856377985</v>
      </c>
      <c r="CN69" s="100">
        <v>12.317083416996779</v>
      </c>
      <c r="CO69" s="100">
        <v>9341.2760634503575</v>
      </c>
      <c r="CP69" s="100">
        <v>11.743521830793535</v>
      </c>
      <c r="CQ69" s="100">
        <v>8906.2869564738157</v>
      </c>
      <c r="CR69" s="100">
        <v>13</v>
      </c>
      <c r="CS69" s="100">
        <v>9859.1999999999989</v>
      </c>
      <c r="CT69" s="100">
        <v>13</v>
      </c>
      <c r="CU69" s="100">
        <v>9859.1999999999989</v>
      </c>
    </row>
    <row r="70" spans="2:99">
      <c r="C70" s="99" t="s">
        <v>236</v>
      </c>
      <c r="D70" s="100">
        <v>12</v>
      </c>
      <c r="E70" s="100">
        <v>6422.4</v>
      </c>
      <c r="F70" s="100">
        <v>12.882626040414412</v>
      </c>
      <c r="G70" s="100">
        <v>6894.7814568297918</v>
      </c>
      <c r="H70" s="100">
        <v>11.781283893681064</v>
      </c>
      <c r="I70" s="100">
        <v>6305.3431398981047</v>
      </c>
      <c r="J70" s="100">
        <v>10.299612372524278</v>
      </c>
      <c r="K70" s="100">
        <v>5512.3525417749925</v>
      </c>
      <c r="L70" s="100">
        <v>15.62411629715724</v>
      </c>
      <c r="M70" s="100">
        <v>8362.0270422385547</v>
      </c>
      <c r="N70" s="100">
        <v>11</v>
      </c>
      <c r="O70" s="100">
        <v>5887.1999999999989</v>
      </c>
      <c r="P70" s="100">
        <v>9</v>
      </c>
      <c r="Q70" s="100">
        <v>4816.7999999999993</v>
      </c>
      <c r="R70" s="100">
        <v>10</v>
      </c>
      <c r="S70" s="100">
        <v>5351.9999999999991</v>
      </c>
      <c r="T70" s="100">
        <v>17</v>
      </c>
      <c r="U70" s="100">
        <v>9098.4</v>
      </c>
      <c r="V70" s="100">
        <v>12.459227146310136</v>
      </c>
      <c r="W70" s="100">
        <v>6668.1783687051839</v>
      </c>
      <c r="X70" s="100">
        <v>12</v>
      </c>
      <c r="Y70" s="100">
        <v>6422.4</v>
      </c>
      <c r="Z70" s="100">
        <v>10</v>
      </c>
      <c r="AA70" s="100">
        <v>5351.9999999999991</v>
      </c>
      <c r="AB70" s="100">
        <v>12</v>
      </c>
      <c r="AC70" s="100">
        <v>6422.4</v>
      </c>
      <c r="AD70" s="100">
        <v>12</v>
      </c>
      <c r="AE70" s="100">
        <v>6422.4</v>
      </c>
      <c r="AF70" s="100">
        <v>10</v>
      </c>
      <c r="AG70" s="100">
        <v>5351.9999999999991</v>
      </c>
      <c r="AH70" s="100">
        <v>10</v>
      </c>
      <c r="AI70" s="100">
        <v>5351.9999999999991</v>
      </c>
      <c r="AJ70" s="100">
        <v>11</v>
      </c>
      <c r="AK70" s="100">
        <v>5887.1999999999989</v>
      </c>
      <c r="AL70" s="100">
        <v>17</v>
      </c>
      <c r="AM70" s="100">
        <v>9098.4</v>
      </c>
      <c r="AN70" s="100">
        <v>8</v>
      </c>
      <c r="AO70" s="100">
        <v>4281.5999999999995</v>
      </c>
      <c r="AP70" s="100">
        <v>12</v>
      </c>
      <c r="AQ70" s="100">
        <v>6422.4</v>
      </c>
      <c r="AR70" s="100">
        <v>12</v>
      </c>
      <c r="AS70" s="100">
        <v>6422.4</v>
      </c>
      <c r="AT70" s="100">
        <v>16</v>
      </c>
      <c r="AU70" s="100">
        <v>8563.1999999999989</v>
      </c>
      <c r="AV70" s="100">
        <v>13</v>
      </c>
      <c r="AW70" s="100">
        <v>6957.5999999999995</v>
      </c>
      <c r="AX70" s="100">
        <v>12</v>
      </c>
      <c r="AY70" s="100">
        <v>6422.4</v>
      </c>
      <c r="AZ70" s="100">
        <v>13</v>
      </c>
      <c r="BA70" s="100">
        <v>6957.5999999999995</v>
      </c>
      <c r="BB70" s="100">
        <v>11</v>
      </c>
      <c r="BC70" s="100">
        <v>5887.1999999999989</v>
      </c>
      <c r="BD70" s="100">
        <v>11</v>
      </c>
      <c r="BE70" s="100">
        <v>5887.1999999999989</v>
      </c>
      <c r="BF70" s="100">
        <v>9</v>
      </c>
      <c r="BG70" s="100">
        <v>4816.7999999999993</v>
      </c>
      <c r="BH70" s="100">
        <v>14</v>
      </c>
      <c r="BI70" s="100">
        <v>7492.7999999999993</v>
      </c>
      <c r="BJ70" s="100">
        <v>16</v>
      </c>
      <c r="BK70" s="100">
        <v>8563.1999999999989</v>
      </c>
      <c r="BL70" s="100">
        <v>9</v>
      </c>
      <c r="BM70" s="100">
        <v>4816.7999999999993</v>
      </c>
      <c r="BN70" s="100">
        <v>9</v>
      </c>
      <c r="BO70" s="100">
        <v>4816.7999999999993</v>
      </c>
      <c r="BP70" s="100">
        <v>9</v>
      </c>
      <c r="BQ70" s="100">
        <v>4816.7999999999993</v>
      </c>
      <c r="BR70" s="100">
        <v>10</v>
      </c>
      <c r="BS70" s="100">
        <v>5351.9999999999991</v>
      </c>
      <c r="BT70" s="100">
        <v>11</v>
      </c>
      <c r="BU70" s="100">
        <v>5887.1999999999989</v>
      </c>
      <c r="BV70" s="100">
        <v>10</v>
      </c>
      <c r="BW70" s="100">
        <v>5351.9999999999991</v>
      </c>
      <c r="BX70" s="100">
        <v>13</v>
      </c>
      <c r="BY70" s="100">
        <v>6957.5999999999995</v>
      </c>
      <c r="BZ70" s="100">
        <v>15</v>
      </c>
      <c r="CA70" s="100">
        <v>8027.9999999999991</v>
      </c>
      <c r="CB70" s="100">
        <v>11</v>
      </c>
      <c r="CC70" s="100">
        <v>5887.1999999999989</v>
      </c>
      <c r="CD70" s="100">
        <v>13.961349436515684</v>
      </c>
      <c r="CE70" s="100">
        <v>7472.1142184231931</v>
      </c>
      <c r="CF70" s="100">
        <v>9.1960125059025728</v>
      </c>
      <c r="CG70" s="100">
        <v>4921.7058931590564</v>
      </c>
      <c r="CH70" s="100">
        <v>11.512045285166923</v>
      </c>
      <c r="CI70" s="100">
        <v>6161.2466366213366</v>
      </c>
      <c r="CJ70" s="100">
        <v>13.640503477150784</v>
      </c>
      <c r="CK70" s="100">
        <v>7300.3974609710986</v>
      </c>
      <c r="CL70" s="100">
        <v>12.860927025369856</v>
      </c>
      <c r="CM70" s="100">
        <v>6883.1681439779459</v>
      </c>
      <c r="CN70" s="100">
        <v>11.59254909834991</v>
      </c>
      <c r="CO70" s="100">
        <v>6204.3322774368708</v>
      </c>
      <c r="CP70" s="100">
        <v>10.764895011560739</v>
      </c>
      <c r="CQ70" s="100">
        <v>5761.3718101873064</v>
      </c>
      <c r="CR70" s="100">
        <v>12</v>
      </c>
      <c r="CS70" s="100">
        <v>6422.4</v>
      </c>
      <c r="CT70" s="100">
        <v>12</v>
      </c>
      <c r="CU70" s="100">
        <v>6422.4</v>
      </c>
    </row>
    <row r="71" spans="2:99">
      <c r="B71" s="99" t="s">
        <v>130</v>
      </c>
      <c r="C71" s="99" t="s">
        <v>237</v>
      </c>
      <c r="D71" s="100">
        <v>5</v>
      </c>
      <c r="E71" s="100">
        <v>2820</v>
      </c>
      <c r="F71" s="100">
        <v>6</v>
      </c>
      <c r="G71" s="100">
        <v>3384</v>
      </c>
      <c r="H71" s="100">
        <v>5</v>
      </c>
      <c r="I71" s="100">
        <v>2820</v>
      </c>
      <c r="J71" s="100">
        <v>9</v>
      </c>
      <c r="K71" s="100">
        <v>5076</v>
      </c>
      <c r="L71" s="100">
        <v>7</v>
      </c>
      <c r="M71" s="100">
        <v>3948</v>
      </c>
      <c r="N71" s="100">
        <v>5</v>
      </c>
      <c r="O71" s="100">
        <v>2820</v>
      </c>
      <c r="P71" s="100">
        <v>9</v>
      </c>
      <c r="Q71" s="100">
        <v>5076</v>
      </c>
      <c r="R71" s="100">
        <v>8</v>
      </c>
      <c r="S71" s="100">
        <v>4512</v>
      </c>
      <c r="T71" s="100">
        <v>6</v>
      </c>
      <c r="U71" s="100">
        <v>3384</v>
      </c>
      <c r="V71" s="100">
        <v>8</v>
      </c>
      <c r="W71" s="100">
        <v>4512</v>
      </c>
      <c r="X71" s="100">
        <v>8</v>
      </c>
      <c r="Y71" s="100">
        <v>4512</v>
      </c>
      <c r="Z71" s="100">
        <v>6</v>
      </c>
      <c r="AA71" s="100">
        <v>3384</v>
      </c>
      <c r="AB71" s="100">
        <v>8</v>
      </c>
      <c r="AC71" s="100">
        <v>4512</v>
      </c>
      <c r="AD71" s="100">
        <v>8</v>
      </c>
      <c r="AE71" s="100">
        <v>4512</v>
      </c>
      <c r="AF71" s="100">
        <v>7</v>
      </c>
      <c r="AG71" s="100">
        <v>3948</v>
      </c>
      <c r="AH71" s="100">
        <v>10</v>
      </c>
      <c r="AI71" s="100">
        <v>5640</v>
      </c>
      <c r="AJ71" s="100">
        <v>7</v>
      </c>
      <c r="AK71" s="100">
        <v>3948</v>
      </c>
      <c r="AL71" s="100">
        <v>7</v>
      </c>
      <c r="AM71" s="100">
        <v>3948</v>
      </c>
      <c r="AN71" s="100">
        <v>8</v>
      </c>
      <c r="AO71" s="100">
        <v>4512</v>
      </c>
      <c r="AP71" s="100">
        <v>6</v>
      </c>
      <c r="AQ71" s="100">
        <v>3384</v>
      </c>
      <c r="AR71" s="100">
        <v>6</v>
      </c>
      <c r="AS71" s="100">
        <v>3384</v>
      </c>
      <c r="AT71" s="100">
        <v>9</v>
      </c>
      <c r="AU71" s="100">
        <v>5076</v>
      </c>
      <c r="AV71" s="100">
        <v>6</v>
      </c>
      <c r="AW71" s="100">
        <v>3384</v>
      </c>
      <c r="AX71" s="100">
        <v>9</v>
      </c>
      <c r="AY71" s="100">
        <v>5076</v>
      </c>
      <c r="AZ71" s="100">
        <v>6</v>
      </c>
      <c r="BA71" s="100">
        <v>3384</v>
      </c>
      <c r="BB71" s="100">
        <v>7</v>
      </c>
      <c r="BC71" s="100">
        <v>3948</v>
      </c>
      <c r="BD71" s="100">
        <v>6</v>
      </c>
      <c r="BE71" s="100">
        <v>3384</v>
      </c>
      <c r="BF71" s="100">
        <v>8</v>
      </c>
      <c r="BG71" s="100">
        <v>4512</v>
      </c>
      <c r="BH71" s="100">
        <v>8</v>
      </c>
      <c r="BI71" s="100">
        <v>4512</v>
      </c>
      <c r="BJ71" s="100">
        <v>7</v>
      </c>
      <c r="BK71" s="100">
        <v>3948</v>
      </c>
      <c r="BL71" s="100">
        <v>8</v>
      </c>
      <c r="BM71" s="100">
        <v>4512</v>
      </c>
      <c r="BN71" s="100">
        <v>10</v>
      </c>
      <c r="BO71" s="100">
        <v>5640</v>
      </c>
      <c r="BP71" s="100">
        <v>9</v>
      </c>
      <c r="BQ71" s="100">
        <v>5076</v>
      </c>
      <c r="BR71" s="100">
        <v>8</v>
      </c>
      <c r="BS71" s="100">
        <v>4512</v>
      </c>
      <c r="BT71" s="100">
        <v>10</v>
      </c>
      <c r="BU71" s="100">
        <v>5640</v>
      </c>
      <c r="BV71" s="100">
        <v>9</v>
      </c>
      <c r="BW71" s="100">
        <v>5076</v>
      </c>
      <c r="BX71" s="100">
        <v>6</v>
      </c>
      <c r="BY71" s="100">
        <v>3384</v>
      </c>
      <c r="BZ71" s="100">
        <v>10</v>
      </c>
      <c r="CA71" s="100">
        <v>5640</v>
      </c>
      <c r="CB71" s="100">
        <v>7</v>
      </c>
      <c r="CC71" s="100">
        <v>3948</v>
      </c>
      <c r="CD71" s="100">
        <v>7</v>
      </c>
      <c r="CE71" s="100">
        <v>3948</v>
      </c>
      <c r="CF71" s="100">
        <v>6</v>
      </c>
      <c r="CG71" s="100">
        <v>3384</v>
      </c>
      <c r="CH71" s="100">
        <v>8</v>
      </c>
      <c r="CI71" s="100">
        <v>4512</v>
      </c>
      <c r="CJ71" s="100">
        <v>11</v>
      </c>
      <c r="CK71" s="100">
        <v>6204</v>
      </c>
      <c r="CL71" s="100">
        <v>6</v>
      </c>
      <c r="CM71" s="100">
        <v>3384</v>
      </c>
      <c r="CN71" s="100">
        <v>6</v>
      </c>
      <c r="CO71" s="100">
        <v>3384</v>
      </c>
      <c r="CP71" s="100">
        <v>9</v>
      </c>
      <c r="CQ71" s="100">
        <v>5076</v>
      </c>
      <c r="CR71" s="100">
        <v>6</v>
      </c>
      <c r="CS71" s="100">
        <v>3384</v>
      </c>
      <c r="CT71" s="100">
        <v>8</v>
      </c>
      <c r="CU71" s="100">
        <v>4512</v>
      </c>
    </row>
    <row r="72" spans="2:99">
      <c r="C72" s="99" t="s">
        <v>238</v>
      </c>
      <c r="D72" s="100">
        <v>5</v>
      </c>
      <c r="E72" s="100">
        <v>371.99999999999994</v>
      </c>
      <c r="F72" s="100">
        <v>6</v>
      </c>
      <c r="G72" s="100">
        <v>446.4</v>
      </c>
      <c r="H72" s="100">
        <v>6</v>
      </c>
      <c r="I72" s="100">
        <v>446.4</v>
      </c>
      <c r="J72" s="100">
        <v>9</v>
      </c>
      <c r="K72" s="100">
        <v>669.59999999999991</v>
      </c>
      <c r="L72" s="100">
        <v>7</v>
      </c>
      <c r="M72" s="100">
        <v>520.79999999999995</v>
      </c>
      <c r="N72" s="100">
        <v>7</v>
      </c>
      <c r="O72" s="100">
        <v>520.79999999999995</v>
      </c>
      <c r="P72" s="100">
        <v>8</v>
      </c>
      <c r="Q72" s="100">
        <v>595.19999999999993</v>
      </c>
      <c r="R72" s="100">
        <v>9</v>
      </c>
      <c r="S72" s="100">
        <v>669.59999999999991</v>
      </c>
      <c r="T72" s="100">
        <v>6</v>
      </c>
      <c r="U72" s="100">
        <v>446.4</v>
      </c>
      <c r="V72" s="100">
        <v>10</v>
      </c>
      <c r="W72" s="100">
        <v>743.99999999999989</v>
      </c>
      <c r="X72" s="100">
        <v>8</v>
      </c>
      <c r="Y72" s="100">
        <v>595.19999999999993</v>
      </c>
      <c r="Z72" s="100">
        <v>6</v>
      </c>
      <c r="AA72" s="100">
        <v>446.4</v>
      </c>
      <c r="AB72" s="100">
        <v>9</v>
      </c>
      <c r="AC72" s="100">
        <v>669.59999999999991</v>
      </c>
      <c r="AD72" s="100">
        <v>8</v>
      </c>
      <c r="AE72" s="100">
        <v>595.19999999999993</v>
      </c>
      <c r="AF72" s="100">
        <v>9</v>
      </c>
      <c r="AG72" s="100">
        <v>669.59999999999991</v>
      </c>
      <c r="AH72" s="100">
        <v>9</v>
      </c>
      <c r="AI72" s="100">
        <v>669.59999999999991</v>
      </c>
      <c r="AJ72" s="100">
        <v>8</v>
      </c>
      <c r="AK72" s="100">
        <v>595.19999999999993</v>
      </c>
      <c r="AL72" s="100">
        <v>8</v>
      </c>
      <c r="AM72" s="100">
        <v>595.19999999999993</v>
      </c>
      <c r="AN72" s="100">
        <v>8</v>
      </c>
      <c r="AO72" s="100">
        <v>595.19999999999993</v>
      </c>
      <c r="AP72" s="100">
        <v>6</v>
      </c>
      <c r="AQ72" s="100">
        <v>446.4</v>
      </c>
      <c r="AR72" s="100">
        <v>5</v>
      </c>
      <c r="AS72" s="100">
        <v>371.99999999999994</v>
      </c>
      <c r="AT72" s="100">
        <v>11</v>
      </c>
      <c r="AU72" s="100">
        <v>818.39999999999986</v>
      </c>
      <c r="AV72" s="100">
        <v>5</v>
      </c>
      <c r="AW72" s="100">
        <v>371.99999999999994</v>
      </c>
      <c r="AX72" s="100">
        <v>10</v>
      </c>
      <c r="AY72" s="100">
        <v>743.99999999999989</v>
      </c>
      <c r="AZ72" s="100">
        <v>6</v>
      </c>
      <c r="BA72" s="100">
        <v>446.4</v>
      </c>
      <c r="BB72" s="100">
        <v>7</v>
      </c>
      <c r="BC72" s="100">
        <v>520.79999999999995</v>
      </c>
      <c r="BD72" s="100">
        <v>7</v>
      </c>
      <c r="BE72" s="100">
        <v>520.79999999999995</v>
      </c>
      <c r="BF72" s="100">
        <v>8</v>
      </c>
      <c r="BG72" s="100">
        <v>595.19999999999993</v>
      </c>
      <c r="BH72" s="100">
        <v>9</v>
      </c>
      <c r="BI72" s="100">
        <v>669.59999999999991</v>
      </c>
      <c r="BJ72" s="100">
        <v>7</v>
      </c>
      <c r="BK72" s="100">
        <v>520.79999999999995</v>
      </c>
      <c r="BL72" s="100">
        <v>8</v>
      </c>
      <c r="BM72" s="100">
        <v>595.19999999999993</v>
      </c>
      <c r="BN72" s="100">
        <v>10</v>
      </c>
      <c r="BO72" s="100">
        <v>743.99999999999989</v>
      </c>
      <c r="BP72" s="100">
        <v>9</v>
      </c>
      <c r="BQ72" s="100">
        <v>669.59999999999991</v>
      </c>
      <c r="BR72" s="100">
        <v>7</v>
      </c>
      <c r="BS72" s="100">
        <v>520.79999999999995</v>
      </c>
      <c r="BT72" s="100">
        <v>11</v>
      </c>
      <c r="BU72" s="100">
        <v>818.39999999999986</v>
      </c>
      <c r="BV72" s="100">
        <v>11</v>
      </c>
      <c r="BW72" s="100">
        <v>818.39999999999986</v>
      </c>
      <c r="BX72" s="100">
        <v>7</v>
      </c>
      <c r="BY72" s="100">
        <v>520.79999999999995</v>
      </c>
      <c r="BZ72" s="100">
        <v>10</v>
      </c>
      <c r="CA72" s="100">
        <v>743.99999999999989</v>
      </c>
      <c r="CB72" s="100">
        <v>7</v>
      </c>
      <c r="CC72" s="100">
        <v>520.79999999999995</v>
      </c>
      <c r="CD72" s="100">
        <v>7</v>
      </c>
      <c r="CE72" s="100">
        <v>520.79999999999995</v>
      </c>
      <c r="CF72" s="100">
        <v>7</v>
      </c>
      <c r="CG72" s="100">
        <v>520.79999999999995</v>
      </c>
      <c r="CH72" s="100">
        <v>8</v>
      </c>
      <c r="CI72" s="100">
        <v>595.19999999999993</v>
      </c>
      <c r="CJ72" s="100">
        <v>12</v>
      </c>
      <c r="CK72" s="100">
        <v>892.8</v>
      </c>
      <c r="CL72" s="100">
        <v>6</v>
      </c>
      <c r="CM72" s="100">
        <v>446.4</v>
      </c>
      <c r="CN72" s="100">
        <v>7</v>
      </c>
      <c r="CO72" s="100">
        <v>520.79999999999995</v>
      </c>
      <c r="CP72" s="100">
        <v>10</v>
      </c>
      <c r="CQ72" s="100">
        <v>743.99999999999989</v>
      </c>
      <c r="CR72" s="100">
        <v>7</v>
      </c>
      <c r="CS72" s="100">
        <v>520.79999999999995</v>
      </c>
      <c r="CT72" s="100">
        <v>9</v>
      </c>
      <c r="CU72" s="100">
        <v>669.59999999999991</v>
      </c>
    </row>
    <row r="73" spans="2:99">
      <c r="C73" s="99" t="s">
        <v>239</v>
      </c>
      <c r="D73" s="100">
        <v>6</v>
      </c>
      <c r="E73" s="100">
        <v>3355.2</v>
      </c>
      <c r="F73" s="100">
        <v>6</v>
      </c>
      <c r="G73" s="100">
        <v>3355.2</v>
      </c>
      <c r="H73" s="100">
        <v>5</v>
      </c>
      <c r="I73" s="100">
        <v>2795.9999999999995</v>
      </c>
      <c r="J73" s="100">
        <v>9</v>
      </c>
      <c r="K73" s="100">
        <v>5032.7999999999993</v>
      </c>
      <c r="L73" s="100">
        <v>8</v>
      </c>
      <c r="M73" s="100">
        <v>4473.5999999999995</v>
      </c>
      <c r="N73" s="100">
        <v>6</v>
      </c>
      <c r="O73" s="100">
        <v>3355.2</v>
      </c>
      <c r="P73" s="100">
        <v>9</v>
      </c>
      <c r="Q73" s="100">
        <v>5032.7999999999993</v>
      </c>
      <c r="R73" s="100">
        <v>9</v>
      </c>
      <c r="S73" s="100">
        <v>5032.7999999999993</v>
      </c>
      <c r="T73" s="100">
        <v>6</v>
      </c>
      <c r="U73" s="100">
        <v>3355.2</v>
      </c>
      <c r="V73" s="100">
        <v>9</v>
      </c>
      <c r="W73" s="100">
        <v>5032.7999999999993</v>
      </c>
      <c r="X73" s="100">
        <v>8</v>
      </c>
      <c r="Y73" s="100">
        <v>4473.5999999999995</v>
      </c>
      <c r="Z73" s="100">
        <v>6</v>
      </c>
      <c r="AA73" s="100">
        <v>3355.2</v>
      </c>
      <c r="AB73" s="100">
        <v>8</v>
      </c>
      <c r="AC73" s="100">
        <v>4473.5999999999995</v>
      </c>
      <c r="AD73" s="100">
        <v>7</v>
      </c>
      <c r="AE73" s="100">
        <v>3914.3999999999996</v>
      </c>
      <c r="AF73" s="100">
        <v>8</v>
      </c>
      <c r="AG73" s="100">
        <v>4473.5999999999995</v>
      </c>
      <c r="AH73" s="100">
        <v>9</v>
      </c>
      <c r="AI73" s="100">
        <v>5032.7999999999993</v>
      </c>
      <c r="AJ73" s="100">
        <v>8</v>
      </c>
      <c r="AK73" s="100">
        <v>4473.5999999999995</v>
      </c>
      <c r="AL73" s="100">
        <v>7</v>
      </c>
      <c r="AM73" s="100">
        <v>3914.3999999999996</v>
      </c>
      <c r="AN73" s="100">
        <v>8</v>
      </c>
      <c r="AO73" s="100">
        <v>4473.5999999999995</v>
      </c>
      <c r="AP73" s="100">
        <v>6</v>
      </c>
      <c r="AQ73" s="100">
        <v>3355.2</v>
      </c>
      <c r="AR73" s="100">
        <v>6</v>
      </c>
      <c r="AS73" s="100">
        <v>3355.2</v>
      </c>
      <c r="AT73" s="100">
        <v>10</v>
      </c>
      <c r="AU73" s="100">
        <v>5591.9999999999991</v>
      </c>
      <c r="AV73" s="100">
        <v>6</v>
      </c>
      <c r="AW73" s="100">
        <v>3355.2</v>
      </c>
      <c r="AX73" s="100">
        <v>9</v>
      </c>
      <c r="AY73" s="100">
        <v>5032.7999999999993</v>
      </c>
      <c r="AZ73" s="100">
        <v>6</v>
      </c>
      <c r="BA73" s="100">
        <v>3355.2</v>
      </c>
      <c r="BB73" s="100">
        <v>8</v>
      </c>
      <c r="BC73" s="100">
        <v>4473.5999999999995</v>
      </c>
      <c r="BD73" s="100">
        <v>6</v>
      </c>
      <c r="BE73" s="100">
        <v>3355.2</v>
      </c>
      <c r="BF73" s="100">
        <v>8</v>
      </c>
      <c r="BG73" s="100">
        <v>4473.5999999999995</v>
      </c>
      <c r="BH73" s="100">
        <v>8</v>
      </c>
      <c r="BI73" s="100">
        <v>4473.5999999999995</v>
      </c>
      <c r="BJ73" s="100">
        <v>8</v>
      </c>
      <c r="BK73" s="100">
        <v>4473.5999999999995</v>
      </c>
      <c r="BL73" s="100">
        <v>8</v>
      </c>
      <c r="BM73" s="100">
        <v>4473.5999999999995</v>
      </c>
      <c r="BN73" s="100">
        <v>10</v>
      </c>
      <c r="BO73" s="100">
        <v>5591.9999999999991</v>
      </c>
      <c r="BP73" s="100">
        <v>9</v>
      </c>
      <c r="BQ73" s="100">
        <v>5032.7999999999993</v>
      </c>
      <c r="BR73" s="100">
        <v>8</v>
      </c>
      <c r="BS73" s="100">
        <v>4473.5999999999995</v>
      </c>
      <c r="BT73" s="100">
        <v>11</v>
      </c>
      <c r="BU73" s="100">
        <v>6151.1999999999989</v>
      </c>
      <c r="BV73" s="100">
        <v>10</v>
      </c>
      <c r="BW73" s="100">
        <v>5591.9999999999991</v>
      </c>
      <c r="BX73" s="100">
        <v>6</v>
      </c>
      <c r="BY73" s="100">
        <v>3355.2</v>
      </c>
      <c r="BZ73" s="100">
        <v>10</v>
      </c>
      <c r="CA73" s="100">
        <v>5591.9999999999991</v>
      </c>
      <c r="CB73" s="100">
        <v>7</v>
      </c>
      <c r="CC73" s="100">
        <v>3914.3999999999996</v>
      </c>
      <c r="CD73" s="100">
        <v>7</v>
      </c>
      <c r="CE73" s="100">
        <v>3914.3999999999996</v>
      </c>
      <c r="CF73" s="100">
        <v>6</v>
      </c>
      <c r="CG73" s="100">
        <v>3355.2</v>
      </c>
      <c r="CH73" s="100">
        <v>8</v>
      </c>
      <c r="CI73" s="100">
        <v>4473.5999999999995</v>
      </c>
      <c r="CJ73" s="100">
        <v>11</v>
      </c>
      <c r="CK73" s="100">
        <v>6151.1999999999989</v>
      </c>
      <c r="CL73" s="100">
        <v>6</v>
      </c>
      <c r="CM73" s="100">
        <v>3355.2</v>
      </c>
      <c r="CN73" s="100">
        <v>7</v>
      </c>
      <c r="CO73" s="100">
        <v>3914.3999999999996</v>
      </c>
      <c r="CP73" s="100">
        <v>10</v>
      </c>
      <c r="CQ73" s="100">
        <v>5591.9999999999991</v>
      </c>
      <c r="CR73" s="100">
        <v>7</v>
      </c>
      <c r="CS73" s="100">
        <v>3914.3999999999996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5</v>
      </c>
      <c r="E74" s="100">
        <v>2016</v>
      </c>
      <c r="F74" s="100">
        <v>6</v>
      </c>
      <c r="G74" s="100">
        <v>2419.1999999999998</v>
      </c>
      <c r="H74" s="100">
        <v>5</v>
      </c>
      <c r="I74" s="100">
        <v>2016</v>
      </c>
      <c r="J74" s="100">
        <v>9</v>
      </c>
      <c r="K74" s="100">
        <v>3628.7999999999997</v>
      </c>
      <c r="L74" s="100">
        <v>8</v>
      </c>
      <c r="M74" s="100">
        <v>3225.6</v>
      </c>
      <c r="N74" s="100">
        <v>5</v>
      </c>
      <c r="O74" s="100">
        <v>2016</v>
      </c>
      <c r="P74" s="100">
        <v>8</v>
      </c>
      <c r="Q74" s="100">
        <v>3225.6</v>
      </c>
      <c r="R74" s="100">
        <v>9</v>
      </c>
      <c r="S74" s="100">
        <v>3628.7999999999997</v>
      </c>
      <c r="T74" s="100">
        <v>5</v>
      </c>
      <c r="U74" s="100">
        <v>2016</v>
      </c>
      <c r="V74" s="100">
        <v>9</v>
      </c>
      <c r="W74" s="100">
        <v>3628.7999999999997</v>
      </c>
      <c r="X74" s="100">
        <v>9</v>
      </c>
      <c r="Y74" s="100">
        <v>3628.7999999999997</v>
      </c>
      <c r="Z74" s="100">
        <v>6</v>
      </c>
      <c r="AA74" s="100">
        <v>2419.1999999999998</v>
      </c>
      <c r="AB74" s="100">
        <v>8</v>
      </c>
      <c r="AC74" s="100">
        <v>3225.6</v>
      </c>
      <c r="AD74" s="100">
        <v>9</v>
      </c>
      <c r="AE74" s="100">
        <v>3628.7999999999997</v>
      </c>
      <c r="AF74" s="100">
        <v>9</v>
      </c>
      <c r="AG74" s="100">
        <v>3628.7999999999997</v>
      </c>
      <c r="AH74" s="100">
        <v>9</v>
      </c>
      <c r="AI74" s="100">
        <v>3628.7999999999997</v>
      </c>
      <c r="AJ74" s="100">
        <v>8</v>
      </c>
      <c r="AK74" s="100">
        <v>3225.6</v>
      </c>
      <c r="AL74" s="100">
        <v>8</v>
      </c>
      <c r="AM74" s="100">
        <v>3225.6</v>
      </c>
      <c r="AN74" s="100">
        <v>7</v>
      </c>
      <c r="AO74" s="100">
        <v>2822.4</v>
      </c>
      <c r="AP74" s="100">
        <v>6</v>
      </c>
      <c r="AQ74" s="100">
        <v>2419.1999999999998</v>
      </c>
      <c r="AR74" s="100">
        <v>5</v>
      </c>
      <c r="AS74" s="100">
        <v>2016</v>
      </c>
      <c r="AT74" s="100">
        <v>10</v>
      </c>
      <c r="AU74" s="100">
        <v>4032</v>
      </c>
      <c r="AV74" s="100">
        <v>5</v>
      </c>
      <c r="AW74" s="100">
        <v>2016</v>
      </c>
      <c r="AX74" s="100">
        <v>8</v>
      </c>
      <c r="AY74" s="100">
        <v>3225.6</v>
      </c>
      <c r="AZ74" s="100">
        <v>7</v>
      </c>
      <c r="BA74" s="100">
        <v>2822.4</v>
      </c>
      <c r="BB74" s="100">
        <v>7</v>
      </c>
      <c r="BC74" s="100">
        <v>2822.4</v>
      </c>
      <c r="BD74" s="100">
        <v>6</v>
      </c>
      <c r="BE74" s="100">
        <v>2419.1999999999998</v>
      </c>
      <c r="BF74" s="100">
        <v>9</v>
      </c>
      <c r="BG74" s="100">
        <v>3628.7999999999997</v>
      </c>
      <c r="BH74" s="100">
        <v>8</v>
      </c>
      <c r="BI74" s="100">
        <v>3225.6</v>
      </c>
      <c r="BJ74" s="100">
        <v>8</v>
      </c>
      <c r="BK74" s="100">
        <v>3225.6</v>
      </c>
      <c r="BL74" s="100">
        <v>8</v>
      </c>
      <c r="BM74" s="100">
        <v>3225.6</v>
      </c>
      <c r="BN74" s="100">
        <v>10</v>
      </c>
      <c r="BO74" s="100">
        <v>4032</v>
      </c>
      <c r="BP74" s="100">
        <v>9</v>
      </c>
      <c r="BQ74" s="100">
        <v>3628.7999999999997</v>
      </c>
      <c r="BR74" s="100">
        <v>7</v>
      </c>
      <c r="BS74" s="100">
        <v>2822.4</v>
      </c>
      <c r="BT74" s="100">
        <v>11</v>
      </c>
      <c r="BU74" s="100">
        <v>4435.2</v>
      </c>
      <c r="BV74" s="100">
        <v>10</v>
      </c>
      <c r="BW74" s="100">
        <v>4032</v>
      </c>
      <c r="BX74" s="100">
        <v>6</v>
      </c>
      <c r="BY74" s="100">
        <v>2419.1999999999998</v>
      </c>
      <c r="BZ74" s="100">
        <v>11</v>
      </c>
      <c r="CA74" s="100">
        <v>4435.2</v>
      </c>
      <c r="CB74" s="100">
        <v>6</v>
      </c>
      <c r="CC74" s="100">
        <v>2419.1999999999998</v>
      </c>
      <c r="CD74" s="100">
        <v>8</v>
      </c>
      <c r="CE74" s="100">
        <v>3225.6</v>
      </c>
      <c r="CF74" s="100">
        <v>7</v>
      </c>
      <c r="CG74" s="100">
        <v>2822.4</v>
      </c>
      <c r="CH74" s="100">
        <v>8</v>
      </c>
      <c r="CI74" s="100">
        <v>3225.6</v>
      </c>
      <c r="CJ74" s="100">
        <v>11</v>
      </c>
      <c r="CK74" s="100">
        <v>4435.2</v>
      </c>
      <c r="CL74" s="100">
        <v>6</v>
      </c>
      <c r="CM74" s="100">
        <v>2419.1999999999998</v>
      </c>
      <c r="CN74" s="100">
        <v>6</v>
      </c>
      <c r="CO74" s="100">
        <v>2419.1999999999998</v>
      </c>
      <c r="CP74" s="100">
        <v>9</v>
      </c>
      <c r="CQ74" s="100">
        <v>3628.7999999999997</v>
      </c>
      <c r="CR74" s="100">
        <v>7</v>
      </c>
      <c r="CS74" s="100">
        <v>2822.4</v>
      </c>
      <c r="CT74" s="100">
        <v>9</v>
      </c>
      <c r="CU74" s="100">
        <v>3628.7999999999997</v>
      </c>
    </row>
    <row r="75" spans="2:99">
      <c r="C75" s="99" t="s">
        <v>241</v>
      </c>
      <c r="D75" s="100">
        <v>6</v>
      </c>
      <c r="E75" s="100">
        <v>3859.2</v>
      </c>
      <c r="F75" s="100">
        <v>6</v>
      </c>
      <c r="G75" s="100">
        <v>3859.2</v>
      </c>
      <c r="H75" s="100">
        <v>5</v>
      </c>
      <c r="I75" s="100">
        <v>3215.9999999999995</v>
      </c>
      <c r="J75" s="100">
        <v>9</v>
      </c>
      <c r="K75" s="100">
        <v>5788.7999999999993</v>
      </c>
      <c r="L75" s="100">
        <v>7</v>
      </c>
      <c r="M75" s="100">
        <v>4502.3999999999996</v>
      </c>
      <c r="N75" s="100">
        <v>6</v>
      </c>
      <c r="O75" s="100">
        <v>3859.2</v>
      </c>
      <c r="P75" s="100">
        <v>8</v>
      </c>
      <c r="Q75" s="100">
        <v>5145.5999999999995</v>
      </c>
      <c r="R75" s="100">
        <v>8</v>
      </c>
      <c r="S75" s="100">
        <v>5145.5999999999995</v>
      </c>
      <c r="T75" s="100">
        <v>5</v>
      </c>
      <c r="U75" s="100">
        <v>3215.9999999999995</v>
      </c>
      <c r="V75" s="100">
        <v>9</v>
      </c>
      <c r="W75" s="100">
        <v>5788.7999999999993</v>
      </c>
      <c r="X75" s="100">
        <v>8</v>
      </c>
      <c r="Y75" s="100">
        <v>5145.5999999999995</v>
      </c>
      <c r="Z75" s="100">
        <v>6</v>
      </c>
      <c r="AA75" s="100">
        <v>3859.2</v>
      </c>
      <c r="AB75" s="100">
        <v>8</v>
      </c>
      <c r="AC75" s="100">
        <v>5145.5999999999995</v>
      </c>
      <c r="AD75" s="100">
        <v>7</v>
      </c>
      <c r="AE75" s="100">
        <v>4502.3999999999996</v>
      </c>
      <c r="AF75" s="100">
        <v>7</v>
      </c>
      <c r="AG75" s="100">
        <v>4502.3999999999996</v>
      </c>
      <c r="AH75" s="100">
        <v>10</v>
      </c>
      <c r="AI75" s="100">
        <v>6431.9999999999991</v>
      </c>
      <c r="AJ75" s="100">
        <v>8</v>
      </c>
      <c r="AK75" s="100">
        <v>5145.5999999999995</v>
      </c>
      <c r="AL75" s="100">
        <v>7</v>
      </c>
      <c r="AM75" s="100">
        <v>4502.3999999999996</v>
      </c>
      <c r="AN75" s="100">
        <v>7</v>
      </c>
      <c r="AO75" s="100">
        <v>4502.3999999999996</v>
      </c>
      <c r="AP75" s="100">
        <v>6</v>
      </c>
      <c r="AQ75" s="100">
        <v>3859.2</v>
      </c>
      <c r="AR75" s="100">
        <v>6</v>
      </c>
      <c r="AS75" s="100">
        <v>3859.2</v>
      </c>
      <c r="AT75" s="100">
        <v>9</v>
      </c>
      <c r="AU75" s="100">
        <v>5788.7999999999993</v>
      </c>
      <c r="AV75" s="100">
        <v>6</v>
      </c>
      <c r="AW75" s="100">
        <v>3859.2</v>
      </c>
      <c r="AX75" s="100">
        <v>9</v>
      </c>
      <c r="AY75" s="100">
        <v>5788.7999999999993</v>
      </c>
      <c r="AZ75" s="100">
        <v>6</v>
      </c>
      <c r="BA75" s="100">
        <v>3859.2</v>
      </c>
      <c r="BB75" s="100">
        <v>7</v>
      </c>
      <c r="BC75" s="100">
        <v>4502.3999999999996</v>
      </c>
      <c r="BD75" s="100">
        <v>6</v>
      </c>
      <c r="BE75" s="100">
        <v>3859.2</v>
      </c>
      <c r="BF75" s="100">
        <v>8</v>
      </c>
      <c r="BG75" s="100">
        <v>5145.5999999999995</v>
      </c>
      <c r="BH75" s="100">
        <v>7</v>
      </c>
      <c r="BI75" s="100">
        <v>4502.3999999999996</v>
      </c>
      <c r="BJ75" s="100">
        <v>8</v>
      </c>
      <c r="BK75" s="100">
        <v>5145.5999999999995</v>
      </c>
      <c r="BL75" s="100">
        <v>8</v>
      </c>
      <c r="BM75" s="100">
        <v>5145.5999999999995</v>
      </c>
      <c r="BN75" s="100">
        <v>10</v>
      </c>
      <c r="BO75" s="100">
        <v>6431.9999999999991</v>
      </c>
      <c r="BP75" s="100">
        <v>9</v>
      </c>
      <c r="BQ75" s="100">
        <v>5788.7999999999993</v>
      </c>
      <c r="BR75" s="100">
        <v>8</v>
      </c>
      <c r="BS75" s="100">
        <v>5145.5999999999995</v>
      </c>
      <c r="BT75" s="100">
        <v>10</v>
      </c>
      <c r="BU75" s="100">
        <v>6431.9999999999991</v>
      </c>
      <c r="BV75" s="100">
        <v>10</v>
      </c>
      <c r="BW75" s="100">
        <v>6431.9999999999991</v>
      </c>
      <c r="BX75" s="100">
        <v>7</v>
      </c>
      <c r="BY75" s="100">
        <v>4502.3999999999996</v>
      </c>
      <c r="BZ75" s="100">
        <v>11</v>
      </c>
      <c r="CA75" s="100">
        <v>7075.1999999999989</v>
      </c>
      <c r="CB75" s="100">
        <v>7</v>
      </c>
      <c r="CC75" s="100">
        <v>4502.3999999999996</v>
      </c>
      <c r="CD75" s="100">
        <v>7</v>
      </c>
      <c r="CE75" s="100">
        <v>4502.3999999999996</v>
      </c>
      <c r="CF75" s="100">
        <v>6</v>
      </c>
      <c r="CG75" s="100">
        <v>3859.2</v>
      </c>
      <c r="CH75" s="100">
        <v>9</v>
      </c>
      <c r="CI75" s="100">
        <v>5788.7999999999993</v>
      </c>
      <c r="CJ75" s="100">
        <v>10</v>
      </c>
      <c r="CK75" s="100">
        <v>6431.9999999999991</v>
      </c>
      <c r="CL75" s="100">
        <v>5</v>
      </c>
      <c r="CM75" s="100">
        <v>3215.9999999999995</v>
      </c>
      <c r="CN75" s="100">
        <v>7</v>
      </c>
      <c r="CO75" s="100">
        <v>4502.3999999999996</v>
      </c>
      <c r="CP75" s="100">
        <v>9</v>
      </c>
      <c r="CQ75" s="100">
        <v>5788.7999999999993</v>
      </c>
      <c r="CR75" s="100">
        <v>6</v>
      </c>
      <c r="CS75" s="100">
        <v>3859.2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5</v>
      </c>
      <c r="E76" s="100">
        <v>3894</v>
      </c>
      <c r="F76" s="100">
        <v>5</v>
      </c>
      <c r="G76" s="100">
        <v>3894</v>
      </c>
      <c r="H76" s="100">
        <v>5</v>
      </c>
      <c r="I76" s="100">
        <v>3894</v>
      </c>
      <c r="J76" s="100">
        <v>9</v>
      </c>
      <c r="K76" s="100">
        <v>7009.2</v>
      </c>
      <c r="L76" s="100">
        <v>7</v>
      </c>
      <c r="M76" s="100">
        <v>5451.5999999999995</v>
      </c>
      <c r="N76" s="100">
        <v>5</v>
      </c>
      <c r="O76" s="100">
        <v>3894</v>
      </c>
      <c r="P76" s="100">
        <v>7</v>
      </c>
      <c r="Q76" s="100">
        <v>5451.5999999999995</v>
      </c>
      <c r="R76" s="100">
        <v>8</v>
      </c>
      <c r="S76" s="100">
        <v>6230.4</v>
      </c>
      <c r="T76" s="100">
        <v>6</v>
      </c>
      <c r="U76" s="100">
        <v>4672.7999999999993</v>
      </c>
      <c r="V76" s="100">
        <v>9</v>
      </c>
      <c r="W76" s="100">
        <v>7009.2</v>
      </c>
      <c r="X76" s="100">
        <v>7</v>
      </c>
      <c r="Y76" s="100">
        <v>5451.5999999999995</v>
      </c>
      <c r="Z76" s="100">
        <v>6</v>
      </c>
      <c r="AA76" s="100">
        <v>4672.7999999999993</v>
      </c>
      <c r="AB76" s="100">
        <v>7</v>
      </c>
      <c r="AC76" s="100">
        <v>5451.5999999999995</v>
      </c>
      <c r="AD76" s="100">
        <v>7</v>
      </c>
      <c r="AE76" s="100">
        <v>5451.5999999999995</v>
      </c>
      <c r="AF76" s="100">
        <v>8</v>
      </c>
      <c r="AG76" s="100">
        <v>6230.4</v>
      </c>
      <c r="AH76" s="100">
        <v>8</v>
      </c>
      <c r="AI76" s="100">
        <v>6230.4</v>
      </c>
      <c r="AJ76" s="100">
        <v>8</v>
      </c>
      <c r="AK76" s="100">
        <v>6230.4</v>
      </c>
      <c r="AL76" s="100">
        <v>7</v>
      </c>
      <c r="AM76" s="100">
        <v>5451.5999999999995</v>
      </c>
      <c r="AN76" s="100">
        <v>8</v>
      </c>
      <c r="AO76" s="100">
        <v>6230.4</v>
      </c>
      <c r="AP76" s="100">
        <v>6</v>
      </c>
      <c r="AQ76" s="100">
        <v>4672.7999999999993</v>
      </c>
      <c r="AR76" s="100">
        <v>5</v>
      </c>
      <c r="AS76" s="100">
        <v>3894</v>
      </c>
      <c r="AT76" s="100">
        <v>10</v>
      </c>
      <c r="AU76" s="100">
        <v>7788</v>
      </c>
      <c r="AV76" s="100">
        <v>5</v>
      </c>
      <c r="AW76" s="100">
        <v>3894</v>
      </c>
      <c r="AX76" s="100">
        <v>8</v>
      </c>
      <c r="AY76" s="100">
        <v>6230.4</v>
      </c>
      <c r="AZ76" s="100">
        <v>6</v>
      </c>
      <c r="BA76" s="100">
        <v>4672.7999999999993</v>
      </c>
      <c r="BB76" s="100">
        <v>7</v>
      </c>
      <c r="BC76" s="100">
        <v>5451.5999999999995</v>
      </c>
      <c r="BD76" s="100">
        <v>6</v>
      </c>
      <c r="BE76" s="100">
        <v>4672.7999999999993</v>
      </c>
      <c r="BF76" s="100">
        <v>7</v>
      </c>
      <c r="BG76" s="100">
        <v>5451.5999999999995</v>
      </c>
      <c r="BH76" s="100">
        <v>8</v>
      </c>
      <c r="BI76" s="100">
        <v>6230.4</v>
      </c>
      <c r="BJ76" s="100">
        <v>7</v>
      </c>
      <c r="BK76" s="100">
        <v>5451.5999999999995</v>
      </c>
      <c r="BL76" s="100">
        <v>8</v>
      </c>
      <c r="BM76" s="100">
        <v>6230.4</v>
      </c>
      <c r="BN76" s="100">
        <v>9</v>
      </c>
      <c r="BO76" s="100">
        <v>7009.2</v>
      </c>
      <c r="BP76" s="100">
        <v>8</v>
      </c>
      <c r="BQ76" s="100">
        <v>6230.4</v>
      </c>
      <c r="BR76" s="100">
        <v>7</v>
      </c>
      <c r="BS76" s="100">
        <v>5451.5999999999995</v>
      </c>
      <c r="BT76" s="100">
        <v>10</v>
      </c>
      <c r="BU76" s="100">
        <v>7788</v>
      </c>
      <c r="BV76" s="100">
        <v>10</v>
      </c>
      <c r="BW76" s="100">
        <v>7788</v>
      </c>
      <c r="BX76" s="100">
        <v>6</v>
      </c>
      <c r="BY76" s="100">
        <v>4672.7999999999993</v>
      </c>
      <c r="BZ76" s="100">
        <v>10</v>
      </c>
      <c r="CA76" s="100">
        <v>7788</v>
      </c>
      <c r="CB76" s="100">
        <v>7</v>
      </c>
      <c r="CC76" s="100">
        <v>5451.5999999999995</v>
      </c>
      <c r="CD76" s="100">
        <v>8</v>
      </c>
      <c r="CE76" s="100">
        <v>6230.4</v>
      </c>
      <c r="CF76" s="100">
        <v>6</v>
      </c>
      <c r="CG76" s="100">
        <v>4672.7999999999993</v>
      </c>
      <c r="CH76" s="100">
        <v>8</v>
      </c>
      <c r="CI76" s="100">
        <v>6230.4</v>
      </c>
      <c r="CJ76" s="100">
        <v>9</v>
      </c>
      <c r="CK76" s="100">
        <v>7009.2</v>
      </c>
      <c r="CL76" s="100">
        <v>5</v>
      </c>
      <c r="CM76" s="100">
        <v>3894</v>
      </c>
      <c r="CN76" s="100">
        <v>7</v>
      </c>
      <c r="CO76" s="100">
        <v>5451.5999999999995</v>
      </c>
      <c r="CP76" s="100">
        <v>9</v>
      </c>
      <c r="CQ76" s="100">
        <v>7009.2</v>
      </c>
      <c r="CR76" s="100">
        <v>7</v>
      </c>
      <c r="CS76" s="100">
        <v>5451.5999999999995</v>
      </c>
      <c r="CT76" s="100">
        <v>9</v>
      </c>
      <c r="CU76" s="100">
        <v>7009.2</v>
      </c>
    </row>
    <row r="77" spans="2:99">
      <c r="C77" s="99" t="s">
        <v>243</v>
      </c>
      <c r="D77" s="100">
        <v>5</v>
      </c>
      <c r="E77" s="100">
        <v>1392</v>
      </c>
      <c r="F77" s="100">
        <v>6</v>
      </c>
      <c r="G77" s="100">
        <v>1670.3999999999999</v>
      </c>
      <c r="H77" s="100">
        <v>5</v>
      </c>
      <c r="I77" s="100">
        <v>1392</v>
      </c>
      <c r="J77" s="100">
        <v>10</v>
      </c>
      <c r="K77" s="100">
        <v>2784</v>
      </c>
      <c r="L77" s="100">
        <v>7</v>
      </c>
      <c r="M77" s="100">
        <v>1948.7999999999997</v>
      </c>
      <c r="N77" s="100">
        <v>6</v>
      </c>
      <c r="O77" s="100">
        <v>1670.3999999999999</v>
      </c>
      <c r="P77" s="100">
        <v>8</v>
      </c>
      <c r="Q77" s="100">
        <v>2227.1999999999998</v>
      </c>
      <c r="R77" s="100">
        <v>8</v>
      </c>
      <c r="S77" s="100">
        <v>2227.1999999999998</v>
      </c>
      <c r="T77" s="100">
        <v>5</v>
      </c>
      <c r="U77" s="100">
        <v>1392</v>
      </c>
      <c r="V77" s="100">
        <v>9</v>
      </c>
      <c r="W77" s="100">
        <v>2505.6</v>
      </c>
      <c r="X77" s="100">
        <v>8</v>
      </c>
      <c r="Y77" s="100">
        <v>2227.1999999999998</v>
      </c>
      <c r="Z77" s="100">
        <v>6</v>
      </c>
      <c r="AA77" s="100">
        <v>1670.3999999999999</v>
      </c>
      <c r="AB77" s="100">
        <v>9</v>
      </c>
      <c r="AC77" s="100">
        <v>2505.6</v>
      </c>
      <c r="AD77" s="100">
        <v>9</v>
      </c>
      <c r="AE77" s="100">
        <v>2505.6</v>
      </c>
      <c r="AF77" s="100">
        <v>8</v>
      </c>
      <c r="AG77" s="100">
        <v>2227.1999999999998</v>
      </c>
      <c r="AH77" s="100">
        <v>10</v>
      </c>
      <c r="AI77" s="100">
        <v>2784</v>
      </c>
      <c r="AJ77" s="100">
        <v>7</v>
      </c>
      <c r="AK77" s="100">
        <v>1948.7999999999997</v>
      </c>
      <c r="AL77" s="100">
        <v>7</v>
      </c>
      <c r="AM77" s="100">
        <v>1948.7999999999997</v>
      </c>
      <c r="AN77" s="100">
        <v>7</v>
      </c>
      <c r="AO77" s="100">
        <v>1948.7999999999997</v>
      </c>
      <c r="AP77" s="100">
        <v>6</v>
      </c>
      <c r="AQ77" s="100">
        <v>1670.3999999999999</v>
      </c>
      <c r="AR77" s="100">
        <v>5</v>
      </c>
      <c r="AS77" s="100">
        <v>1392</v>
      </c>
      <c r="AT77" s="100">
        <v>9</v>
      </c>
      <c r="AU77" s="100">
        <v>2505.6</v>
      </c>
      <c r="AV77" s="100">
        <v>6</v>
      </c>
      <c r="AW77" s="100">
        <v>1670.3999999999999</v>
      </c>
      <c r="AX77" s="100">
        <v>10</v>
      </c>
      <c r="AY77" s="100">
        <v>2784</v>
      </c>
      <c r="AZ77" s="100">
        <v>6</v>
      </c>
      <c r="BA77" s="100">
        <v>1670.3999999999999</v>
      </c>
      <c r="BB77" s="100">
        <v>7</v>
      </c>
      <c r="BC77" s="100">
        <v>1948.7999999999997</v>
      </c>
      <c r="BD77" s="100">
        <v>6</v>
      </c>
      <c r="BE77" s="100">
        <v>1670.3999999999999</v>
      </c>
      <c r="BF77" s="100">
        <v>8</v>
      </c>
      <c r="BG77" s="100">
        <v>2227.1999999999998</v>
      </c>
      <c r="BH77" s="100">
        <v>8</v>
      </c>
      <c r="BI77" s="100">
        <v>2227.1999999999998</v>
      </c>
      <c r="BJ77" s="100">
        <v>7</v>
      </c>
      <c r="BK77" s="100">
        <v>1948.7999999999997</v>
      </c>
      <c r="BL77" s="100">
        <v>9</v>
      </c>
      <c r="BM77" s="100">
        <v>2505.6</v>
      </c>
      <c r="BN77" s="100">
        <v>11</v>
      </c>
      <c r="BO77" s="100">
        <v>3062.3999999999996</v>
      </c>
      <c r="BP77" s="100">
        <v>10</v>
      </c>
      <c r="BQ77" s="100">
        <v>2784</v>
      </c>
      <c r="BR77" s="100">
        <v>8</v>
      </c>
      <c r="BS77" s="100">
        <v>2227.1999999999998</v>
      </c>
      <c r="BT77" s="100">
        <v>10</v>
      </c>
      <c r="BU77" s="100">
        <v>2784</v>
      </c>
      <c r="BV77" s="100">
        <v>9</v>
      </c>
      <c r="BW77" s="100">
        <v>2505.6</v>
      </c>
      <c r="BX77" s="100">
        <v>7</v>
      </c>
      <c r="BY77" s="100">
        <v>1948.7999999999997</v>
      </c>
      <c r="BZ77" s="100">
        <v>10</v>
      </c>
      <c r="CA77" s="100">
        <v>2784</v>
      </c>
      <c r="CB77" s="100">
        <v>8</v>
      </c>
      <c r="CC77" s="100">
        <v>2227.1999999999998</v>
      </c>
      <c r="CD77" s="100">
        <v>7</v>
      </c>
      <c r="CE77" s="100">
        <v>1948.7999999999997</v>
      </c>
      <c r="CF77" s="100">
        <v>6</v>
      </c>
      <c r="CG77" s="100">
        <v>1670.3999999999999</v>
      </c>
      <c r="CH77" s="100">
        <v>9</v>
      </c>
      <c r="CI77" s="100">
        <v>2505.6</v>
      </c>
      <c r="CJ77" s="100">
        <v>11</v>
      </c>
      <c r="CK77" s="100">
        <v>3062.3999999999996</v>
      </c>
      <c r="CL77" s="100">
        <v>6</v>
      </c>
      <c r="CM77" s="100">
        <v>1670.3999999999999</v>
      </c>
      <c r="CN77" s="100">
        <v>6</v>
      </c>
      <c r="CO77" s="100">
        <v>1670.3999999999999</v>
      </c>
      <c r="CP77" s="100">
        <v>10</v>
      </c>
      <c r="CQ77" s="100">
        <v>2784</v>
      </c>
      <c r="CR77" s="100">
        <v>6</v>
      </c>
      <c r="CS77" s="100">
        <v>1670.3999999999999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5</v>
      </c>
      <c r="E78" s="100">
        <v>2760</v>
      </c>
      <c r="F78" s="100">
        <v>6</v>
      </c>
      <c r="G78" s="100">
        <v>3312</v>
      </c>
      <c r="H78" s="100">
        <v>5</v>
      </c>
      <c r="I78" s="100">
        <v>2760</v>
      </c>
      <c r="J78" s="100">
        <v>10</v>
      </c>
      <c r="K78" s="100">
        <v>5520</v>
      </c>
      <c r="L78" s="100">
        <v>8</v>
      </c>
      <c r="M78" s="100">
        <v>4416</v>
      </c>
      <c r="N78" s="100">
        <v>6</v>
      </c>
      <c r="O78" s="100">
        <v>3312</v>
      </c>
      <c r="P78" s="100">
        <v>8</v>
      </c>
      <c r="Q78" s="100">
        <v>4416</v>
      </c>
      <c r="R78" s="100">
        <v>9</v>
      </c>
      <c r="S78" s="100">
        <v>4968</v>
      </c>
      <c r="T78" s="100">
        <v>5</v>
      </c>
      <c r="U78" s="100">
        <v>2760</v>
      </c>
      <c r="V78" s="100">
        <v>9</v>
      </c>
      <c r="W78" s="100">
        <v>4968</v>
      </c>
      <c r="X78" s="100">
        <v>8</v>
      </c>
      <c r="Y78" s="100">
        <v>4416</v>
      </c>
      <c r="Z78" s="100">
        <v>6</v>
      </c>
      <c r="AA78" s="100">
        <v>3312</v>
      </c>
      <c r="AB78" s="100">
        <v>9</v>
      </c>
      <c r="AC78" s="100">
        <v>4968</v>
      </c>
      <c r="AD78" s="100">
        <v>7</v>
      </c>
      <c r="AE78" s="100">
        <v>3864</v>
      </c>
      <c r="AF78" s="100">
        <v>8</v>
      </c>
      <c r="AG78" s="100">
        <v>4416</v>
      </c>
      <c r="AH78" s="100">
        <v>9</v>
      </c>
      <c r="AI78" s="100">
        <v>4968</v>
      </c>
      <c r="AJ78" s="100">
        <v>7</v>
      </c>
      <c r="AK78" s="100">
        <v>3864</v>
      </c>
      <c r="AL78" s="100">
        <v>7</v>
      </c>
      <c r="AM78" s="100">
        <v>3864</v>
      </c>
      <c r="AN78" s="100">
        <v>7</v>
      </c>
      <c r="AO78" s="100">
        <v>3864</v>
      </c>
      <c r="AP78" s="100">
        <v>6</v>
      </c>
      <c r="AQ78" s="100">
        <v>3312</v>
      </c>
      <c r="AR78" s="100">
        <v>6</v>
      </c>
      <c r="AS78" s="100">
        <v>3312</v>
      </c>
      <c r="AT78" s="100">
        <v>9</v>
      </c>
      <c r="AU78" s="100">
        <v>4968</v>
      </c>
      <c r="AV78" s="100">
        <v>6</v>
      </c>
      <c r="AW78" s="100">
        <v>3312</v>
      </c>
      <c r="AX78" s="100">
        <v>8</v>
      </c>
      <c r="AY78" s="100">
        <v>4416</v>
      </c>
      <c r="AZ78" s="100">
        <v>6</v>
      </c>
      <c r="BA78" s="100">
        <v>3312</v>
      </c>
      <c r="BB78" s="100">
        <v>8</v>
      </c>
      <c r="BC78" s="100">
        <v>4416</v>
      </c>
      <c r="BD78" s="100">
        <v>6</v>
      </c>
      <c r="BE78" s="100">
        <v>3312</v>
      </c>
      <c r="BF78" s="100">
        <v>8</v>
      </c>
      <c r="BG78" s="100">
        <v>4416</v>
      </c>
      <c r="BH78" s="100">
        <v>8</v>
      </c>
      <c r="BI78" s="100">
        <v>4416</v>
      </c>
      <c r="BJ78" s="100">
        <v>7</v>
      </c>
      <c r="BK78" s="100">
        <v>3864</v>
      </c>
      <c r="BL78" s="100">
        <v>8</v>
      </c>
      <c r="BM78" s="100">
        <v>4416</v>
      </c>
      <c r="BN78" s="100">
        <v>11</v>
      </c>
      <c r="BO78" s="100">
        <v>6072</v>
      </c>
      <c r="BP78" s="100">
        <v>9</v>
      </c>
      <c r="BQ78" s="100">
        <v>4968</v>
      </c>
      <c r="BR78" s="100">
        <v>8</v>
      </c>
      <c r="BS78" s="100">
        <v>4416</v>
      </c>
      <c r="BT78" s="100">
        <v>11</v>
      </c>
      <c r="BU78" s="100">
        <v>6072</v>
      </c>
      <c r="BV78" s="100">
        <v>10</v>
      </c>
      <c r="BW78" s="100">
        <v>5520</v>
      </c>
      <c r="BX78" s="100">
        <v>6</v>
      </c>
      <c r="BY78" s="100">
        <v>3312</v>
      </c>
      <c r="BZ78" s="100">
        <v>10</v>
      </c>
      <c r="CA78" s="100">
        <v>5520</v>
      </c>
      <c r="CB78" s="100">
        <v>6</v>
      </c>
      <c r="CC78" s="100">
        <v>3312</v>
      </c>
      <c r="CD78" s="100">
        <v>8</v>
      </c>
      <c r="CE78" s="100">
        <v>4416</v>
      </c>
      <c r="CF78" s="100">
        <v>7</v>
      </c>
      <c r="CG78" s="100">
        <v>3864</v>
      </c>
      <c r="CH78" s="100">
        <v>9</v>
      </c>
      <c r="CI78" s="100">
        <v>4968</v>
      </c>
      <c r="CJ78" s="100">
        <v>11</v>
      </c>
      <c r="CK78" s="100">
        <v>6072</v>
      </c>
      <c r="CL78" s="100">
        <v>6</v>
      </c>
      <c r="CM78" s="100">
        <v>3312</v>
      </c>
      <c r="CN78" s="100">
        <v>6</v>
      </c>
      <c r="CO78" s="100">
        <v>3312</v>
      </c>
      <c r="CP78" s="100">
        <v>10</v>
      </c>
      <c r="CQ78" s="100">
        <v>5520</v>
      </c>
      <c r="CR78" s="100">
        <v>6</v>
      </c>
      <c r="CS78" s="100">
        <v>3312</v>
      </c>
      <c r="CT78" s="100">
        <v>9</v>
      </c>
      <c r="CU78" s="100">
        <v>4968</v>
      </c>
    </row>
    <row r="79" spans="2:99">
      <c r="C79" s="99" t="s">
        <v>245</v>
      </c>
      <c r="D79" s="100">
        <v>5</v>
      </c>
      <c r="E79" s="100">
        <v>3785.9999999999995</v>
      </c>
      <c r="F79" s="100">
        <v>6</v>
      </c>
      <c r="G79" s="100">
        <v>4543.2</v>
      </c>
      <c r="H79" s="100">
        <v>5</v>
      </c>
      <c r="I79" s="100">
        <v>3785.9999999999995</v>
      </c>
      <c r="J79" s="100">
        <v>9</v>
      </c>
      <c r="K79" s="100">
        <v>6814.7999999999993</v>
      </c>
      <c r="L79" s="100">
        <v>7</v>
      </c>
      <c r="M79" s="100">
        <v>5300.4</v>
      </c>
      <c r="N79" s="100">
        <v>6</v>
      </c>
      <c r="O79" s="100">
        <v>4543.2</v>
      </c>
      <c r="P79" s="100">
        <v>9</v>
      </c>
      <c r="Q79" s="100">
        <v>6814.7999999999993</v>
      </c>
      <c r="R79" s="100">
        <v>8</v>
      </c>
      <c r="S79" s="100">
        <v>6057.5999999999995</v>
      </c>
      <c r="T79" s="100">
        <v>5</v>
      </c>
      <c r="U79" s="100">
        <v>3785.9999999999995</v>
      </c>
      <c r="V79" s="100">
        <v>9</v>
      </c>
      <c r="W79" s="100">
        <v>6814.7999999999993</v>
      </c>
      <c r="X79" s="100">
        <v>8</v>
      </c>
      <c r="Y79" s="100">
        <v>6057.5999999999995</v>
      </c>
      <c r="Z79" s="100">
        <v>6</v>
      </c>
      <c r="AA79" s="100">
        <v>4543.2</v>
      </c>
      <c r="AB79" s="100">
        <v>7</v>
      </c>
      <c r="AC79" s="100">
        <v>5300.4</v>
      </c>
      <c r="AD79" s="100">
        <v>8</v>
      </c>
      <c r="AE79" s="100">
        <v>6057.5999999999995</v>
      </c>
      <c r="AF79" s="100">
        <v>7</v>
      </c>
      <c r="AG79" s="100">
        <v>5300.4</v>
      </c>
      <c r="AH79" s="100">
        <v>8</v>
      </c>
      <c r="AI79" s="100">
        <v>6057.5999999999995</v>
      </c>
      <c r="AJ79" s="100">
        <v>7</v>
      </c>
      <c r="AK79" s="100">
        <v>5300.4</v>
      </c>
      <c r="AL79" s="100">
        <v>7</v>
      </c>
      <c r="AM79" s="100">
        <v>5300.4</v>
      </c>
      <c r="AN79" s="100">
        <v>7</v>
      </c>
      <c r="AO79" s="100">
        <v>5300.4</v>
      </c>
      <c r="AP79" s="100">
        <v>6</v>
      </c>
      <c r="AQ79" s="100">
        <v>4543.2</v>
      </c>
      <c r="AR79" s="100">
        <v>5</v>
      </c>
      <c r="AS79" s="100">
        <v>3785.9999999999995</v>
      </c>
      <c r="AT79" s="100">
        <v>11</v>
      </c>
      <c r="AU79" s="100">
        <v>8329.1999999999989</v>
      </c>
      <c r="AV79" s="100">
        <v>5</v>
      </c>
      <c r="AW79" s="100">
        <v>3785.9999999999995</v>
      </c>
      <c r="AX79" s="100">
        <v>9</v>
      </c>
      <c r="AY79" s="100">
        <v>6814.7999999999993</v>
      </c>
      <c r="AZ79" s="100">
        <v>6</v>
      </c>
      <c r="BA79" s="100">
        <v>4543.2</v>
      </c>
      <c r="BB79" s="100">
        <v>7</v>
      </c>
      <c r="BC79" s="100">
        <v>5300.4</v>
      </c>
      <c r="BD79" s="100">
        <v>6</v>
      </c>
      <c r="BE79" s="100">
        <v>4543.2</v>
      </c>
      <c r="BF79" s="100">
        <v>8</v>
      </c>
      <c r="BG79" s="100">
        <v>6057.5999999999995</v>
      </c>
      <c r="BH79" s="100">
        <v>7</v>
      </c>
      <c r="BI79" s="100">
        <v>5300.4</v>
      </c>
      <c r="BJ79" s="100">
        <v>7</v>
      </c>
      <c r="BK79" s="100">
        <v>5300.4</v>
      </c>
      <c r="BL79" s="100">
        <v>9</v>
      </c>
      <c r="BM79" s="100">
        <v>6814.7999999999993</v>
      </c>
      <c r="BN79" s="100">
        <v>10</v>
      </c>
      <c r="BO79" s="100">
        <v>7571.9999999999991</v>
      </c>
      <c r="BP79" s="100">
        <v>8</v>
      </c>
      <c r="BQ79" s="100">
        <v>6057.5999999999995</v>
      </c>
      <c r="BR79" s="100">
        <v>7</v>
      </c>
      <c r="BS79" s="100">
        <v>5300.4</v>
      </c>
      <c r="BT79" s="100">
        <v>9</v>
      </c>
      <c r="BU79" s="100">
        <v>6814.7999999999993</v>
      </c>
      <c r="BV79" s="100">
        <v>10</v>
      </c>
      <c r="BW79" s="100">
        <v>7571.9999999999991</v>
      </c>
      <c r="BX79" s="100">
        <v>6</v>
      </c>
      <c r="BY79" s="100">
        <v>4543.2</v>
      </c>
      <c r="BZ79" s="100">
        <v>10</v>
      </c>
      <c r="CA79" s="100">
        <v>7571.9999999999991</v>
      </c>
      <c r="CB79" s="100">
        <v>7</v>
      </c>
      <c r="CC79" s="100">
        <v>5300.4</v>
      </c>
      <c r="CD79" s="100">
        <v>6</v>
      </c>
      <c r="CE79" s="100">
        <v>4543.2</v>
      </c>
      <c r="CF79" s="100">
        <v>6</v>
      </c>
      <c r="CG79" s="100">
        <v>4543.2</v>
      </c>
      <c r="CH79" s="100">
        <v>8</v>
      </c>
      <c r="CI79" s="100">
        <v>6057.5999999999995</v>
      </c>
      <c r="CJ79" s="100">
        <v>10</v>
      </c>
      <c r="CK79" s="100">
        <v>7571.9999999999991</v>
      </c>
      <c r="CL79" s="100">
        <v>6</v>
      </c>
      <c r="CM79" s="100">
        <v>4543.2</v>
      </c>
      <c r="CN79" s="100">
        <v>6</v>
      </c>
      <c r="CO79" s="100">
        <v>4543.2</v>
      </c>
      <c r="CP79" s="100">
        <v>10</v>
      </c>
      <c r="CQ79" s="100">
        <v>7571.9999999999991</v>
      </c>
      <c r="CR79" s="100">
        <v>6</v>
      </c>
      <c r="CS79" s="100">
        <v>4543.2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6</v>
      </c>
      <c r="G80" s="100">
        <v>4831.2</v>
      </c>
      <c r="H80" s="100">
        <v>5</v>
      </c>
      <c r="I80" s="100">
        <v>4025.9999999999995</v>
      </c>
      <c r="J80" s="100">
        <v>10</v>
      </c>
      <c r="K80" s="100">
        <v>8051.9999999999991</v>
      </c>
      <c r="L80" s="100">
        <v>7</v>
      </c>
      <c r="M80" s="100">
        <v>5636.4</v>
      </c>
      <c r="N80" s="100">
        <v>6</v>
      </c>
      <c r="O80" s="100">
        <v>4831.2</v>
      </c>
      <c r="P80" s="100">
        <v>9</v>
      </c>
      <c r="Q80" s="100">
        <v>7246.7999999999993</v>
      </c>
      <c r="R80" s="100">
        <v>9</v>
      </c>
      <c r="S80" s="100">
        <v>7246.7999999999993</v>
      </c>
      <c r="T80" s="100">
        <v>6</v>
      </c>
      <c r="U80" s="100">
        <v>4831.2</v>
      </c>
      <c r="V80" s="100">
        <v>9</v>
      </c>
      <c r="W80" s="100">
        <v>7246.7999999999993</v>
      </c>
      <c r="X80" s="100">
        <v>8</v>
      </c>
      <c r="Y80" s="100">
        <v>6441.5999999999995</v>
      </c>
      <c r="Z80" s="100">
        <v>6</v>
      </c>
      <c r="AA80" s="100">
        <v>4831.2</v>
      </c>
      <c r="AB80" s="100">
        <v>8</v>
      </c>
      <c r="AC80" s="100">
        <v>6441.5999999999995</v>
      </c>
      <c r="AD80" s="100">
        <v>8</v>
      </c>
      <c r="AE80" s="100">
        <v>6441.5999999999995</v>
      </c>
      <c r="AF80" s="100">
        <v>8</v>
      </c>
      <c r="AG80" s="100">
        <v>6441.5999999999995</v>
      </c>
      <c r="AH80" s="100">
        <v>9</v>
      </c>
      <c r="AI80" s="100">
        <v>7246.7999999999993</v>
      </c>
      <c r="AJ80" s="100">
        <v>8</v>
      </c>
      <c r="AK80" s="100">
        <v>6441.5999999999995</v>
      </c>
      <c r="AL80" s="100">
        <v>6</v>
      </c>
      <c r="AM80" s="100">
        <v>4831.2</v>
      </c>
      <c r="AN80" s="100">
        <v>8</v>
      </c>
      <c r="AO80" s="100">
        <v>6441.5999999999995</v>
      </c>
      <c r="AP80" s="100">
        <v>6</v>
      </c>
      <c r="AQ80" s="100">
        <v>4831.2</v>
      </c>
      <c r="AR80" s="100">
        <v>6</v>
      </c>
      <c r="AS80" s="100">
        <v>4831.2</v>
      </c>
      <c r="AT80" s="100">
        <v>10</v>
      </c>
      <c r="AU80" s="100">
        <v>8051.9999999999991</v>
      </c>
      <c r="AV80" s="100">
        <v>5</v>
      </c>
      <c r="AW80" s="100">
        <v>4025.9999999999995</v>
      </c>
      <c r="AX80" s="100">
        <v>9</v>
      </c>
      <c r="AY80" s="100">
        <v>7246.7999999999993</v>
      </c>
      <c r="AZ80" s="100">
        <v>6</v>
      </c>
      <c r="BA80" s="100">
        <v>4831.2</v>
      </c>
      <c r="BB80" s="100">
        <v>8</v>
      </c>
      <c r="BC80" s="100">
        <v>6441.5999999999995</v>
      </c>
      <c r="BD80" s="100">
        <v>6</v>
      </c>
      <c r="BE80" s="100">
        <v>4831.2</v>
      </c>
      <c r="BF80" s="100">
        <v>8</v>
      </c>
      <c r="BG80" s="100">
        <v>6441.5999999999995</v>
      </c>
      <c r="BH80" s="100">
        <v>8</v>
      </c>
      <c r="BI80" s="100">
        <v>6441.5999999999995</v>
      </c>
      <c r="BJ80" s="100">
        <v>8</v>
      </c>
      <c r="BK80" s="100">
        <v>6441.5999999999995</v>
      </c>
      <c r="BL80" s="100">
        <v>8</v>
      </c>
      <c r="BM80" s="100">
        <v>6441.5999999999995</v>
      </c>
      <c r="BN80" s="100">
        <v>10</v>
      </c>
      <c r="BO80" s="100">
        <v>8051.9999999999991</v>
      </c>
      <c r="BP80" s="100">
        <v>8</v>
      </c>
      <c r="BQ80" s="100">
        <v>6441.5999999999995</v>
      </c>
      <c r="BR80" s="100">
        <v>8</v>
      </c>
      <c r="BS80" s="100">
        <v>6441.5999999999995</v>
      </c>
      <c r="BT80" s="100">
        <v>9</v>
      </c>
      <c r="BU80" s="100">
        <v>7246.7999999999993</v>
      </c>
      <c r="BV80" s="100">
        <v>9</v>
      </c>
      <c r="BW80" s="100">
        <v>7246.7999999999993</v>
      </c>
      <c r="BX80" s="100">
        <v>6</v>
      </c>
      <c r="BY80" s="100">
        <v>4831.2</v>
      </c>
      <c r="BZ80" s="100">
        <v>10</v>
      </c>
      <c r="CA80" s="100">
        <v>8051.9999999999991</v>
      </c>
      <c r="CB80" s="100">
        <v>7</v>
      </c>
      <c r="CC80" s="100">
        <v>5636.4</v>
      </c>
      <c r="CD80" s="100">
        <v>8</v>
      </c>
      <c r="CE80" s="100">
        <v>6441.5999999999995</v>
      </c>
      <c r="CF80" s="100">
        <v>6</v>
      </c>
      <c r="CG80" s="100">
        <v>4831.2</v>
      </c>
      <c r="CH80" s="100">
        <v>8</v>
      </c>
      <c r="CI80" s="100">
        <v>6441.5999999999995</v>
      </c>
      <c r="CJ80" s="100">
        <v>11</v>
      </c>
      <c r="CK80" s="100">
        <v>8857.1999999999989</v>
      </c>
      <c r="CL80" s="100">
        <v>6</v>
      </c>
      <c r="CM80" s="100">
        <v>4831.2</v>
      </c>
      <c r="CN80" s="100">
        <v>7</v>
      </c>
      <c r="CO80" s="100">
        <v>5636.4</v>
      </c>
      <c r="CP80" s="100">
        <v>9</v>
      </c>
      <c r="CQ80" s="100">
        <v>7246.7999999999993</v>
      </c>
      <c r="CR80" s="100">
        <v>6</v>
      </c>
      <c r="CS80" s="100">
        <v>4831.2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5</v>
      </c>
      <c r="E81" s="100">
        <v>3768</v>
      </c>
      <c r="F81" s="100">
        <v>5</v>
      </c>
      <c r="G81" s="100">
        <v>3768</v>
      </c>
      <c r="H81" s="100">
        <v>5</v>
      </c>
      <c r="I81" s="100">
        <v>3768</v>
      </c>
      <c r="J81" s="100">
        <v>9</v>
      </c>
      <c r="K81" s="100">
        <v>6782.4000000000005</v>
      </c>
      <c r="L81" s="100">
        <v>7</v>
      </c>
      <c r="M81" s="100">
        <v>5275.2</v>
      </c>
      <c r="N81" s="100">
        <v>5</v>
      </c>
      <c r="O81" s="100">
        <v>3768</v>
      </c>
      <c r="P81" s="100">
        <v>9</v>
      </c>
      <c r="Q81" s="100">
        <v>6782.4000000000005</v>
      </c>
      <c r="R81" s="100">
        <v>8</v>
      </c>
      <c r="S81" s="100">
        <v>6028.8</v>
      </c>
      <c r="T81" s="100">
        <v>6</v>
      </c>
      <c r="U81" s="100">
        <v>4521.6000000000004</v>
      </c>
      <c r="V81" s="100">
        <v>8</v>
      </c>
      <c r="W81" s="100">
        <v>6028.8</v>
      </c>
      <c r="X81" s="100">
        <v>8</v>
      </c>
      <c r="Y81" s="100">
        <v>6028.8</v>
      </c>
      <c r="Z81" s="100">
        <v>6</v>
      </c>
      <c r="AA81" s="100">
        <v>4521.6000000000004</v>
      </c>
      <c r="AB81" s="100">
        <v>7</v>
      </c>
      <c r="AC81" s="100">
        <v>5275.2</v>
      </c>
      <c r="AD81" s="100">
        <v>7</v>
      </c>
      <c r="AE81" s="100">
        <v>5275.2</v>
      </c>
      <c r="AF81" s="100">
        <v>8</v>
      </c>
      <c r="AG81" s="100">
        <v>6028.8</v>
      </c>
      <c r="AH81" s="100">
        <v>9</v>
      </c>
      <c r="AI81" s="100">
        <v>6782.4000000000005</v>
      </c>
      <c r="AJ81" s="100">
        <v>7</v>
      </c>
      <c r="AK81" s="100">
        <v>5275.2</v>
      </c>
      <c r="AL81" s="100">
        <v>6</v>
      </c>
      <c r="AM81" s="100">
        <v>4521.6000000000004</v>
      </c>
      <c r="AN81" s="100">
        <v>7</v>
      </c>
      <c r="AO81" s="100">
        <v>5275.2</v>
      </c>
      <c r="AP81" s="100">
        <v>6</v>
      </c>
      <c r="AQ81" s="100">
        <v>4521.6000000000004</v>
      </c>
      <c r="AR81" s="100">
        <v>5</v>
      </c>
      <c r="AS81" s="100">
        <v>3768</v>
      </c>
      <c r="AT81" s="100">
        <v>10</v>
      </c>
      <c r="AU81" s="100">
        <v>7536</v>
      </c>
      <c r="AV81" s="100">
        <v>5</v>
      </c>
      <c r="AW81" s="100">
        <v>3768</v>
      </c>
      <c r="AX81" s="100">
        <v>9</v>
      </c>
      <c r="AY81" s="100">
        <v>6782.4000000000005</v>
      </c>
      <c r="AZ81" s="100">
        <v>5</v>
      </c>
      <c r="BA81" s="100">
        <v>3768</v>
      </c>
      <c r="BB81" s="100">
        <v>7</v>
      </c>
      <c r="BC81" s="100">
        <v>5275.2</v>
      </c>
      <c r="BD81" s="100">
        <v>5</v>
      </c>
      <c r="BE81" s="100">
        <v>3768</v>
      </c>
      <c r="BF81" s="100">
        <v>8</v>
      </c>
      <c r="BG81" s="100">
        <v>6028.8</v>
      </c>
      <c r="BH81" s="100">
        <v>8</v>
      </c>
      <c r="BI81" s="100">
        <v>6028.8</v>
      </c>
      <c r="BJ81" s="100">
        <v>8</v>
      </c>
      <c r="BK81" s="100">
        <v>6028.8</v>
      </c>
      <c r="BL81" s="100">
        <v>8</v>
      </c>
      <c r="BM81" s="100">
        <v>6028.8</v>
      </c>
      <c r="BN81" s="100">
        <v>10</v>
      </c>
      <c r="BO81" s="100">
        <v>7536</v>
      </c>
      <c r="BP81" s="100">
        <v>8</v>
      </c>
      <c r="BQ81" s="100">
        <v>6028.8</v>
      </c>
      <c r="BR81" s="100">
        <v>7</v>
      </c>
      <c r="BS81" s="100">
        <v>5275.2</v>
      </c>
      <c r="BT81" s="100">
        <v>10</v>
      </c>
      <c r="BU81" s="100">
        <v>7536</v>
      </c>
      <c r="BV81" s="100">
        <v>10</v>
      </c>
      <c r="BW81" s="100">
        <v>7536</v>
      </c>
      <c r="BX81" s="100">
        <v>6</v>
      </c>
      <c r="BY81" s="100">
        <v>4521.6000000000004</v>
      </c>
      <c r="BZ81" s="100">
        <v>11</v>
      </c>
      <c r="CA81" s="100">
        <v>8289.6</v>
      </c>
      <c r="CB81" s="100">
        <v>7</v>
      </c>
      <c r="CC81" s="100">
        <v>5275.2</v>
      </c>
      <c r="CD81" s="100">
        <v>7</v>
      </c>
      <c r="CE81" s="100">
        <v>5275.2</v>
      </c>
      <c r="CF81" s="100">
        <v>6</v>
      </c>
      <c r="CG81" s="100">
        <v>4521.6000000000004</v>
      </c>
      <c r="CH81" s="100">
        <v>8</v>
      </c>
      <c r="CI81" s="100">
        <v>6028.8</v>
      </c>
      <c r="CJ81" s="100">
        <v>10</v>
      </c>
      <c r="CK81" s="100">
        <v>7536</v>
      </c>
      <c r="CL81" s="100">
        <v>6</v>
      </c>
      <c r="CM81" s="100">
        <v>4521.6000000000004</v>
      </c>
      <c r="CN81" s="100">
        <v>6</v>
      </c>
      <c r="CO81" s="100">
        <v>4521.6000000000004</v>
      </c>
      <c r="CP81" s="100">
        <v>10</v>
      </c>
      <c r="CQ81" s="100">
        <v>7536</v>
      </c>
      <c r="CR81" s="100">
        <v>6</v>
      </c>
      <c r="CS81" s="100">
        <v>4521.6000000000004</v>
      </c>
      <c r="CT81" s="100">
        <v>8</v>
      </c>
      <c r="CU81" s="100">
        <v>6028.8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6</v>
      </c>
      <c r="G82" s="100">
        <v>3052.7999999999993</v>
      </c>
      <c r="H82" s="100">
        <v>5</v>
      </c>
      <c r="I82" s="100">
        <v>2543.9999999999995</v>
      </c>
      <c r="J82" s="100">
        <v>9</v>
      </c>
      <c r="K82" s="100">
        <v>4579.1999999999989</v>
      </c>
      <c r="L82" s="100">
        <v>7</v>
      </c>
      <c r="M82" s="100">
        <v>3561.5999999999995</v>
      </c>
      <c r="N82" s="100">
        <v>5</v>
      </c>
      <c r="O82" s="100">
        <v>2543.9999999999995</v>
      </c>
      <c r="P82" s="100">
        <v>8</v>
      </c>
      <c r="Q82" s="100">
        <v>4070.3999999999992</v>
      </c>
      <c r="R82" s="100">
        <v>9</v>
      </c>
      <c r="S82" s="100">
        <v>4579.1999999999989</v>
      </c>
      <c r="T82" s="100">
        <v>6</v>
      </c>
      <c r="U82" s="100">
        <v>3052.7999999999993</v>
      </c>
      <c r="V82" s="100">
        <v>9</v>
      </c>
      <c r="W82" s="100">
        <v>4579.1999999999989</v>
      </c>
      <c r="X82" s="100">
        <v>7</v>
      </c>
      <c r="Y82" s="100">
        <v>3561.5999999999995</v>
      </c>
      <c r="Z82" s="100">
        <v>6</v>
      </c>
      <c r="AA82" s="100">
        <v>3052.7999999999993</v>
      </c>
      <c r="AB82" s="100">
        <v>7</v>
      </c>
      <c r="AC82" s="100">
        <v>3561.5999999999995</v>
      </c>
      <c r="AD82" s="100">
        <v>8</v>
      </c>
      <c r="AE82" s="100">
        <v>4070.3999999999992</v>
      </c>
      <c r="AF82" s="100">
        <v>8</v>
      </c>
      <c r="AG82" s="100">
        <v>4070.3999999999992</v>
      </c>
      <c r="AH82" s="100">
        <v>9</v>
      </c>
      <c r="AI82" s="100">
        <v>4579.1999999999989</v>
      </c>
      <c r="AJ82" s="100">
        <v>8</v>
      </c>
      <c r="AK82" s="100">
        <v>4070.3999999999992</v>
      </c>
      <c r="AL82" s="100">
        <v>7</v>
      </c>
      <c r="AM82" s="100">
        <v>3561.5999999999995</v>
      </c>
      <c r="AN82" s="100">
        <v>8</v>
      </c>
      <c r="AO82" s="100">
        <v>4070.3999999999992</v>
      </c>
      <c r="AP82" s="100">
        <v>6</v>
      </c>
      <c r="AQ82" s="100">
        <v>3052.7999999999993</v>
      </c>
      <c r="AR82" s="100">
        <v>5</v>
      </c>
      <c r="AS82" s="100">
        <v>2543.9999999999995</v>
      </c>
      <c r="AT82" s="100">
        <v>11</v>
      </c>
      <c r="AU82" s="100">
        <v>5596.7999999999993</v>
      </c>
      <c r="AV82" s="100">
        <v>5</v>
      </c>
      <c r="AW82" s="100">
        <v>2543.9999999999995</v>
      </c>
      <c r="AX82" s="100">
        <v>9</v>
      </c>
      <c r="AY82" s="100">
        <v>4579.1999999999989</v>
      </c>
      <c r="AZ82" s="100">
        <v>6</v>
      </c>
      <c r="BA82" s="100">
        <v>3052.7999999999993</v>
      </c>
      <c r="BB82" s="100">
        <v>7</v>
      </c>
      <c r="BC82" s="100">
        <v>3561.5999999999995</v>
      </c>
      <c r="BD82" s="100">
        <v>6</v>
      </c>
      <c r="BE82" s="100">
        <v>3052.7999999999993</v>
      </c>
      <c r="BF82" s="100">
        <v>9</v>
      </c>
      <c r="BG82" s="100">
        <v>4579.1999999999989</v>
      </c>
      <c r="BH82" s="100">
        <v>8</v>
      </c>
      <c r="BI82" s="100">
        <v>4070.3999999999992</v>
      </c>
      <c r="BJ82" s="100">
        <v>8</v>
      </c>
      <c r="BK82" s="100">
        <v>4070.3999999999992</v>
      </c>
      <c r="BL82" s="100">
        <v>9</v>
      </c>
      <c r="BM82" s="100">
        <v>4579.1999999999989</v>
      </c>
      <c r="BN82" s="100">
        <v>11</v>
      </c>
      <c r="BO82" s="100">
        <v>5596.7999999999993</v>
      </c>
      <c r="BP82" s="100">
        <v>10</v>
      </c>
      <c r="BQ82" s="100">
        <v>5087.9999999999991</v>
      </c>
      <c r="BR82" s="100">
        <v>7</v>
      </c>
      <c r="BS82" s="100">
        <v>3561.5999999999995</v>
      </c>
      <c r="BT82" s="100">
        <v>10</v>
      </c>
      <c r="BU82" s="100">
        <v>5087.9999999999991</v>
      </c>
      <c r="BV82" s="100">
        <v>9</v>
      </c>
      <c r="BW82" s="100">
        <v>4579.1999999999989</v>
      </c>
      <c r="BX82" s="100">
        <v>6</v>
      </c>
      <c r="BY82" s="100">
        <v>3052.7999999999993</v>
      </c>
      <c r="BZ82" s="100">
        <v>10</v>
      </c>
      <c r="CA82" s="100">
        <v>5087.9999999999991</v>
      </c>
      <c r="CB82" s="100">
        <v>7</v>
      </c>
      <c r="CC82" s="100">
        <v>3561.5999999999995</v>
      </c>
      <c r="CD82" s="100">
        <v>7</v>
      </c>
      <c r="CE82" s="100">
        <v>3561.5999999999995</v>
      </c>
      <c r="CF82" s="100">
        <v>7</v>
      </c>
      <c r="CG82" s="100">
        <v>3561.5999999999995</v>
      </c>
      <c r="CH82" s="100">
        <v>9</v>
      </c>
      <c r="CI82" s="100">
        <v>4579.1999999999989</v>
      </c>
      <c r="CJ82" s="100">
        <v>10</v>
      </c>
      <c r="CK82" s="100">
        <v>5087.9999999999991</v>
      </c>
      <c r="CL82" s="100">
        <v>6</v>
      </c>
      <c r="CM82" s="100">
        <v>3052.7999999999993</v>
      </c>
      <c r="CN82" s="100">
        <v>6</v>
      </c>
      <c r="CO82" s="100">
        <v>3052.7999999999993</v>
      </c>
      <c r="CP82" s="100">
        <v>11</v>
      </c>
      <c r="CQ82" s="100">
        <v>5596.7999999999993</v>
      </c>
      <c r="CR82" s="100">
        <v>6</v>
      </c>
      <c r="CS82" s="100">
        <v>3052.7999999999993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5</v>
      </c>
      <c r="E83" s="100">
        <v>4302</v>
      </c>
      <c r="F83" s="100">
        <v>5</v>
      </c>
      <c r="G83" s="100">
        <v>4302</v>
      </c>
      <c r="H83" s="100">
        <v>5</v>
      </c>
      <c r="I83" s="100">
        <v>4302</v>
      </c>
      <c r="J83" s="100">
        <v>9</v>
      </c>
      <c r="K83" s="100">
        <v>7743.5999999999995</v>
      </c>
      <c r="L83" s="100">
        <v>7</v>
      </c>
      <c r="M83" s="100">
        <v>6022.8</v>
      </c>
      <c r="N83" s="100">
        <v>5</v>
      </c>
      <c r="O83" s="100">
        <v>4302</v>
      </c>
      <c r="P83" s="100">
        <v>7</v>
      </c>
      <c r="Q83" s="100">
        <v>6022.8</v>
      </c>
      <c r="R83" s="100">
        <v>8</v>
      </c>
      <c r="S83" s="100">
        <v>6883.2</v>
      </c>
      <c r="T83" s="100">
        <v>5</v>
      </c>
      <c r="U83" s="100">
        <v>4302</v>
      </c>
      <c r="V83" s="100">
        <v>8</v>
      </c>
      <c r="W83" s="100">
        <v>6883.2</v>
      </c>
      <c r="X83" s="100">
        <v>7</v>
      </c>
      <c r="Y83" s="100">
        <v>6022.8</v>
      </c>
      <c r="Z83" s="100">
        <v>6</v>
      </c>
      <c r="AA83" s="100">
        <v>5162.3999999999996</v>
      </c>
      <c r="AB83" s="100">
        <v>8</v>
      </c>
      <c r="AC83" s="100">
        <v>6883.2</v>
      </c>
      <c r="AD83" s="100">
        <v>7</v>
      </c>
      <c r="AE83" s="100">
        <v>6022.8</v>
      </c>
      <c r="AF83" s="100">
        <v>8</v>
      </c>
      <c r="AG83" s="100">
        <v>6883.2</v>
      </c>
      <c r="AH83" s="100">
        <v>9</v>
      </c>
      <c r="AI83" s="100">
        <v>7743.5999999999995</v>
      </c>
      <c r="AJ83" s="100">
        <v>7</v>
      </c>
      <c r="AK83" s="100">
        <v>6022.8</v>
      </c>
      <c r="AL83" s="100">
        <v>6</v>
      </c>
      <c r="AM83" s="100">
        <v>5162.3999999999996</v>
      </c>
      <c r="AN83" s="100">
        <v>7</v>
      </c>
      <c r="AO83" s="100">
        <v>6022.8</v>
      </c>
      <c r="AP83" s="100">
        <v>6</v>
      </c>
      <c r="AQ83" s="100">
        <v>5162.3999999999996</v>
      </c>
      <c r="AR83" s="100">
        <v>6</v>
      </c>
      <c r="AS83" s="100">
        <v>5162.3999999999996</v>
      </c>
      <c r="AT83" s="100">
        <v>10</v>
      </c>
      <c r="AU83" s="100">
        <v>8604</v>
      </c>
      <c r="AV83" s="100">
        <v>6</v>
      </c>
      <c r="AW83" s="100">
        <v>5162.3999999999996</v>
      </c>
      <c r="AX83" s="100">
        <v>9</v>
      </c>
      <c r="AY83" s="100">
        <v>7743.5999999999995</v>
      </c>
      <c r="AZ83" s="100">
        <v>5</v>
      </c>
      <c r="BA83" s="100">
        <v>4302</v>
      </c>
      <c r="BB83" s="100">
        <v>7</v>
      </c>
      <c r="BC83" s="100">
        <v>6022.8</v>
      </c>
      <c r="BD83" s="100">
        <v>5</v>
      </c>
      <c r="BE83" s="100">
        <v>4302</v>
      </c>
      <c r="BF83" s="100">
        <v>8</v>
      </c>
      <c r="BG83" s="100">
        <v>6883.2</v>
      </c>
      <c r="BH83" s="100">
        <v>8</v>
      </c>
      <c r="BI83" s="100">
        <v>6883.2</v>
      </c>
      <c r="BJ83" s="100">
        <v>7</v>
      </c>
      <c r="BK83" s="100">
        <v>6022.8</v>
      </c>
      <c r="BL83" s="100">
        <v>7</v>
      </c>
      <c r="BM83" s="100">
        <v>6022.8</v>
      </c>
      <c r="BN83" s="100">
        <v>11</v>
      </c>
      <c r="BO83" s="100">
        <v>9464.4</v>
      </c>
      <c r="BP83" s="100">
        <v>9</v>
      </c>
      <c r="BQ83" s="100">
        <v>7743.5999999999995</v>
      </c>
      <c r="BR83" s="100">
        <v>7</v>
      </c>
      <c r="BS83" s="100">
        <v>6022.8</v>
      </c>
      <c r="BT83" s="100">
        <v>10</v>
      </c>
      <c r="BU83" s="100">
        <v>8604</v>
      </c>
      <c r="BV83" s="100">
        <v>8</v>
      </c>
      <c r="BW83" s="100">
        <v>6883.2</v>
      </c>
      <c r="BX83" s="100">
        <v>6</v>
      </c>
      <c r="BY83" s="100">
        <v>5162.3999999999996</v>
      </c>
      <c r="BZ83" s="100">
        <v>10</v>
      </c>
      <c r="CA83" s="100">
        <v>8604</v>
      </c>
      <c r="CB83" s="100">
        <v>6</v>
      </c>
      <c r="CC83" s="100">
        <v>5162.3999999999996</v>
      </c>
      <c r="CD83" s="100">
        <v>7</v>
      </c>
      <c r="CE83" s="100">
        <v>6022.8</v>
      </c>
      <c r="CF83" s="100">
        <v>6</v>
      </c>
      <c r="CG83" s="100">
        <v>5162.3999999999996</v>
      </c>
      <c r="CH83" s="100">
        <v>7</v>
      </c>
      <c r="CI83" s="100">
        <v>6022.8</v>
      </c>
      <c r="CJ83" s="100">
        <v>9</v>
      </c>
      <c r="CK83" s="100">
        <v>7743.5999999999995</v>
      </c>
      <c r="CL83" s="100">
        <v>6</v>
      </c>
      <c r="CM83" s="100">
        <v>5162.3999999999996</v>
      </c>
      <c r="CN83" s="100">
        <v>7</v>
      </c>
      <c r="CO83" s="100">
        <v>6022.8</v>
      </c>
      <c r="CP83" s="100">
        <v>9</v>
      </c>
      <c r="CQ83" s="100">
        <v>7743.5999999999995</v>
      </c>
      <c r="CR83" s="100">
        <v>6</v>
      </c>
      <c r="CS83" s="100">
        <v>5162.3999999999996</v>
      </c>
      <c r="CT83" s="100">
        <v>7</v>
      </c>
      <c r="CU83" s="100">
        <v>6022.8</v>
      </c>
    </row>
    <row r="84" spans="2:99">
      <c r="C84" s="99" t="s">
        <v>250</v>
      </c>
      <c r="D84" s="100">
        <v>6</v>
      </c>
      <c r="E84" s="100">
        <v>4687.2</v>
      </c>
      <c r="F84" s="100">
        <v>6</v>
      </c>
      <c r="G84" s="100">
        <v>4687.2</v>
      </c>
      <c r="H84" s="100">
        <v>5</v>
      </c>
      <c r="I84" s="100">
        <v>3905.9999999999995</v>
      </c>
      <c r="J84" s="100">
        <v>10</v>
      </c>
      <c r="K84" s="100">
        <v>7811.9999999999991</v>
      </c>
      <c r="L84" s="100">
        <v>8</v>
      </c>
      <c r="M84" s="100">
        <v>6249.5999999999995</v>
      </c>
      <c r="N84" s="100">
        <v>6</v>
      </c>
      <c r="O84" s="100">
        <v>4687.2</v>
      </c>
      <c r="P84" s="100">
        <v>7</v>
      </c>
      <c r="Q84" s="100">
        <v>5468.4</v>
      </c>
      <c r="R84" s="100">
        <v>8</v>
      </c>
      <c r="S84" s="100">
        <v>6249.5999999999995</v>
      </c>
      <c r="T84" s="100">
        <v>5</v>
      </c>
      <c r="U84" s="100">
        <v>3905.9999999999995</v>
      </c>
      <c r="V84" s="100">
        <v>8</v>
      </c>
      <c r="W84" s="100">
        <v>6249.5999999999995</v>
      </c>
      <c r="X84" s="100">
        <v>8</v>
      </c>
      <c r="Y84" s="100">
        <v>6249.5999999999995</v>
      </c>
      <c r="Z84" s="100">
        <v>6</v>
      </c>
      <c r="AA84" s="100">
        <v>4687.2</v>
      </c>
      <c r="AB84" s="100">
        <v>8</v>
      </c>
      <c r="AC84" s="100">
        <v>6249.5999999999995</v>
      </c>
      <c r="AD84" s="100">
        <v>7</v>
      </c>
      <c r="AE84" s="100">
        <v>5468.4</v>
      </c>
      <c r="AF84" s="100">
        <v>8</v>
      </c>
      <c r="AG84" s="100">
        <v>6249.5999999999995</v>
      </c>
      <c r="AH84" s="100">
        <v>9</v>
      </c>
      <c r="AI84" s="100">
        <v>7030.7999999999993</v>
      </c>
      <c r="AJ84" s="100">
        <v>7</v>
      </c>
      <c r="AK84" s="100">
        <v>5468.4</v>
      </c>
      <c r="AL84" s="100">
        <v>7</v>
      </c>
      <c r="AM84" s="100">
        <v>5468.4</v>
      </c>
      <c r="AN84" s="100">
        <v>8</v>
      </c>
      <c r="AO84" s="100">
        <v>6249.5999999999995</v>
      </c>
      <c r="AP84" s="100">
        <v>5</v>
      </c>
      <c r="AQ84" s="100">
        <v>3905.9999999999995</v>
      </c>
      <c r="AR84" s="100">
        <v>6</v>
      </c>
      <c r="AS84" s="100">
        <v>4687.2</v>
      </c>
      <c r="AT84" s="100">
        <v>9</v>
      </c>
      <c r="AU84" s="100">
        <v>7030.7999999999993</v>
      </c>
      <c r="AV84" s="100">
        <v>5</v>
      </c>
      <c r="AW84" s="100">
        <v>3905.9999999999995</v>
      </c>
      <c r="AX84" s="100">
        <v>8</v>
      </c>
      <c r="AY84" s="100">
        <v>6249.5999999999995</v>
      </c>
      <c r="AZ84" s="100">
        <v>5</v>
      </c>
      <c r="BA84" s="100">
        <v>3905.9999999999995</v>
      </c>
      <c r="BB84" s="100">
        <v>7</v>
      </c>
      <c r="BC84" s="100">
        <v>5468.4</v>
      </c>
      <c r="BD84" s="100">
        <v>5</v>
      </c>
      <c r="BE84" s="100">
        <v>3905.9999999999995</v>
      </c>
      <c r="BF84" s="100">
        <v>8</v>
      </c>
      <c r="BG84" s="100">
        <v>6249.5999999999995</v>
      </c>
      <c r="BH84" s="100">
        <v>7</v>
      </c>
      <c r="BI84" s="100">
        <v>5468.4</v>
      </c>
      <c r="BJ84" s="100">
        <v>8</v>
      </c>
      <c r="BK84" s="100">
        <v>6249.5999999999995</v>
      </c>
      <c r="BL84" s="100">
        <v>8</v>
      </c>
      <c r="BM84" s="100">
        <v>6249.5999999999995</v>
      </c>
      <c r="BN84" s="100">
        <v>10</v>
      </c>
      <c r="BO84" s="100">
        <v>7811.9999999999991</v>
      </c>
      <c r="BP84" s="100">
        <v>9</v>
      </c>
      <c r="BQ84" s="100">
        <v>7030.7999999999993</v>
      </c>
      <c r="BR84" s="100">
        <v>7</v>
      </c>
      <c r="BS84" s="100">
        <v>5468.4</v>
      </c>
      <c r="BT84" s="100">
        <v>9</v>
      </c>
      <c r="BU84" s="100">
        <v>7030.7999999999993</v>
      </c>
      <c r="BV84" s="100">
        <v>9</v>
      </c>
      <c r="BW84" s="100">
        <v>7030.7999999999993</v>
      </c>
      <c r="BX84" s="100">
        <v>6</v>
      </c>
      <c r="BY84" s="100">
        <v>4687.2</v>
      </c>
      <c r="BZ84" s="100">
        <v>9</v>
      </c>
      <c r="CA84" s="100">
        <v>7030.7999999999993</v>
      </c>
      <c r="CB84" s="100">
        <v>6</v>
      </c>
      <c r="CC84" s="100">
        <v>4687.2</v>
      </c>
      <c r="CD84" s="100">
        <v>7</v>
      </c>
      <c r="CE84" s="100">
        <v>5468.4</v>
      </c>
      <c r="CF84" s="100">
        <v>6</v>
      </c>
      <c r="CG84" s="100">
        <v>4687.2</v>
      </c>
      <c r="CH84" s="100">
        <v>8</v>
      </c>
      <c r="CI84" s="100">
        <v>6249.5999999999995</v>
      </c>
      <c r="CJ84" s="100">
        <v>10</v>
      </c>
      <c r="CK84" s="100">
        <v>7811.9999999999991</v>
      </c>
      <c r="CL84" s="100">
        <v>5</v>
      </c>
      <c r="CM84" s="100">
        <v>3905.9999999999995</v>
      </c>
      <c r="CN84" s="100">
        <v>6</v>
      </c>
      <c r="CO84" s="100">
        <v>4687.2</v>
      </c>
      <c r="CP84" s="100">
        <v>9</v>
      </c>
      <c r="CQ84" s="100">
        <v>7030.7999999999993</v>
      </c>
      <c r="CR84" s="100">
        <v>7</v>
      </c>
      <c r="CS84" s="100">
        <v>5468.4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6</v>
      </c>
      <c r="E85" s="100">
        <v>900</v>
      </c>
      <c r="F85" s="100">
        <v>6</v>
      </c>
      <c r="G85" s="100">
        <v>900</v>
      </c>
      <c r="H85" s="100">
        <v>5</v>
      </c>
      <c r="I85" s="100">
        <v>750</v>
      </c>
      <c r="J85" s="100">
        <v>10</v>
      </c>
      <c r="K85" s="100">
        <v>1500</v>
      </c>
      <c r="L85" s="100">
        <v>8</v>
      </c>
      <c r="M85" s="100">
        <v>1200</v>
      </c>
      <c r="N85" s="100">
        <v>6</v>
      </c>
      <c r="O85" s="100">
        <v>900</v>
      </c>
      <c r="P85" s="100">
        <v>8</v>
      </c>
      <c r="Q85" s="100">
        <v>1200</v>
      </c>
      <c r="R85" s="100">
        <v>8</v>
      </c>
      <c r="S85" s="100">
        <v>1200</v>
      </c>
      <c r="T85" s="100">
        <v>6</v>
      </c>
      <c r="U85" s="100">
        <v>900</v>
      </c>
      <c r="V85" s="100">
        <v>9</v>
      </c>
      <c r="W85" s="100">
        <v>1350</v>
      </c>
      <c r="X85" s="100">
        <v>8</v>
      </c>
      <c r="Y85" s="100">
        <v>1200</v>
      </c>
      <c r="Z85" s="100">
        <v>6</v>
      </c>
      <c r="AA85" s="100">
        <v>900</v>
      </c>
      <c r="AB85" s="100">
        <v>8</v>
      </c>
      <c r="AC85" s="100">
        <v>1200</v>
      </c>
      <c r="AD85" s="100">
        <v>8</v>
      </c>
      <c r="AE85" s="100">
        <v>1200</v>
      </c>
      <c r="AF85" s="100">
        <v>9</v>
      </c>
      <c r="AG85" s="100">
        <v>1350</v>
      </c>
      <c r="AH85" s="100">
        <v>9</v>
      </c>
      <c r="AI85" s="100">
        <v>1350</v>
      </c>
      <c r="AJ85" s="100">
        <v>8</v>
      </c>
      <c r="AK85" s="100">
        <v>1200</v>
      </c>
      <c r="AL85" s="100">
        <v>8</v>
      </c>
      <c r="AM85" s="100">
        <v>1200</v>
      </c>
      <c r="AN85" s="100">
        <v>8</v>
      </c>
      <c r="AO85" s="100">
        <v>1200</v>
      </c>
      <c r="AP85" s="100">
        <v>6</v>
      </c>
      <c r="AQ85" s="100">
        <v>900</v>
      </c>
      <c r="AR85" s="100">
        <v>5</v>
      </c>
      <c r="AS85" s="100">
        <v>750</v>
      </c>
      <c r="AT85" s="100">
        <v>11</v>
      </c>
      <c r="AU85" s="100">
        <v>1650</v>
      </c>
      <c r="AV85" s="100">
        <v>5</v>
      </c>
      <c r="AW85" s="100">
        <v>750</v>
      </c>
      <c r="AX85" s="100">
        <v>9</v>
      </c>
      <c r="AY85" s="100">
        <v>1350</v>
      </c>
      <c r="AZ85" s="100">
        <v>6</v>
      </c>
      <c r="BA85" s="100">
        <v>900</v>
      </c>
      <c r="BB85" s="100">
        <v>8</v>
      </c>
      <c r="BC85" s="100">
        <v>1200</v>
      </c>
      <c r="BD85" s="100">
        <v>6</v>
      </c>
      <c r="BE85" s="100">
        <v>900</v>
      </c>
      <c r="BF85" s="100">
        <v>9</v>
      </c>
      <c r="BG85" s="100">
        <v>1350</v>
      </c>
      <c r="BH85" s="100">
        <v>8</v>
      </c>
      <c r="BI85" s="100">
        <v>1200</v>
      </c>
      <c r="BJ85" s="100">
        <v>8</v>
      </c>
      <c r="BK85" s="100">
        <v>1200</v>
      </c>
      <c r="BL85" s="100">
        <v>9</v>
      </c>
      <c r="BM85" s="100">
        <v>1350</v>
      </c>
      <c r="BN85" s="100">
        <v>11</v>
      </c>
      <c r="BO85" s="100">
        <v>1650</v>
      </c>
      <c r="BP85" s="100">
        <v>10</v>
      </c>
      <c r="BQ85" s="100">
        <v>1500</v>
      </c>
      <c r="BR85" s="100">
        <v>7</v>
      </c>
      <c r="BS85" s="100">
        <v>1050</v>
      </c>
      <c r="BT85" s="100">
        <v>11</v>
      </c>
      <c r="BU85" s="100">
        <v>1650</v>
      </c>
      <c r="BV85" s="100">
        <v>9</v>
      </c>
      <c r="BW85" s="100">
        <v>1350</v>
      </c>
      <c r="BX85" s="100">
        <v>7</v>
      </c>
      <c r="BY85" s="100">
        <v>1050</v>
      </c>
      <c r="BZ85" s="100">
        <v>11</v>
      </c>
      <c r="CA85" s="100">
        <v>1650</v>
      </c>
      <c r="CB85" s="100">
        <v>6</v>
      </c>
      <c r="CC85" s="100">
        <v>900</v>
      </c>
      <c r="CD85" s="100">
        <v>8</v>
      </c>
      <c r="CE85" s="100">
        <v>1200</v>
      </c>
      <c r="CF85" s="100">
        <v>6</v>
      </c>
      <c r="CG85" s="100">
        <v>900</v>
      </c>
      <c r="CH85" s="100">
        <v>9</v>
      </c>
      <c r="CI85" s="100">
        <v>1350</v>
      </c>
      <c r="CJ85" s="100">
        <v>11</v>
      </c>
      <c r="CK85" s="100">
        <v>1650</v>
      </c>
      <c r="CL85" s="100">
        <v>6</v>
      </c>
      <c r="CM85" s="100">
        <v>900</v>
      </c>
      <c r="CN85" s="100">
        <v>7</v>
      </c>
      <c r="CO85" s="100">
        <v>1050</v>
      </c>
      <c r="CP85" s="100">
        <v>11</v>
      </c>
      <c r="CQ85" s="100">
        <v>1650</v>
      </c>
      <c r="CR85" s="100">
        <v>7</v>
      </c>
      <c r="CS85" s="100">
        <v>1050</v>
      </c>
      <c r="CT85" s="100">
        <v>9</v>
      </c>
      <c r="CU85" s="100">
        <v>1350</v>
      </c>
    </row>
    <row r="86" spans="2:99">
      <c r="C86" s="99" t="s">
        <v>252</v>
      </c>
      <c r="D86" s="100">
        <v>6</v>
      </c>
      <c r="E86" s="100">
        <v>3240</v>
      </c>
      <c r="F86" s="100">
        <v>6</v>
      </c>
      <c r="G86" s="100">
        <v>3240</v>
      </c>
      <c r="H86" s="100">
        <v>6</v>
      </c>
      <c r="I86" s="100">
        <v>3240</v>
      </c>
      <c r="J86" s="100">
        <v>9</v>
      </c>
      <c r="K86" s="100">
        <v>4860</v>
      </c>
      <c r="L86" s="100">
        <v>7</v>
      </c>
      <c r="M86" s="100">
        <v>3780</v>
      </c>
      <c r="N86" s="100">
        <v>6</v>
      </c>
      <c r="O86" s="100">
        <v>3240</v>
      </c>
      <c r="P86" s="100">
        <v>8</v>
      </c>
      <c r="Q86" s="100">
        <v>4320</v>
      </c>
      <c r="R86" s="100">
        <v>8</v>
      </c>
      <c r="S86" s="100">
        <v>4320</v>
      </c>
      <c r="T86" s="100">
        <v>6</v>
      </c>
      <c r="U86" s="100">
        <v>3240</v>
      </c>
      <c r="V86" s="100">
        <v>10</v>
      </c>
      <c r="W86" s="100">
        <v>5400</v>
      </c>
      <c r="X86" s="100">
        <v>8</v>
      </c>
      <c r="Y86" s="100">
        <v>4320</v>
      </c>
      <c r="Z86" s="100">
        <v>5</v>
      </c>
      <c r="AA86" s="100">
        <v>2700</v>
      </c>
      <c r="AB86" s="100">
        <v>8</v>
      </c>
      <c r="AC86" s="100">
        <v>4320</v>
      </c>
      <c r="AD86" s="100">
        <v>7</v>
      </c>
      <c r="AE86" s="100">
        <v>3780</v>
      </c>
      <c r="AF86" s="100">
        <v>8</v>
      </c>
      <c r="AG86" s="100">
        <v>4320</v>
      </c>
      <c r="AH86" s="100">
        <v>8</v>
      </c>
      <c r="AI86" s="100">
        <v>4320</v>
      </c>
      <c r="AJ86" s="100">
        <v>8</v>
      </c>
      <c r="AK86" s="100">
        <v>4320</v>
      </c>
      <c r="AL86" s="100">
        <v>6</v>
      </c>
      <c r="AM86" s="100">
        <v>3240</v>
      </c>
      <c r="AN86" s="100">
        <v>8</v>
      </c>
      <c r="AO86" s="100">
        <v>4320</v>
      </c>
      <c r="AP86" s="100">
        <v>5</v>
      </c>
      <c r="AQ86" s="100">
        <v>2700</v>
      </c>
      <c r="AR86" s="100">
        <v>6</v>
      </c>
      <c r="AS86" s="100">
        <v>3240</v>
      </c>
      <c r="AT86" s="100">
        <v>10</v>
      </c>
      <c r="AU86" s="100">
        <v>5400</v>
      </c>
      <c r="AV86" s="100">
        <v>5</v>
      </c>
      <c r="AW86" s="100">
        <v>2700</v>
      </c>
      <c r="AX86" s="100">
        <v>9</v>
      </c>
      <c r="AY86" s="100">
        <v>4860</v>
      </c>
      <c r="AZ86" s="100">
        <v>6</v>
      </c>
      <c r="BA86" s="100">
        <v>3240</v>
      </c>
      <c r="BB86" s="100">
        <v>7</v>
      </c>
      <c r="BC86" s="100">
        <v>3780</v>
      </c>
      <c r="BD86" s="100">
        <v>6</v>
      </c>
      <c r="BE86" s="100">
        <v>3240</v>
      </c>
      <c r="BF86" s="100">
        <v>8</v>
      </c>
      <c r="BG86" s="100">
        <v>4320</v>
      </c>
      <c r="BH86" s="100">
        <v>8</v>
      </c>
      <c r="BI86" s="100">
        <v>4320</v>
      </c>
      <c r="BJ86" s="100">
        <v>7</v>
      </c>
      <c r="BK86" s="100">
        <v>3780</v>
      </c>
      <c r="BL86" s="100">
        <v>8</v>
      </c>
      <c r="BM86" s="100">
        <v>4320</v>
      </c>
      <c r="BN86" s="100">
        <v>10</v>
      </c>
      <c r="BO86" s="100">
        <v>5400</v>
      </c>
      <c r="BP86" s="100">
        <v>9</v>
      </c>
      <c r="BQ86" s="100">
        <v>4860</v>
      </c>
      <c r="BR86" s="100">
        <v>8</v>
      </c>
      <c r="BS86" s="100">
        <v>4320</v>
      </c>
      <c r="BT86" s="100">
        <v>11</v>
      </c>
      <c r="BU86" s="100">
        <v>5940</v>
      </c>
      <c r="BV86" s="100">
        <v>10</v>
      </c>
      <c r="BW86" s="100">
        <v>5400</v>
      </c>
      <c r="BX86" s="100">
        <v>6</v>
      </c>
      <c r="BY86" s="100">
        <v>3240</v>
      </c>
      <c r="BZ86" s="100">
        <v>9</v>
      </c>
      <c r="CA86" s="100">
        <v>4860</v>
      </c>
      <c r="CB86" s="100">
        <v>8</v>
      </c>
      <c r="CC86" s="100">
        <v>4320</v>
      </c>
      <c r="CD86" s="100">
        <v>8</v>
      </c>
      <c r="CE86" s="100">
        <v>4320</v>
      </c>
      <c r="CF86" s="100">
        <v>6</v>
      </c>
      <c r="CG86" s="100">
        <v>3240</v>
      </c>
      <c r="CH86" s="100">
        <v>9</v>
      </c>
      <c r="CI86" s="100">
        <v>4860</v>
      </c>
      <c r="CJ86" s="100">
        <v>10</v>
      </c>
      <c r="CK86" s="100">
        <v>5400</v>
      </c>
      <c r="CL86" s="100">
        <v>5</v>
      </c>
      <c r="CM86" s="100">
        <v>2700</v>
      </c>
      <c r="CN86" s="100">
        <v>7</v>
      </c>
      <c r="CO86" s="100">
        <v>3780</v>
      </c>
      <c r="CP86" s="100">
        <v>10</v>
      </c>
      <c r="CQ86" s="100">
        <v>5400</v>
      </c>
      <c r="CR86" s="100">
        <v>7</v>
      </c>
      <c r="CS86" s="100">
        <v>3780</v>
      </c>
      <c r="CT86" s="100">
        <v>9</v>
      </c>
      <c r="CU86" s="100">
        <v>4860</v>
      </c>
    </row>
    <row r="87" spans="2:99">
      <c r="B87" s="99" t="s">
        <v>131</v>
      </c>
      <c r="C87" s="99" t="s">
        <v>253</v>
      </c>
      <c r="D87" s="100">
        <v>8</v>
      </c>
      <c r="E87" s="100">
        <v>8592</v>
      </c>
      <c r="F87" s="100">
        <v>10</v>
      </c>
      <c r="G87" s="100">
        <v>10740</v>
      </c>
      <c r="H87" s="100">
        <v>9</v>
      </c>
      <c r="I87" s="100">
        <v>9666</v>
      </c>
      <c r="J87" s="100">
        <v>10</v>
      </c>
      <c r="K87" s="100">
        <v>10740</v>
      </c>
      <c r="L87" s="100">
        <v>11</v>
      </c>
      <c r="M87" s="100">
        <v>11814</v>
      </c>
      <c r="N87" s="100">
        <v>7.3456305627335139</v>
      </c>
      <c r="O87" s="100">
        <v>7889.2072243757939</v>
      </c>
      <c r="P87" s="100">
        <v>6.1105527638190953</v>
      </c>
      <c r="Q87" s="100">
        <v>6562.7336683417079</v>
      </c>
      <c r="R87" s="100">
        <v>9</v>
      </c>
      <c r="S87" s="100">
        <v>9666</v>
      </c>
      <c r="T87" s="100">
        <v>8.2285714285714278</v>
      </c>
      <c r="U87" s="100">
        <v>8837.4857142857127</v>
      </c>
      <c r="V87" s="100">
        <v>10.316742081447964</v>
      </c>
      <c r="W87" s="100">
        <v>11080.180995475113</v>
      </c>
      <c r="X87" s="100">
        <v>8</v>
      </c>
      <c r="Y87" s="100">
        <v>8592</v>
      </c>
      <c r="Z87" s="100">
        <v>11</v>
      </c>
      <c r="AA87" s="100">
        <v>11814</v>
      </c>
      <c r="AB87" s="100">
        <v>8</v>
      </c>
      <c r="AC87" s="100">
        <v>8592</v>
      </c>
      <c r="AD87" s="100">
        <v>8</v>
      </c>
      <c r="AE87" s="100">
        <v>8592</v>
      </c>
      <c r="AF87" s="100">
        <v>7</v>
      </c>
      <c r="AG87" s="100">
        <v>7518</v>
      </c>
      <c r="AH87" s="100">
        <v>11</v>
      </c>
      <c r="AI87" s="100">
        <v>11814</v>
      </c>
      <c r="AJ87" s="100">
        <v>9.1037735849056602</v>
      </c>
      <c r="AK87" s="100">
        <v>9777.4528301886785</v>
      </c>
      <c r="AL87" s="100">
        <v>8.6757990867579906</v>
      </c>
      <c r="AM87" s="100">
        <v>9317.8082191780813</v>
      </c>
      <c r="AN87" s="100">
        <v>8.4653465346534649</v>
      </c>
      <c r="AO87" s="100">
        <v>9091.7821782178216</v>
      </c>
      <c r="AP87" s="100">
        <v>7</v>
      </c>
      <c r="AQ87" s="100">
        <v>7518</v>
      </c>
      <c r="AR87" s="100">
        <v>7</v>
      </c>
      <c r="AS87" s="100">
        <v>7518</v>
      </c>
      <c r="AT87" s="100">
        <v>8</v>
      </c>
      <c r="AU87" s="100">
        <v>8592</v>
      </c>
      <c r="AV87" s="100">
        <v>11</v>
      </c>
      <c r="AW87" s="100">
        <v>11814</v>
      </c>
      <c r="AX87" s="100">
        <v>10</v>
      </c>
      <c r="AY87" s="100">
        <v>10740</v>
      </c>
      <c r="AZ87" s="100">
        <v>9</v>
      </c>
      <c r="BA87" s="100">
        <v>9666</v>
      </c>
      <c r="BB87" s="100">
        <v>8</v>
      </c>
      <c r="BC87" s="100">
        <v>8592</v>
      </c>
      <c r="BD87" s="100">
        <v>9</v>
      </c>
      <c r="BE87" s="100">
        <v>9666</v>
      </c>
      <c r="BF87" s="100">
        <v>8</v>
      </c>
      <c r="BG87" s="100">
        <v>8592</v>
      </c>
      <c r="BH87" s="100">
        <v>10.90909090909091</v>
      </c>
      <c r="BI87" s="100">
        <v>11716.363636363638</v>
      </c>
      <c r="BJ87" s="100">
        <v>7</v>
      </c>
      <c r="BK87" s="100">
        <v>7518</v>
      </c>
      <c r="BL87" s="100">
        <v>8</v>
      </c>
      <c r="BM87" s="100">
        <v>8592</v>
      </c>
      <c r="BN87" s="100">
        <v>9.7442922374429219</v>
      </c>
      <c r="BO87" s="100">
        <v>10465.369863013699</v>
      </c>
      <c r="BP87" s="100">
        <v>7.6767676767676774</v>
      </c>
      <c r="BQ87" s="100">
        <v>8244.8484848484859</v>
      </c>
      <c r="BR87" s="100">
        <v>10.048076923076923</v>
      </c>
      <c r="BS87" s="100">
        <v>10791.634615384615</v>
      </c>
      <c r="BT87" s="100">
        <v>9</v>
      </c>
      <c r="BU87" s="100">
        <v>9666</v>
      </c>
      <c r="BV87" s="100">
        <v>8.1818181818181817</v>
      </c>
      <c r="BW87" s="100">
        <v>8787.2727272727279</v>
      </c>
      <c r="BX87" s="100">
        <v>10.961538461538462</v>
      </c>
      <c r="BY87" s="100">
        <v>11772.692307692309</v>
      </c>
      <c r="BZ87" s="100">
        <v>7</v>
      </c>
      <c r="CA87" s="100">
        <v>7518</v>
      </c>
      <c r="CB87" s="100">
        <v>7.4101382488479262</v>
      </c>
      <c r="CC87" s="100">
        <v>7958.4884792626726</v>
      </c>
      <c r="CD87" s="100">
        <v>9</v>
      </c>
      <c r="CE87" s="100">
        <v>9666</v>
      </c>
      <c r="CF87" s="100">
        <v>7</v>
      </c>
      <c r="CG87" s="100">
        <v>7518</v>
      </c>
      <c r="CH87" s="100">
        <v>9</v>
      </c>
      <c r="CI87" s="100">
        <v>9666</v>
      </c>
      <c r="CJ87" s="100">
        <v>7</v>
      </c>
      <c r="CK87" s="100">
        <v>7518</v>
      </c>
      <c r="CL87" s="100">
        <v>14</v>
      </c>
      <c r="CM87" s="100">
        <v>15036</v>
      </c>
      <c r="CN87" s="100">
        <v>11.401639344262295</v>
      </c>
      <c r="CO87" s="100">
        <v>12245.360655737704</v>
      </c>
      <c r="CP87" s="100">
        <v>6.9633507853403138</v>
      </c>
      <c r="CQ87" s="100">
        <v>7478.6387434554972</v>
      </c>
      <c r="CR87" s="100">
        <v>9.785407725321889</v>
      </c>
      <c r="CS87" s="100">
        <v>10509.527896995709</v>
      </c>
      <c r="CT87" s="100">
        <v>7</v>
      </c>
      <c r="CU87" s="100">
        <v>7518</v>
      </c>
    </row>
    <row r="88" spans="2:99">
      <c r="C88" s="99" t="s">
        <v>254</v>
      </c>
      <c r="D88" s="100">
        <v>8</v>
      </c>
      <c r="E88" s="100">
        <v>7939.2</v>
      </c>
      <c r="F88" s="100">
        <v>10</v>
      </c>
      <c r="G88" s="100">
        <v>9924</v>
      </c>
      <c r="H88" s="100">
        <v>10</v>
      </c>
      <c r="I88" s="100">
        <v>9924</v>
      </c>
      <c r="J88" s="100">
        <v>11</v>
      </c>
      <c r="K88" s="100">
        <v>10916.4</v>
      </c>
      <c r="L88" s="100">
        <v>11</v>
      </c>
      <c r="M88" s="100">
        <v>10916.4</v>
      </c>
      <c r="N88" s="100">
        <v>6.529449389096456</v>
      </c>
      <c r="O88" s="100">
        <v>6479.8255737393229</v>
      </c>
      <c r="P88" s="100">
        <v>6.1105527638190953</v>
      </c>
      <c r="Q88" s="100">
        <v>6064.1125628140699</v>
      </c>
      <c r="R88" s="100">
        <v>10</v>
      </c>
      <c r="S88" s="100">
        <v>9924</v>
      </c>
      <c r="T88" s="100">
        <v>9.1428571428571423</v>
      </c>
      <c r="U88" s="100">
        <v>9073.3714285714286</v>
      </c>
      <c r="V88" s="100">
        <v>9.4570135746606336</v>
      </c>
      <c r="W88" s="100">
        <v>9385.1402714932119</v>
      </c>
      <c r="X88" s="100">
        <v>9</v>
      </c>
      <c r="Y88" s="100">
        <v>8931.6</v>
      </c>
      <c r="Z88" s="100">
        <v>10</v>
      </c>
      <c r="AA88" s="100">
        <v>9924</v>
      </c>
      <c r="AB88" s="100">
        <v>8</v>
      </c>
      <c r="AC88" s="100">
        <v>7939.2</v>
      </c>
      <c r="AD88" s="100">
        <v>7</v>
      </c>
      <c r="AE88" s="100">
        <v>6946.8</v>
      </c>
      <c r="AF88" s="100">
        <v>7</v>
      </c>
      <c r="AG88" s="100">
        <v>6946.8</v>
      </c>
      <c r="AH88" s="100">
        <v>11</v>
      </c>
      <c r="AI88" s="100">
        <v>10916.4</v>
      </c>
      <c r="AJ88" s="100">
        <v>9.1037735849056602</v>
      </c>
      <c r="AK88" s="100">
        <v>9034.5849056603765</v>
      </c>
      <c r="AL88" s="100">
        <v>9.5433789954337893</v>
      </c>
      <c r="AM88" s="100">
        <v>9470.8493150684917</v>
      </c>
      <c r="AN88" s="100">
        <v>7.5247524752475252</v>
      </c>
      <c r="AO88" s="100">
        <v>7467.5643564356442</v>
      </c>
      <c r="AP88" s="100">
        <v>7</v>
      </c>
      <c r="AQ88" s="100">
        <v>6946.8</v>
      </c>
      <c r="AR88" s="100">
        <v>7</v>
      </c>
      <c r="AS88" s="100">
        <v>6946.8</v>
      </c>
      <c r="AT88" s="100">
        <v>9</v>
      </c>
      <c r="AU88" s="100">
        <v>8931.6</v>
      </c>
      <c r="AV88" s="100">
        <v>11</v>
      </c>
      <c r="AW88" s="100">
        <v>10916.4</v>
      </c>
      <c r="AX88" s="100">
        <v>11</v>
      </c>
      <c r="AY88" s="100">
        <v>10916.4</v>
      </c>
      <c r="AZ88" s="100">
        <v>9</v>
      </c>
      <c r="BA88" s="100">
        <v>8931.6</v>
      </c>
      <c r="BB88" s="100">
        <v>9</v>
      </c>
      <c r="BC88" s="100">
        <v>8931.6</v>
      </c>
      <c r="BD88" s="100">
        <v>8</v>
      </c>
      <c r="BE88" s="100">
        <v>7939.2</v>
      </c>
      <c r="BF88" s="100">
        <v>9</v>
      </c>
      <c r="BG88" s="100">
        <v>8931.6</v>
      </c>
      <c r="BH88" s="100">
        <v>11.900826446280991</v>
      </c>
      <c r="BI88" s="100">
        <v>11810.380165289256</v>
      </c>
      <c r="BJ88" s="100">
        <v>8</v>
      </c>
      <c r="BK88" s="100">
        <v>7939.2</v>
      </c>
      <c r="BL88" s="100">
        <v>8</v>
      </c>
      <c r="BM88" s="100">
        <v>7939.2</v>
      </c>
      <c r="BN88" s="100">
        <v>8.8584474885844742</v>
      </c>
      <c r="BO88" s="100">
        <v>8791.1232876712311</v>
      </c>
      <c r="BP88" s="100">
        <v>7.6767676767676774</v>
      </c>
      <c r="BQ88" s="100">
        <v>7618.4242424242429</v>
      </c>
      <c r="BR88" s="100">
        <v>9.134615384615385</v>
      </c>
      <c r="BS88" s="100">
        <v>9065.1923076923085</v>
      </c>
      <c r="BT88" s="100">
        <v>11</v>
      </c>
      <c r="BU88" s="100">
        <v>10916.4</v>
      </c>
      <c r="BV88" s="100">
        <v>8.1818181818181817</v>
      </c>
      <c r="BW88" s="100">
        <v>8119.6363636363631</v>
      </c>
      <c r="BX88" s="100">
        <v>12.788461538461538</v>
      </c>
      <c r="BY88" s="100">
        <v>12691.26923076923</v>
      </c>
      <c r="BZ88" s="100">
        <v>7</v>
      </c>
      <c r="CA88" s="100">
        <v>6946.8</v>
      </c>
      <c r="CB88" s="100">
        <v>8.3364055299539164</v>
      </c>
      <c r="CC88" s="100">
        <v>8273.0488479262658</v>
      </c>
      <c r="CD88" s="100">
        <v>9</v>
      </c>
      <c r="CE88" s="100">
        <v>8931.6</v>
      </c>
      <c r="CF88" s="100">
        <v>7</v>
      </c>
      <c r="CG88" s="100">
        <v>6946.8</v>
      </c>
      <c r="CH88" s="100">
        <v>8</v>
      </c>
      <c r="CI88" s="100">
        <v>7939.2</v>
      </c>
      <c r="CJ88" s="100">
        <v>7</v>
      </c>
      <c r="CK88" s="100">
        <v>6946.8</v>
      </c>
      <c r="CL88" s="100">
        <v>14</v>
      </c>
      <c r="CM88" s="100">
        <v>13893.6</v>
      </c>
      <c r="CN88" s="100">
        <v>11.401639344262295</v>
      </c>
      <c r="CO88" s="100">
        <v>11314.9868852459</v>
      </c>
      <c r="CP88" s="100">
        <v>6.9633507853403138</v>
      </c>
      <c r="CQ88" s="100">
        <v>6910.4293193717276</v>
      </c>
      <c r="CR88" s="100">
        <v>11.416309012875537</v>
      </c>
      <c r="CS88" s="100">
        <v>11329.545064377682</v>
      </c>
      <c r="CT88" s="100">
        <v>8</v>
      </c>
      <c r="CU88" s="100">
        <v>7939.2</v>
      </c>
    </row>
    <row r="89" spans="2:99">
      <c r="C89" s="99" t="s">
        <v>255</v>
      </c>
      <c r="D89" s="100">
        <v>8</v>
      </c>
      <c r="E89" s="100">
        <v>8496</v>
      </c>
      <c r="F89" s="100">
        <v>11</v>
      </c>
      <c r="G89" s="100">
        <v>11682</v>
      </c>
      <c r="H89" s="100">
        <v>9</v>
      </c>
      <c r="I89" s="100">
        <v>9558</v>
      </c>
      <c r="J89" s="100">
        <v>10</v>
      </c>
      <c r="K89" s="100">
        <v>10620</v>
      </c>
      <c r="L89" s="100">
        <v>11</v>
      </c>
      <c r="M89" s="100">
        <v>11682</v>
      </c>
      <c r="N89" s="100">
        <v>6.529449389096456</v>
      </c>
      <c r="O89" s="100">
        <v>6934.2752512204361</v>
      </c>
      <c r="P89" s="100">
        <v>6.1105527638190953</v>
      </c>
      <c r="Q89" s="100">
        <v>6489.4070351758792</v>
      </c>
      <c r="R89" s="100">
        <v>8</v>
      </c>
      <c r="S89" s="100">
        <v>8496</v>
      </c>
      <c r="T89" s="100">
        <v>9.1428571428571423</v>
      </c>
      <c r="U89" s="100">
        <v>9709.7142857142844</v>
      </c>
      <c r="V89" s="100">
        <v>10.316742081447964</v>
      </c>
      <c r="W89" s="100">
        <v>10956.380090497738</v>
      </c>
      <c r="X89" s="100">
        <v>9</v>
      </c>
      <c r="Y89" s="100">
        <v>9558</v>
      </c>
      <c r="Z89" s="100">
        <v>11</v>
      </c>
      <c r="AA89" s="100">
        <v>11682</v>
      </c>
      <c r="AB89" s="100">
        <v>9</v>
      </c>
      <c r="AC89" s="100">
        <v>9558</v>
      </c>
      <c r="AD89" s="100">
        <v>9</v>
      </c>
      <c r="AE89" s="100">
        <v>9558</v>
      </c>
      <c r="AF89" s="100">
        <v>7</v>
      </c>
      <c r="AG89" s="100">
        <v>7434</v>
      </c>
      <c r="AH89" s="100">
        <v>11</v>
      </c>
      <c r="AI89" s="100">
        <v>11682</v>
      </c>
      <c r="AJ89" s="100">
        <v>9.1037735849056602</v>
      </c>
      <c r="AK89" s="100">
        <v>9668.2075471698117</v>
      </c>
      <c r="AL89" s="100">
        <v>8.6757990867579906</v>
      </c>
      <c r="AM89" s="100">
        <v>9213.6986301369852</v>
      </c>
      <c r="AN89" s="100">
        <v>7.5247524752475252</v>
      </c>
      <c r="AO89" s="100">
        <v>7991.2871287128719</v>
      </c>
      <c r="AP89" s="100">
        <v>6</v>
      </c>
      <c r="AQ89" s="100">
        <v>6372</v>
      </c>
      <c r="AR89" s="100">
        <v>8</v>
      </c>
      <c r="AS89" s="100">
        <v>8496</v>
      </c>
      <c r="AT89" s="100">
        <v>7</v>
      </c>
      <c r="AU89" s="100">
        <v>7434</v>
      </c>
      <c r="AV89" s="100">
        <v>10</v>
      </c>
      <c r="AW89" s="100">
        <v>10620</v>
      </c>
      <c r="AX89" s="100">
        <v>10</v>
      </c>
      <c r="AY89" s="100">
        <v>10620</v>
      </c>
      <c r="AZ89" s="100">
        <v>9</v>
      </c>
      <c r="BA89" s="100">
        <v>9558</v>
      </c>
      <c r="BB89" s="100">
        <v>8</v>
      </c>
      <c r="BC89" s="100">
        <v>8496</v>
      </c>
      <c r="BD89" s="100">
        <v>8</v>
      </c>
      <c r="BE89" s="100">
        <v>8496</v>
      </c>
      <c r="BF89" s="100">
        <v>8</v>
      </c>
      <c r="BG89" s="100">
        <v>8496</v>
      </c>
      <c r="BH89" s="100">
        <v>12.892561983471074</v>
      </c>
      <c r="BI89" s="100">
        <v>13691.900826446281</v>
      </c>
      <c r="BJ89" s="100">
        <v>8</v>
      </c>
      <c r="BK89" s="100">
        <v>8496</v>
      </c>
      <c r="BL89" s="100">
        <v>8</v>
      </c>
      <c r="BM89" s="100">
        <v>8496</v>
      </c>
      <c r="BN89" s="100">
        <v>9.7442922374429219</v>
      </c>
      <c r="BO89" s="100">
        <v>10348.438356164383</v>
      </c>
      <c r="BP89" s="100">
        <v>6.7171717171717171</v>
      </c>
      <c r="BQ89" s="100">
        <v>7133.636363636364</v>
      </c>
      <c r="BR89" s="100">
        <v>10.048076923076923</v>
      </c>
      <c r="BS89" s="100">
        <v>10671.057692307693</v>
      </c>
      <c r="BT89" s="100">
        <v>9</v>
      </c>
      <c r="BU89" s="100">
        <v>9558</v>
      </c>
      <c r="BV89" s="100">
        <v>8.1818181818181817</v>
      </c>
      <c r="BW89" s="100">
        <v>8689.0909090909081</v>
      </c>
      <c r="BX89" s="100">
        <v>10.961538461538462</v>
      </c>
      <c r="BY89" s="100">
        <v>11641.153846153846</v>
      </c>
      <c r="BZ89" s="100">
        <v>7</v>
      </c>
      <c r="CA89" s="100">
        <v>7434</v>
      </c>
      <c r="CB89" s="100">
        <v>8.3364055299539164</v>
      </c>
      <c r="CC89" s="100">
        <v>8853.262672811059</v>
      </c>
      <c r="CD89" s="100">
        <v>9</v>
      </c>
      <c r="CE89" s="100">
        <v>9558</v>
      </c>
      <c r="CF89" s="100">
        <v>7</v>
      </c>
      <c r="CG89" s="100">
        <v>7434</v>
      </c>
      <c r="CH89" s="100">
        <v>8</v>
      </c>
      <c r="CI89" s="100">
        <v>8496</v>
      </c>
      <c r="CJ89" s="100">
        <v>7</v>
      </c>
      <c r="CK89" s="100">
        <v>7434</v>
      </c>
      <c r="CL89" s="100">
        <v>13</v>
      </c>
      <c r="CM89" s="100">
        <v>13806</v>
      </c>
      <c r="CN89" s="100">
        <v>10.524590163934427</v>
      </c>
      <c r="CO89" s="100">
        <v>11177.114754098362</v>
      </c>
      <c r="CP89" s="100">
        <v>7.9581151832460737</v>
      </c>
      <c r="CQ89" s="100">
        <v>8451.5183246073302</v>
      </c>
      <c r="CR89" s="100">
        <v>10.600858369098713</v>
      </c>
      <c r="CS89" s="100">
        <v>11258.111587982834</v>
      </c>
      <c r="CT89" s="100">
        <v>8</v>
      </c>
      <c r="CU89" s="100">
        <v>8496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11</v>
      </c>
      <c r="G90" s="100">
        <v>12196.8</v>
      </c>
      <c r="H90" s="100">
        <v>10</v>
      </c>
      <c r="I90" s="100">
        <v>11088</v>
      </c>
      <c r="J90" s="100">
        <v>10</v>
      </c>
      <c r="K90" s="100">
        <v>11088</v>
      </c>
      <c r="L90" s="100">
        <v>10</v>
      </c>
      <c r="M90" s="100">
        <v>11088</v>
      </c>
      <c r="N90" s="100">
        <v>7.3456305627335139</v>
      </c>
      <c r="O90" s="100">
        <v>8144.8351679589196</v>
      </c>
      <c r="P90" s="100">
        <v>5.3467336683417086</v>
      </c>
      <c r="Q90" s="100">
        <v>5928.4582914572866</v>
      </c>
      <c r="R90" s="100">
        <v>9</v>
      </c>
      <c r="S90" s="100">
        <v>9979.1999999999989</v>
      </c>
      <c r="T90" s="100">
        <v>8.2285714285714278</v>
      </c>
      <c r="U90" s="100">
        <v>9123.8399999999983</v>
      </c>
      <c r="V90" s="100">
        <v>9.4570135746606336</v>
      </c>
      <c r="W90" s="100">
        <v>10485.93665158371</v>
      </c>
      <c r="X90" s="100">
        <v>8</v>
      </c>
      <c r="Y90" s="100">
        <v>8870.4</v>
      </c>
      <c r="Z90" s="100">
        <v>9</v>
      </c>
      <c r="AA90" s="100">
        <v>9979.1999999999989</v>
      </c>
      <c r="AB90" s="100">
        <v>9</v>
      </c>
      <c r="AC90" s="100">
        <v>9979.1999999999989</v>
      </c>
      <c r="AD90" s="100">
        <v>9</v>
      </c>
      <c r="AE90" s="100">
        <v>9979.1999999999989</v>
      </c>
      <c r="AF90" s="100">
        <v>7</v>
      </c>
      <c r="AG90" s="100">
        <v>7761.5999999999995</v>
      </c>
      <c r="AH90" s="100">
        <v>12</v>
      </c>
      <c r="AI90" s="100">
        <v>13305.599999999999</v>
      </c>
      <c r="AJ90" s="100">
        <v>8.1933962264150946</v>
      </c>
      <c r="AK90" s="100">
        <v>9084.8377358490561</v>
      </c>
      <c r="AL90" s="100">
        <v>9.5433789954337893</v>
      </c>
      <c r="AM90" s="100">
        <v>10581.698630136985</v>
      </c>
      <c r="AN90" s="100">
        <v>7.5247524752475252</v>
      </c>
      <c r="AO90" s="100">
        <v>8343.4455445544554</v>
      </c>
      <c r="AP90" s="100">
        <v>7</v>
      </c>
      <c r="AQ90" s="100">
        <v>7761.5999999999995</v>
      </c>
      <c r="AR90" s="100">
        <v>8</v>
      </c>
      <c r="AS90" s="100">
        <v>8870.4</v>
      </c>
      <c r="AT90" s="100">
        <v>7</v>
      </c>
      <c r="AU90" s="100">
        <v>7761.5999999999995</v>
      </c>
      <c r="AV90" s="100">
        <v>10</v>
      </c>
      <c r="AW90" s="100">
        <v>11088</v>
      </c>
      <c r="AX90" s="100">
        <v>11</v>
      </c>
      <c r="AY90" s="100">
        <v>12196.8</v>
      </c>
      <c r="AZ90" s="100">
        <v>8</v>
      </c>
      <c r="BA90" s="100">
        <v>8870.4</v>
      </c>
      <c r="BB90" s="100">
        <v>9</v>
      </c>
      <c r="BC90" s="100">
        <v>9979.1999999999989</v>
      </c>
      <c r="BD90" s="100">
        <v>9</v>
      </c>
      <c r="BE90" s="100">
        <v>9979.1999999999989</v>
      </c>
      <c r="BF90" s="100">
        <v>9</v>
      </c>
      <c r="BG90" s="100">
        <v>9979.1999999999989</v>
      </c>
      <c r="BH90" s="100">
        <v>12.892561983471074</v>
      </c>
      <c r="BI90" s="100">
        <v>14295.272727272726</v>
      </c>
      <c r="BJ90" s="100">
        <v>7</v>
      </c>
      <c r="BK90" s="100">
        <v>7761.5999999999995</v>
      </c>
      <c r="BL90" s="100">
        <v>8</v>
      </c>
      <c r="BM90" s="100">
        <v>8870.4</v>
      </c>
      <c r="BN90" s="100">
        <v>9.7442922374429219</v>
      </c>
      <c r="BO90" s="100">
        <v>10804.471232876711</v>
      </c>
      <c r="BP90" s="100">
        <v>6.7171717171717171</v>
      </c>
      <c r="BQ90" s="100">
        <v>7448</v>
      </c>
      <c r="BR90" s="100">
        <v>9.134615384615385</v>
      </c>
      <c r="BS90" s="100">
        <v>10128.461538461539</v>
      </c>
      <c r="BT90" s="100">
        <v>10</v>
      </c>
      <c r="BU90" s="100">
        <v>11088</v>
      </c>
      <c r="BV90" s="100">
        <v>8.1818181818181817</v>
      </c>
      <c r="BW90" s="100">
        <v>9072</v>
      </c>
      <c r="BX90" s="100">
        <v>11.875</v>
      </c>
      <c r="BY90" s="100">
        <v>13167</v>
      </c>
      <c r="BZ90" s="100">
        <v>7</v>
      </c>
      <c r="CA90" s="100">
        <v>7761.5999999999995</v>
      </c>
      <c r="CB90" s="100">
        <v>8.3364055299539164</v>
      </c>
      <c r="CC90" s="100">
        <v>9243.4064516129019</v>
      </c>
      <c r="CD90" s="100">
        <v>8</v>
      </c>
      <c r="CE90" s="100">
        <v>8870.4</v>
      </c>
      <c r="CF90" s="100">
        <v>7</v>
      </c>
      <c r="CG90" s="100">
        <v>7761.5999999999995</v>
      </c>
      <c r="CH90" s="100">
        <v>9</v>
      </c>
      <c r="CI90" s="100">
        <v>9979.1999999999989</v>
      </c>
      <c r="CJ90" s="100">
        <v>7</v>
      </c>
      <c r="CK90" s="100">
        <v>7761.5999999999995</v>
      </c>
      <c r="CL90" s="100">
        <v>13</v>
      </c>
      <c r="CM90" s="100">
        <v>14414.4</v>
      </c>
      <c r="CN90" s="100">
        <v>9.6475409836065573</v>
      </c>
      <c r="CO90" s="100">
        <v>10697.193442622951</v>
      </c>
      <c r="CP90" s="100">
        <v>7.9581151832460737</v>
      </c>
      <c r="CQ90" s="100">
        <v>8823.9581151832463</v>
      </c>
      <c r="CR90" s="100">
        <v>10.600858369098713</v>
      </c>
      <c r="CS90" s="100">
        <v>11754.231759656652</v>
      </c>
      <c r="CT90" s="100">
        <v>8</v>
      </c>
      <c r="CU90" s="100">
        <v>8870.4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11</v>
      </c>
      <c r="G91" s="100">
        <v>12500.399999999998</v>
      </c>
      <c r="H91" s="100">
        <v>10</v>
      </c>
      <c r="I91" s="100">
        <v>11363.999999999998</v>
      </c>
      <c r="J91" s="100">
        <v>10</v>
      </c>
      <c r="K91" s="100">
        <v>11363.999999999998</v>
      </c>
      <c r="L91" s="100">
        <v>11</v>
      </c>
      <c r="M91" s="100">
        <v>12500.399999999998</v>
      </c>
      <c r="N91" s="100">
        <v>6.529449389096456</v>
      </c>
      <c r="O91" s="100">
        <v>7420.0662857692114</v>
      </c>
      <c r="P91" s="100">
        <v>6.1105527638190953</v>
      </c>
      <c r="Q91" s="100">
        <v>6944.0321608040194</v>
      </c>
      <c r="R91" s="100">
        <v>9</v>
      </c>
      <c r="S91" s="100">
        <v>10227.599999999999</v>
      </c>
      <c r="T91" s="100">
        <v>8.2285714285714278</v>
      </c>
      <c r="U91" s="100">
        <v>9350.9485714285693</v>
      </c>
      <c r="V91" s="100">
        <v>9.4570135746606336</v>
      </c>
      <c r="W91" s="100">
        <v>10746.950226244342</v>
      </c>
      <c r="X91" s="100">
        <v>8</v>
      </c>
      <c r="Y91" s="100">
        <v>9091.1999999999989</v>
      </c>
      <c r="Z91" s="100">
        <v>9</v>
      </c>
      <c r="AA91" s="100">
        <v>10227.599999999999</v>
      </c>
      <c r="AB91" s="100">
        <v>8</v>
      </c>
      <c r="AC91" s="100">
        <v>9091.1999999999989</v>
      </c>
      <c r="AD91" s="100">
        <v>8</v>
      </c>
      <c r="AE91" s="100">
        <v>9091.1999999999989</v>
      </c>
      <c r="AF91" s="100">
        <v>7</v>
      </c>
      <c r="AG91" s="100">
        <v>7954.7999999999993</v>
      </c>
      <c r="AH91" s="100">
        <v>11</v>
      </c>
      <c r="AI91" s="100">
        <v>12500.399999999998</v>
      </c>
      <c r="AJ91" s="100">
        <v>9.1037735849056602</v>
      </c>
      <c r="AK91" s="100">
        <v>10345.52830188679</v>
      </c>
      <c r="AL91" s="100">
        <v>8.6757990867579906</v>
      </c>
      <c r="AM91" s="100">
        <v>9859.17808219178</v>
      </c>
      <c r="AN91" s="100">
        <v>7.5247524752475252</v>
      </c>
      <c r="AO91" s="100">
        <v>8551.1287128712866</v>
      </c>
      <c r="AP91" s="100">
        <v>7</v>
      </c>
      <c r="AQ91" s="100">
        <v>7954.7999999999993</v>
      </c>
      <c r="AR91" s="100">
        <v>7</v>
      </c>
      <c r="AS91" s="100">
        <v>7954.7999999999993</v>
      </c>
      <c r="AT91" s="100">
        <v>8</v>
      </c>
      <c r="AU91" s="100">
        <v>9091.1999999999989</v>
      </c>
      <c r="AV91" s="100">
        <v>10</v>
      </c>
      <c r="AW91" s="100">
        <v>11363.999999999998</v>
      </c>
      <c r="AX91" s="100">
        <v>10</v>
      </c>
      <c r="AY91" s="100">
        <v>11363.999999999998</v>
      </c>
      <c r="AZ91" s="100">
        <v>9</v>
      </c>
      <c r="BA91" s="100">
        <v>10227.599999999999</v>
      </c>
      <c r="BB91" s="100">
        <v>8</v>
      </c>
      <c r="BC91" s="100">
        <v>9091.1999999999989</v>
      </c>
      <c r="BD91" s="100">
        <v>8</v>
      </c>
      <c r="BE91" s="100">
        <v>9091.1999999999989</v>
      </c>
      <c r="BF91" s="100">
        <v>8</v>
      </c>
      <c r="BG91" s="100">
        <v>9091.1999999999989</v>
      </c>
      <c r="BH91" s="100">
        <v>12.892561983471074</v>
      </c>
      <c r="BI91" s="100">
        <v>14651.107438016526</v>
      </c>
      <c r="BJ91" s="100">
        <v>7</v>
      </c>
      <c r="BK91" s="100">
        <v>7954.7999999999993</v>
      </c>
      <c r="BL91" s="100">
        <v>7</v>
      </c>
      <c r="BM91" s="100">
        <v>7954.7999999999993</v>
      </c>
      <c r="BN91" s="100">
        <v>8.8584474885844742</v>
      </c>
      <c r="BO91" s="100">
        <v>10066.739726027396</v>
      </c>
      <c r="BP91" s="100">
        <v>7.6767676767676774</v>
      </c>
      <c r="BQ91" s="100">
        <v>8723.878787878788</v>
      </c>
      <c r="BR91" s="100">
        <v>9.134615384615385</v>
      </c>
      <c r="BS91" s="100">
        <v>10380.576923076922</v>
      </c>
      <c r="BT91" s="100">
        <v>10</v>
      </c>
      <c r="BU91" s="100">
        <v>11363.999999999998</v>
      </c>
      <c r="BV91" s="100">
        <v>7.2727272727272725</v>
      </c>
      <c r="BW91" s="100">
        <v>8264.7272727272721</v>
      </c>
      <c r="BX91" s="100">
        <v>11.875</v>
      </c>
      <c r="BY91" s="100">
        <v>13494.749999999998</v>
      </c>
      <c r="BZ91" s="100">
        <v>7</v>
      </c>
      <c r="CA91" s="100">
        <v>7954.7999999999993</v>
      </c>
      <c r="CB91" s="100">
        <v>9.2626728110599075</v>
      </c>
      <c r="CC91" s="100">
        <v>10526.101382488478</v>
      </c>
      <c r="CD91" s="100">
        <v>8</v>
      </c>
      <c r="CE91" s="100">
        <v>9091.1999999999989</v>
      </c>
      <c r="CF91" s="100">
        <v>7</v>
      </c>
      <c r="CG91" s="100">
        <v>7954.7999999999993</v>
      </c>
      <c r="CH91" s="100">
        <v>8</v>
      </c>
      <c r="CI91" s="100">
        <v>9091.1999999999989</v>
      </c>
      <c r="CJ91" s="100">
        <v>7</v>
      </c>
      <c r="CK91" s="100">
        <v>7954.7999999999993</v>
      </c>
      <c r="CL91" s="100">
        <v>14</v>
      </c>
      <c r="CM91" s="100">
        <v>15909.599999999999</v>
      </c>
      <c r="CN91" s="100">
        <v>11.401639344262295</v>
      </c>
      <c r="CO91" s="100">
        <v>12956.822950819669</v>
      </c>
      <c r="CP91" s="100">
        <v>7.9581151832460737</v>
      </c>
      <c r="CQ91" s="100">
        <v>9043.6020942408377</v>
      </c>
      <c r="CR91" s="100">
        <v>10.600858369098713</v>
      </c>
      <c r="CS91" s="100">
        <v>12046.815450643777</v>
      </c>
      <c r="CT91" s="100">
        <v>8</v>
      </c>
      <c r="CU91" s="100">
        <v>9091.1999999999989</v>
      </c>
    </row>
    <row r="92" spans="2:99">
      <c r="C92" s="99" t="s">
        <v>258</v>
      </c>
      <c r="D92" s="100">
        <v>9</v>
      </c>
      <c r="E92" s="100">
        <v>7063.2</v>
      </c>
      <c r="F92" s="100">
        <v>10</v>
      </c>
      <c r="G92" s="100">
        <v>7848</v>
      </c>
      <c r="H92" s="100">
        <v>10</v>
      </c>
      <c r="I92" s="100">
        <v>7848</v>
      </c>
      <c r="J92" s="100">
        <v>11</v>
      </c>
      <c r="K92" s="100">
        <v>8632.7999999999993</v>
      </c>
      <c r="L92" s="100">
        <v>12</v>
      </c>
      <c r="M92" s="100">
        <v>9417.5999999999985</v>
      </c>
      <c r="N92" s="100">
        <v>7.3456305627335139</v>
      </c>
      <c r="O92" s="100">
        <v>5764.8508656332615</v>
      </c>
      <c r="P92" s="100">
        <v>6.1105527638190953</v>
      </c>
      <c r="Q92" s="100">
        <v>4795.5618090452253</v>
      </c>
      <c r="R92" s="100">
        <v>8</v>
      </c>
      <c r="S92" s="100">
        <v>6278.4</v>
      </c>
      <c r="T92" s="100">
        <v>8.2285714285714278</v>
      </c>
      <c r="U92" s="100">
        <v>6457.7828571428563</v>
      </c>
      <c r="V92" s="100">
        <v>9.4570135746606336</v>
      </c>
      <c r="W92" s="100">
        <v>7421.8642533936645</v>
      </c>
      <c r="X92" s="100">
        <v>9</v>
      </c>
      <c r="Y92" s="100">
        <v>7063.2</v>
      </c>
      <c r="Z92" s="100">
        <v>11</v>
      </c>
      <c r="AA92" s="100">
        <v>8632.7999999999993</v>
      </c>
      <c r="AB92" s="100">
        <v>9</v>
      </c>
      <c r="AC92" s="100">
        <v>7063.2</v>
      </c>
      <c r="AD92" s="100">
        <v>9</v>
      </c>
      <c r="AE92" s="100">
        <v>7063.2</v>
      </c>
      <c r="AF92" s="100">
        <v>6</v>
      </c>
      <c r="AG92" s="100">
        <v>4708.7999999999993</v>
      </c>
      <c r="AH92" s="100">
        <v>12</v>
      </c>
      <c r="AI92" s="100">
        <v>9417.5999999999985</v>
      </c>
      <c r="AJ92" s="100">
        <v>9.1037735849056602</v>
      </c>
      <c r="AK92" s="100">
        <v>7144.6415094339618</v>
      </c>
      <c r="AL92" s="100">
        <v>9.5433789954337893</v>
      </c>
      <c r="AM92" s="100">
        <v>7489.6438356164372</v>
      </c>
      <c r="AN92" s="100">
        <v>7.5247524752475252</v>
      </c>
      <c r="AO92" s="100">
        <v>5905.4257425742571</v>
      </c>
      <c r="AP92" s="100">
        <v>7</v>
      </c>
      <c r="AQ92" s="100">
        <v>5493.5999999999995</v>
      </c>
      <c r="AR92" s="100">
        <v>8</v>
      </c>
      <c r="AS92" s="100">
        <v>6278.4</v>
      </c>
      <c r="AT92" s="100">
        <v>8</v>
      </c>
      <c r="AU92" s="100">
        <v>6278.4</v>
      </c>
      <c r="AV92" s="100">
        <v>11</v>
      </c>
      <c r="AW92" s="100">
        <v>8632.7999999999993</v>
      </c>
      <c r="AX92" s="100">
        <v>12</v>
      </c>
      <c r="AY92" s="100">
        <v>9417.5999999999985</v>
      </c>
      <c r="AZ92" s="100">
        <v>9</v>
      </c>
      <c r="BA92" s="100">
        <v>7063.2</v>
      </c>
      <c r="BB92" s="100">
        <v>9</v>
      </c>
      <c r="BC92" s="100">
        <v>7063.2</v>
      </c>
      <c r="BD92" s="100">
        <v>8</v>
      </c>
      <c r="BE92" s="100">
        <v>6278.4</v>
      </c>
      <c r="BF92" s="100">
        <v>9</v>
      </c>
      <c r="BG92" s="100">
        <v>7063.2</v>
      </c>
      <c r="BH92" s="100">
        <v>12.892561983471074</v>
      </c>
      <c r="BI92" s="100">
        <v>10118.082644628099</v>
      </c>
      <c r="BJ92" s="100">
        <v>8</v>
      </c>
      <c r="BK92" s="100">
        <v>6278.4</v>
      </c>
      <c r="BL92" s="100">
        <v>7</v>
      </c>
      <c r="BM92" s="100">
        <v>5493.5999999999995</v>
      </c>
      <c r="BN92" s="100">
        <v>9.7442922374429219</v>
      </c>
      <c r="BO92" s="100">
        <v>7647.3205479452045</v>
      </c>
      <c r="BP92" s="100">
        <v>6.7171717171717171</v>
      </c>
      <c r="BQ92" s="100">
        <v>5271.6363636363631</v>
      </c>
      <c r="BR92" s="100">
        <v>9.134615384615385</v>
      </c>
      <c r="BS92" s="100">
        <v>7168.8461538461534</v>
      </c>
      <c r="BT92" s="100">
        <v>10</v>
      </c>
      <c r="BU92" s="100">
        <v>7848</v>
      </c>
      <c r="BV92" s="100">
        <v>8.1818181818181817</v>
      </c>
      <c r="BW92" s="100">
        <v>6421.090909090909</v>
      </c>
      <c r="BX92" s="100">
        <v>12.788461538461538</v>
      </c>
      <c r="BY92" s="100">
        <v>10036.384615384615</v>
      </c>
      <c r="BZ92" s="100">
        <v>8</v>
      </c>
      <c r="CA92" s="100">
        <v>6278.4</v>
      </c>
      <c r="CB92" s="100">
        <v>8.3364055299539164</v>
      </c>
      <c r="CC92" s="100">
        <v>6542.4110599078331</v>
      </c>
      <c r="CD92" s="100">
        <v>8</v>
      </c>
      <c r="CE92" s="100">
        <v>6278.4</v>
      </c>
      <c r="CF92" s="100">
        <v>6</v>
      </c>
      <c r="CG92" s="100">
        <v>4708.7999999999993</v>
      </c>
      <c r="CH92" s="100">
        <v>9</v>
      </c>
      <c r="CI92" s="100">
        <v>7063.2</v>
      </c>
      <c r="CJ92" s="100">
        <v>7</v>
      </c>
      <c r="CK92" s="100">
        <v>5493.5999999999995</v>
      </c>
      <c r="CL92" s="100">
        <v>14</v>
      </c>
      <c r="CM92" s="100">
        <v>10987.199999999999</v>
      </c>
      <c r="CN92" s="100">
        <v>10.524590163934427</v>
      </c>
      <c r="CO92" s="100">
        <v>8259.6983606557369</v>
      </c>
      <c r="CP92" s="100">
        <v>7.9581151832460737</v>
      </c>
      <c r="CQ92" s="100">
        <v>6245.5287958115186</v>
      </c>
      <c r="CR92" s="100">
        <v>11.416309012875537</v>
      </c>
      <c r="CS92" s="100">
        <v>8959.5193133047214</v>
      </c>
      <c r="CT92" s="100">
        <v>8</v>
      </c>
      <c r="CU92" s="100">
        <v>6278.4</v>
      </c>
    </row>
    <row r="93" spans="2:99">
      <c r="C93" s="99" t="s">
        <v>259</v>
      </c>
      <c r="D93" s="100">
        <v>8</v>
      </c>
      <c r="E93" s="100">
        <v>5548.8</v>
      </c>
      <c r="F93" s="100">
        <v>10</v>
      </c>
      <c r="G93" s="100">
        <v>6936</v>
      </c>
      <c r="H93" s="100">
        <v>10</v>
      </c>
      <c r="I93" s="100">
        <v>6936</v>
      </c>
      <c r="J93" s="100">
        <v>10</v>
      </c>
      <c r="K93" s="100">
        <v>6936</v>
      </c>
      <c r="L93" s="100">
        <v>11</v>
      </c>
      <c r="M93" s="100">
        <v>7629.6</v>
      </c>
      <c r="N93" s="100">
        <v>8.16181173637057</v>
      </c>
      <c r="O93" s="100">
        <v>5661.0326203466275</v>
      </c>
      <c r="P93" s="100">
        <v>6.1105527638190953</v>
      </c>
      <c r="Q93" s="100">
        <v>4238.2793969849245</v>
      </c>
      <c r="R93" s="100">
        <v>9</v>
      </c>
      <c r="S93" s="100">
        <v>6242.4000000000005</v>
      </c>
      <c r="T93" s="100">
        <v>10.057142857142857</v>
      </c>
      <c r="U93" s="100">
        <v>6975.6342857142854</v>
      </c>
      <c r="V93" s="100">
        <v>10.316742081447964</v>
      </c>
      <c r="W93" s="100">
        <v>7155.6923076923085</v>
      </c>
      <c r="X93" s="100">
        <v>8</v>
      </c>
      <c r="Y93" s="100">
        <v>5548.8</v>
      </c>
      <c r="Z93" s="100">
        <v>11</v>
      </c>
      <c r="AA93" s="100">
        <v>7629.6</v>
      </c>
      <c r="AB93" s="100">
        <v>9</v>
      </c>
      <c r="AC93" s="100">
        <v>6242.4000000000005</v>
      </c>
      <c r="AD93" s="100">
        <v>9</v>
      </c>
      <c r="AE93" s="100">
        <v>6242.4000000000005</v>
      </c>
      <c r="AF93" s="100">
        <v>6</v>
      </c>
      <c r="AG93" s="100">
        <v>4161.6000000000004</v>
      </c>
      <c r="AH93" s="100">
        <v>11</v>
      </c>
      <c r="AI93" s="100">
        <v>7629.6</v>
      </c>
      <c r="AJ93" s="100">
        <v>9.1037735849056602</v>
      </c>
      <c r="AK93" s="100">
        <v>6314.3773584905657</v>
      </c>
      <c r="AL93" s="100">
        <v>8.6757990867579906</v>
      </c>
      <c r="AM93" s="100">
        <v>6017.5342465753429</v>
      </c>
      <c r="AN93" s="100">
        <v>8.4653465346534649</v>
      </c>
      <c r="AO93" s="100">
        <v>5871.5643564356433</v>
      </c>
      <c r="AP93" s="100">
        <v>7</v>
      </c>
      <c r="AQ93" s="100">
        <v>4855.2</v>
      </c>
      <c r="AR93" s="100">
        <v>8</v>
      </c>
      <c r="AS93" s="100">
        <v>5548.8</v>
      </c>
      <c r="AT93" s="100">
        <v>9</v>
      </c>
      <c r="AU93" s="100">
        <v>6242.4000000000005</v>
      </c>
      <c r="AV93" s="100">
        <v>12</v>
      </c>
      <c r="AW93" s="100">
        <v>8323.2000000000007</v>
      </c>
      <c r="AX93" s="100">
        <v>11</v>
      </c>
      <c r="AY93" s="100">
        <v>7629.6</v>
      </c>
      <c r="AZ93" s="100">
        <v>9</v>
      </c>
      <c r="BA93" s="100">
        <v>6242.4000000000005</v>
      </c>
      <c r="BB93" s="100">
        <v>8</v>
      </c>
      <c r="BC93" s="100">
        <v>5548.8</v>
      </c>
      <c r="BD93" s="100">
        <v>8</v>
      </c>
      <c r="BE93" s="100">
        <v>5548.8</v>
      </c>
      <c r="BF93" s="100">
        <v>9</v>
      </c>
      <c r="BG93" s="100">
        <v>6242.4000000000005</v>
      </c>
      <c r="BH93" s="100">
        <v>11.900826446280991</v>
      </c>
      <c r="BI93" s="100">
        <v>8254.4132231404965</v>
      </c>
      <c r="BJ93" s="100">
        <v>8</v>
      </c>
      <c r="BK93" s="100">
        <v>5548.8</v>
      </c>
      <c r="BL93" s="100">
        <v>8</v>
      </c>
      <c r="BM93" s="100">
        <v>5548.8</v>
      </c>
      <c r="BN93" s="100">
        <v>9.7442922374429219</v>
      </c>
      <c r="BO93" s="100">
        <v>6758.6410958904107</v>
      </c>
      <c r="BP93" s="100">
        <v>8.6363636363636367</v>
      </c>
      <c r="BQ93" s="100">
        <v>5990.1818181818189</v>
      </c>
      <c r="BR93" s="100">
        <v>10.048076923076923</v>
      </c>
      <c r="BS93" s="100">
        <v>6969.3461538461543</v>
      </c>
      <c r="BT93" s="100">
        <v>10</v>
      </c>
      <c r="BU93" s="100">
        <v>6936</v>
      </c>
      <c r="BV93" s="100">
        <v>8.1818181818181817</v>
      </c>
      <c r="BW93" s="100">
        <v>5674.909090909091</v>
      </c>
      <c r="BX93" s="100">
        <v>12.788461538461538</v>
      </c>
      <c r="BY93" s="100">
        <v>8870.0769230769238</v>
      </c>
      <c r="BZ93" s="100">
        <v>8</v>
      </c>
      <c r="CA93" s="100">
        <v>5548.8</v>
      </c>
      <c r="CB93" s="100">
        <v>8.3364055299539164</v>
      </c>
      <c r="CC93" s="100">
        <v>5782.1308755760365</v>
      </c>
      <c r="CD93" s="100">
        <v>9</v>
      </c>
      <c r="CE93" s="100">
        <v>6242.4000000000005</v>
      </c>
      <c r="CF93" s="100">
        <v>6</v>
      </c>
      <c r="CG93" s="100">
        <v>4161.6000000000004</v>
      </c>
      <c r="CH93" s="100">
        <v>9</v>
      </c>
      <c r="CI93" s="100">
        <v>6242.4000000000005</v>
      </c>
      <c r="CJ93" s="100">
        <v>7</v>
      </c>
      <c r="CK93" s="100">
        <v>4855.2</v>
      </c>
      <c r="CL93" s="100">
        <v>13</v>
      </c>
      <c r="CM93" s="100">
        <v>9016.8000000000011</v>
      </c>
      <c r="CN93" s="100">
        <v>11.401639344262295</v>
      </c>
      <c r="CO93" s="100">
        <v>7908.1770491803281</v>
      </c>
      <c r="CP93" s="100">
        <v>6.9633507853403138</v>
      </c>
      <c r="CQ93" s="100">
        <v>4829.780104712042</v>
      </c>
      <c r="CR93" s="100">
        <v>10.600858369098713</v>
      </c>
      <c r="CS93" s="100">
        <v>7352.7553648068679</v>
      </c>
      <c r="CT93" s="100">
        <v>8</v>
      </c>
      <c r="CU93" s="100">
        <v>5548.8</v>
      </c>
    </row>
    <row r="94" spans="2:99">
      <c r="C94" s="99" t="s">
        <v>260</v>
      </c>
      <c r="D94" s="100">
        <v>8</v>
      </c>
      <c r="E94" s="100">
        <v>9542.4</v>
      </c>
      <c r="F94" s="100">
        <v>9</v>
      </c>
      <c r="G94" s="100">
        <v>10735.199999999999</v>
      </c>
      <c r="H94" s="100">
        <v>10</v>
      </c>
      <c r="I94" s="100">
        <v>11928</v>
      </c>
      <c r="J94" s="100">
        <v>11</v>
      </c>
      <c r="K94" s="100">
        <v>13120.8</v>
      </c>
      <c r="L94" s="100">
        <v>11</v>
      </c>
      <c r="M94" s="100">
        <v>13120.8</v>
      </c>
      <c r="N94" s="100">
        <v>6.529449389096456</v>
      </c>
      <c r="O94" s="100">
        <v>7788.3272313142525</v>
      </c>
      <c r="P94" s="100">
        <v>6.1105527638190953</v>
      </c>
      <c r="Q94" s="100">
        <v>7288.6673366834166</v>
      </c>
      <c r="R94" s="100">
        <v>8</v>
      </c>
      <c r="S94" s="100">
        <v>9542.4</v>
      </c>
      <c r="T94" s="100">
        <v>9.1428571428571423</v>
      </c>
      <c r="U94" s="100">
        <v>10905.599999999999</v>
      </c>
      <c r="V94" s="100">
        <v>10.316742081447964</v>
      </c>
      <c r="W94" s="100">
        <v>12305.809954751132</v>
      </c>
      <c r="X94" s="100">
        <v>8</v>
      </c>
      <c r="Y94" s="100">
        <v>9542.4</v>
      </c>
      <c r="Z94" s="100">
        <v>11</v>
      </c>
      <c r="AA94" s="100">
        <v>13120.8</v>
      </c>
      <c r="AB94" s="100">
        <v>9</v>
      </c>
      <c r="AC94" s="100">
        <v>10735.199999999999</v>
      </c>
      <c r="AD94" s="100">
        <v>8</v>
      </c>
      <c r="AE94" s="100">
        <v>9542.4</v>
      </c>
      <c r="AF94" s="100">
        <v>6</v>
      </c>
      <c r="AG94" s="100">
        <v>7156.7999999999993</v>
      </c>
      <c r="AH94" s="100">
        <v>12</v>
      </c>
      <c r="AI94" s="100">
        <v>14313.599999999999</v>
      </c>
      <c r="AJ94" s="100">
        <v>8.1933962264150946</v>
      </c>
      <c r="AK94" s="100">
        <v>9773.0830188679247</v>
      </c>
      <c r="AL94" s="100">
        <v>9.5433789954337893</v>
      </c>
      <c r="AM94" s="100">
        <v>11383.342465753423</v>
      </c>
      <c r="AN94" s="100">
        <v>7.5247524752475252</v>
      </c>
      <c r="AO94" s="100">
        <v>8975.5247524752485</v>
      </c>
      <c r="AP94" s="100">
        <v>6</v>
      </c>
      <c r="AQ94" s="100">
        <v>7156.7999999999993</v>
      </c>
      <c r="AR94" s="100">
        <v>8</v>
      </c>
      <c r="AS94" s="100">
        <v>9542.4</v>
      </c>
      <c r="AT94" s="100">
        <v>8</v>
      </c>
      <c r="AU94" s="100">
        <v>9542.4</v>
      </c>
      <c r="AV94" s="100">
        <v>11</v>
      </c>
      <c r="AW94" s="100">
        <v>13120.8</v>
      </c>
      <c r="AX94" s="100">
        <v>11</v>
      </c>
      <c r="AY94" s="100">
        <v>13120.8</v>
      </c>
      <c r="AZ94" s="100">
        <v>9</v>
      </c>
      <c r="BA94" s="100">
        <v>10735.199999999999</v>
      </c>
      <c r="BB94" s="100">
        <v>8</v>
      </c>
      <c r="BC94" s="100">
        <v>9542.4</v>
      </c>
      <c r="BD94" s="100">
        <v>9</v>
      </c>
      <c r="BE94" s="100">
        <v>10735.199999999999</v>
      </c>
      <c r="BF94" s="100">
        <v>9</v>
      </c>
      <c r="BG94" s="100">
        <v>10735.199999999999</v>
      </c>
      <c r="BH94" s="100">
        <v>11.900826446280991</v>
      </c>
      <c r="BI94" s="100">
        <v>14195.305785123966</v>
      </c>
      <c r="BJ94" s="100">
        <v>7</v>
      </c>
      <c r="BK94" s="100">
        <v>8349.6</v>
      </c>
      <c r="BL94" s="100">
        <v>7</v>
      </c>
      <c r="BM94" s="100">
        <v>8349.6</v>
      </c>
      <c r="BN94" s="100">
        <v>9.7442922374429219</v>
      </c>
      <c r="BO94" s="100">
        <v>11622.991780821916</v>
      </c>
      <c r="BP94" s="100">
        <v>6.7171717171717171</v>
      </c>
      <c r="BQ94" s="100">
        <v>8012.242424242424</v>
      </c>
      <c r="BR94" s="100">
        <v>10.048076923076923</v>
      </c>
      <c r="BS94" s="100">
        <v>11985.346153846154</v>
      </c>
      <c r="BT94" s="100">
        <v>9</v>
      </c>
      <c r="BU94" s="100">
        <v>10735.199999999999</v>
      </c>
      <c r="BV94" s="100">
        <v>7.2727272727272725</v>
      </c>
      <c r="BW94" s="100">
        <v>8674.9090909090901</v>
      </c>
      <c r="BX94" s="100">
        <v>10.961538461538462</v>
      </c>
      <c r="BY94" s="100">
        <v>13074.923076923076</v>
      </c>
      <c r="BZ94" s="100">
        <v>7</v>
      </c>
      <c r="CA94" s="100">
        <v>8349.6</v>
      </c>
      <c r="CB94" s="100">
        <v>7.4101382488479262</v>
      </c>
      <c r="CC94" s="100">
        <v>8838.8129032258057</v>
      </c>
      <c r="CD94" s="100">
        <v>9</v>
      </c>
      <c r="CE94" s="100">
        <v>10735.199999999999</v>
      </c>
      <c r="CF94" s="100">
        <v>6</v>
      </c>
      <c r="CG94" s="100">
        <v>7156.7999999999993</v>
      </c>
      <c r="CH94" s="100">
        <v>9</v>
      </c>
      <c r="CI94" s="100">
        <v>10735.199999999999</v>
      </c>
      <c r="CJ94" s="100">
        <v>7</v>
      </c>
      <c r="CK94" s="100">
        <v>8349.6</v>
      </c>
      <c r="CL94" s="100">
        <v>12</v>
      </c>
      <c r="CM94" s="100">
        <v>14313.599999999999</v>
      </c>
      <c r="CN94" s="100">
        <v>10.524590163934427</v>
      </c>
      <c r="CO94" s="100">
        <v>12553.731147540984</v>
      </c>
      <c r="CP94" s="100">
        <v>6.9633507853403138</v>
      </c>
      <c r="CQ94" s="100">
        <v>8305.8848167539254</v>
      </c>
      <c r="CR94" s="100">
        <v>9.785407725321889</v>
      </c>
      <c r="CS94" s="100">
        <v>11672.034334763948</v>
      </c>
      <c r="CT94" s="100">
        <v>7</v>
      </c>
      <c r="CU94" s="100">
        <v>8349.6</v>
      </c>
    </row>
    <row r="95" spans="2:99">
      <c r="B95" s="99" t="s">
        <v>132</v>
      </c>
      <c r="C95" s="99" t="s">
        <v>261</v>
      </c>
      <c r="D95" s="100">
        <v>12</v>
      </c>
      <c r="E95" s="100">
        <v>3945.6000000000004</v>
      </c>
      <c r="F95" s="100">
        <v>6</v>
      </c>
      <c r="G95" s="100">
        <v>1972.8000000000002</v>
      </c>
      <c r="H95" s="100">
        <v>6</v>
      </c>
      <c r="I95" s="100">
        <v>1972.8000000000002</v>
      </c>
      <c r="J95" s="100">
        <v>8</v>
      </c>
      <c r="K95" s="100">
        <v>2630.4</v>
      </c>
      <c r="L95" s="100">
        <v>9</v>
      </c>
      <c r="M95" s="100">
        <v>2959.2000000000003</v>
      </c>
      <c r="N95" s="100">
        <v>8.16181173637057</v>
      </c>
      <c r="O95" s="100">
        <v>2683.6036989186437</v>
      </c>
      <c r="P95" s="100">
        <v>7.6381909547738696</v>
      </c>
      <c r="Q95" s="100">
        <v>2511.4371859296484</v>
      </c>
      <c r="R95" s="100">
        <v>6</v>
      </c>
      <c r="S95" s="100">
        <v>1972.8000000000002</v>
      </c>
      <c r="T95" s="100">
        <v>9.1428571428571423</v>
      </c>
      <c r="U95" s="100">
        <v>3006.1714285714284</v>
      </c>
      <c r="V95" s="100">
        <v>8.5972850678733028</v>
      </c>
      <c r="W95" s="100">
        <v>2826.7873303167421</v>
      </c>
      <c r="X95" s="100">
        <v>8</v>
      </c>
      <c r="Y95" s="100">
        <v>2630.4</v>
      </c>
      <c r="Z95" s="100">
        <v>6</v>
      </c>
      <c r="AA95" s="100">
        <v>1972.8000000000002</v>
      </c>
      <c r="AB95" s="100">
        <v>9</v>
      </c>
      <c r="AC95" s="100">
        <v>2959.2000000000003</v>
      </c>
      <c r="AD95" s="100">
        <v>9</v>
      </c>
      <c r="AE95" s="100">
        <v>2959.2000000000003</v>
      </c>
      <c r="AF95" s="100">
        <v>12</v>
      </c>
      <c r="AG95" s="100">
        <v>3945.6000000000004</v>
      </c>
      <c r="AH95" s="100">
        <v>12</v>
      </c>
      <c r="AI95" s="100">
        <v>3945.6000000000004</v>
      </c>
      <c r="AJ95" s="100">
        <v>9.1037735849056602</v>
      </c>
      <c r="AK95" s="100">
        <v>2993.3207547169814</v>
      </c>
      <c r="AL95" s="100">
        <v>9.5433789954337893</v>
      </c>
      <c r="AM95" s="100">
        <v>3137.8630136986299</v>
      </c>
      <c r="AN95" s="100">
        <v>11.287128712871286</v>
      </c>
      <c r="AO95" s="100">
        <v>3711.2079207920792</v>
      </c>
      <c r="AP95" s="100">
        <v>10</v>
      </c>
      <c r="AQ95" s="100">
        <v>3288</v>
      </c>
      <c r="AR95" s="100">
        <v>7</v>
      </c>
      <c r="AS95" s="100">
        <v>2301.6</v>
      </c>
      <c r="AT95" s="100">
        <v>6</v>
      </c>
      <c r="AU95" s="100">
        <v>1972.8000000000002</v>
      </c>
      <c r="AV95" s="100">
        <v>12</v>
      </c>
      <c r="AW95" s="100">
        <v>3945.6000000000004</v>
      </c>
      <c r="AX95" s="100">
        <v>10</v>
      </c>
      <c r="AY95" s="100">
        <v>3288</v>
      </c>
      <c r="AZ95" s="100">
        <v>8</v>
      </c>
      <c r="BA95" s="100">
        <v>2630.4</v>
      </c>
      <c r="BB95" s="100">
        <v>8</v>
      </c>
      <c r="BC95" s="100">
        <v>2630.4</v>
      </c>
      <c r="BD95" s="100">
        <v>11</v>
      </c>
      <c r="BE95" s="100">
        <v>3616.8</v>
      </c>
      <c r="BF95" s="100">
        <v>7</v>
      </c>
      <c r="BG95" s="100">
        <v>2301.6</v>
      </c>
      <c r="BH95" s="100">
        <v>11.900826446280991</v>
      </c>
      <c r="BI95" s="100">
        <v>3912.9917355371899</v>
      </c>
      <c r="BJ95" s="100">
        <v>8</v>
      </c>
      <c r="BK95" s="100">
        <v>2630.4</v>
      </c>
      <c r="BL95" s="100">
        <v>11</v>
      </c>
      <c r="BM95" s="100">
        <v>3616.8</v>
      </c>
      <c r="BN95" s="100">
        <v>10.63013698630137</v>
      </c>
      <c r="BO95" s="100">
        <v>3495.1890410958904</v>
      </c>
      <c r="BP95" s="100">
        <v>10.555555555555555</v>
      </c>
      <c r="BQ95" s="100">
        <v>3470.6666666666665</v>
      </c>
      <c r="BR95" s="100">
        <v>10.048076923076923</v>
      </c>
      <c r="BS95" s="100">
        <v>3303.8076923076924</v>
      </c>
      <c r="BT95" s="100">
        <v>9</v>
      </c>
      <c r="BU95" s="100">
        <v>2959.2000000000003</v>
      </c>
      <c r="BV95" s="100">
        <v>10.90909090909091</v>
      </c>
      <c r="BW95" s="100">
        <v>3586.9090909090914</v>
      </c>
      <c r="BX95" s="100">
        <v>6.3942307692307692</v>
      </c>
      <c r="BY95" s="100">
        <v>2102.4230769230771</v>
      </c>
      <c r="BZ95" s="100">
        <v>9</v>
      </c>
      <c r="CA95" s="100">
        <v>2959.2000000000003</v>
      </c>
      <c r="CB95" s="100">
        <v>11.11520737327189</v>
      </c>
      <c r="CC95" s="100">
        <v>3654.6801843317976</v>
      </c>
      <c r="CD95" s="100">
        <v>7</v>
      </c>
      <c r="CE95" s="100">
        <v>2301.6</v>
      </c>
      <c r="CF95" s="100">
        <v>7</v>
      </c>
      <c r="CG95" s="100">
        <v>2301.6</v>
      </c>
      <c r="CH95" s="100">
        <v>11</v>
      </c>
      <c r="CI95" s="100">
        <v>3616.8</v>
      </c>
      <c r="CJ95" s="100">
        <v>8</v>
      </c>
      <c r="CK95" s="100">
        <v>2630.4</v>
      </c>
      <c r="CL95" s="100">
        <v>7</v>
      </c>
      <c r="CM95" s="100">
        <v>2301.6</v>
      </c>
      <c r="CN95" s="100">
        <v>8.7704918032786878</v>
      </c>
      <c r="CO95" s="100">
        <v>2883.7377049180327</v>
      </c>
      <c r="CP95" s="100">
        <v>9.9476439790575917</v>
      </c>
      <c r="CQ95" s="100">
        <v>3270.7853403141362</v>
      </c>
      <c r="CR95" s="100">
        <v>8.1545064377682408</v>
      </c>
      <c r="CS95" s="100">
        <v>2681.2017167381978</v>
      </c>
      <c r="CT95" s="100">
        <v>8</v>
      </c>
      <c r="CU95" s="100">
        <v>2630.4</v>
      </c>
    </row>
    <row r="96" spans="2:99">
      <c r="C96" s="99" t="s">
        <v>262</v>
      </c>
      <c r="D96" s="100">
        <v>11</v>
      </c>
      <c r="E96" s="100">
        <v>7642.7999999999993</v>
      </c>
      <c r="F96" s="100">
        <v>7</v>
      </c>
      <c r="G96" s="100">
        <v>4863.5999999999995</v>
      </c>
      <c r="H96" s="100">
        <v>7</v>
      </c>
      <c r="I96" s="100">
        <v>4863.5999999999995</v>
      </c>
      <c r="J96" s="100">
        <v>7</v>
      </c>
      <c r="K96" s="100">
        <v>4863.5999999999995</v>
      </c>
      <c r="L96" s="100">
        <v>9</v>
      </c>
      <c r="M96" s="100">
        <v>6253.2</v>
      </c>
      <c r="N96" s="100">
        <v>8.977992910007627</v>
      </c>
      <c r="O96" s="100">
        <v>6237.9094738732992</v>
      </c>
      <c r="P96" s="100">
        <v>8.4020100502512562</v>
      </c>
      <c r="Q96" s="100">
        <v>5837.7165829145724</v>
      </c>
      <c r="R96" s="100">
        <v>5</v>
      </c>
      <c r="S96" s="100">
        <v>3474</v>
      </c>
      <c r="T96" s="100">
        <v>9.1428571428571423</v>
      </c>
      <c r="U96" s="100">
        <v>6352.4571428571417</v>
      </c>
      <c r="V96" s="100">
        <v>8.5972850678733028</v>
      </c>
      <c r="W96" s="100">
        <v>5973.3936651583708</v>
      </c>
      <c r="X96" s="100">
        <v>10</v>
      </c>
      <c r="Y96" s="100">
        <v>6948</v>
      </c>
      <c r="Z96" s="100">
        <v>6</v>
      </c>
      <c r="AA96" s="100">
        <v>4168.7999999999993</v>
      </c>
      <c r="AB96" s="100">
        <v>8</v>
      </c>
      <c r="AC96" s="100">
        <v>5558.4</v>
      </c>
      <c r="AD96" s="100">
        <v>9</v>
      </c>
      <c r="AE96" s="100">
        <v>6253.2</v>
      </c>
      <c r="AF96" s="100">
        <v>12</v>
      </c>
      <c r="AG96" s="100">
        <v>8337.5999999999985</v>
      </c>
      <c r="AH96" s="100">
        <v>10</v>
      </c>
      <c r="AI96" s="100">
        <v>6948</v>
      </c>
      <c r="AJ96" s="100">
        <v>9.1037735849056602</v>
      </c>
      <c r="AK96" s="100">
        <v>6325.301886792452</v>
      </c>
      <c r="AL96" s="100">
        <v>7.808219178082191</v>
      </c>
      <c r="AM96" s="100">
        <v>5425.1506849315056</v>
      </c>
      <c r="AN96" s="100">
        <v>10.346534653465346</v>
      </c>
      <c r="AO96" s="100">
        <v>7188.772277227722</v>
      </c>
      <c r="AP96" s="100">
        <v>10</v>
      </c>
      <c r="AQ96" s="100">
        <v>6948</v>
      </c>
      <c r="AR96" s="100">
        <v>6</v>
      </c>
      <c r="AS96" s="100">
        <v>4168.7999999999993</v>
      </c>
      <c r="AT96" s="100">
        <v>7</v>
      </c>
      <c r="AU96" s="100">
        <v>4863.5999999999995</v>
      </c>
      <c r="AV96" s="100">
        <v>11</v>
      </c>
      <c r="AW96" s="100">
        <v>7642.7999999999993</v>
      </c>
      <c r="AX96" s="100">
        <v>9</v>
      </c>
      <c r="AY96" s="100">
        <v>6253.2</v>
      </c>
      <c r="AZ96" s="100">
        <v>7</v>
      </c>
      <c r="BA96" s="100">
        <v>4863.5999999999995</v>
      </c>
      <c r="BB96" s="100">
        <v>8</v>
      </c>
      <c r="BC96" s="100">
        <v>5558.4</v>
      </c>
      <c r="BD96" s="100">
        <v>12</v>
      </c>
      <c r="BE96" s="100">
        <v>8337.5999999999985</v>
      </c>
      <c r="BF96" s="100">
        <v>7</v>
      </c>
      <c r="BG96" s="100">
        <v>4863.5999999999995</v>
      </c>
      <c r="BH96" s="100">
        <v>9.9173553719008272</v>
      </c>
      <c r="BI96" s="100">
        <v>6890.5785123966944</v>
      </c>
      <c r="BJ96" s="100">
        <v>8</v>
      </c>
      <c r="BK96" s="100">
        <v>5558.4</v>
      </c>
      <c r="BL96" s="100">
        <v>12</v>
      </c>
      <c r="BM96" s="100">
        <v>8337.5999999999985</v>
      </c>
      <c r="BN96" s="100">
        <v>7.9726027397260273</v>
      </c>
      <c r="BO96" s="100">
        <v>5539.3643835616431</v>
      </c>
      <c r="BP96" s="100">
        <v>10.555555555555555</v>
      </c>
      <c r="BQ96" s="100">
        <v>7333.9999999999991</v>
      </c>
      <c r="BR96" s="100">
        <v>8.2211538461538467</v>
      </c>
      <c r="BS96" s="100">
        <v>5712.0576923076924</v>
      </c>
      <c r="BT96" s="100">
        <v>9</v>
      </c>
      <c r="BU96" s="100">
        <v>6253.2</v>
      </c>
      <c r="BV96" s="100">
        <v>10</v>
      </c>
      <c r="BW96" s="100">
        <v>6948</v>
      </c>
      <c r="BX96" s="100">
        <v>7.3076923076923084</v>
      </c>
      <c r="BY96" s="100">
        <v>5077.3846153846152</v>
      </c>
      <c r="BZ96" s="100">
        <v>8</v>
      </c>
      <c r="CA96" s="100">
        <v>5558.4</v>
      </c>
      <c r="CB96" s="100">
        <v>10.188940092165899</v>
      </c>
      <c r="CC96" s="100">
        <v>7079.2755760368655</v>
      </c>
      <c r="CD96" s="100">
        <v>6</v>
      </c>
      <c r="CE96" s="100">
        <v>4168.7999999999993</v>
      </c>
      <c r="CF96" s="100">
        <v>8</v>
      </c>
      <c r="CG96" s="100">
        <v>5558.4</v>
      </c>
      <c r="CH96" s="100">
        <v>11</v>
      </c>
      <c r="CI96" s="100">
        <v>7642.7999999999993</v>
      </c>
      <c r="CJ96" s="100">
        <v>9</v>
      </c>
      <c r="CK96" s="100">
        <v>6253.2</v>
      </c>
      <c r="CL96" s="100">
        <v>8</v>
      </c>
      <c r="CM96" s="100">
        <v>5558.4</v>
      </c>
      <c r="CN96" s="100">
        <v>9.6475409836065573</v>
      </c>
      <c r="CO96" s="100">
        <v>6703.1114754098353</v>
      </c>
      <c r="CP96" s="100">
        <v>8.9528795811518318</v>
      </c>
      <c r="CQ96" s="100">
        <v>6220.460732984292</v>
      </c>
      <c r="CR96" s="100">
        <v>8.1545064377682408</v>
      </c>
      <c r="CS96" s="100">
        <v>5665.7510729613732</v>
      </c>
      <c r="CT96" s="100">
        <v>8</v>
      </c>
      <c r="CU96" s="100">
        <v>5558.4</v>
      </c>
    </row>
    <row r="97" spans="2:99">
      <c r="C97" s="99" t="s">
        <v>263</v>
      </c>
      <c r="D97" s="100">
        <v>11</v>
      </c>
      <c r="E97" s="100">
        <v>4316.3999999999996</v>
      </c>
      <c r="F97" s="100">
        <v>6</v>
      </c>
      <c r="G97" s="100">
        <v>2354.3999999999996</v>
      </c>
      <c r="H97" s="100">
        <v>6</v>
      </c>
      <c r="I97" s="100">
        <v>2354.3999999999996</v>
      </c>
      <c r="J97" s="100">
        <v>8</v>
      </c>
      <c r="K97" s="100">
        <v>3139.2</v>
      </c>
      <c r="L97" s="100">
        <v>8</v>
      </c>
      <c r="M97" s="100">
        <v>3139.2</v>
      </c>
      <c r="N97" s="100">
        <v>9.794174083644684</v>
      </c>
      <c r="O97" s="100">
        <v>3843.2339104221737</v>
      </c>
      <c r="P97" s="100">
        <v>9.165829145728642</v>
      </c>
      <c r="Q97" s="100">
        <v>3596.6713567839188</v>
      </c>
      <c r="R97" s="100">
        <v>6</v>
      </c>
      <c r="S97" s="100">
        <v>2354.3999999999996</v>
      </c>
      <c r="T97" s="100">
        <v>9.1428571428571423</v>
      </c>
      <c r="U97" s="100">
        <v>3587.6571428571424</v>
      </c>
      <c r="V97" s="100">
        <v>8.5972850678733028</v>
      </c>
      <c r="W97" s="100">
        <v>3373.5746606334837</v>
      </c>
      <c r="X97" s="100">
        <v>9</v>
      </c>
      <c r="Y97" s="100">
        <v>3531.6</v>
      </c>
      <c r="Z97" s="100">
        <v>6</v>
      </c>
      <c r="AA97" s="100">
        <v>2354.3999999999996</v>
      </c>
      <c r="AB97" s="100">
        <v>8</v>
      </c>
      <c r="AC97" s="100">
        <v>3139.2</v>
      </c>
      <c r="AD97" s="100">
        <v>8</v>
      </c>
      <c r="AE97" s="100">
        <v>3139.2</v>
      </c>
      <c r="AF97" s="100">
        <v>11</v>
      </c>
      <c r="AG97" s="100">
        <v>4316.3999999999996</v>
      </c>
      <c r="AH97" s="100">
        <v>11</v>
      </c>
      <c r="AI97" s="100">
        <v>4316.3999999999996</v>
      </c>
      <c r="AJ97" s="100">
        <v>9.1037735849056602</v>
      </c>
      <c r="AK97" s="100">
        <v>3572.3207547169809</v>
      </c>
      <c r="AL97" s="100">
        <v>7.808219178082191</v>
      </c>
      <c r="AM97" s="100">
        <v>3063.9452054794515</v>
      </c>
      <c r="AN97" s="100">
        <v>9.4059405940594072</v>
      </c>
      <c r="AO97" s="100">
        <v>3690.8910891089113</v>
      </c>
      <c r="AP97" s="100">
        <v>11</v>
      </c>
      <c r="AQ97" s="100">
        <v>4316.3999999999996</v>
      </c>
      <c r="AR97" s="100">
        <v>7</v>
      </c>
      <c r="AS97" s="100">
        <v>2746.7999999999997</v>
      </c>
      <c r="AT97" s="100">
        <v>7</v>
      </c>
      <c r="AU97" s="100">
        <v>2746.7999999999997</v>
      </c>
      <c r="AV97" s="100">
        <v>10</v>
      </c>
      <c r="AW97" s="100">
        <v>3924</v>
      </c>
      <c r="AX97" s="100">
        <v>9</v>
      </c>
      <c r="AY97" s="100">
        <v>3531.6</v>
      </c>
      <c r="AZ97" s="100">
        <v>7</v>
      </c>
      <c r="BA97" s="100">
        <v>2746.7999999999997</v>
      </c>
      <c r="BB97" s="100">
        <v>9</v>
      </c>
      <c r="BC97" s="100">
        <v>3531.6</v>
      </c>
      <c r="BD97" s="100">
        <v>10</v>
      </c>
      <c r="BE97" s="100">
        <v>3924</v>
      </c>
      <c r="BF97" s="100">
        <v>7</v>
      </c>
      <c r="BG97" s="100">
        <v>2746.7999999999997</v>
      </c>
      <c r="BH97" s="100">
        <v>10.90909090909091</v>
      </c>
      <c r="BI97" s="100">
        <v>4280.727272727273</v>
      </c>
      <c r="BJ97" s="100">
        <v>8</v>
      </c>
      <c r="BK97" s="100">
        <v>3139.2</v>
      </c>
      <c r="BL97" s="100">
        <v>11</v>
      </c>
      <c r="BM97" s="100">
        <v>4316.3999999999996</v>
      </c>
      <c r="BN97" s="100">
        <v>8.8584474885844742</v>
      </c>
      <c r="BO97" s="100">
        <v>3476.0547945205476</v>
      </c>
      <c r="BP97" s="100">
        <v>10.555555555555555</v>
      </c>
      <c r="BQ97" s="100">
        <v>4142</v>
      </c>
      <c r="BR97" s="100">
        <v>9.134615384615385</v>
      </c>
      <c r="BS97" s="100">
        <v>3584.4230769230767</v>
      </c>
      <c r="BT97" s="100">
        <v>10</v>
      </c>
      <c r="BU97" s="100">
        <v>3924</v>
      </c>
      <c r="BV97" s="100">
        <v>10</v>
      </c>
      <c r="BW97" s="100">
        <v>3924</v>
      </c>
      <c r="BX97" s="100">
        <v>6.3942307692307692</v>
      </c>
      <c r="BY97" s="100">
        <v>2509.0961538461538</v>
      </c>
      <c r="BZ97" s="100">
        <v>10</v>
      </c>
      <c r="CA97" s="100">
        <v>3924</v>
      </c>
      <c r="CB97" s="100">
        <v>11.11520737327189</v>
      </c>
      <c r="CC97" s="100">
        <v>4361.6073732718896</v>
      </c>
      <c r="CD97" s="100">
        <v>7</v>
      </c>
      <c r="CE97" s="100">
        <v>2746.7999999999997</v>
      </c>
      <c r="CF97" s="100">
        <v>7</v>
      </c>
      <c r="CG97" s="100">
        <v>2746.7999999999997</v>
      </c>
      <c r="CH97" s="100">
        <v>10</v>
      </c>
      <c r="CI97" s="100">
        <v>3924</v>
      </c>
      <c r="CJ97" s="100">
        <v>10</v>
      </c>
      <c r="CK97" s="100">
        <v>3924</v>
      </c>
      <c r="CL97" s="100">
        <v>7</v>
      </c>
      <c r="CM97" s="100">
        <v>2746.7999999999997</v>
      </c>
      <c r="CN97" s="100">
        <v>8.7704918032786878</v>
      </c>
      <c r="CO97" s="100">
        <v>3441.5409836065569</v>
      </c>
      <c r="CP97" s="100">
        <v>9.9476439790575917</v>
      </c>
      <c r="CQ97" s="100">
        <v>3903.4554973821987</v>
      </c>
      <c r="CR97" s="100">
        <v>8.9699570815450649</v>
      </c>
      <c r="CS97" s="100">
        <v>3519.811158798283</v>
      </c>
      <c r="CT97" s="100">
        <v>8</v>
      </c>
      <c r="CU97" s="100">
        <v>3139.2</v>
      </c>
    </row>
    <row r="98" spans="2:99">
      <c r="C98" s="99" t="s">
        <v>264</v>
      </c>
      <c r="D98" s="100">
        <v>10</v>
      </c>
      <c r="E98" s="100">
        <v>5256</v>
      </c>
      <c r="F98" s="100">
        <v>6</v>
      </c>
      <c r="G98" s="100">
        <v>3153.6000000000004</v>
      </c>
      <c r="H98" s="100">
        <v>6</v>
      </c>
      <c r="I98" s="100">
        <v>3153.6000000000004</v>
      </c>
      <c r="J98" s="100">
        <v>7</v>
      </c>
      <c r="K98" s="100">
        <v>3679.2000000000003</v>
      </c>
      <c r="L98" s="100">
        <v>8</v>
      </c>
      <c r="M98" s="100">
        <v>4204.8</v>
      </c>
      <c r="N98" s="100">
        <v>8.16181173637057</v>
      </c>
      <c r="O98" s="100">
        <v>4289.8482486363719</v>
      </c>
      <c r="P98" s="100">
        <v>7.6381909547738696</v>
      </c>
      <c r="Q98" s="100">
        <v>4014.633165829146</v>
      </c>
      <c r="R98" s="100">
        <v>6</v>
      </c>
      <c r="S98" s="100">
        <v>3153.6000000000004</v>
      </c>
      <c r="T98" s="100">
        <v>9.1428571428571423</v>
      </c>
      <c r="U98" s="100">
        <v>4805.4857142857145</v>
      </c>
      <c r="V98" s="100">
        <v>8.5972850678733028</v>
      </c>
      <c r="W98" s="100">
        <v>4518.7330316742082</v>
      </c>
      <c r="X98" s="100">
        <v>9</v>
      </c>
      <c r="Y98" s="100">
        <v>4730.4000000000005</v>
      </c>
      <c r="Z98" s="100">
        <v>6</v>
      </c>
      <c r="AA98" s="100">
        <v>3153.6000000000004</v>
      </c>
      <c r="AB98" s="100">
        <v>9</v>
      </c>
      <c r="AC98" s="100">
        <v>4730.4000000000005</v>
      </c>
      <c r="AD98" s="100">
        <v>8</v>
      </c>
      <c r="AE98" s="100">
        <v>4204.8</v>
      </c>
      <c r="AF98" s="100">
        <v>11</v>
      </c>
      <c r="AG98" s="100">
        <v>5781.6</v>
      </c>
      <c r="AH98" s="100">
        <v>11</v>
      </c>
      <c r="AI98" s="100">
        <v>5781.6</v>
      </c>
      <c r="AJ98" s="100">
        <v>9.1037735849056602</v>
      </c>
      <c r="AK98" s="100">
        <v>4784.9433962264156</v>
      </c>
      <c r="AL98" s="100">
        <v>8.6757990867579906</v>
      </c>
      <c r="AM98" s="100">
        <v>4560</v>
      </c>
      <c r="AN98" s="100">
        <v>9.4059405940594072</v>
      </c>
      <c r="AO98" s="100">
        <v>4943.7623762376243</v>
      </c>
      <c r="AP98" s="100">
        <v>10</v>
      </c>
      <c r="AQ98" s="100">
        <v>5256</v>
      </c>
      <c r="AR98" s="100">
        <v>7</v>
      </c>
      <c r="AS98" s="100">
        <v>3679.2000000000003</v>
      </c>
      <c r="AT98" s="100">
        <v>6</v>
      </c>
      <c r="AU98" s="100">
        <v>3153.6000000000004</v>
      </c>
      <c r="AV98" s="100">
        <v>12</v>
      </c>
      <c r="AW98" s="100">
        <v>6307.2000000000007</v>
      </c>
      <c r="AX98" s="100">
        <v>10</v>
      </c>
      <c r="AY98" s="100">
        <v>5256</v>
      </c>
      <c r="AZ98" s="100">
        <v>7</v>
      </c>
      <c r="BA98" s="100">
        <v>3679.2000000000003</v>
      </c>
      <c r="BB98" s="100">
        <v>9</v>
      </c>
      <c r="BC98" s="100">
        <v>4730.4000000000005</v>
      </c>
      <c r="BD98" s="100">
        <v>10</v>
      </c>
      <c r="BE98" s="100">
        <v>5256</v>
      </c>
      <c r="BF98" s="100">
        <v>7</v>
      </c>
      <c r="BG98" s="100">
        <v>3679.2000000000003</v>
      </c>
      <c r="BH98" s="100">
        <v>11.900826446280991</v>
      </c>
      <c r="BI98" s="100">
        <v>6255.0743801652889</v>
      </c>
      <c r="BJ98" s="100">
        <v>8</v>
      </c>
      <c r="BK98" s="100">
        <v>4204.8</v>
      </c>
      <c r="BL98" s="100">
        <v>12</v>
      </c>
      <c r="BM98" s="100">
        <v>6307.2000000000007</v>
      </c>
      <c r="BN98" s="100">
        <v>9.7442922374429219</v>
      </c>
      <c r="BO98" s="100">
        <v>5121.6000000000004</v>
      </c>
      <c r="BP98" s="100">
        <v>11.515151515151516</v>
      </c>
      <c r="BQ98" s="100">
        <v>6052.3636363636369</v>
      </c>
      <c r="BR98" s="100">
        <v>9.134615384615385</v>
      </c>
      <c r="BS98" s="100">
        <v>4801.1538461538466</v>
      </c>
      <c r="BT98" s="100">
        <v>8</v>
      </c>
      <c r="BU98" s="100">
        <v>4204.8</v>
      </c>
      <c r="BV98" s="100">
        <v>10</v>
      </c>
      <c r="BW98" s="100">
        <v>5256</v>
      </c>
      <c r="BX98" s="100">
        <v>6.3942307692307692</v>
      </c>
      <c r="BY98" s="100">
        <v>3360.8076923076924</v>
      </c>
      <c r="BZ98" s="100">
        <v>9</v>
      </c>
      <c r="CA98" s="100">
        <v>4730.4000000000005</v>
      </c>
      <c r="CB98" s="100">
        <v>10.188940092165899</v>
      </c>
      <c r="CC98" s="100">
        <v>5355.3069124423964</v>
      </c>
      <c r="CD98" s="100">
        <v>7</v>
      </c>
      <c r="CE98" s="100">
        <v>3679.2000000000003</v>
      </c>
      <c r="CF98" s="100">
        <v>8</v>
      </c>
      <c r="CG98" s="100">
        <v>4204.8</v>
      </c>
      <c r="CH98" s="100">
        <v>11</v>
      </c>
      <c r="CI98" s="100">
        <v>5781.6</v>
      </c>
      <c r="CJ98" s="100">
        <v>10</v>
      </c>
      <c r="CK98" s="100">
        <v>5256</v>
      </c>
      <c r="CL98" s="100">
        <v>7</v>
      </c>
      <c r="CM98" s="100">
        <v>3679.2000000000003</v>
      </c>
      <c r="CN98" s="100">
        <v>9.6475409836065573</v>
      </c>
      <c r="CO98" s="100">
        <v>5070.747540983607</v>
      </c>
      <c r="CP98" s="100">
        <v>10.94240837696335</v>
      </c>
      <c r="CQ98" s="100">
        <v>5751.3298429319366</v>
      </c>
      <c r="CR98" s="100">
        <v>8.1545064377682408</v>
      </c>
      <c r="CS98" s="100">
        <v>4286.0085836909875</v>
      </c>
      <c r="CT98" s="100">
        <v>8</v>
      </c>
      <c r="CU98" s="100">
        <v>4204.8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5</v>
      </c>
      <c r="G99" s="100">
        <v>21042</v>
      </c>
      <c r="H99" s="100">
        <v>5</v>
      </c>
      <c r="I99" s="100">
        <v>21042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7.3456305627335139</v>
      </c>
      <c r="O99" s="100">
        <v>30913.351660207718</v>
      </c>
      <c r="P99" s="100">
        <v>6.1105527638190953</v>
      </c>
      <c r="Q99" s="100">
        <v>25715.65025125628</v>
      </c>
      <c r="R99" s="100">
        <v>4</v>
      </c>
      <c r="S99" s="100">
        <v>16833.599999999999</v>
      </c>
      <c r="T99" s="100">
        <v>6.4</v>
      </c>
      <c r="U99" s="100">
        <v>26933.759999999998</v>
      </c>
      <c r="V99" s="100">
        <v>6.0180995475113122</v>
      </c>
      <c r="W99" s="100">
        <v>25326.570135746602</v>
      </c>
      <c r="X99" s="100">
        <v>6</v>
      </c>
      <c r="Y99" s="100">
        <v>25250.399999999998</v>
      </c>
      <c r="Z99" s="100">
        <v>5</v>
      </c>
      <c r="AA99" s="100">
        <v>21042</v>
      </c>
      <c r="AB99" s="100">
        <v>7</v>
      </c>
      <c r="AC99" s="100">
        <v>29458.799999999996</v>
      </c>
      <c r="AD99" s="100">
        <v>7</v>
      </c>
      <c r="AE99" s="100">
        <v>29458.799999999996</v>
      </c>
      <c r="AF99" s="100">
        <v>8</v>
      </c>
      <c r="AG99" s="100">
        <v>33667.199999999997</v>
      </c>
      <c r="AH99" s="100">
        <v>9</v>
      </c>
      <c r="AI99" s="100">
        <v>37875.599999999999</v>
      </c>
      <c r="AJ99" s="100">
        <v>7.283018867924528</v>
      </c>
      <c r="AK99" s="100">
        <v>30649.85660377358</v>
      </c>
      <c r="AL99" s="100">
        <v>6.0730593607305936</v>
      </c>
      <c r="AM99" s="100">
        <v>25557.863013698628</v>
      </c>
      <c r="AN99" s="100">
        <v>7.5247524752475252</v>
      </c>
      <c r="AO99" s="100">
        <v>31667.168316831681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5</v>
      </c>
      <c r="AU99" s="100">
        <v>21042</v>
      </c>
      <c r="AV99" s="100">
        <v>9</v>
      </c>
      <c r="AW99" s="100">
        <v>37875.599999999999</v>
      </c>
      <c r="AX99" s="100">
        <v>7</v>
      </c>
      <c r="AY99" s="100">
        <v>29458.799999999996</v>
      </c>
      <c r="AZ99" s="100">
        <v>5</v>
      </c>
      <c r="BA99" s="100">
        <v>21042</v>
      </c>
      <c r="BB99" s="100">
        <v>7</v>
      </c>
      <c r="BC99" s="100">
        <v>29458.799999999996</v>
      </c>
      <c r="BD99" s="100">
        <v>8</v>
      </c>
      <c r="BE99" s="100">
        <v>33667.199999999997</v>
      </c>
      <c r="BF99" s="100">
        <v>5</v>
      </c>
      <c r="BG99" s="100">
        <v>21042</v>
      </c>
      <c r="BH99" s="100">
        <v>7.9338842975206614</v>
      </c>
      <c r="BI99" s="100">
        <v>33388.958677685951</v>
      </c>
      <c r="BJ99" s="100">
        <v>6</v>
      </c>
      <c r="BK99" s="100">
        <v>25250.399999999998</v>
      </c>
      <c r="BL99" s="100">
        <v>9</v>
      </c>
      <c r="BM99" s="100">
        <v>37875.599999999999</v>
      </c>
      <c r="BN99" s="100">
        <v>7.0867579908675795</v>
      </c>
      <c r="BO99" s="100">
        <v>29823.912328767117</v>
      </c>
      <c r="BP99" s="100">
        <v>7.6767676767676774</v>
      </c>
      <c r="BQ99" s="100">
        <v>32306.909090909092</v>
      </c>
      <c r="BR99" s="100">
        <v>6.3942307692307692</v>
      </c>
      <c r="BS99" s="100">
        <v>26909.480769230766</v>
      </c>
      <c r="BT99" s="100">
        <v>6</v>
      </c>
      <c r="BU99" s="100">
        <v>25250.399999999998</v>
      </c>
      <c r="BV99" s="100">
        <v>7.2727272727272725</v>
      </c>
      <c r="BW99" s="100">
        <v>30606.545454545452</v>
      </c>
      <c r="BX99" s="100">
        <v>4.5673076923076925</v>
      </c>
      <c r="BY99" s="100">
        <v>19221.057692307691</v>
      </c>
      <c r="BZ99" s="100">
        <v>6</v>
      </c>
      <c r="CA99" s="100">
        <v>25250.399999999998</v>
      </c>
      <c r="CB99" s="100">
        <v>9.2626728110599075</v>
      </c>
      <c r="CC99" s="100">
        <v>38981.032258064508</v>
      </c>
      <c r="CD99" s="100">
        <v>5</v>
      </c>
      <c r="CE99" s="100">
        <v>21042</v>
      </c>
      <c r="CF99" s="100">
        <v>5</v>
      </c>
      <c r="CG99" s="100">
        <v>21042</v>
      </c>
      <c r="CH99" s="100">
        <v>9</v>
      </c>
      <c r="CI99" s="100">
        <v>37875.599999999999</v>
      </c>
      <c r="CJ99" s="100">
        <v>7</v>
      </c>
      <c r="CK99" s="100">
        <v>29458.799999999996</v>
      </c>
      <c r="CL99" s="100">
        <v>5</v>
      </c>
      <c r="CM99" s="100">
        <v>21042</v>
      </c>
      <c r="CN99" s="100">
        <v>7.0163934426229515</v>
      </c>
      <c r="CO99" s="100">
        <v>29527.790163934427</v>
      </c>
      <c r="CP99" s="100">
        <v>6.9633507853403138</v>
      </c>
      <c r="CQ99" s="100">
        <v>29304.565445026175</v>
      </c>
      <c r="CR99" s="100">
        <v>5.7081545064377686</v>
      </c>
      <c r="CS99" s="100">
        <v>24022.197424892704</v>
      </c>
      <c r="CT99" s="100">
        <v>7</v>
      </c>
      <c r="CU99" s="100">
        <v>29458.799999999996</v>
      </c>
    </row>
    <row r="100" spans="2:99">
      <c r="C100" s="99" t="s">
        <v>266</v>
      </c>
      <c r="D100" s="100">
        <v>12</v>
      </c>
      <c r="E100" s="100">
        <v>3888</v>
      </c>
      <c r="F100" s="100">
        <v>6</v>
      </c>
      <c r="G100" s="100">
        <v>1944</v>
      </c>
      <c r="H100" s="100">
        <v>6</v>
      </c>
      <c r="I100" s="100">
        <v>1944</v>
      </c>
      <c r="J100" s="100">
        <v>8</v>
      </c>
      <c r="K100" s="100">
        <v>2592</v>
      </c>
      <c r="L100" s="100">
        <v>10</v>
      </c>
      <c r="M100" s="100">
        <v>3240</v>
      </c>
      <c r="N100" s="100">
        <v>8.977992910007627</v>
      </c>
      <c r="O100" s="100">
        <v>2908.8697028424713</v>
      </c>
      <c r="P100" s="100">
        <v>8.4020100502512562</v>
      </c>
      <c r="Q100" s="100">
        <v>2722.2512562814072</v>
      </c>
      <c r="R100" s="100">
        <v>7</v>
      </c>
      <c r="S100" s="100">
        <v>2268</v>
      </c>
      <c r="T100" s="100">
        <v>8.2285714285714278</v>
      </c>
      <c r="U100" s="100">
        <v>2666.0571428571425</v>
      </c>
      <c r="V100" s="100">
        <v>7.7375565610859729</v>
      </c>
      <c r="W100" s="100">
        <v>2506.968325791855</v>
      </c>
      <c r="X100" s="100">
        <v>9</v>
      </c>
      <c r="Y100" s="100">
        <v>2916</v>
      </c>
      <c r="Z100" s="100">
        <v>6</v>
      </c>
      <c r="AA100" s="100">
        <v>1944</v>
      </c>
      <c r="AB100" s="100">
        <v>9</v>
      </c>
      <c r="AC100" s="100">
        <v>2916</v>
      </c>
      <c r="AD100" s="100">
        <v>8</v>
      </c>
      <c r="AE100" s="100">
        <v>2592</v>
      </c>
      <c r="AF100" s="100">
        <v>12</v>
      </c>
      <c r="AG100" s="100">
        <v>3888</v>
      </c>
      <c r="AH100" s="100">
        <v>12</v>
      </c>
      <c r="AI100" s="100">
        <v>3888</v>
      </c>
      <c r="AJ100" s="100">
        <v>10.014150943396228</v>
      </c>
      <c r="AK100" s="100">
        <v>3244.5849056603779</v>
      </c>
      <c r="AL100" s="100">
        <v>7.808219178082191</v>
      </c>
      <c r="AM100" s="100">
        <v>2529.8630136986299</v>
      </c>
      <c r="AN100" s="100">
        <v>10.346534653465346</v>
      </c>
      <c r="AO100" s="100">
        <v>3352.2772277227723</v>
      </c>
      <c r="AP100" s="100">
        <v>11</v>
      </c>
      <c r="AQ100" s="100">
        <v>3564</v>
      </c>
      <c r="AR100" s="100">
        <v>7</v>
      </c>
      <c r="AS100" s="100">
        <v>2268</v>
      </c>
      <c r="AT100" s="100">
        <v>6</v>
      </c>
      <c r="AU100" s="100">
        <v>1944</v>
      </c>
      <c r="AV100" s="100">
        <v>11</v>
      </c>
      <c r="AW100" s="100">
        <v>3564</v>
      </c>
      <c r="AX100" s="100">
        <v>9</v>
      </c>
      <c r="AY100" s="100">
        <v>2916</v>
      </c>
      <c r="AZ100" s="100">
        <v>8</v>
      </c>
      <c r="BA100" s="100">
        <v>2592</v>
      </c>
      <c r="BB100" s="100">
        <v>8</v>
      </c>
      <c r="BC100" s="100">
        <v>2592</v>
      </c>
      <c r="BD100" s="100">
        <v>13</v>
      </c>
      <c r="BE100" s="100">
        <v>4212</v>
      </c>
      <c r="BF100" s="100">
        <v>7</v>
      </c>
      <c r="BG100" s="100">
        <v>2268</v>
      </c>
      <c r="BH100" s="100">
        <v>11.900826446280991</v>
      </c>
      <c r="BI100" s="100">
        <v>3855.8677685950411</v>
      </c>
      <c r="BJ100" s="100">
        <v>8</v>
      </c>
      <c r="BK100" s="100">
        <v>2592</v>
      </c>
      <c r="BL100" s="100">
        <v>12</v>
      </c>
      <c r="BM100" s="100">
        <v>3888</v>
      </c>
      <c r="BN100" s="100">
        <v>9.7442922374429219</v>
      </c>
      <c r="BO100" s="100">
        <v>3157.1506849315069</v>
      </c>
      <c r="BP100" s="100">
        <v>10.555555555555555</v>
      </c>
      <c r="BQ100" s="100">
        <v>3420</v>
      </c>
      <c r="BR100" s="100">
        <v>9.134615384615385</v>
      </c>
      <c r="BS100" s="100">
        <v>2959.6153846153848</v>
      </c>
      <c r="BT100" s="100">
        <v>8</v>
      </c>
      <c r="BU100" s="100">
        <v>2592</v>
      </c>
      <c r="BV100" s="100">
        <v>9.0909090909090917</v>
      </c>
      <c r="BW100" s="100">
        <v>2945.4545454545455</v>
      </c>
      <c r="BX100" s="100">
        <v>7.3076923076923084</v>
      </c>
      <c r="BY100" s="100">
        <v>2367.6923076923081</v>
      </c>
      <c r="BZ100" s="100">
        <v>9</v>
      </c>
      <c r="CA100" s="100">
        <v>2916</v>
      </c>
      <c r="CB100" s="100">
        <v>12.041474654377879</v>
      </c>
      <c r="CC100" s="100">
        <v>3901.4377880184329</v>
      </c>
      <c r="CD100" s="100">
        <v>6</v>
      </c>
      <c r="CE100" s="100">
        <v>1944</v>
      </c>
      <c r="CF100" s="100">
        <v>8</v>
      </c>
      <c r="CG100" s="100">
        <v>2592</v>
      </c>
      <c r="CH100" s="100">
        <v>11</v>
      </c>
      <c r="CI100" s="100">
        <v>3564</v>
      </c>
      <c r="CJ100" s="100">
        <v>9</v>
      </c>
      <c r="CK100" s="100">
        <v>2916</v>
      </c>
      <c r="CL100" s="100">
        <v>8</v>
      </c>
      <c r="CM100" s="100">
        <v>2592</v>
      </c>
      <c r="CN100" s="100">
        <v>10.524590163934427</v>
      </c>
      <c r="CO100" s="100">
        <v>3409.9672131147545</v>
      </c>
      <c r="CP100" s="100">
        <v>9.9476439790575917</v>
      </c>
      <c r="CQ100" s="100">
        <v>3223.0366492146595</v>
      </c>
      <c r="CR100" s="100">
        <v>7.3390557939914167</v>
      </c>
      <c r="CS100" s="100">
        <v>2377.8540772532192</v>
      </c>
      <c r="CT100" s="100">
        <v>8</v>
      </c>
      <c r="CU100" s="100">
        <v>2592</v>
      </c>
    </row>
    <row r="101" spans="2:99">
      <c r="C101" s="99" t="s">
        <v>267</v>
      </c>
      <c r="D101" s="100">
        <v>12</v>
      </c>
      <c r="E101" s="100">
        <v>8683.2000000000007</v>
      </c>
      <c r="F101" s="100">
        <v>6</v>
      </c>
      <c r="G101" s="100">
        <v>4341.6000000000004</v>
      </c>
      <c r="H101" s="100">
        <v>6</v>
      </c>
      <c r="I101" s="100">
        <v>4341.6000000000004</v>
      </c>
      <c r="J101" s="100">
        <v>7</v>
      </c>
      <c r="K101" s="100">
        <v>5065.2</v>
      </c>
      <c r="L101" s="100">
        <v>9</v>
      </c>
      <c r="M101" s="100">
        <v>6512.4000000000005</v>
      </c>
      <c r="N101" s="100">
        <v>8.16181173637057</v>
      </c>
      <c r="O101" s="100">
        <v>5905.8869724377446</v>
      </c>
      <c r="P101" s="100">
        <v>8.4020100502512562</v>
      </c>
      <c r="Q101" s="100">
        <v>6079.6944723618089</v>
      </c>
      <c r="R101" s="100">
        <v>6</v>
      </c>
      <c r="S101" s="100">
        <v>4341.6000000000004</v>
      </c>
      <c r="T101" s="100">
        <v>8.2285714285714278</v>
      </c>
      <c r="U101" s="100">
        <v>5954.1942857142849</v>
      </c>
      <c r="V101" s="100">
        <v>8.5972850678733028</v>
      </c>
      <c r="W101" s="100">
        <v>6220.9954751131218</v>
      </c>
      <c r="X101" s="100">
        <v>9</v>
      </c>
      <c r="Y101" s="100">
        <v>6512.4000000000005</v>
      </c>
      <c r="Z101" s="100">
        <v>6</v>
      </c>
      <c r="AA101" s="100">
        <v>4341.6000000000004</v>
      </c>
      <c r="AB101" s="100">
        <v>8</v>
      </c>
      <c r="AC101" s="100">
        <v>5788.8</v>
      </c>
      <c r="AD101" s="100">
        <v>8</v>
      </c>
      <c r="AE101" s="100">
        <v>5788.8</v>
      </c>
      <c r="AF101" s="100">
        <v>11</v>
      </c>
      <c r="AG101" s="100">
        <v>7959.6</v>
      </c>
      <c r="AH101" s="100">
        <v>11</v>
      </c>
      <c r="AI101" s="100">
        <v>7959.6</v>
      </c>
      <c r="AJ101" s="100">
        <v>9.1037735849056602</v>
      </c>
      <c r="AK101" s="100">
        <v>6587.4905660377362</v>
      </c>
      <c r="AL101" s="100">
        <v>8.6757990867579906</v>
      </c>
      <c r="AM101" s="100">
        <v>6277.8082191780823</v>
      </c>
      <c r="AN101" s="100">
        <v>11.287128712871286</v>
      </c>
      <c r="AO101" s="100">
        <v>8167.3663366336632</v>
      </c>
      <c r="AP101" s="100">
        <v>11</v>
      </c>
      <c r="AQ101" s="100">
        <v>7959.6</v>
      </c>
      <c r="AR101" s="100">
        <v>7</v>
      </c>
      <c r="AS101" s="100">
        <v>5065.2</v>
      </c>
      <c r="AT101" s="100">
        <v>6</v>
      </c>
      <c r="AU101" s="100">
        <v>4341.6000000000004</v>
      </c>
      <c r="AV101" s="100">
        <v>12</v>
      </c>
      <c r="AW101" s="100">
        <v>8683.2000000000007</v>
      </c>
      <c r="AX101" s="100">
        <v>10</v>
      </c>
      <c r="AY101" s="100">
        <v>7236</v>
      </c>
      <c r="AZ101" s="100">
        <v>7</v>
      </c>
      <c r="BA101" s="100">
        <v>5065.2</v>
      </c>
      <c r="BB101" s="100">
        <v>8</v>
      </c>
      <c r="BC101" s="100">
        <v>5788.8</v>
      </c>
      <c r="BD101" s="100">
        <v>11</v>
      </c>
      <c r="BE101" s="100">
        <v>7959.6</v>
      </c>
      <c r="BF101" s="100">
        <v>6</v>
      </c>
      <c r="BG101" s="100">
        <v>4341.6000000000004</v>
      </c>
      <c r="BH101" s="100">
        <v>10.90909090909091</v>
      </c>
      <c r="BI101" s="100">
        <v>7893.8181818181829</v>
      </c>
      <c r="BJ101" s="100">
        <v>8</v>
      </c>
      <c r="BK101" s="100">
        <v>5788.8</v>
      </c>
      <c r="BL101" s="100">
        <v>12</v>
      </c>
      <c r="BM101" s="100">
        <v>8683.2000000000007</v>
      </c>
      <c r="BN101" s="100">
        <v>9.7442922374429219</v>
      </c>
      <c r="BO101" s="100">
        <v>7050.9698630136982</v>
      </c>
      <c r="BP101" s="100">
        <v>11.515151515151516</v>
      </c>
      <c r="BQ101" s="100">
        <v>8332.363636363636</v>
      </c>
      <c r="BR101" s="100">
        <v>9.134615384615385</v>
      </c>
      <c r="BS101" s="100">
        <v>6609.8076923076924</v>
      </c>
      <c r="BT101" s="100">
        <v>8</v>
      </c>
      <c r="BU101" s="100">
        <v>5788.8</v>
      </c>
      <c r="BV101" s="100">
        <v>10</v>
      </c>
      <c r="BW101" s="100">
        <v>7236</v>
      </c>
      <c r="BX101" s="100">
        <v>6.3942307692307692</v>
      </c>
      <c r="BY101" s="100">
        <v>4626.8653846153848</v>
      </c>
      <c r="BZ101" s="100">
        <v>9</v>
      </c>
      <c r="CA101" s="100">
        <v>6512.4000000000005</v>
      </c>
      <c r="CB101" s="100">
        <v>10.188940092165899</v>
      </c>
      <c r="CC101" s="100">
        <v>7372.7170506912444</v>
      </c>
      <c r="CD101" s="100">
        <v>7</v>
      </c>
      <c r="CE101" s="100">
        <v>5065.2</v>
      </c>
      <c r="CF101" s="100">
        <v>7</v>
      </c>
      <c r="CG101" s="100">
        <v>5065.2</v>
      </c>
      <c r="CH101" s="100">
        <v>12</v>
      </c>
      <c r="CI101" s="100">
        <v>8683.2000000000007</v>
      </c>
      <c r="CJ101" s="100">
        <v>8</v>
      </c>
      <c r="CK101" s="100">
        <v>5788.8</v>
      </c>
      <c r="CL101" s="100">
        <v>7</v>
      </c>
      <c r="CM101" s="100">
        <v>5065.2</v>
      </c>
      <c r="CN101" s="100">
        <v>8.7704918032786878</v>
      </c>
      <c r="CO101" s="100">
        <v>6346.3278688524588</v>
      </c>
      <c r="CP101" s="100">
        <v>9.9476439790575917</v>
      </c>
      <c r="CQ101" s="100">
        <v>7198.1151832460737</v>
      </c>
      <c r="CR101" s="100">
        <v>7.3390557939914167</v>
      </c>
      <c r="CS101" s="100">
        <v>5310.5407725321893</v>
      </c>
      <c r="CT101" s="100">
        <v>8</v>
      </c>
      <c r="CU101" s="100">
        <v>5788.8</v>
      </c>
    </row>
    <row r="102" spans="2:99">
      <c r="C102" s="99" t="s">
        <v>268</v>
      </c>
      <c r="D102" s="100">
        <v>10</v>
      </c>
      <c r="E102" s="100">
        <v>5316</v>
      </c>
      <c r="F102" s="100">
        <v>6</v>
      </c>
      <c r="G102" s="100">
        <v>3189.6000000000004</v>
      </c>
      <c r="H102" s="100">
        <v>6</v>
      </c>
      <c r="I102" s="100">
        <v>3189.6000000000004</v>
      </c>
      <c r="J102" s="100">
        <v>7</v>
      </c>
      <c r="K102" s="100">
        <v>3721.2000000000003</v>
      </c>
      <c r="L102" s="100">
        <v>10</v>
      </c>
      <c r="M102" s="100">
        <v>5316</v>
      </c>
      <c r="N102" s="100">
        <v>8.977992910007627</v>
      </c>
      <c r="O102" s="100">
        <v>4772.7010309600546</v>
      </c>
      <c r="P102" s="100">
        <v>9.165829145728642</v>
      </c>
      <c r="Q102" s="100">
        <v>4872.5547738693467</v>
      </c>
      <c r="R102" s="100">
        <v>6</v>
      </c>
      <c r="S102" s="100">
        <v>3189.6000000000004</v>
      </c>
      <c r="T102" s="100">
        <v>8.2285714285714278</v>
      </c>
      <c r="U102" s="100">
        <v>4374.3085714285708</v>
      </c>
      <c r="V102" s="100">
        <v>7.7375565610859729</v>
      </c>
      <c r="W102" s="100">
        <v>4113.285067873303</v>
      </c>
      <c r="X102" s="100">
        <v>9</v>
      </c>
      <c r="Y102" s="100">
        <v>4784.4000000000005</v>
      </c>
      <c r="Z102" s="100">
        <v>5</v>
      </c>
      <c r="AA102" s="100">
        <v>2658</v>
      </c>
      <c r="AB102" s="100">
        <v>9</v>
      </c>
      <c r="AC102" s="100">
        <v>4784.4000000000005</v>
      </c>
      <c r="AD102" s="100">
        <v>8</v>
      </c>
      <c r="AE102" s="100">
        <v>4252.8</v>
      </c>
      <c r="AF102" s="100">
        <v>10</v>
      </c>
      <c r="AG102" s="100">
        <v>5316</v>
      </c>
      <c r="AH102" s="100">
        <v>11</v>
      </c>
      <c r="AI102" s="100">
        <v>5847.6</v>
      </c>
      <c r="AJ102" s="100">
        <v>9.1037735849056602</v>
      </c>
      <c r="AK102" s="100">
        <v>4839.566037735849</v>
      </c>
      <c r="AL102" s="100">
        <v>7.808219178082191</v>
      </c>
      <c r="AM102" s="100">
        <v>4150.8493150684926</v>
      </c>
      <c r="AN102" s="100">
        <v>9.4059405940594072</v>
      </c>
      <c r="AO102" s="100">
        <v>5000.198019801981</v>
      </c>
      <c r="AP102" s="100">
        <v>10</v>
      </c>
      <c r="AQ102" s="100">
        <v>5316</v>
      </c>
      <c r="AR102" s="100">
        <v>6</v>
      </c>
      <c r="AS102" s="100">
        <v>3189.6000000000004</v>
      </c>
      <c r="AT102" s="100">
        <v>6</v>
      </c>
      <c r="AU102" s="100">
        <v>3189.6000000000004</v>
      </c>
      <c r="AV102" s="100">
        <v>11</v>
      </c>
      <c r="AW102" s="100">
        <v>5847.6</v>
      </c>
      <c r="AX102" s="100">
        <v>9</v>
      </c>
      <c r="AY102" s="100">
        <v>4784.4000000000005</v>
      </c>
      <c r="AZ102" s="100">
        <v>7</v>
      </c>
      <c r="BA102" s="100">
        <v>3721.2000000000003</v>
      </c>
      <c r="BB102" s="100">
        <v>8</v>
      </c>
      <c r="BC102" s="100">
        <v>4252.8</v>
      </c>
      <c r="BD102" s="100">
        <v>12</v>
      </c>
      <c r="BE102" s="100">
        <v>6379.2000000000007</v>
      </c>
      <c r="BF102" s="100">
        <v>7</v>
      </c>
      <c r="BG102" s="100">
        <v>3721.2000000000003</v>
      </c>
      <c r="BH102" s="100">
        <v>10.90909090909091</v>
      </c>
      <c r="BI102" s="100">
        <v>5799.2727272727279</v>
      </c>
      <c r="BJ102" s="100">
        <v>8</v>
      </c>
      <c r="BK102" s="100">
        <v>4252.8</v>
      </c>
      <c r="BL102" s="100">
        <v>11</v>
      </c>
      <c r="BM102" s="100">
        <v>5847.6</v>
      </c>
      <c r="BN102" s="100">
        <v>10.63013698630137</v>
      </c>
      <c r="BO102" s="100">
        <v>5650.9808219178085</v>
      </c>
      <c r="BP102" s="100">
        <v>10.555555555555555</v>
      </c>
      <c r="BQ102" s="100">
        <v>5611.333333333333</v>
      </c>
      <c r="BR102" s="100">
        <v>9.134615384615385</v>
      </c>
      <c r="BS102" s="100">
        <v>4855.961538461539</v>
      </c>
      <c r="BT102" s="100">
        <v>8</v>
      </c>
      <c r="BU102" s="100">
        <v>4252.8</v>
      </c>
      <c r="BV102" s="100">
        <v>9.0909090909090917</v>
      </c>
      <c r="BW102" s="100">
        <v>4832.727272727273</v>
      </c>
      <c r="BX102" s="100">
        <v>7.3076923076923084</v>
      </c>
      <c r="BY102" s="100">
        <v>3884.7692307692314</v>
      </c>
      <c r="BZ102" s="100">
        <v>9</v>
      </c>
      <c r="CA102" s="100">
        <v>4784.4000000000005</v>
      </c>
      <c r="CB102" s="100">
        <v>12.041474654377879</v>
      </c>
      <c r="CC102" s="100">
        <v>6401.2479262672805</v>
      </c>
      <c r="CD102" s="100">
        <v>6</v>
      </c>
      <c r="CE102" s="100">
        <v>3189.6000000000004</v>
      </c>
      <c r="CF102" s="100">
        <v>7</v>
      </c>
      <c r="CG102" s="100">
        <v>3721.2000000000003</v>
      </c>
      <c r="CH102" s="100">
        <v>12</v>
      </c>
      <c r="CI102" s="100">
        <v>6379.2000000000007</v>
      </c>
      <c r="CJ102" s="100">
        <v>10</v>
      </c>
      <c r="CK102" s="100">
        <v>5316</v>
      </c>
      <c r="CL102" s="100">
        <v>7</v>
      </c>
      <c r="CM102" s="100">
        <v>3721.2000000000003</v>
      </c>
      <c r="CN102" s="100">
        <v>10.524590163934427</v>
      </c>
      <c r="CO102" s="100">
        <v>5594.8721311475419</v>
      </c>
      <c r="CP102" s="100">
        <v>9.9476439790575917</v>
      </c>
      <c r="CQ102" s="100">
        <v>5288.1675392670159</v>
      </c>
      <c r="CR102" s="100">
        <v>7.3390557939914167</v>
      </c>
      <c r="CS102" s="100">
        <v>3901.4420600858375</v>
      </c>
      <c r="CT102" s="100">
        <v>8</v>
      </c>
      <c r="CU102" s="100">
        <v>4252.8</v>
      </c>
    </row>
    <row r="103" spans="2:99">
      <c r="C103" s="99" t="s">
        <v>269</v>
      </c>
      <c r="D103" s="100">
        <v>10</v>
      </c>
      <c r="E103" s="100">
        <v>5891.9999999999991</v>
      </c>
      <c r="F103" s="100">
        <v>7</v>
      </c>
      <c r="G103" s="100">
        <v>4124.3999999999996</v>
      </c>
      <c r="H103" s="100">
        <v>6</v>
      </c>
      <c r="I103" s="100">
        <v>3535.2</v>
      </c>
      <c r="J103" s="100">
        <v>7</v>
      </c>
      <c r="K103" s="100">
        <v>4124.3999999999996</v>
      </c>
      <c r="L103" s="100">
        <v>8</v>
      </c>
      <c r="M103" s="100">
        <v>4713.5999999999995</v>
      </c>
      <c r="N103" s="100">
        <v>8.16181173637057</v>
      </c>
      <c r="O103" s="100">
        <v>4808.9394750695392</v>
      </c>
      <c r="P103" s="100">
        <v>8.4020100502512562</v>
      </c>
      <c r="Q103" s="100">
        <v>4950.4643216080394</v>
      </c>
      <c r="R103" s="100">
        <v>5</v>
      </c>
      <c r="S103" s="100">
        <v>2945.9999999999995</v>
      </c>
      <c r="T103" s="100">
        <v>8.2285714285714278</v>
      </c>
      <c r="U103" s="100">
        <v>4848.2742857142848</v>
      </c>
      <c r="V103" s="100">
        <v>7.7375565610859729</v>
      </c>
      <c r="W103" s="100">
        <v>4558.968325791855</v>
      </c>
      <c r="X103" s="100">
        <v>8</v>
      </c>
      <c r="Y103" s="100">
        <v>4713.5999999999995</v>
      </c>
      <c r="Z103" s="100">
        <v>6</v>
      </c>
      <c r="AA103" s="100">
        <v>3535.2</v>
      </c>
      <c r="AB103" s="100">
        <v>8</v>
      </c>
      <c r="AC103" s="100">
        <v>4713.5999999999995</v>
      </c>
      <c r="AD103" s="100">
        <v>8</v>
      </c>
      <c r="AE103" s="100">
        <v>4713.5999999999995</v>
      </c>
      <c r="AF103" s="100">
        <v>10</v>
      </c>
      <c r="AG103" s="100">
        <v>5891.9999999999991</v>
      </c>
      <c r="AH103" s="100">
        <v>10</v>
      </c>
      <c r="AI103" s="100">
        <v>5891.9999999999991</v>
      </c>
      <c r="AJ103" s="100">
        <v>9.1037735849056602</v>
      </c>
      <c r="AK103" s="100">
        <v>5363.9433962264147</v>
      </c>
      <c r="AL103" s="100">
        <v>8.6757990867579906</v>
      </c>
      <c r="AM103" s="100">
        <v>5111.7808219178078</v>
      </c>
      <c r="AN103" s="100">
        <v>11.287128712871286</v>
      </c>
      <c r="AO103" s="100">
        <v>6650.376237623761</v>
      </c>
      <c r="AP103" s="100">
        <v>11</v>
      </c>
      <c r="AQ103" s="100">
        <v>6481.1999999999989</v>
      </c>
      <c r="AR103" s="100">
        <v>7</v>
      </c>
      <c r="AS103" s="100">
        <v>4124.3999999999996</v>
      </c>
      <c r="AT103" s="100">
        <v>6</v>
      </c>
      <c r="AU103" s="100">
        <v>3535.2</v>
      </c>
      <c r="AV103" s="100">
        <v>10</v>
      </c>
      <c r="AW103" s="100">
        <v>5891.9999999999991</v>
      </c>
      <c r="AX103" s="100">
        <v>10</v>
      </c>
      <c r="AY103" s="100">
        <v>5891.9999999999991</v>
      </c>
      <c r="AZ103" s="100">
        <v>7</v>
      </c>
      <c r="BA103" s="100">
        <v>4124.3999999999996</v>
      </c>
      <c r="BB103" s="100">
        <v>7</v>
      </c>
      <c r="BC103" s="100">
        <v>4124.3999999999996</v>
      </c>
      <c r="BD103" s="100">
        <v>11</v>
      </c>
      <c r="BE103" s="100">
        <v>6481.1999999999989</v>
      </c>
      <c r="BF103" s="100">
        <v>6</v>
      </c>
      <c r="BG103" s="100">
        <v>3535.2</v>
      </c>
      <c r="BH103" s="100">
        <v>9.9173553719008272</v>
      </c>
      <c r="BI103" s="100">
        <v>5843.3057851239664</v>
      </c>
      <c r="BJ103" s="100">
        <v>7</v>
      </c>
      <c r="BK103" s="100">
        <v>4124.3999999999996</v>
      </c>
      <c r="BL103" s="100">
        <v>10</v>
      </c>
      <c r="BM103" s="100">
        <v>5891.9999999999991</v>
      </c>
      <c r="BN103" s="100">
        <v>8.8584474885844742</v>
      </c>
      <c r="BO103" s="100">
        <v>5219.3972602739714</v>
      </c>
      <c r="BP103" s="100">
        <v>10.555555555555555</v>
      </c>
      <c r="BQ103" s="100">
        <v>6219.3333333333321</v>
      </c>
      <c r="BR103" s="100">
        <v>8.2211538461538467</v>
      </c>
      <c r="BS103" s="100">
        <v>4843.9038461538457</v>
      </c>
      <c r="BT103" s="100">
        <v>9</v>
      </c>
      <c r="BU103" s="100">
        <v>5302.7999999999993</v>
      </c>
      <c r="BV103" s="100">
        <v>10</v>
      </c>
      <c r="BW103" s="100">
        <v>5891.9999999999991</v>
      </c>
      <c r="BX103" s="100">
        <v>7.3076923076923084</v>
      </c>
      <c r="BY103" s="100">
        <v>4305.6923076923076</v>
      </c>
      <c r="BZ103" s="100">
        <v>9</v>
      </c>
      <c r="CA103" s="100">
        <v>5302.7999999999993</v>
      </c>
      <c r="CB103" s="100">
        <v>11.11520737327189</v>
      </c>
      <c r="CC103" s="100">
        <v>6549.0801843317968</v>
      </c>
      <c r="CD103" s="100">
        <v>6</v>
      </c>
      <c r="CE103" s="100">
        <v>3535.2</v>
      </c>
      <c r="CF103" s="100">
        <v>7</v>
      </c>
      <c r="CG103" s="100">
        <v>4124.3999999999996</v>
      </c>
      <c r="CH103" s="100">
        <v>10</v>
      </c>
      <c r="CI103" s="100">
        <v>5891.9999999999991</v>
      </c>
      <c r="CJ103" s="100">
        <v>8</v>
      </c>
      <c r="CK103" s="100">
        <v>4713.5999999999995</v>
      </c>
      <c r="CL103" s="100">
        <v>7</v>
      </c>
      <c r="CM103" s="100">
        <v>4124.3999999999996</v>
      </c>
      <c r="CN103" s="100">
        <v>8.7704918032786878</v>
      </c>
      <c r="CO103" s="100">
        <v>5167.573770491802</v>
      </c>
      <c r="CP103" s="100">
        <v>10.94240837696335</v>
      </c>
      <c r="CQ103" s="100">
        <v>6447.2670157068051</v>
      </c>
      <c r="CR103" s="100">
        <v>8.1545064377682408</v>
      </c>
      <c r="CS103" s="100">
        <v>4804.6351931330473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12</v>
      </c>
      <c r="E104" s="100">
        <v>7588.7999999999993</v>
      </c>
      <c r="F104" s="100">
        <v>6</v>
      </c>
      <c r="G104" s="100">
        <v>3794.3999999999996</v>
      </c>
      <c r="H104" s="100">
        <v>6</v>
      </c>
      <c r="I104" s="100">
        <v>3794.3999999999996</v>
      </c>
      <c r="J104" s="100">
        <v>7</v>
      </c>
      <c r="K104" s="100">
        <v>4426.8</v>
      </c>
      <c r="L104" s="100">
        <v>9</v>
      </c>
      <c r="M104" s="100">
        <v>5691.5999999999995</v>
      </c>
      <c r="N104" s="100">
        <v>8.977992910007627</v>
      </c>
      <c r="O104" s="100">
        <v>5677.682716288823</v>
      </c>
      <c r="P104" s="100">
        <v>9.165829145728642</v>
      </c>
      <c r="Q104" s="100">
        <v>5796.4703517587932</v>
      </c>
      <c r="R104" s="100">
        <v>6</v>
      </c>
      <c r="S104" s="100">
        <v>3794.3999999999996</v>
      </c>
      <c r="T104" s="100">
        <v>8.2285714285714278</v>
      </c>
      <c r="U104" s="100">
        <v>5203.7485714285704</v>
      </c>
      <c r="V104" s="100">
        <v>8.5972850678733028</v>
      </c>
      <c r="W104" s="100">
        <v>5436.9230769230762</v>
      </c>
      <c r="X104" s="100">
        <v>9</v>
      </c>
      <c r="Y104" s="100">
        <v>5691.5999999999995</v>
      </c>
      <c r="Z104" s="100">
        <v>5</v>
      </c>
      <c r="AA104" s="100">
        <v>3162</v>
      </c>
      <c r="AB104" s="100">
        <v>8</v>
      </c>
      <c r="AC104" s="100">
        <v>5059.2</v>
      </c>
      <c r="AD104" s="100">
        <v>9</v>
      </c>
      <c r="AE104" s="100">
        <v>5691.5999999999995</v>
      </c>
      <c r="AF104" s="100">
        <v>11</v>
      </c>
      <c r="AG104" s="100">
        <v>6956.4</v>
      </c>
      <c r="AH104" s="100">
        <v>12</v>
      </c>
      <c r="AI104" s="100">
        <v>7588.7999999999993</v>
      </c>
      <c r="AJ104" s="100">
        <v>9.1037735849056602</v>
      </c>
      <c r="AK104" s="100">
        <v>5757.2264150943392</v>
      </c>
      <c r="AL104" s="100">
        <v>8.6757990867579906</v>
      </c>
      <c r="AM104" s="100">
        <v>5486.5753424657532</v>
      </c>
      <c r="AN104" s="100">
        <v>11.287128712871286</v>
      </c>
      <c r="AO104" s="100">
        <v>7137.9801980198017</v>
      </c>
      <c r="AP104" s="100">
        <v>10</v>
      </c>
      <c r="AQ104" s="100">
        <v>6324</v>
      </c>
      <c r="AR104" s="100">
        <v>7</v>
      </c>
      <c r="AS104" s="100">
        <v>4426.8</v>
      </c>
      <c r="AT104" s="100">
        <v>6</v>
      </c>
      <c r="AU104" s="100">
        <v>3794.3999999999996</v>
      </c>
      <c r="AV104" s="100">
        <v>11</v>
      </c>
      <c r="AW104" s="100">
        <v>6956.4</v>
      </c>
      <c r="AX104" s="100">
        <v>9</v>
      </c>
      <c r="AY104" s="100">
        <v>5691.5999999999995</v>
      </c>
      <c r="AZ104" s="100">
        <v>7</v>
      </c>
      <c r="BA104" s="100">
        <v>4426.8</v>
      </c>
      <c r="BB104" s="100">
        <v>8</v>
      </c>
      <c r="BC104" s="100">
        <v>5059.2</v>
      </c>
      <c r="BD104" s="100">
        <v>12</v>
      </c>
      <c r="BE104" s="100">
        <v>7588.7999999999993</v>
      </c>
      <c r="BF104" s="100">
        <v>6</v>
      </c>
      <c r="BG104" s="100">
        <v>3794.3999999999996</v>
      </c>
      <c r="BH104" s="100">
        <v>10.90909090909091</v>
      </c>
      <c r="BI104" s="100">
        <v>6898.909090909091</v>
      </c>
      <c r="BJ104" s="100">
        <v>7</v>
      </c>
      <c r="BK104" s="100">
        <v>4426.8</v>
      </c>
      <c r="BL104" s="100">
        <v>11</v>
      </c>
      <c r="BM104" s="100">
        <v>6956.4</v>
      </c>
      <c r="BN104" s="100">
        <v>9.7442922374429219</v>
      </c>
      <c r="BO104" s="100">
        <v>6162.2904109589035</v>
      </c>
      <c r="BP104" s="100">
        <v>10.555555555555555</v>
      </c>
      <c r="BQ104" s="100">
        <v>6675.333333333333</v>
      </c>
      <c r="BR104" s="100">
        <v>10.048076923076923</v>
      </c>
      <c r="BS104" s="100">
        <v>6354.4038461538457</v>
      </c>
      <c r="BT104" s="100">
        <v>9</v>
      </c>
      <c r="BU104" s="100">
        <v>5691.5999999999995</v>
      </c>
      <c r="BV104" s="100">
        <v>10.90909090909091</v>
      </c>
      <c r="BW104" s="100">
        <v>6898.909090909091</v>
      </c>
      <c r="BX104" s="100">
        <v>7.3076923076923084</v>
      </c>
      <c r="BY104" s="100">
        <v>4621.3846153846152</v>
      </c>
      <c r="BZ104" s="100">
        <v>9</v>
      </c>
      <c r="CA104" s="100">
        <v>5691.5999999999995</v>
      </c>
      <c r="CB104" s="100">
        <v>10.188940092165899</v>
      </c>
      <c r="CC104" s="100">
        <v>6443.4857142857136</v>
      </c>
      <c r="CD104" s="100">
        <v>6</v>
      </c>
      <c r="CE104" s="100">
        <v>3794.3999999999996</v>
      </c>
      <c r="CF104" s="100">
        <v>8</v>
      </c>
      <c r="CG104" s="100">
        <v>5059.2</v>
      </c>
      <c r="CH104" s="100">
        <v>12</v>
      </c>
      <c r="CI104" s="100">
        <v>7588.7999999999993</v>
      </c>
      <c r="CJ104" s="100">
        <v>9</v>
      </c>
      <c r="CK104" s="100">
        <v>5691.5999999999995</v>
      </c>
      <c r="CL104" s="100">
        <v>7</v>
      </c>
      <c r="CM104" s="100">
        <v>4426.8</v>
      </c>
      <c r="CN104" s="100">
        <v>9.6475409836065573</v>
      </c>
      <c r="CO104" s="100">
        <v>6101.1049180327864</v>
      </c>
      <c r="CP104" s="100">
        <v>9.9476439790575917</v>
      </c>
      <c r="CQ104" s="100">
        <v>6290.8900523560205</v>
      </c>
      <c r="CR104" s="100">
        <v>8.1545064377682408</v>
      </c>
      <c r="CS104" s="100">
        <v>5156.9098712446357</v>
      </c>
      <c r="CT104" s="100">
        <v>8</v>
      </c>
      <c r="CU104" s="100">
        <v>5059.2</v>
      </c>
    </row>
    <row r="105" spans="2:99">
      <c r="C105" s="99" t="s">
        <v>271</v>
      </c>
      <c r="D105" s="100">
        <v>11</v>
      </c>
      <c r="E105" s="100">
        <v>6124.7999999999993</v>
      </c>
      <c r="F105" s="100">
        <v>6</v>
      </c>
      <c r="G105" s="100">
        <v>3340.7999999999997</v>
      </c>
      <c r="H105" s="100">
        <v>6</v>
      </c>
      <c r="I105" s="100">
        <v>3340.7999999999997</v>
      </c>
      <c r="J105" s="100">
        <v>8</v>
      </c>
      <c r="K105" s="100">
        <v>4454.3999999999996</v>
      </c>
      <c r="L105" s="100">
        <v>8</v>
      </c>
      <c r="M105" s="100">
        <v>4454.3999999999996</v>
      </c>
      <c r="N105" s="100">
        <v>8.977992910007627</v>
      </c>
      <c r="O105" s="100">
        <v>4998.9464522922462</v>
      </c>
      <c r="P105" s="100">
        <v>8.4020100502512562</v>
      </c>
      <c r="Q105" s="100">
        <v>4678.2391959798988</v>
      </c>
      <c r="R105" s="100">
        <v>6</v>
      </c>
      <c r="S105" s="100">
        <v>3340.7999999999997</v>
      </c>
      <c r="T105" s="100">
        <v>9.1428571428571423</v>
      </c>
      <c r="U105" s="100">
        <v>5090.7428571428563</v>
      </c>
      <c r="V105" s="100">
        <v>8.5972850678733028</v>
      </c>
      <c r="W105" s="100">
        <v>4786.968325791855</v>
      </c>
      <c r="X105" s="100">
        <v>8</v>
      </c>
      <c r="Y105" s="100">
        <v>4454.3999999999996</v>
      </c>
      <c r="Z105" s="100">
        <v>6</v>
      </c>
      <c r="AA105" s="100">
        <v>3340.7999999999997</v>
      </c>
      <c r="AB105" s="100">
        <v>9</v>
      </c>
      <c r="AC105" s="100">
        <v>5011.2</v>
      </c>
      <c r="AD105" s="100">
        <v>9</v>
      </c>
      <c r="AE105" s="100">
        <v>5011.2</v>
      </c>
      <c r="AF105" s="100">
        <v>12</v>
      </c>
      <c r="AG105" s="100">
        <v>6681.5999999999995</v>
      </c>
      <c r="AH105" s="100">
        <v>11</v>
      </c>
      <c r="AI105" s="100">
        <v>6124.7999999999993</v>
      </c>
      <c r="AJ105" s="100">
        <v>10.014150943396228</v>
      </c>
      <c r="AK105" s="100">
        <v>5575.8792452830194</v>
      </c>
      <c r="AL105" s="100">
        <v>9.5433789954337893</v>
      </c>
      <c r="AM105" s="100">
        <v>5313.7534246575333</v>
      </c>
      <c r="AN105" s="100">
        <v>10.346534653465346</v>
      </c>
      <c r="AO105" s="100">
        <v>5760.9504950495038</v>
      </c>
      <c r="AP105" s="100">
        <v>11</v>
      </c>
      <c r="AQ105" s="100">
        <v>6124.7999999999993</v>
      </c>
      <c r="AR105" s="100">
        <v>6</v>
      </c>
      <c r="AS105" s="100">
        <v>3340.7999999999997</v>
      </c>
      <c r="AT105" s="100">
        <v>6</v>
      </c>
      <c r="AU105" s="100">
        <v>3340.7999999999997</v>
      </c>
      <c r="AV105" s="100">
        <v>12</v>
      </c>
      <c r="AW105" s="100">
        <v>6681.5999999999995</v>
      </c>
      <c r="AX105" s="100">
        <v>9</v>
      </c>
      <c r="AY105" s="100">
        <v>5011.2</v>
      </c>
      <c r="AZ105" s="100">
        <v>7</v>
      </c>
      <c r="BA105" s="100">
        <v>3897.5999999999995</v>
      </c>
      <c r="BB105" s="100">
        <v>9</v>
      </c>
      <c r="BC105" s="100">
        <v>5011.2</v>
      </c>
      <c r="BD105" s="100">
        <v>12</v>
      </c>
      <c r="BE105" s="100">
        <v>6681.5999999999995</v>
      </c>
      <c r="BF105" s="100">
        <v>6</v>
      </c>
      <c r="BG105" s="100">
        <v>3340.7999999999997</v>
      </c>
      <c r="BH105" s="100">
        <v>10.90909090909091</v>
      </c>
      <c r="BI105" s="100">
        <v>6074.181818181818</v>
      </c>
      <c r="BJ105" s="100">
        <v>8</v>
      </c>
      <c r="BK105" s="100">
        <v>4454.3999999999996</v>
      </c>
      <c r="BL105" s="100">
        <v>11</v>
      </c>
      <c r="BM105" s="100">
        <v>6124.7999999999993</v>
      </c>
      <c r="BN105" s="100">
        <v>8.8584474885844742</v>
      </c>
      <c r="BO105" s="100">
        <v>4932.3835616438346</v>
      </c>
      <c r="BP105" s="100">
        <v>9.5959595959595951</v>
      </c>
      <c r="BQ105" s="100">
        <v>5343.0303030303021</v>
      </c>
      <c r="BR105" s="100">
        <v>9.134615384615385</v>
      </c>
      <c r="BS105" s="100">
        <v>5086.1538461538457</v>
      </c>
      <c r="BT105" s="100">
        <v>8</v>
      </c>
      <c r="BU105" s="100">
        <v>4454.3999999999996</v>
      </c>
      <c r="BV105" s="100">
        <v>10.90909090909091</v>
      </c>
      <c r="BW105" s="100">
        <v>6074.181818181818</v>
      </c>
      <c r="BX105" s="100">
        <v>6.3942307692307692</v>
      </c>
      <c r="BY105" s="100">
        <v>3560.3076923076919</v>
      </c>
      <c r="BZ105" s="100">
        <v>8</v>
      </c>
      <c r="CA105" s="100">
        <v>4454.3999999999996</v>
      </c>
      <c r="CB105" s="100">
        <v>10.188940092165899</v>
      </c>
      <c r="CC105" s="100">
        <v>5673.2018433179719</v>
      </c>
      <c r="CD105" s="100">
        <v>6</v>
      </c>
      <c r="CE105" s="100">
        <v>3340.7999999999997</v>
      </c>
      <c r="CF105" s="100">
        <v>7</v>
      </c>
      <c r="CG105" s="100">
        <v>3897.5999999999995</v>
      </c>
      <c r="CH105" s="100">
        <v>10</v>
      </c>
      <c r="CI105" s="100">
        <v>5568</v>
      </c>
      <c r="CJ105" s="100">
        <v>8</v>
      </c>
      <c r="CK105" s="100">
        <v>4454.3999999999996</v>
      </c>
      <c r="CL105" s="100">
        <v>6</v>
      </c>
      <c r="CM105" s="100">
        <v>3340.7999999999997</v>
      </c>
      <c r="CN105" s="100">
        <v>9.6475409836065573</v>
      </c>
      <c r="CO105" s="100">
        <v>5371.750819672131</v>
      </c>
      <c r="CP105" s="100">
        <v>8.9528795811518318</v>
      </c>
      <c r="CQ105" s="100">
        <v>4984.9633507853396</v>
      </c>
      <c r="CR105" s="100">
        <v>8.1545064377682408</v>
      </c>
      <c r="CS105" s="100">
        <v>4540.4291845493563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952.3070871446306</v>
      </c>
      <c r="E109" s="100">
        <f>SUM(L$6:L$19)+SUM(N$6:N$19)+SUM(P$6:P$19)+SUM(R$6:R$19)</f>
        <v>970.85386721546899</v>
      </c>
      <c r="F109" s="100">
        <f>SUM(T$6:T$19)+SUM(V$6:V$19)+SUM(X$6:X$19)+SUM(Z$6:Z$19)</f>
        <v>1138.1445951306453</v>
      </c>
      <c r="G109" s="100">
        <f>SUM(AB$6:AB$19)+SUM(AD$6:AD$19)+SUM(AF$6:AF$19)+SUM(AH$6:AH$19)</f>
        <v>1133</v>
      </c>
      <c r="H109" s="100">
        <f>SUM(AJ$6:AJ$19)+SUM(AL$6:AL$19)+SUM(AN$6:AN$19)+SUM(AP$6:AP$19)</f>
        <v>1123</v>
      </c>
      <c r="I109" s="100">
        <f>SUM(AR$6:AR$19)+SUM(AT$6:AT$19)+SUM(AV$6:AV$19)+SUM(AX$6:AX$19)</f>
        <v>1162</v>
      </c>
      <c r="J109" s="100">
        <f>SUM(AZ$6:AZ$19)+SUM(BB$6:BB$19)+SUM(BD$6:BD$19)+SUM(BF$6:BF$19)</f>
        <v>1004</v>
      </c>
      <c r="K109" s="100">
        <f>SUM(BH$6:BH$19)+SUM(BJ$6:BJ$19)+SUM(BL$6:BL$19)+SUM(BN$6:BN$19)</f>
        <v>1103</v>
      </c>
      <c r="L109" s="100">
        <f>SUM(BP$6:BP$19)+SUM(BR$6:BR$19)+SUM(BT$6:BT$19)+SUM(BV$6:BV$19)</f>
        <v>1418</v>
      </c>
      <c r="M109" s="100">
        <f>SUM(BX$6:BX$19)+SUM(BZ$6:BZ$19)+SUM(CB$6:CB$19)+SUM(CD$6:CD$19)</f>
        <v>1429.0337359128921</v>
      </c>
      <c r="N109" s="100">
        <f>SUM(CF$6:CF$19)+SUM(CH$6:CH$19)+SUM(CJ$6:CJ$19)+SUM(CL$6:CL$19)</f>
        <v>1385.8070730519553</v>
      </c>
      <c r="O109" s="100">
        <f>SUM(CN$6:CN$19)+SUM(CP$6:CP$19)+SUM(CR$6:CR$19)+SUM(CT$6:CT$19)</f>
        <v>1287.7063611957719</v>
      </c>
    </row>
    <row r="110" spans="2:99">
      <c r="C110" s="99" t="s">
        <v>127</v>
      </c>
      <c r="D110" s="100">
        <f>SUM(D$20:D$36)+SUM(F$20:F$36)+SUM(H$20:H$36)+SUM(J$20:J$36)</f>
        <v>1205.1461430535192</v>
      </c>
      <c r="E110" s="100">
        <f>SUM(L$20:L$36)+SUM(N$20:N$36)+SUM(P$20:P$36)+SUM(R$20:R$36)</f>
        <v>1622.4307200612889</v>
      </c>
      <c r="F110" s="100">
        <f>SUM(T$20:T$36)+SUM(V$20:V$36)+SUM(X$20:X$36)+SUM(Z$20:Z$36)</f>
        <v>1381.6952686819243</v>
      </c>
      <c r="G110" s="100">
        <f>SUM(AB$20:AB$36)+SUM(AD$20:AD$36)+SUM(AF$20:AF$36)+SUM(AH$20:AH$36)</f>
        <v>1226</v>
      </c>
      <c r="H110" s="100">
        <f>SUM(AJ$20:AJ$36)+SUM(AL$20:AL$36)+SUM(AN$20:AN$36)+SUM(AP$20:AP$36)</f>
        <v>1326</v>
      </c>
      <c r="I110" s="100">
        <f>SUM(AR$20:AR$36)+SUM(AT$20:AT$36)+SUM(AV$20:AV$36)+SUM(AX$20:AX$36)</f>
        <v>1531</v>
      </c>
      <c r="J110" s="100">
        <f>SUM(AZ$20:AZ$36)+SUM(BB$20:BB$36)+SUM(BD$20:BD$36)+SUM(BF$20:BF$36)</f>
        <v>1534</v>
      </c>
      <c r="K110" s="100">
        <f>SUM(BH$20:BH$36)+SUM(BJ$20:BJ$36)+SUM(BL$20:BL$36)+SUM(BN$20:BN$36)</f>
        <v>1450</v>
      </c>
      <c r="L110" s="100">
        <f>SUM(BP$20:BP$36)+SUM(BR$20:BR$36)+SUM(BT$20:BT$36)+SUM(BV$20:BV$36)</f>
        <v>1417</v>
      </c>
      <c r="M110" s="100">
        <f>SUM(BX$20:BX$36)+SUM(BZ$20:BZ$36)+SUM(CB$20:CB$36)+SUM(CD$20:CD$36)</f>
        <v>1572.9288272405774</v>
      </c>
      <c r="N110" s="100">
        <f>SUM(CF$20:CF$36)+SUM(CH$20:CH$36)+SUM(CJ$20:CJ$36)+SUM(CL$20:CL$36)</f>
        <v>1449.5188360476443</v>
      </c>
      <c r="O110" s="100">
        <f>SUM(CN$20:CN$36)+SUM(CP$20:CP$36)+SUM(CR$20:CR$36)+SUM(CT$20:CT$36)</f>
        <v>1475.7813416153281</v>
      </c>
    </row>
    <row r="111" spans="2:99">
      <c r="C111" s="99" t="s">
        <v>128</v>
      </c>
      <c r="D111" s="100">
        <f>SUM(D$37:D$48)+SUM(F$37:F$48)+SUM(H$37:H$48)+SUM(J$37:J$48)</f>
        <v>471.81518337647731</v>
      </c>
      <c r="E111" s="100">
        <f>SUM(L$37:L$48)+SUM(N$37:N$48)+SUM(P$37:P$48)+SUM(R$37:R$48)</f>
        <v>787.67733741730831</v>
      </c>
      <c r="F111" s="100">
        <f>SUM(T$37:T$48)+SUM(V$37:V$48)+SUM(X$37:X$48)+SUM(Z$37:Z$48)</f>
        <v>684.55397378380871</v>
      </c>
      <c r="G111" s="100">
        <f>SUM(AB$37:AB$48)+SUM(AD$37:AD$48)+SUM(AF$37:AF$48)+SUM(AH$37:AH$48)</f>
        <v>541</v>
      </c>
      <c r="H111" s="100">
        <f>SUM(AJ$37:AJ$48)+SUM(AL$37:AL$48)+SUM(AN$37:AN$48)+SUM(AP$37:AP$48)</f>
        <v>628</v>
      </c>
      <c r="I111" s="100">
        <f>SUM(AR$37:AR$48)+SUM(AT$37:AT$48)+SUM(AV$37:AV$48)+SUM(AX$37:AX$48)</f>
        <v>677</v>
      </c>
      <c r="J111" s="100">
        <f>SUM(AZ$37:AZ$48)+SUM(BB$37:BB$48)+SUM(BD$37:BD$48)+SUM(BF$37:BF$48)</f>
        <v>630</v>
      </c>
      <c r="K111" s="100">
        <f>SUM(BH$37:BH$48)+SUM(BJ$37:BJ$48)+SUM(BL$37:BL$48)+SUM(BN$37:BN$48)</f>
        <v>679</v>
      </c>
      <c r="L111" s="100">
        <f>SUM(BP$37:BP$48)+SUM(BR$37:BR$48)+SUM(BT$37:BT$48)+SUM(BV$37:BV$48)</f>
        <v>620</v>
      </c>
      <c r="M111" s="100">
        <f>SUM(BX$37:BX$48)+SUM(BZ$37:BZ$48)+SUM(CB$37:CB$48)+SUM(CD$37:CD$48)</f>
        <v>692.43956682947737</v>
      </c>
      <c r="N111" s="100">
        <f>SUM(CF$37:CF$48)+SUM(CH$37:CH$48)+SUM(CJ$37:CJ$48)+SUM(CL$37:CL$48)</f>
        <v>498.07590477330319</v>
      </c>
      <c r="O111" s="100">
        <f>SUM(CN$37:CN$48)+SUM(CP$37:CP$48)+SUM(CR$37:CR$48)+SUM(CT$37:CT$48)</f>
        <v>581.79376818440596</v>
      </c>
    </row>
    <row r="112" spans="2:99">
      <c r="C112" s="99" t="s">
        <v>129</v>
      </c>
      <c r="D112" s="100">
        <f>SUM(D$49:D$70)+SUM(F$49:F$70)+SUM(H$49:H$70)+SUM(J$49:J$70)</f>
        <v>997.35476292433987</v>
      </c>
      <c r="E112" s="100">
        <f>SUM(L$49:L$70)+SUM(N$49:N$70)+SUM(P$49:P$70)+SUM(R$49:R$70)</f>
        <v>916.55427290340776</v>
      </c>
      <c r="F112" s="100">
        <f>SUM(T$49:T$70)+SUM(V$49:V$70)+SUM(X$49:X$70)+SUM(Z$49:Z$70)</f>
        <v>1140.561385592433</v>
      </c>
      <c r="G112" s="100">
        <f>SUM(AB$49:AB$70)+SUM(AD$49:AD$70)+SUM(AF$49:AF$70)+SUM(AH$49:AH$70)</f>
        <v>951</v>
      </c>
      <c r="H112" s="100">
        <f>SUM(AJ$49:AJ$70)+SUM(AL$49:AL$70)+SUM(AN$49:AN$70)+SUM(AP$49:AP$70)</f>
        <v>1029.8665528739484</v>
      </c>
      <c r="I112" s="100">
        <f>SUM(AR$49:AR$70)+SUM(AT$49:AT$70)+SUM(AV$49:AV$70)+SUM(AX$49:AX$70)</f>
        <v>1138</v>
      </c>
      <c r="J112" s="100">
        <f>SUM(AZ$49:AZ$70)+SUM(BB$49:BB$70)+SUM(BD$49:BD$70)+SUM(BF$49:BF$70)</f>
        <v>948</v>
      </c>
      <c r="K112" s="100">
        <f>SUM(BH$49:BH$70)+SUM(BJ$49:BJ$70)+SUM(BL$49:BL$70)+SUM(BN$49:BN$70)</f>
        <v>1044.746858372014</v>
      </c>
      <c r="L112" s="100">
        <f>SUM(BP$49:BP$70)+SUM(BR$49:BR$70)+SUM(BT$49:BT$70)+SUM(BV$49:BV$70)</f>
        <v>836.98339160839168</v>
      </c>
      <c r="M112" s="100">
        <f>SUM(BX$49:BX$70)+SUM(BZ$49:BZ$70)+SUM(CB$49:CB$70)+SUM(CD$49:CD$70)</f>
        <v>1088.7988375760272</v>
      </c>
      <c r="N112" s="100">
        <f>SUM(CF$49:CF$70)+SUM(CH$49:CH$70)+SUM(CJ$49:CJ$70)+SUM(CL$49:CL$70)</f>
        <v>1091.6935088281143</v>
      </c>
      <c r="O112" s="100">
        <f>SUM(CN$49:CN$70)+SUM(CP$49:CP$70)+SUM(CR$49:CR$70)+SUM(CT$49:CT$70)</f>
        <v>1048.6457775848926</v>
      </c>
    </row>
    <row r="113" spans="2:15">
      <c r="C113" s="99" t="s">
        <v>130</v>
      </c>
      <c r="D113" s="100">
        <f>SUM(D$71:D$86)+SUM(F$71:F$86)+SUM(H$71:H$86)+SUM(J$71:J$86)</f>
        <v>410</v>
      </c>
      <c r="E113" s="100">
        <f>SUM(L$71:L$86)+SUM(N$71:N$86)+SUM(P$71:P$86)+SUM(R$71:R$86)</f>
        <v>472</v>
      </c>
      <c r="F113" s="100">
        <f>SUM(T$71:T$86)+SUM(V$71:V$86)+SUM(X$71:X$86)+SUM(Z$71:Z$86)</f>
        <v>452</v>
      </c>
      <c r="G113" s="100">
        <f>SUM(AB$71:AB$86)+SUM(AD$71:AD$86)+SUM(AF$71:AF$86)+SUM(AH$71:AH$86)</f>
        <v>521</v>
      </c>
      <c r="H113" s="100">
        <f>SUM(AJ$71:AJ$86)+SUM(AL$71:AL$86)+SUM(AN$71:AN$86)+SUM(AP$71:AP$86)</f>
        <v>447</v>
      </c>
      <c r="I113" s="100">
        <f>SUM(AR$71:AR$86)+SUM(AT$71:AT$86)+SUM(AV$71:AV$86)+SUM(AX$71:AX$86)</f>
        <v>475</v>
      </c>
      <c r="J113" s="100">
        <f>SUM(AZ$71:AZ$86)+SUM(BB$71:BB$86)+SUM(BD$71:BD$86)+SUM(BF$71:BF$86)</f>
        <v>434</v>
      </c>
      <c r="K113" s="100">
        <f>SUM(BH$71:BH$86)+SUM(BJ$71:BJ$86)+SUM(BL$71:BL$86)+SUM(BN$71:BN$86)</f>
        <v>541</v>
      </c>
      <c r="L113" s="100">
        <f>SUM(BP$71:BP$86)+SUM(BR$71:BR$86)+SUM(BT$71:BT$86)+SUM(BV$71:BV$86)</f>
        <v>578</v>
      </c>
      <c r="M113" s="100">
        <f>SUM(BX$71:BX$86)+SUM(BZ$71:BZ$86)+SUM(CB$71:CB$86)+SUM(CD$71:CD$86)</f>
        <v>488</v>
      </c>
      <c r="N113" s="100">
        <f>SUM(CF$71:CF$86)+SUM(CH$71:CH$86)+SUM(CJ$71:CJ$86)+SUM(CL$71:CL$86)</f>
        <v>492</v>
      </c>
      <c r="O113" s="100">
        <f>SUM(CN$71:CN$86)+SUM(CP$71:CP$86)+SUM(CR$71:CR$86)+SUM(CT$71:CT$86)</f>
        <v>497</v>
      </c>
    </row>
    <row r="114" spans="2:15">
      <c r="C114" s="99" t="s">
        <v>131</v>
      </c>
      <c r="D114" s="100">
        <f>SUM(D$87:D$94)+SUM(F$87:F$94)+SUM(H$87:H$94)+SUM(J$87:J$94)</f>
        <v>307</v>
      </c>
      <c r="E114" s="100">
        <f>SUM(L$87:L$94)+SUM(N$87:N$94)+SUM(P$87:P$94)+SUM(R$87:R$94)</f>
        <v>262.43710399603231</v>
      </c>
      <c r="F114" s="100">
        <f>SUM(T$87:T$94)+SUM(V$87:V$94)+SUM(X$87:X$94)+SUM(Z$87:Z$94)</f>
        <v>299.4950226244344</v>
      </c>
      <c r="G114" s="100">
        <f>SUM(AB$87:AB$94)+SUM(AD$87:AD$94)+SUM(AF$87:AF$94)+SUM(AH$87:AH$94)</f>
        <v>280</v>
      </c>
      <c r="H114" s="100">
        <f>SUM(AJ$87:AJ$94)+SUM(AL$87:AL$94)+SUM(AN$87:AN$94)+SUM(AP$87:AP$94)</f>
        <v>259.96535421182335</v>
      </c>
      <c r="I114" s="100">
        <f>SUM(AR$87:AR$94)+SUM(AT$87:AT$94)+SUM(AV$87:AV$94)+SUM(AX$87:AX$94)</f>
        <v>297</v>
      </c>
      <c r="J114" s="100">
        <f>SUM(AZ$87:AZ$94)+SUM(BB$87:BB$94)+SUM(BD$87:BD$94)+SUM(BF$87:BF$94)</f>
        <v>274</v>
      </c>
      <c r="K114" s="100">
        <f>SUM(BH$87:BH$94)+SUM(BJ$87:BJ$94)+SUM(BL$87:BL$94)+SUM(BN$87:BN$94)</f>
        <v>295.36446658364468</v>
      </c>
      <c r="L114" s="100">
        <f>SUM(BP$87:BP$94)+SUM(BR$87:BR$94)+SUM(BT$87:BT$94)+SUM(BV$87:BV$94)</f>
        <v>276.90248640248637</v>
      </c>
      <c r="M114" s="100">
        <f>SUM(BX$87:BX$94)+SUM(BZ$87:BZ$94)+SUM(CB$87:CB$94)+SUM(CD$87:CD$94)</f>
        <v>287.76497695852532</v>
      </c>
      <c r="N114" s="100">
        <f>SUM(CF$87:CF$94)+SUM(CH$87:CH$94)+SUM(CJ$87:CJ$94)+SUM(CL$87:CL$94)</f>
        <v>285</v>
      </c>
      <c r="O114" s="100">
        <f>SUM(CN$87:CN$94)+SUM(CP$87:CP$94)+SUM(CR$87:CR$94)+SUM(CT$87:CT$94)</f>
        <v>293.3205996795943</v>
      </c>
    </row>
    <row r="115" spans="2:15">
      <c r="C115" s="99" t="s">
        <v>132</v>
      </c>
      <c r="D115" s="100">
        <f>SUM(D$95:D$105)+SUM(F$95:F$105)+SUM(H$95:H$105)+SUM(J$95:J$105)</f>
        <v>330</v>
      </c>
      <c r="E115" s="100">
        <f>SUM(L$95:L$105)+SUM(N$95:N$105)+SUM(P$95:P$105)+SUM(R$95:R$105)</f>
        <v>343.57148850370766</v>
      </c>
      <c r="F115" s="100">
        <f>SUM(T$95:T$105)+SUM(V$95:V$105)+SUM(X$95:X$105)+SUM(Z$95:Z$105)</f>
        <v>339.66890756302519</v>
      </c>
      <c r="G115" s="100">
        <f>SUM(AB$95:AB$105)+SUM(AD$95:AD$105)+SUM(AF$95:AF$105)+SUM(AH$95:AH$105)</f>
        <v>423</v>
      </c>
      <c r="H115" s="100">
        <f>SUM(AJ$95:AJ$105)+SUM(AL$95:AL$105)+SUM(AN$95:AN$105)+SUM(AP$95:AP$105)</f>
        <v>415.16809291422811</v>
      </c>
      <c r="I115" s="100">
        <f>SUM(AR$95:AR$105)+SUM(AT$95:AT$105)+SUM(AV$95:AV$105)+SUM(AX$95:AX$105)</f>
        <v>361</v>
      </c>
      <c r="J115" s="100">
        <f>SUM(AZ$95:AZ$105)+SUM(BB$95:BB$105)+SUM(BD$95:BD$105)+SUM(BF$95:BF$105)</f>
        <v>359</v>
      </c>
      <c r="K115" s="100">
        <f>SUM(BH$95:BH$105)+SUM(BJ$95:BJ$105)+SUM(BL$95:BL$105)+SUM(BN$95:BN$105)</f>
        <v>425.88867504434126</v>
      </c>
      <c r="L115" s="100">
        <f>SUM(BP$95:BP$105)+SUM(BR$95:BR$105)+SUM(BT$95:BT$105)+SUM(BV$95:BV$105)</f>
        <v>412.114121989122</v>
      </c>
      <c r="M115" s="100">
        <f>SUM(BX$95:BX$105)+SUM(BZ$95:BZ$105)+SUM(CB$95:CB$105)+SUM(CD$95:CD$105)</f>
        <v>354.71286777738391</v>
      </c>
      <c r="N115" s="100">
        <f>SUM(CF$95:CF$105)+SUM(CH$95:CH$105)+SUM(CJ$95:CJ$105)+SUM(CL$95:CL$105)</f>
        <v>370</v>
      </c>
      <c r="O115" s="100">
        <f>SUM(CN$95:CN$105)+SUM(CP$95:CP$105)+SUM(CR$95:CR$105)+SUM(CT$95:CT$105)</f>
        <v>380.79981309051556</v>
      </c>
    </row>
    <row r="116" spans="2:15">
      <c r="C116" s="99" t="s">
        <v>278</v>
      </c>
      <c r="D116" s="100">
        <f t="shared" ref="D116:O116" si="0">SUM(D$109:D$115)</f>
        <v>4673.623176498967</v>
      </c>
      <c r="E116" s="100">
        <f t="shared" si="0"/>
        <v>5375.5247900972145</v>
      </c>
      <c r="F116" s="100">
        <f t="shared" si="0"/>
        <v>5436.1191533762703</v>
      </c>
      <c r="G116" s="100">
        <f t="shared" si="0"/>
        <v>5075</v>
      </c>
      <c r="H116" s="100">
        <f t="shared" si="0"/>
        <v>5229</v>
      </c>
      <c r="I116" s="100">
        <f t="shared" si="0"/>
        <v>5641</v>
      </c>
      <c r="J116" s="100">
        <f t="shared" si="0"/>
        <v>5183</v>
      </c>
      <c r="K116" s="100">
        <f t="shared" si="0"/>
        <v>5539</v>
      </c>
      <c r="L116" s="100">
        <f t="shared" si="0"/>
        <v>5559.0000000000009</v>
      </c>
      <c r="M116" s="100">
        <f t="shared" si="0"/>
        <v>5913.6788122948828</v>
      </c>
      <c r="N116" s="100">
        <f t="shared" si="0"/>
        <v>5572.0953227010177</v>
      </c>
      <c r="O116" s="100">
        <f t="shared" si="0"/>
        <v>5565.047661350508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3237844.0962917437</v>
      </c>
      <c r="E120" s="100">
        <f>E109*pricing!E6*2000</f>
        <v>3300903.1485325946</v>
      </c>
      <c r="F120" s="100">
        <f>F109*pricing!F6*2000</f>
        <v>3869691.6234441935</v>
      </c>
      <c r="G120" s="100">
        <f>G109*pricing!G6*2000</f>
        <v>3852200</v>
      </c>
      <c r="H120" s="100">
        <f>H109*pricing!H6*2000</f>
        <v>3818200</v>
      </c>
      <c r="I120" s="100">
        <f>I109*pricing!I6*2000</f>
        <v>3950799.9999999995</v>
      </c>
      <c r="J120" s="100">
        <f>J109*pricing!J6*2000</f>
        <v>3413600</v>
      </c>
      <c r="K120" s="100">
        <f>K109*pricing!K6*2000</f>
        <v>3750200</v>
      </c>
      <c r="L120" s="100">
        <f>L109*pricing!L6*2000</f>
        <v>4821200</v>
      </c>
      <c r="M120" s="100">
        <f>M109*pricing!M6*2000</f>
        <v>4858714.7021038327</v>
      </c>
      <c r="N120" s="100">
        <f>N109*pricing!N6*2000</f>
        <v>4711744.0483766478</v>
      </c>
      <c r="O120" s="100">
        <f>O109*pricing!O6*2000</f>
        <v>4378201.6280656243</v>
      </c>
    </row>
    <row r="121" spans="2:15">
      <c r="C121" s="99" t="s">
        <v>127</v>
      </c>
      <c r="D121" s="100">
        <f>D110*pricing!D7*2000</f>
        <v>4820584.5722140763</v>
      </c>
      <c r="E121" s="100">
        <f>E110*pricing!E7*2000</f>
        <v>6489722.8802451557</v>
      </c>
      <c r="F121" s="100">
        <f>F110*pricing!F7*2000</f>
        <v>5526781.0747276973</v>
      </c>
      <c r="G121" s="100">
        <f>G110*pricing!G7*2000</f>
        <v>4904000</v>
      </c>
      <c r="H121" s="100">
        <f>H110*pricing!H7*2000</f>
        <v>5304000</v>
      </c>
      <c r="I121" s="100">
        <f>I110*pricing!I7*2000</f>
        <v>6124000</v>
      </c>
      <c r="J121" s="100">
        <f>J110*pricing!J7*2000</f>
        <v>6136000</v>
      </c>
      <c r="K121" s="100">
        <f>K110*pricing!K7*2000</f>
        <v>5800000</v>
      </c>
      <c r="L121" s="100">
        <f>L110*pricing!L7*2000</f>
        <v>5668000</v>
      </c>
      <c r="M121" s="100">
        <f>M110*pricing!M7*2000</f>
        <v>6291715.3089623097</v>
      </c>
      <c r="N121" s="100">
        <f>N110*pricing!N7*2000</f>
        <v>5798075.344190577</v>
      </c>
      <c r="O121" s="100">
        <f>O110*pricing!O7*2000</f>
        <v>5903125.3664613124</v>
      </c>
    </row>
    <row r="122" spans="2:15">
      <c r="C122" s="99" t="s">
        <v>128</v>
      </c>
      <c r="D122" s="100">
        <f>D111*pricing!D8*2000</f>
        <v>2123168.3251941479</v>
      </c>
      <c r="E122" s="100">
        <f>E111*pricing!E8*2000</f>
        <v>3544548.0183778871</v>
      </c>
      <c r="F122" s="100">
        <f>F111*pricing!F8*2000</f>
        <v>3080492.8820271394</v>
      </c>
      <c r="G122" s="100">
        <f>G111*pricing!G8*2000</f>
        <v>2434500</v>
      </c>
      <c r="H122" s="100">
        <f>H111*pricing!H8*2000</f>
        <v>2826000</v>
      </c>
      <c r="I122" s="100">
        <f>I111*pricing!I8*2000</f>
        <v>3046500</v>
      </c>
      <c r="J122" s="100">
        <f>J111*pricing!J8*2000</f>
        <v>2835000</v>
      </c>
      <c r="K122" s="100">
        <f>K111*pricing!K8*2000</f>
        <v>3055500</v>
      </c>
      <c r="L122" s="100">
        <f>L111*pricing!L8*2000</f>
        <v>2790000</v>
      </c>
      <c r="M122" s="100">
        <f>M111*pricing!M8*2000</f>
        <v>3115978.050732648</v>
      </c>
      <c r="N122" s="100">
        <f>N111*pricing!N8*2000</f>
        <v>2241341.5714798644</v>
      </c>
      <c r="O122" s="100">
        <f>O111*pricing!O8*2000</f>
        <v>2618071.9568298268</v>
      </c>
    </row>
    <row r="123" spans="2:15">
      <c r="C123" s="99" t="s">
        <v>129</v>
      </c>
      <c r="D123" s="100">
        <f>D112*pricing!D9*2000</f>
        <v>4488096.4331595292</v>
      </c>
      <c r="E123" s="100">
        <f>E112*pricing!E9*2000</f>
        <v>4124494.2280653347</v>
      </c>
      <c r="F123" s="100">
        <f>F112*pricing!F9*2000</f>
        <v>5132526.235165948</v>
      </c>
      <c r="G123" s="100">
        <f>G112*pricing!G9*2000</f>
        <v>4279500</v>
      </c>
      <c r="H123" s="100">
        <f>H112*pricing!H9*2000</f>
        <v>4634399.4879327677</v>
      </c>
      <c r="I123" s="100">
        <f>I112*pricing!I9*2000</f>
        <v>5121000</v>
      </c>
      <c r="J123" s="100">
        <f>J112*pricing!J9*2000</f>
        <v>4266000</v>
      </c>
      <c r="K123" s="100">
        <f>K112*pricing!K9*2000</f>
        <v>4701360.8626740631</v>
      </c>
      <c r="L123" s="100">
        <f>L112*pricing!L9*2000</f>
        <v>3766425.2622377626</v>
      </c>
      <c r="M123" s="100">
        <f>M112*pricing!M9*2000</f>
        <v>4899594.7690921221</v>
      </c>
      <c r="N123" s="100">
        <f>N112*pricing!N9*2000</f>
        <v>4912620.7897265144</v>
      </c>
      <c r="O123" s="100">
        <f>O112*pricing!O9*2000</f>
        <v>4718905.9991320167</v>
      </c>
    </row>
    <row r="124" spans="2:15">
      <c r="C124" s="99" t="s">
        <v>130</v>
      </c>
      <c r="D124" s="100">
        <f>D113*pricing!D10*2000</f>
        <v>2050000</v>
      </c>
      <c r="E124" s="100">
        <f>E113*pricing!E10*2000</f>
        <v>2360000</v>
      </c>
      <c r="F124" s="100">
        <f>F113*pricing!F10*2000</f>
        <v>2260000</v>
      </c>
      <c r="G124" s="100">
        <f>G113*pricing!G10*2000</f>
        <v>2605000</v>
      </c>
      <c r="H124" s="100">
        <f>H113*pricing!H10*2000</f>
        <v>2235000</v>
      </c>
      <c r="I124" s="100">
        <f>I113*pricing!I10*2000</f>
        <v>2375000</v>
      </c>
      <c r="J124" s="100">
        <f>J113*pricing!J10*2000</f>
        <v>2170000</v>
      </c>
      <c r="K124" s="100">
        <f>K113*pricing!K10*2000</f>
        <v>2705000</v>
      </c>
      <c r="L124" s="100">
        <f>L113*pricing!L10*2000</f>
        <v>2890000</v>
      </c>
      <c r="M124" s="100">
        <f>M113*pricing!M10*2000</f>
        <v>2440000</v>
      </c>
      <c r="N124" s="100">
        <f>N113*pricing!N10*2000</f>
        <v>2460000</v>
      </c>
      <c r="O124" s="100">
        <f>O113*pricing!O10*2000</f>
        <v>2485000</v>
      </c>
    </row>
    <row r="125" spans="2:15">
      <c r="C125" s="99" t="s">
        <v>131</v>
      </c>
      <c r="D125" s="100">
        <f>D114*pricing!D11*2000</f>
        <v>1596400</v>
      </c>
      <c r="E125" s="100">
        <f>E114*pricing!E11*2000</f>
        <v>1364672.9407793679</v>
      </c>
      <c r="F125" s="100">
        <f>F114*pricing!F11*2000</f>
        <v>1557374.117647059</v>
      </c>
      <c r="G125" s="100">
        <f>G114*pricing!G11*2000</f>
        <v>1456000</v>
      </c>
      <c r="H125" s="100">
        <f>H114*pricing!H11*2000</f>
        <v>1351819.8419014816</v>
      </c>
      <c r="I125" s="100">
        <f>I114*pricing!I11*2000</f>
        <v>1544400</v>
      </c>
      <c r="J125" s="100">
        <f>J114*pricing!J11*2000</f>
        <v>1424800</v>
      </c>
      <c r="K125" s="100">
        <f>K114*pricing!K11*2000</f>
        <v>1535895.2262349525</v>
      </c>
      <c r="L125" s="100">
        <f>L114*pricing!L11*2000</f>
        <v>1439892.9292929291</v>
      </c>
      <c r="M125" s="100">
        <f>M114*pricing!M11*2000</f>
        <v>1496377.8801843319</v>
      </c>
      <c r="N125" s="100">
        <f>N114*pricing!N11*2000</f>
        <v>1482000</v>
      </c>
      <c r="O125" s="100">
        <f>O114*pricing!O11*2000</f>
        <v>1525267.1183338906</v>
      </c>
    </row>
    <row r="126" spans="2:15">
      <c r="C126" s="99" t="s">
        <v>132</v>
      </c>
      <c r="D126" s="100">
        <f>D115*pricing!D12*2000</f>
        <v>1782000.0000000002</v>
      </c>
      <c r="E126" s="100">
        <f>E115*pricing!E12*2000</f>
        <v>1855286.0379200215</v>
      </c>
      <c r="F126" s="100">
        <f>F115*pricing!F12*2000</f>
        <v>1834212.1008403362</v>
      </c>
      <c r="G126" s="100">
        <f>G115*pricing!G12*2000</f>
        <v>2284200.0000000005</v>
      </c>
      <c r="H126" s="100">
        <f>H115*pricing!H12*2000</f>
        <v>2241907.7017368316</v>
      </c>
      <c r="I126" s="100">
        <f>I115*pricing!I12*2000</f>
        <v>1949400</v>
      </c>
      <c r="J126" s="100">
        <f>J115*pricing!J12*2000</f>
        <v>1938600.0000000002</v>
      </c>
      <c r="K126" s="100">
        <f>K115*pricing!K12*2000</f>
        <v>2299798.8452394428</v>
      </c>
      <c r="L126" s="100">
        <f>L115*pricing!L12*2000</f>
        <v>2225416.2587412586</v>
      </c>
      <c r="M126" s="100">
        <f>M115*pricing!M12*2000</f>
        <v>1915449.4859978731</v>
      </c>
      <c r="N126" s="100">
        <f>N115*pricing!N12*2000</f>
        <v>1998000.0000000002</v>
      </c>
      <c r="O126" s="100">
        <f>O115*pricing!O12*2000</f>
        <v>2056318.9906887843</v>
      </c>
    </row>
    <row r="127" spans="2:15">
      <c r="C127" s="99" t="s">
        <v>278</v>
      </c>
      <c r="D127" s="100">
        <f t="shared" ref="D127:O127" si="1">SUM(D$120:D$126)</f>
        <v>20098093.426859498</v>
      </c>
      <c r="E127" s="100">
        <f t="shared" si="1"/>
        <v>23039627.253920361</v>
      </c>
      <c r="F127" s="100">
        <f t="shared" si="1"/>
        <v>23261078.033852376</v>
      </c>
      <c r="G127" s="100">
        <f t="shared" si="1"/>
        <v>21815400</v>
      </c>
      <c r="H127" s="100">
        <f t="shared" si="1"/>
        <v>22411327.031571079</v>
      </c>
      <c r="I127" s="100">
        <f t="shared" si="1"/>
        <v>24111100</v>
      </c>
      <c r="J127" s="100">
        <f t="shared" si="1"/>
        <v>22184000</v>
      </c>
      <c r="K127" s="100">
        <f t="shared" si="1"/>
        <v>23847754.934148461</v>
      </c>
      <c r="L127" s="100">
        <f t="shared" si="1"/>
        <v>23600934.450271949</v>
      </c>
      <c r="M127" s="100">
        <f t="shared" si="1"/>
        <v>25017830.197073121</v>
      </c>
      <c r="N127" s="100">
        <f t="shared" si="1"/>
        <v>23603781.753773604</v>
      </c>
      <c r="O127" s="100">
        <f t="shared" si="1"/>
        <v>23684891.05951146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479678.86298078531</v>
      </c>
      <c r="E131" s="106">
        <f>SUM(M$6:M$19)+SUM(O$6:O$19)+SUM(Q$6:Q$19)+SUM(S$6:S$19)</f>
        <v>489035.88028595748</v>
      </c>
      <c r="F131" s="106">
        <f>SUM(U$6:U$19)+SUM(W$6:W$19)+SUM(Y$6:Y$19)+SUM(AA$6:AA$19)</f>
        <v>572183.4553223463</v>
      </c>
      <c r="G131" s="106">
        <f>SUM(AC$6:AC$19)+SUM(AE$6:AE$19)+SUM(AG$6:AG$19)+SUM(AI$6:AI$19)</f>
        <v>572457.6</v>
      </c>
      <c r="H131" s="106">
        <f>SUM(AK$6:AK$19)+SUM(AM$6:AM$19)+SUM(AO$6:AO$19)+SUM(AQ$6:AQ$19)</f>
        <v>564718.79999999993</v>
      </c>
      <c r="I131" s="106">
        <f>SUM(AS$6:AS$19)+SUM(AU$6:AU$19)+SUM(AW$6:AW$19)+SUM(AY$6:AY$19)</f>
        <v>584200.79999999993</v>
      </c>
      <c r="J131" s="106">
        <f>SUM(BA$6:BA$19)+SUM(BC$6:BC$19)+SUM(BE$6:BE$19)+SUM(BG$6:BG$19)</f>
        <v>504582</v>
      </c>
      <c r="K131" s="106">
        <f>SUM(BI$6:BI$19)+SUM(BK$6:BK$19)+SUM(BM$6:BM$19)+SUM(BO$6:BO$19)</f>
        <v>558310.79999999993</v>
      </c>
      <c r="L131" s="106">
        <f>SUM(BQ$6:BQ$19)+SUM(BS$6:BS$19)+SUM(BU$6:BU$19)+SUM(BW$6:BW$19)</f>
        <v>715400.39999999991</v>
      </c>
      <c r="M131" s="106">
        <f>SUM(BY$6:BY$19)+SUM(CA$6:CA$19)+SUM(CC$6:CC$19)+SUM(CE$6:CE$19)</f>
        <v>718263.35201671207</v>
      </c>
      <c r="N131" s="106">
        <f>SUM(CG$6:CG$19)+SUM(CI$6:CI$19)+SUM(CK$6:CK$19)+SUM(CM$6:CM$19)</f>
        <v>697530.67025305936</v>
      </c>
      <c r="O131" s="106">
        <f>SUM(CO$6:CO$19)+SUM(CQ$6:CQ$19)+SUM(CS$6:CS$19)+SUM(CU$6:CU$19)</f>
        <v>647380.19816606364</v>
      </c>
    </row>
    <row r="132" spans="2:15">
      <c r="C132" s="105" t="s">
        <v>127</v>
      </c>
      <c r="D132" s="106">
        <f>SUM(E$20:E$36)+SUM(G$20:G$36)+SUM(I$20:I$36)+SUM(K$20:K$36)</f>
        <v>514510.11626172444</v>
      </c>
      <c r="E132" s="106">
        <f>SUM(M$20:M$36)+SUM(O$20:O$36)+SUM(Q$20:Q$36)+SUM(S$20:S$36)</f>
        <v>692318.42623297521</v>
      </c>
      <c r="F132" s="106">
        <f>SUM(U$20:U$36)+SUM(W$20:W$36)+SUM(Y$20:Y$36)+SUM(AA$20:AA$36)</f>
        <v>587981.81614073203</v>
      </c>
      <c r="G132" s="106">
        <f>SUM(AC$20:AC$36)+SUM(AE$20:AE$36)+SUM(AG$20:AG$36)+SUM(AI$20:AI$36)</f>
        <v>520604.39999999997</v>
      </c>
      <c r="H132" s="106">
        <f>SUM(AK$20:AK$36)+SUM(AM$20:AM$36)+SUM(AO$20:AO$36)+SUM(AQ$20:AQ$36)</f>
        <v>564300</v>
      </c>
      <c r="I132" s="106">
        <f>SUM(AS$20:AS$36)+SUM(AU$20:AU$36)+SUM(AW$20:AW$36)+SUM(AY$20:AY$36)</f>
        <v>654307.20000000007</v>
      </c>
      <c r="J132" s="106">
        <f>SUM(BA$20:BA$36)+SUM(BC$20:BC$36)+SUM(BE$20:BE$36)+SUM(BG$20:BG$36)</f>
        <v>657884.39999999991</v>
      </c>
      <c r="K132" s="106">
        <f>SUM(BI$20:BI$36)+SUM(BK$20:BK$36)+SUM(BM$20:BM$36)+SUM(BO$20:BO$36)</f>
        <v>616245.59999999986</v>
      </c>
      <c r="L132" s="106">
        <f>SUM(BQ$20:BQ$36)+SUM(BS$20:BS$36)+SUM(BU$20:BU$36)+SUM(BW$20:BW$36)</f>
        <v>602810.39999999991</v>
      </c>
      <c r="M132" s="106">
        <f>SUM(BY$20:BY$36)+SUM(CA$20:CA$36)+SUM(CC$20:CC$36)+SUM(CE$20:CE$36)</f>
        <v>669265.74063168583</v>
      </c>
      <c r="N132" s="106">
        <f>SUM(CG$20:CG$36)+SUM(CI$20:CI$36)+SUM(CK$20:CK$36)+SUM(CM$20:CM$36)</f>
        <v>617322.73399455205</v>
      </c>
      <c r="O132" s="106">
        <f>SUM(CO$20:CO$36)+SUM(CQ$20:CQ$36)+SUM(CS$20:CS$36)+SUM(CU$20:CU$36)</f>
        <v>624880.73443912808</v>
      </c>
    </row>
    <row r="133" spans="2:15">
      <c r="C133" s="105" t="s">
        <v>128</v>
      </c>
      <c r="D133" s="106">
        <f>SUM(E$37:E$48)+SUM(G$37:G$48)+SUM(I$37:I$48)+SUM(K$37:K$48)</f>
        <v>494647.94717148441</v>
      </c>
      <c r="E133" s="106">
        <f>SUM(M$37:M$48)+SUM(O$37:O$48)+SUM(Q$37:Q$48)+SUM(S$37:S$48)</f>
        <v>825002.5349731734</v>
      </c>
      <c r="F133" s="106">
        <f>SUM(U$37:U$48)+SUM(W$37:W$48)+SUM(Y$37:Y$48)+SUM(AA$37:AA$48)</f>
        <v>716799.36282129621</v>
      </c>
      <c r="G133" s="106">
        <f>SUM(AC$37:AC$48)+SUM(AE$37:AE$48)+SUM(AG$37:AG$48)+SUM(AI$37:AI$48)</f>
        <v>565810.80000000005</v>
      </c>
      <c r="H133" s="106">
        <f>SUM(AK$37:AK$48)+SUM(AM$37:AM$48)+SUM(AO$37:AO$48)+SUM(AQ$37:AQ$48)</f>
        <v>658202.39999999991</v>
      </c>
      <c r="I133" s="106">
        <f>SUM(AS$37:AS$48)+SUM(AU$37:AU$48)+SUM(AW$37:AW$48)+SUM(AY$37:AY$48)</f>
        <v>710480.4</v>
      </c>
      <c r="J133" s="106">
        <f>SUM(BA$37:BA$48)+SUM(BC$37:BC$48)+SUM(BE$37:BE$48)+SUM(BG$37:BG$48)</f>
        <v>660777.6</v>
      </c>
      <c r="K133" s="106">
        <f>SUM(BI$37:BI$48)+SUM(BK$37:BK$48)+SUM(BM$37:BM$48)+SUM(BO$37:BO$48)</f>
        <v>712722</v>
      </c>
      <c r="L133" s="106">
        <f>SUM(BQ$37:BQ$48)+SUM(BS$37:BS$48)+SUM(BU$37:BU$48)+SUM(BW$37:BW$48)</f>
        <v>650300.4</v>
      </c>
      <c r="M133" s="106">
        <f>SUM(BY$37:BY$48)+SUM(CA$37:CA$48)+SUM(CC$37:CC$48)+SUM(CE$37:CE$48)</f>
        <v>727842.66784591111</v>
      </c>
      <c r="N133" s="106">
        <f>SUM(CG$37:CG$48)+SUM(CI$37:CI$48)+SUM(CK$37:CK$48)+SUM(CM$37:CM$48)</f>
        <v>520478.00442492485</v>
      </c>
      <c r="O133" s="106">
        <f>SUM(CO$37:CO$48)+SUM(CQ$37:CQ$48)+SUM(CS$37:CS$48)+SUM(CU$37:CU$48)</f>
        <v>610921.88242773083</v>
      </c>
    </row>
    <row r="134" spans="2:15">
      <c r="C134" s="105" t="s">
        <v>129</v>
      </c>
      <c r="D134" s="106">
        <f>SUM(E$49:E$70)+SUM(G$49:G$70)+SUM(I$49:I$70)+SUM(K$49:K$70)</f>
        <v>844056.92580154876</v>
      </c>
      <c r="E134" s="106">
        <f>SUM(M$49:M$70)+SUM(O$49:O$70)+SUM(Q$49:Q$70)+SUM(S$49:S$70)</f>
        <v>766235.58164751297</v>
      </c>
      <c r="F134" s="106">
        <f>SUM(U$49:U$70)+SUM(W$49:W$70)+SUM(Y$49:Y$70)+SUM(AA$49:AA$70)</f>
        <v>951154.4506563528</v>
      </c>
      <c r="G134" s="106">
        <f>SUM(AC$49:AC$70)+SUM(AE$49:AE$70)+SUM(AG$49:AG$70)+SUM(AI$49:AI$70)</f>
        <v>794821.2</v>
      </c>
      <c r="H134" s="106">
        <f>SUM(AK$49:AK$70)+SUM(AM$49:AM$70)+SUM(AO$49:AO$70)+SUM(AQ$49:AQ$70)</f>
        <v>859115.22952460416</v>
      </c>
      <c r="I134" s="106">
        <f>SUM(AS$49:AS$70)+SUM(AU$49:AU$70)+SUM(AW$49:AW$70)+SUM(AY$49:AY$70)</f>
        <v>952292.40000000014</v>
      </c>
      <c r="J134" s="106">
        <f>SUM(BA$49:BA$70)+SUM(BC$49:BC$70)+SUM(BE$49:BE$70)+SUM(BG$49:BG$70)</f>
        <v>798162</v>
      </c>
      <c r="K134" s="106">
        <f>SUM(BI$49:BI$70)+SUM(BK$49:BK$70)+SUM(BM$49:BM$70)+SUM(BO$49:BO$70)</f>
        <v>877111.36873089545</v>
      </c>
      <c r="L134" s="106">
        <f>SUM(BQ$49:BQ$70)+SUM(BS$49:BS$70)+SUM(BU$49:BU$70)+SUM(BW$49:BW$70)</f>
        <v>699085.73916083912</v>
      </c>
      <c r="M134" s="106">
        <f>SUM(BY$49:BY$70)+SUM(CA$49:CA$70)+SUM(CC$49:CC$70)+SUM(CE$49:CE$70)</f>
        <v>915120.68404184561</v>
      </c>
      <c r="N134" s="106">
        <f>SUM(CG$49:CG$70)+SUM(CI$49:CI$70)+SUM(CK$49:CK$70)+SUM(CM$49:CM$70)</f>
        <v>923035.31941907271</v>
      </c>
      <c r="O134" s="106">
        <f>SUM(CO$49:CO$70)+SUM(CQ$49:CQ$70)+SUM(CS$49:CS$70)+SUM(CU$49:CU$70)</f>
        <v>881382.74624380318</v>
      </c>
    </row>
    <row r="135" spans="2:15">
      <c r="C135" s="105" t="s">
        <v>130</v>
      </c>
      <c r="D135" s="106">
        <f>SUM(E$71:E$86)+SUM(G$71:G$86)+SUM(I$71:I$86)+SUM(K$71:K$86)</f>
        <v>229210.8</v>
      </c>
      <c r="E135" s="106">
        <f>SUM(M$71:M$86)+SUM(O$71:O$86)+SUM(Q$71:Q$86)+SUM(S$71:S$86)</f>
        <v>263851.2</v>
      </c>
      <c r="F135" s="106">
        <f>SUM(U$71:U$86)+SUM(W$71:W$86)+SUM(Y$71:Y$86)+SUM(AA$71:AA$86)</f>
        <v>252373.2</v>
      </c>
      <c r="G135" s="106">
        <f>SUM(AC$71:AC$86)+SUM(AE$71:AE$86)+SUM(AG$71:AG$86)+SUM(AI$71:AI$86)</f>
        <v>288709.19999999995</v>
      </c>
      <c r="H135" s="106">
        <f>SUM(AK$71:AK$86)+SUM(AM$71:AM$86)+SUM(AO$71:AO$86)+SUM(AQ$71:AQ$86)</f>
        <v>248830.79999999996</v>
      </c>
      <c r="I135" s="106">
        <f>SUM(AS$71:AS$86)+SUM(AU$71:AU$86)+SUM(AW$71:AW$86)+SUM(AY$71:AY$86)</f>
        <v>266550</v>
      </c>
      <c r="J135" s="106">
        <f>SUM(BA$71:BA$86)+SUM(BC$71:BC$86)+SUM(BE$71:BE$86)+SUM(BG$71:BG$86)</f>
        <v>241296</v>
      </c>
      <c r="K135" s="106">
        <f>SUM(BI$71:BI$86)+SUM(BK$71:BK$86)+SUM(BM$71:BM$86)+SUM(BO$71:BO$86)</f>
        <v>302218.8</v>
      </c>
      <c r="L135" s="106">
        <f>SUM(BQ$71:BQ$86)+SUM(BS$71:BS$86)+SUM(BU$71:BU$86)+SUM(BW$71:BW$86)</f>
        <v>321331.20000000001</v>
      </c>
      <c r="M135" s="106">
        <f>SUM(BY$71:BY$86)+SUM(CA$71:CA$86)+SUM(CC$71:CC$86)+SUM(CE$71:CE$86)</f>
        <v>272606.39999999997</v>
      </c>
      <c r="N135" s="106">
        <f>SUM(CG$71:CG$86)+SUM(CI$71:CI$86)+SUM(CK$71:CK$86)+SUM(CM$71:CM$86)</f>
        <v>272716.79999999999</v>
      </c>
      <c r="O135" s="106">
        <f>SUM(CO$71:CO$86)+SUM(CQ$71:CQ$86)+SUM(CS$71:CS$86)+SUM(CU$71:CU$86)</f>
        <v>276871.2</v>
      </c>
    </row>
    <row r="136" spans="2:15">
      <c r="C136" s="105" t="s">
        <v>131</v>
      </c>
      <c r="D136" s="106">
        <f>SUM(E$87:E$94)+SUM(G$87:G$94)+SUM(I$87:I$94)+SUM(K$87:K$94)</f>
        <v>308326.8</v>
      </c>
      <c r="E136" s="106">
        <f>SUM(M$87:M$94)+SUM(O$87:O$94)+SUM(Q$87:Q$94)+SUM(S$87:S$94)</f>
        <v>262918.47248166433</v>
      </c>
      <c r="F136" s="106">
        <f>SUM(U$87:U$94)+SUM(W$87:W$94)+SUM(Y$87:Y$94)+SUM(AA$87:AA$94)</f>
        <v>300179.93189398834</v>
      </c>
      <c r="G136" s="106">
        <f>SUM(AC$87:AC$94)+SUM(AE$87:AE$94)+SUM(AG$87:AG$94)+SUM(AI$87:AI$94)</f>
        <v>281437.19999999995</v>
      </c>
      <c r="H136" s="106">
        <f>SUM(AK$87:AK$94)+SUM(AM$87:AM$94)+SUM(AO$87:AO$94)+SUM(AQ$87:AQ$94)</f>
        <v>260732.98940448192</v>
      </c>
      <c r="I136" s="106">
        <f>SUM(AS$87:AS$94)+SUM(AU$87:AU$94)+SUM(AW$87:AW$94)+SUM(AY$87:AY$94)</f>
        <v>296913.60000000003</v>
      </c>
      <c r="J136" s="106">
        <f>SUM(BA$87:BA$94)+SUM(BC$87:BC$94)+SUM(BE$87:BE$94)+SUM(BG$87:BG$94)</f>
        <v>275403.59999999998</v>
      </c>
      <c r="K136" s="106">
        <f>SUM(BI$87:BI$94)+SUM(BK$87:BK$94)+SUM(BM$87:BM$94)+SUM(BO$87:BO$94)</f>
        <v>296328.72233669192</v>
      </c>
      <c r="L136" s="106">
        <f>SUM(BQ$87:BQ$94)+SUM(BS$87:BS$94)+SUM(BU$87:BU$94)+SUM(BW$87:BW$94)</f>
        <v>277418.54638694634</v>
      </c>
      <c r="M136" s="106">
        <f>SUM(BY$87:BY$94)+SUM(CA$87:CA$94)+SUM(CC$87:CC$94)+SUM(CE$87:CE$94)</f>
        <v>287931.11267281102</v>
      </c>
      <c r="N136" s="106">
        <f>SUM(CG$87:CG$94)+SUM(CI$87:CI$94)+SUM(CK$87:CK$94)+SUM(CM$87:CM$94)</f>
        <v>286545.59999999998</v>
      </c>
      <c r="O136" s="106">
        <f>SUM(CO$87:CO$94)+SUM(CQ$87:CQ$94)+SUM(CS$87:CS$94)+SUM(CU$87:CU$94)</f>
        <v>294176.56633256993</v>
      </c>
    </row>
    <row r="137" spans="2:15">
      <c r="C137" s="105" t="s">
        <v>132</v>
      </c>
      <c r="D137" s="106">
        <f>SUM(E$95:E$105)+SUM(G$95:G$105)+SUM(I$95:I$105)+SUM(K$95:K$105)</f>
        <v>255504</v>
      </c>
      <c r="E137" s="106">
        <f>SUM(M$95:M$105)+SUM(O$95:O$105)+SUM(Q$95:Q$105)+SUM(S$95:S$105)</f>
        <v>271428.75625652191</v>
      </c>
      <c r="F137" s="106">
        <f>SUM(U$95:U$105)+SUM(W$95:W$105)+SUM(Y$95:Y$105)+SUM(AA$95:AA$105)</f>
        <v>266302.42456367164</v>
      </c>
      <c r="G137" s="106">
        <f>SUM(AC$95:AC$105)+SUM(AE$95:AE$105)+SUM(AG$95:AG$105)+SUM(AI$95:AI$105)</f>
        <v>337094.40000000002</v>
      </c>
      <c r="H137" s="106">
        <f>SUM(AK$95:AK$105)+SUM(AM$95:AM$105)+SUM(AO$95:AO$105)+SUM(AQ$95:AQ$105)</f>
        <v>322617.63651210815</v>
      </c>
      <c r="I137" s="106">
        <f>SUM(AS$95:AS$105)+SUM(AU$95:AU$105)+SUM(AW$95:AW$105)+SUM(AY$95:AY$105)</f>
        <v>286916.40000000002</v>
      </c>
      <c r="J137" s="106">
        <f>SUM(BA$95:BA$105)+SUM(BC$95:BC$105)+SUM(BE$95:BE$105)+SUM(BG$95:BG$105)</f>
        <v>281265.59999999998</v>
      </c>
      <c r="K137" s="106">
        <f>SUM(BI$95:BI$105)+SUM(BK$95:BK$105)+SUM(BM$95:BM$105)+SUM(BO$95:BO$105)</f>
        <v>334990.97910109814</v>
      </c>
      <c r="L137" s="106">
        <f>SUM(BQ$95:BQ$105)+SUM(BS$95:BS$105)+SUM(BU$95:BU$105)+SUM(BW$95:BW$105)</f>
        <v>318802.8298368298</v>
      </c>
      <c r="M137" s="106">
        <f>SUM(BY$95:BY$105)+SUM(CA$95:CA$105)+SUM(CC$95:CC$105)+SUM(CE$95:CE$105)</f>
        <v>278302.15358029067</v>
      </c>
      <c r="N137" s="106">
        <f>SUM(CG$95:CG$105)+SUM(CI$95:CI$105)+SUM(CK$95:CK$105)+SUM(CM$95:CM$105)</f>
        <v>291830.40000000002</v>
      </c>
      <c r="O137" s="106">
        <f>SUM(CO$95:CO$105)+SUM(CQ$95:CQ$105)+SUM(CS$95:CS$105)+SUM(CU$95:CU$105)</f>
        <v>299620.74235525844</v>
      </c>
    </row>
    <row r="138" spans="2:15">
      <c r="C138" s="105" t="s">
        <v>278</v>
      </c>
      <c r="D138" s="100">
        <f t="shared" ref="D138:O138" si="2">SUM(D$131:D$137)</f>
        <v>3125935.4522155426</v>
      </c>
      <c r="E138" s="100">
        <f t="shared" si="2"/>
        <v>3570790.8518778058</v>
      </c>
      <c r="F138" s="100">
        <f t="shared" si="2"/>
        <v>3646974.641398388</v>
      </c>
      <c r="G138" s="100">
        <f t="shared" si="2"/>
        <v>3360934.8000000003</v>
      </c>
      <c r="H138" s="100">
        <f t="shared" si="2"/>
        <v>3478517.8554411936</v>
      </c>
      <c r="I138" s="100">
        <f t="shared" si="2"/>
        <v>3751660.8</v>
      </c>
      <c r="J138" s="100">
        <f t="shared" si="2"/>
        <v>3419371.2</v>
      </c>
      <c r="K138" s="100">
        <f t="shared" si="2"/>
        <v>3697928.2701686854</v>
      </c>
      <c r="L138" s="100">
        <f t="shared" si="2"/>
        <v>3585149.5153846154</v>
      </c>
      <c r="M138" s="100">
        <f t="shared" si="2"/>
        <v>3869332.1107892562</v>
      </c>
      <c r="N138" s="100">
        <f t="shared" si="2"/>
        <v>3609459.5280916085</v>
      </c>
      <c r="O138" s="100">
        <f t="shared" si="2"/>
        <v>3635234.0699645542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8.3214707877615872</v>
      </c>
      <c r="E6" s="100">
        <v>4813.1387036413016</v>
      </c>
      <c r="F6" s="100">
        <v>0</v>
      </c>
      <c r="G6" s="100">
        <v>0</v>
      </c>
      <c r="H6" s="100">
        <v>10</v>
      </c>
      <c r="I6" s="100">
        <v>5784</v>
      </c>
      <c r="J6" s="100">
        <v>6</v>
      </c>
      <c r="K6" s="100">
        <v>3470.3999999999996</v>
      </c>
      <c r="L6" s="100">
        <v>9.580196311416957</v>
      </c>
      <c r="M6" s="100">
        <v>5541.1855465235676</v>
      </c>
      <c r="N6" s="100">
        <v>7.1153927024583234</v>
      </c>
      <c r="O6" s="100">
        <v>4115.5431391018938</v>
      </c>
      <c r="P6" s="100">
        <v>2.3243768263657749</v>
      </c>
      <c r="Q6" s="100">
        <v>1344.4195563699641</v>
      </c>
      <c r="R6" s="100">
        <v>7</v>
      </c>
      <c r="S6" s="100">
        <v>4048.7999999999997</v>
      </c>
      <c r="T6" s="100">
        <v>7</v>
      </c>
      <c r="U6" s="100">
        <v>4048.7999999999997</v>
      </c>
      <c r="V6" s="100">
        <v>0.72384074767772522</v>
      </c>
      <c r="W6" s="100">
        <v>418.66948845679627</v>
      </c>
      <c r="X6" s="100">
        <v>8</v>
      </c>
      <c r="Y6" s="100">
        <v>4627.2</v>
      </c>
      <c r="Z6" s="100">
        <v>8</v>
      </c>
      <c r="AA6" s="100">
        <v>4627.2</v>
      </c>
      <c r="AB6" s="100">
        <v>7</v>
      </c>
      <c r="AC6" s="100">
        <v>4048.7999999999997</v>
      </c>
      <c r="AD6" s="100">
        <v>5</v>
      </c>
      <c r="AE6" s="100">
        <v>2892</v>
      </c>
      <c r="AF6" s="100">
        <v>6</v>
      </c>
      <c r="AG6" s="100">
        <v>3470.3999999999996</v>
      </c>
      <c r="AH6" s="100">
        <v>9</v>
      </c>
      <c r="AI6" s="100">
        <v>5205.5999999999995</v>
      </c>
      <c r="AJ6" s="100">
        <v>10</v>
      </c>
      <c r="AK6" s="100">
        <v>5784</v>
      </c>
      <c r="AL6" s="100">
        <v>11</v>
      </c>
      <c r="AM6" s="100">
        <v>6362.4</v>
      </c>
      <c r="AN6" s="100">
        <v>11</v>
      </c>
      <c r="AO6" s="100">
        <v>6362.4</v>
      </c>
      <c r="AP6" s="100">
        <v>5.7394433812185115</v>
      </c>
      <c r="AQ6" s="100">
        <v>3319.694051696787</v>
      </c>
      <c r="AR6" s="100">
        <v>7</v>
      </c>
      <c r="AS6" s="100">
        <v>4048.7999999999997</v>
      </c>
      <c r="AT6" s="100">
        <v>12</v>
      </c>
      <c r="AU6" s="100">
        <v>6940.7999999999993</v>
      </c>
      <c r="AV6" s="100">
        <v>10</v>
      </c>
      <c r="AW6" s="100">
        <v>5784</v>
      </c>
      <c r="AX6" s="100">
        <v>5.2948003747293626</v>
      </c>
      <c r="AY6" s="100">
        <v>3062.512536743463</v>
      </c>
      <c r="AZ6" s="100">
        <v>7</v>
      </c>
      <c r="BA6" s="100">
        <v>4048.7999999999997</v>
      </c>
      <c r="BB6" s="100">
        <v>9.489246115353966</v>
      </c>
      <c r="BC6" s="100">
        <v>5488.579953120734</v>
      </c>
      <c r="BD6" s="100">
        <v>12</v>
      </c>
      <c r="BE6" s="100">
        <v>6940.7999999999993</v>
      </c>
      <c r="BF6" s="100">
        <v>12</v>
      </c>
      <c r="BG6" s="100">
        <v>6940.7999999999993</v>
      </c>
      <c r="BH6" s="100">
        <v>7</v>
      </c>
      <c r="BI6" s="100">
        <v>4048.7999999999997</v>
      </c>
      <c r="BJ6" s="100">
        <v>9</v>
      </c>
      <c r="BK6" s="100">
        <v>5205.5999999999995</v>
      </c>
      <c r="BL6" s="100">
        <v>6.8746639994651595</v>
      </c>
      <c r="BM6" s="100">
        <v>3976.305657290648</v>
      </c>
      <c r="BN6" s="100">
        <v>5.8202595869686435</v>
      </c>
      <c r="BO6" s="100">
        <v>3366.4381451026634</v>
      </c>
      <c r="BP6" s="100">
        <v>2.8446689485605066</v>
      </c>
      <c r="BQ6" s="100">
        <v>1645.3565198473968</v>
      </c>
      <c r="BR6" s="100">
        <v>7</v>
      </c>
      <c r="BS6" s="100">
        <v>4048.7999999999997</v>
      </c>
      <c r="BT6" s="100">
        <v>8</v>
      </c>
      <c r="BU6" s="100">
        <v>4627.2</v>
      </c>
      <c r="BV6" s="100">
        <v>6</v>
      </c>
      <c r="BW6" s="100">
        <v>3470.3999999999996</v>
      </c>
      <c r="BX6" s="100">
        <v>13</v>
      </c>
      <c r="BY6" s="100">
        <v>7519.2</v>
      </c>
      <c r="BZ6" s="100">
        <v>7</v>
      </c>
      <c r="CA6" s="100">
        <v>4048.7999999999997</v>
      </c>
      <c r="CB6" s="100">
        <v>12</v>
      </c>
      <c r="CC6" s="100">
        <v>6940.7999999999993</v>
      </c>
      <c r="CD6" s="100">
        <v>6.0474750002337734</v>
      </c>
      <c r="CE6" s="100">
        <v>3497.8595401352145</v>
      </c>
      <c r="CF6" s="100">
        <v>8</v>
      </c>
      <c r="CG6" s="100">
        <v>4627.2</v>
      </c>
      <c r="CH6" s="100">
        <v>0.33848799841381561</v>
      </c>
      <c r="CI6" s="100">
        <v>195.78145828255094</v>
      </c>
      <c r="CJ6" s="100">
        <v>13</v>
      </c>
      <c r="CK6" s="100">
        <v>7519.2</v>
      </c>
      <c r="CL6" s="100">
        <v>7</v>
      </c>
      <c r="CM6" s="100">
        <v>4048.7999999999997</v>
      </c>
      <c r="CN6" s="100">
        <v>9</v>
      </c>
      <c r="CO6" s="100">
        <v>5205.5999999999995</v>
      </c>
      <c r="CP6" s="100">
        <v>9</v>
      </c>
      <c r="CQ6" s="100">
        <v>5205.5999999999995</v>
      </c>
      <c r="CR6" s="100">
        <v>9</v>
      </c>
      <c r="CS6" s="100">
        <v>5205.5999999999995</v>
      </c>
      <c r="CT6" s="100">
        <v>1.0014534938208299</v>
      </c>
      <c r="CU6" s="100">
        <v>579.24070082596802</v>
      </c>
    </row>
    <row r="7" spans="1:99">
      <c r="C7" s="99" t="s">
        <v>173</v>
      </c>
      <c r="D7" s="100">
        <v>7.4893237089854292</v>
      </c>
      <c r="E7" s="100">
        <v>5904.5828121641125</v>
      </c>
      <c r="F7" s="100">
        <v>0</v>
      </c>
      <c r="G7" s="100">
        <v>0</v>
      </c>
      <c r="H7" s="100">
        <v>8</v>
      </c>
      <c r="I7" s="100">
        <v>6307.2</v>
      </c>
      <c r="J7" s="100">
        <v>6</v>
      </c>
      <c r="K7" s="100">
        <v>4730.3999999999996</v>
      </c>
      <c r="L7" s="100">
        <v>8.709269374015415</v>
      </c>
      <c r="M7" s="100">
        <v>6866.3879744737533</v>
      </c>
      <c r="N7" s="100">
        <v>7.9059918916203591</v>
      </c>
      <c r="O7" s="100">
        <v>6233.084007353491</v>
      </c>
      <c r="P7" s="100">
        <v>2.3243768263657749</v>
      </c>
      <c r="Q7" s="100">
        <v>1832.5386899067769</v>
      </c>
      <c r="R7" s="100">
        <v>7</v>
      </c>
      <c r="S7" s="100">
        <v>5518.8</v>
      </c>
      <c r="T7" s="100">
        <v>7</v>
      </c>
      <c r="U7" s="100">
        <v>5518.8</v>
      </c>
      <c r="V7" s="100">
        <v>0.62043492658090738</v>
      </c>
      <c r="W7" s="100">
        <v>489.15089611638734</v>
      </c>
      <c r="X7" s="100">
        <v>8</v>
      </c>
      <c r="Y7" s="100">
        <v>6307.2</v>
      </c>
      <c r="Z7" s="100">
        <v>8</v>
      </c>
      <c r="AA7" s="100">
        <v>6307.2</v>
      </c>
      <c r="AB7" s="100">
        <v>7</v>
      </c>
      <c r="AC7" s="100">
        <v>5518.8</v>
      </c>
      <c r="AD7" s="100">
        <v>6</v>
      </c>
      <c r="AE7" s="100">
        <v>4730.3999999999996</v>
      </c>
      <c r="AF7" s="100">
        <v>6</v>
      </c>
      <c r="AG7" s="100">
        <v>4730.3999999999996</v>
      </c>
      <c r="AH7" s="100">
        <v>8</v>
      </c>
      <c r="AI7" s="100">
        <v>6307.2</v>
      </c>
      <c r="AJ7" s="100">
        <v>11</v>
      </c>
      <c r="AK7" s="100">
        <v>8672.4</v>
      </c>
      <c r="AL7" s="100">
        <v>12</v>
      </c>
      <c r="AM7" s="100">
        <v>9460.7999999999993</v>
      </c>
      <c r="AN7" s="100">
        <v>12</v>
      </c>
      <c r="AO7" s="100">
        <v>9460.7999999999993</v>
      </c>
      <c r="AP7" s="100">
        <v>5.2176758011077382</v>
      </c>
      <c r="AQ7" s="100">
        <v>4113.6156015933411</v>
      </c>
      <c r="AR7" s="100">
        <v>7</v>
      </c>
      <c r="AS7" s="100">
        <v>5518.8</v>
      </c>
      <c r="AT7" s="100">
        <v>10</v>
      </c>
      <c r="AU7" s="100">
        <v>7884</v>
      </c>
      <c r="AV7" s="100">
        <v>10</v>
      </c>
      <c r="AW7" s="100">
        <v>7884</v>
      </c>
      <c r="AX7" s="100">
        <v>5.2948003747293626</v>
      </c>
      <c r="AY7" s="100">
        <v>4174.4206154366293</v>
      </c>
      <c r="AZ7" s="100">
        <v>6</v>
      </c>
      <c r="BA7" s="100">
        <v>4730.3999999999996</v>
      </c>
      <c r="BB7" s="100">
        <v>8.6265873775945128</v>
      </c>
      <c r="BC7" s="100">
        <v>6801.2014884955133</v>
      </c>
      <c r="BD7" s="100">
        <v>10</v>
      </c>
      <c r="BE7" s="100">
        <v>7884</v>
      </c>
      <c r="BF7" s="100">
        <v>11</v>
      </c>
      <c r="BG7" s="100">
        <v>8672.4</v>
      </c>
      <c r="BH7" s="100">
        <v>7</v>
      </c>
      <c r="BI7" s="100">
        <v>5518.8</v>
      </c>
      <c r="BJ7" s="100">
        <v>11</v>
      </c>
      <c r="BK7" s="100">
        <v>8672.4</v>
      </c>
      <c r="BL7" s="100">
        <v>6.8746639994651595</v>
      </c>
      <c r="BM7" s="100">
        <v>5419.9850971783317</v>
      </c>
      <c r="BN7" s="100">
        <v>5.8202595869686435</v>
      </c>
      <c r="BO7" s="100">
        <v>4588.6926583660788</v>
      </c>
      <c r="BP7" s="100">
        <v>3.4136027382726084</v>
      </c>
      <c r="BQ7" s="100">
        <v>2691.2843988541244</v>
      </c>
      <c r="BR7" s="100">
        <v>9</v>
      </c>
      <c r="BS7" s="100">
        <v>7095.5999999999995</v>
      </c>
      <c r="BT7" s="100">
        <v>9</v>
      </c>
      <c r="BU7" s="100">
        <v>7095.5999999999995</v>
      </c>
      <c r="BV7" s="100">
        <v>6</v>
      </c>
      <c r="BW7" s="100">
        <v>4730.3999999999996</v>
      </c>
      <c r="BX7" s="100">
        <v>13</v>
      </c>
      <c r="BY7" s="100">
        <v>10249.199999999999</v>
      </c>
      <c r="BZ7" s="100">
        <v>7</v>
      </c>
      <c r="CA7" s="100">
        <v>5518.8</v>
      </c>
      <c r="CB7" s="100">
        <v>12</v>
      </c>
      <c r="CC7" s="100">
        <v>9460.7999999999993</v>
      </c>
      <c r="CD7" s="100">
        <v>6.0474750002337734</v>
      </c>
      <c r="CE7" s="100">
        <v>4767.829290184307</v>
      </c>
      <c r="CF7" s="100">
        <v>7</v>
      </c>
      <c r="CG7" s="100">
        <v>5518.8</v>
      </c>
      <c r="CH7" s="100">
        <v>0.29013257006898485</v>
      </c>
      <c r="CI7" s="100">
        <v>228.74051824238765</v>
      </c>
      <c r="CJ7" s="100">
        <v>12</v>
      </c>
      <c r="CK7" s="100">
        <v>9460.7999999999993</v>
      </c>
      <c r="CL7" s="100">
        <v>7</v>
      </c>
      <c r="CM7" s="100">
        <v>5518.8</v>
      </c>
      <c r="CN7" s="100">
        <v>8</v>
      </c>
      <c r="CO7" s="100">
        <v>6307.2</v>
      </c>
      <c r="CP7" s="100">
        <v>8</v>
      </c>
      <c r="CQ7" s="100">
        <v>6307.2</v>
      </c>
      <c r="CR7" s="100">
        <v>9</v>
      </c>
      <c r="CS7" s="100">
        <v>7095.5999999999995</v>
      </c>
      <c r="CT7" s="100">
        <v>1.0014534938208299</v>
      </c>
      <c r="CU7" s="100">
        <v>789.54593452834229</v>
      </c>
    </row>
    <row r="8" spans="1:99">
      <c r="C8" s="99" t="s">
        <v>174</v>
      </c>
      <c r="D8" s="100">
        <v>7.4893237089854292</v>
      </c>
      <c r="E8" s="100">
        <v>2318.6946203018888</v>
      </c>
      <c r="F8" s="100">
        <v>0</v>
      </c>
      <c r="G8" s="100">
        <v>0</v>
      </c>
      <c r="H8" s="100">
        <v>9</v>
      </c>
      <c r="I8" s="100">
        <v>2786.3999999999996</v>
      </c>
      <c r="J8" s="100">
        <v>6</v>
      </c>
      <c r="K8" s="100">
        <v>1857.6</v>
      </c>
      <c r="L8" s="100">
        <v>9.580196311416957</v>
      </c>
      <c r="M8" s="100">
        <v>2966.0287780146896</v>
      </c>
      <c r="N8" s="100">
        <v>7.9059918916203591</v>
      </c>
      <c r="O8" s="100">
        <v>2447.6950896456628</v>
      </c>
      <c r="P8" s="100">
        <v>2.6149239296614968</v>
      </c>
      <c r="Q8" s="100">
        <v>809.58044862319935</v>
      </c>
      <c r="R8" s="100">
        <v>7</v>
      </c>
      <c r="S8" s="100">
        <v>2167.1999999999998</v>
      </c>
      <c r="T8" s="100">
        <v>7</v>
      </c>
      <c r="U8" s="100">
        <v>2167.1999999999998</v>
      </c>
      <c r="V8" s="100">
        <v>0.72384074767772522</v>
      </c>
      <c r="W8" s="100">
        <v>224.10109548102369</v>
      </c>
      <c r="X8" s="100">
        <v>8</v>
      </c>
      <c r="Y8" s="100">
        <v>2476.7999999999997</v>
      </c>
      <c r="Z8" s="100">
        <v>9</v>
      </c>
      <c r="AA8" s="100">
        <v>2786.3999999999996</v>
      </c>
      <c r="AB8" s="100">
        <v>8</v>
      </c>
      <c r="AC8" s="100">
        <v>2476.7999999999997</v>
      </c>
      <c r="AD8" s="100">
        <v>6</v>
      </c>
      <c r="AE8" s="100">
        <v>1857.6</v>
      </c>
      <c r="AF8" s="100">
        <v>6</v>
      </c>
      <c r="AG8" s="100">
        <v>1857.6</v>
      </c>
      <c r="AH8" s="100">
        <v>9</v>
      </c>
      <c r="AI8" s="100">
        <v>2786.3999999999996</v>
      </c>
      <c r="AJ8" s="100">
        <v>11</v>
      </c>
      <c r="AK8" s="100">
        <v>3405.5999999999995</v>
      </c>
      <c r="AL8" s="100">
        <v>11</v>
      </c>
      <c r="AM8" s="100">
        <v>3405.5999999999995</v>
      </c>
      <c r="AN8" s="100">
        <v>12</v>
      </c>
      <c r="AO8" s="100">
        <v>3715.2</v>
      </c>
      <c r="AP8" s="100">
        <v>5.2176758011077382</v>
      </c>
      <c r="AQ8" s="100">
        <v>1615.3924280229555</v>
      </c>
      <c r="AR8" s="100">
        <v>7</v>
      </c>
      <c r="AS8" s="100">
        <v>2167.1999999999998</v>
      </c>
      <c r="AT8" s="100">
        <v>11</v>
      </c>
      <c r="AU8" s="100">
        <v>3405.5999999999995</v>
      </c>
      <c r="AV8" s="100">
        <v>9</v>
      </c>
      <c r="AW8" s="100">
        <v>2786.3999999999996</v>
      </c>
      <c r="AX8" s="100">
        <v>5.2948003747293626</v>
      </c>
      <c r="AY8" s="100">
        <v>1639.2701960162105</v>
      </c>
      <c r="AZ8" s="100">
        <v>7</v>
      </c>
      <c r="BA8" s="100">
        <v>2167.1999999999998</v>
      </c>
      <c r="BB8" s="100">
        <v>9.489246115353966</v>
      </c>
      <c r="BC8" s="100">
        <v>2937.8705973135875</v>
      </c>
      <c r="BD8" s="100">
        <v>11</v>
      </c>
      <c r="BE8" s="100">
        <v>3405.5999999999995</v>
      </c>
      <c r="BF8" s="100">
        <v>11</v>
      </c>
      <c r="BG8" s="100">
        <v>3405.5999999999995</v>
      </c>
      <c r="BH8" s="100">
        <v>8</v>
      </c>
      <c r="BI8" s="100">
        <v>2476.7999999999997</v>
      </c>
      <c r="BJ8" s="100">
        <v>10</v>
      </c>
      <c r="BK8" s="100">
        <v>3095.9999999999995</v>
      </c>
      <c r="BL8" s="100">
        <v>7.6385155549612884</v>
      </c>
      <c r="BM8" s="100">
        <v>2364.8844158160146</v>
      </c>
      <c r="BN8" s="100">
        <v>5.1735640773054605</v>
      </c>
      <c r="BO8" s="100">
        <v>1601.7354383337704</v>
      </c>
      <c r="BP8" s="100">
        <v>3.1291358434165577</v>
      </c>
      <c r="BQ8" s="100">
        <v>968.78045712176618</v>
      </c>
      <c r="BR8" s="100">
        <v>8</v>
      </c>
      <c r="BS8" s="100">
        <v>2476.7999999999997</v>
      </c>
      <c r="BT8" s="100">
        <v>9</v>
      </c>
      <c r="BU8" s="100">
        <v>2786.3999999999996</v>
      </c>
      <c r="BV8" s="100">
        <v>6</v>
      </c>
      <c r="BW8" s="100">
        <v>1857.6</v>
      </c>
      <c r="BX8" s="100">
        <v>13</v>
      </c>
      <c r="BY8" s="100">
        <v>4024.7999999999997</v>
      </c>
      <c r="BZ8" s="100">
        <v>7</v>
      </c>
      <c r="CA8" s="100">
        <v>2167.1999999999998</v>
      </c>
      <c r="CB8" s="100">
        <v>12</v>
      </c>
      <c r="CC8" s="100">
        <v>3715.2</v>
      </c>
      <c r="CD8" s="100">
        <v>5.2915406252045516</v>
      </c>
      <c r="CE8" s="100">
        <v>1638.2609775633291</v>
      </c>
      <c r="CF8" s="100">
        <v>8</v>
      </c>
      <c r="CG8" s="100">
        <v>2476.7999999999997</v>
      </c>
      <c r="CH8" s="100">
        <v>0.33848799841381561</v>
      </c>
      <c r="CI8" s="100">
        <v>104.79588430891729</v>
      </c>
      <c r="CJ8" s="100">
        <v>13</v>
      </c>
      <c r="CK8" s="100">
        <v>4024.7999999999997</v>
      </c>
      <c r="CL8" s="100">
        <v>7</v>
      </c>
      <c r="CM8" s="100">
        <v>2167.1999999999998</v>
      </c>
      <c r="CN8" s="100">
        <v>9</v>
      </c>
      <c r="CO8" s="100">
        <v>2786.3999999999996</v>
      </c>
      <c r="CP8" s="100">
        <v>9</v>
      </c>
      <c r="CQ8" s="100">
        <v>2786.3999999999996</v>
      </c>
      <c r="CR8" s="100">
        <v>8</v>
      </c>
      <c r="CS8" s="100">
        <v>2476.7999999999997</v>
      </c>
      <c r="CT8" s="100">
        <v>0.91799903600242738</v>
      </c>
      <c r="CU8" s="100">
        <v>284.21250154635146</v>
      </c>
    </row>
    <row r="9" spans="1:99">
      <c r="C9" s="99" t="s">
        <v>175</v>
      </c>
      <c r="D9" s="100">
        <v>7.4893237089854292</v>
      </c>
      <c r="E9" s="100">
        <v>5257.5052437077711</v>
      </c>
      <c r="F9" s="100">
        <v>0</v>
      </c>
      <c r="G9" s="100">
        <v>0</v>
      </c>
      <c r="H9" s="100">
        <v>9</v>
      </c>
      <c r="I9" s="100">
        <v>6318</v>
      </c>
      <c r="J9" s="100">
        <v>6</v>
      </c>
      <c r="K9" s="100">
        <v>4212</v>
      </c>
      <c r="L9" s="100">
        <v>8.709269374015415</v>
      </c>
      <c r="M9" s="100">
        <v>6113.9071005588212</v>
      </c>
      <c r="N9" s="100">
        <v>7.1153927024583234</v>
      </c>
      <c r="O9" s="100">
        <v>4995.0056771257432</v>
      </c>
      <c r="P9" s="100">
        <v>2.3243768263657749</v>
      </c>
      <c r="Q9" s="100">
        <v>1631.712532108774</v>
      </c>
      <c r="R9" s="100">
        <v>7</v>
      </c>
      <c r="S9" s="100">
        <v>4914</v>
      </c>
      <c r="T9" s="100">
        <v>7</v>
      </c>
      <c r="U9" s="100">
        <v>4914</v>
      </c>
      <c r="V9" s="100">
        <v>0.62043492658090738</v>
      </c>
      <c r="W9" s="100">
        <v>435.54531845979699</v>
      </c>
      <c r="X9" s="100">
        <v>8</v>
      </c>
      <c r="Y9" s="100">
        <v>5616</v>
      </c>
      <c r="Z9" s="100">
        <v>9</v>
      </c>
      <c r="AA9" s="100">
        <v>6318</v>
      </c>
      <c r="AB9" s="100">
        <v>8</v>
      </c>
      <c r="AC9" s="100">
        <v>5616</v>
      </c>
      <c r="AD9" s="100">
        <v>5</v>
      </c>
      <c r="AE9" s="100">
        <v>3510</v>
      </c>
      <c r="AF9" s="100">
        <v>6</v>
      </c>
      <c r="AG9" s="100">
        <v>4212</v>
      </c>
      <c r="AH9" s="100">
        <v>9</v>
      </c>
      <c r="AI9" s="100">
        <v>6318</v>
      </c>
      <c r="AJ9" s="100">
        <v>11</v>
      </c>
      <c r="AK9" s="100">
        <v>7722</v>
      </c>
      <c r="AL9" s="100">
        <v>12</v>
      </c>
      <c r="AM9" s="100">
        <v>8424</v>
      </c>
      <c r="AN9" s="100">
        <v>10</v>
      </c>
      <c r="AO9" s="100">
        <v>7020</v>
      </c>
      <c r="AP9" s="100">
        <v>5.7394433812185115</v>
      </c>
      <c r="AQ9" s="100">
        <v>4029.0892536153951</v>
      </c>
      <c r="AR9" s="100">
        <v>6</v>
      </c>
      <c r="AS9" s="100">
        <v>4212</v>
      </c>
      <c r="AT9" s="100">
        <v>11</v>
      </c>
      <c r="AU9" s="100">
        <v>7722</v>
      </c>
      <c r="AV9" s="100">
        <v>8</v>
      </c>
      <c r="AW9" s="100">
        <v>5616</v>
      </c>
      <c r="AX9" s="100">
        <v>5.2948003747293626</v>
      </c>
      <c r="AY9" s="100">
        <v>3716.9498630600124</v>
      </c>
      <c r="AZ9" s="100">
        <v>8</v>
      </c>
      <c r="BA9" s="100">
        <v>5616</v>
      </c>
      <c r="BB9" s="100">
        <v>8.6265873775945128</v>
      </c>
      <c r="BC9" s="100">
        <v>6055.8643390713478</v>
      </c>
      <c r="BD9" s="100">
        <v>10</v>
      </c>
      <c r="BE9" s="100">
        <v>7020</v>
      </c>
      <c r="BF9" s="100">
        <v>10</v>
      </c>
      <c r="BG9" s="100">
        <v>7020</v>
      </c>
      <c r="BH9" s="100">
        <v>7</v>
      </c>
      <c r="BI9" s="100">
        <v>4914</v>
      </c>
      <c r="BJ9" s="100">
        <v>10</v>
      </c>
      <c r="BK9" s="100">
        <v>7020</v>
      </c>
      <c r="BL9" s="100">
        <v>6.8746639994651595</v>
      </c>
      <c r="BM9" s="100">
        <v>4826.0141276245422</v>
      </c>
      <c r="BN9" s="100">
        <v>5.8202595869686435</v>
      </c>
      <c r="BO9" s="100">
        <v>4085.8222300519878</v>
      </c>
      <c r="BP9" s="100">
        <v>3.4136027382726084</v>
      </c>
      <c r="BQ9" s="100">
        <v>2396.3491222673711</v>
      </c>
      <c r="BR9" s="100">
        <v>9</v>
      </c>
      <c r="BS9" s="100">
        <v>6318</v>
      </c>
      <c r="BT9" s="100">
        <v>8</v>
      </c>
      <c r="BU9" s="100">
        <v>5616</v>
      </c>
      <c r="BV9" s="100">
        <v>7</v>
      </c>
      <c r="BW9" s="100">
        <v>4914</v>
      </c>
      <c r="BX9" s="100">
        <v>12</v>
      </c>
      <c r="BY9" s="100">
        <v>8424</v>
      </c>
      <c r="BZ9" s="100">
        <v>7</v>
      </c>
      <c r="CA9" s="100">
        <v>4914</v>
      </c>
      <c r="CB9" s="100">
        <v>12</v>
      </c>
      <c r="CC9" s="100">
        <v>8424</v>
      </c>
      <c r="CD9" s="100">
        <v>6.0474750002337734</v>
      </c>
      <c r="CE9" s="100">
        <v>4245.327450164109</v>
      </c>
      <c r="CF9" s="100">
        <v>8</v>
      </c>
      <c r="CG9" s="100">
        <v>5616</v>
      </c>
      <c r="CH9" s="100">
        <v>0.29013257006898485</v>
      </c>
      <c r="CI9" s="100">
        <v>203.67306418842736</v>
      </c>
      <c r="CJ9" s="100">
        <v>13</v>
      </c>
      <c r="CK9" s="100">
        <v>9126</v>
      </c>
      <c r="CL9" s="100">
        <v>8</v>
      </c>
      <c r="CM9" s="100">
        <v>5616</v>
      </c>
      <c r="CN9" s="100">
        <v>9</v>
      </c>
      <c r="CO9" s="100">
        <v>6318</v>
      </c>
      <c r="CP9" s="100">
        <v>8</v>
      </c>
      <c r="CQ9" s="100">
        <v>5616</v>
      </c>
      <c r="CR9" s="100">
        <v>9</v>
      </c>
      <c r="CS9" s="100">
        <v>6318</v>
      </c>
      <c r="CT9" s="100">
        <v>1.0014534938208299</v>
      </c>
      <c r="CU9" s="100">
        <v>703.02035266222265</v>
      </c>
    </row>
    <row r="10" spans="1:99">
      <c r="C10" s="99" t="s">
        <v>176</v>
      </c>
      <c r="D10" s="100">
        <v>7.4893237089854292</v>
      </c>
      <c r="E10" s="100">
        <v>4080.1835566552613</v>
      </c>
      <c r="F10" s="100">
        <v>0</v>
      </c>
      <c r="G10" s="100">
        <v>0</v>
      </c>
      <c r="H10" s="100">
        <v>8</v>
      </c>
      <c r="I10" s="100">
        <v>4358.3999999999996</v>
      </c>
      <c r="J10" s="100">
        <v>6</v>
      </c>
      <c r="K10" s="100">
        <v>3268.7999999999997</v>
      </c>
      <c r="L10" s="100">
        <v>8.709269374015415</v>
      </c>
      <c r="M10" s="100">
        <v>4744.8099549635981</v>
      </c>
      <c r="N10" s="100">
        <v>6.3247935132962878</v>
      </c>
      <c r="O10" s="100">
        <v>3445.7475060438173</v>
      </c>
      <c r="P10" s="100">
        <v>2.6149239296614968</v>
      </c>
      <c r="Q10" s="100">
        <v>1424.6105568795833</v>
      </c>
      <c r="R10" s="100">
        <v>7</v>
      </c>
      <c r="S10" s="100">
        <v>3813.5999999999995</v>
      </c>
      <c r="T10" s="100">
        <v>7</v>
      </c>
      <c r="U10" s="100">
        <v>3813.5999999999995</v>
      </c>
      <c r="V10" s="100">
        <v>0.72384074767772522</v>
      </c>
      <c r="W10" s="100">
        <v>394.34843933482466</v>
      </c>
      <c r="X10" s="100">
        <v>9</v>
      </c>
      <c r="Y10" s="100">
        <v>4903.2</v>
      </c>
      <c r="Z10" s="100">
        <v>8</v>
      </c>
      <c r="AA10" s="100">
        <v>4358.3999999999996</v>
      </c>
      <c r="AB10" s="100">
        <v>8</v>
      </c>
      <c r="AC10" s="100">
        <v>4358.3999999999996</v>
      </c>
      <c r="AD10" s="100">
        <v>5</v>
      </c>
      <c r="AE10" s="100">
        <v>2724</v>
      </c>
      <c r="AF10" s="100">
        <v>6</v>
      </c>
      <c r="AG10" s="100">
        <v>3268.7999999999997</v>
      </c>
      <c r="AH10" s="100">
        <v>9</v>
      </c>
      <c r="AI10" s="100">
        <v>4903.2</v>
      </c>
      <c r="AJ10" s="100">
        <v>10</v>
      </c>
      <c r="AK10" s="100">
        <v>5448</v>
      </c>
      <c r="AL10" s="100">
        <v>11</v>
      </c>
      <c r="AM10" s="100">
        <v>5992.7999999999993</v>
      </c>
      <c r="AN10" s="100">
        <v>11</v>
      </c>
      <c r="AO10" s="100">
        <v>5992.7999999999993</v>
      </c>
      <c r="AP10" s="100">
        <v>5.2176758011077382</v>
      </c>
      <c r="AQ10" s="100">
        <v>2842.5897764434953</v>
      </c>
      <c r="AR10" s="100">
        <v>7</v>
      </c>
      <c r="AS10" s="100">
        <v>3813.5999999999995</v>
      </c>
      <c r="AT10" s="100">
        <v>11</v>
      </c>
      <c r="AU10" s="100">
        <v>5992.7999999999993</v>
      </c>
      <c r="AV10" s="100">
        <v>9</v>
      </c>
      <c r="AW10" s="100">
        <v>4903.2</v>
      </c>
      <c r="AX10" s="100">
        <v>5.7761458633411227</v>
      </c>
      <c r="AY10" s="100">
        <v>3146.8442663482433</v>
      </c>
      <c r="AZ10" s="100">
        <v>8</v>
      </c>
      <c r="BA10" s="100">
        <v>4358.3999999999996</v>
      </c>
      <c r="BB10" s="100">
        <v>8.6265873775945128</v>
      </c>
      <c r="BC10" s="100">
        <v>4699.7648033134901</v>
      </c>
      <c r="BD10" s="100">
        <v>10</v>
      </c>
      <c r="BE10" s="100">
        <v>5448</v>
      </c>
      <c r="BF10" s="100">
        <v>11</v>
      </c>
      <c r="BG10" s="100">
        <v>5992.7999999999993</v>
      </c>
      <c r="BH10" s="100">
        <v>7</v>
      </c>
      <c r="BI10" s="100">
        <v>3813.5999999999995</v>
      </c>
      <c r="BJ10" s="100">
        <v>9</v>
      </c>
      <c r="BK10" s="100">
        <v>4903.2</v>
      </c>
      <c r="BL10" s="100">
        <v>6.8746639994651595</v>
      </c>
      <c r="BM10" s="100">
        <v>3745.3169469086188</v>
      </c>
      <c r="BN10" s="100">
        <v>5.1735640773054605</v>
      </c>
      <c r="BO10" s="100">
        <v>2818.5577093160146</v>
      </c>
      <c r="BP10" s="100">
        <v>3.1291358434165577</v>
      </c>
      <c r="BQ10" s="100">
        <v>1704.7532074933406</v>
      </c>
      <c r="BR10" s="100">
        <v>8</v>
      </c>
      <c r="BS10" s="100">
        <v>4358.3999999999996</v>
      </c>
      <c r="BT10" s="100">
        <v>8</v>
      </c>
      <c r="BU10" s="100">
        <v>4358.3999999999996</v>
      </c>
      <c r="BV10" s="100">
        <v>7</v>
      </c>
      <c r="BW10" s="100">
        <v>3813.5999999999995</v>
      </c>
      <c r="BX10" s="100">
        <v>13</v>
      </c>
      <c r="BY10" s="100">
        <v>7082.4</v>
      </c>
      <c r="BZ10" s="100">
        <v>7</v>
      </c>
      <c r="CA10" s="100">
        <v>3813.5999999999995</v>
      </c>
      <c r="CB10" s="100">
        <v>12</v>
      </c>
      <c r="CC10" s="100">
        <v>6537.5999999999995</v>
      </c>
      <c r="CD10" s="100">
        <v>6.0474750002337734</v>
      </c>
      <c r="CE10" s="100">
        <v>3294.6643801273594</v>
      </c>
      <c r="CF10" s="100">
        <v>8</v>
      </c>
      <c r="CG10" s="100">
        <v>4358.3999999999996</v>
      </c>
      <c r="CH10" s="100">
        <v>0.33848799841381561</v>
      </c>
      <c r="CI10" s="100">
        <v>184.40826153584672</v>
      </c>
      <c r="CJ10" s="100">
        <v>13</v>
      </c>
      <c r="CK10" s="100">
        <v>7082.4</v>
      </c>
      <c r="CL10" s="100">
        <v>8</v>
      </c>
      <c r="CM10" s="100">
        <v>4358.3999999999996</v>
      </c>
      <c r="CN10" s="100">
        <v>8</v>
      </c>
      <c r="CO10" s="100">
        <v>4358.3999999999996</v>
      </c>
      <c r="CP10" s="100">
        <v>8</v>
      </c>
      <c r="CQ10" s="100">
        <v>4358.3999999999996</v>
      </c>
      <c r="CR10" s="100">
        <v>8</v>
      </c>
      <c r="CS10" s="100">
        <v>4358.3999999999996</v>
      </c>
      <c r="CT10" s="100">
        <v>1.0014534938208299</v>
      </c>
      <c r="CU10" s="100">
        <v>545.59186343358806</v>
      </c>
    </row>
    <row r="11" spans="1:99">
      <c r="C11" s="99" t="s">
        <v>177</v>
      </c>
      <c r="D11" s="100">
        <v>7.4893237089854292</v>
      </c>
      <c r="E11" s="100">
        <v>3990.3116721474362</v>
      </c>
      <c r="F11" s="100">
        <v>0</v>
      </c>
      <c r="G11" s="100">
        <v>0</v>
      </c>
      <c r="H11" s="100">
        <v>8</v>
      </c>
      <c r="I11" s="100">
        <v>4262.3999999999996</v>
      </c>
      <c r="J11" s="100">
        <v>6</v>
      </c>
      <c r="K11" s="100">
        <v>3196.7999999999997</v>
      </c>
      <c r="L11" s="100">
        <v>10.451123248818499</v>
      </c>
      <c r="M11" s="100">
        <v>5568.358466970496</v>
      </c>
      <c r="N11" s="100">
        <v>7.1153927024583234</v>
      </c>
      <c r="O11" s="100">
        <v>3791.0812318697945</v>
      </c>
      <c r="P11" s="100">
        <v>2.3243768263657749</v>
      </c>
      <c r="Q11" s="100">
        <v>1238.4279730876847</v>
      </c>
      <c r="R11" s="100">
        <v>7</v>
      </c>
      <c r="S11" s="100">
        <v>3729.5999999999995</v>
      </c>
      <c r="T11" s="100">
        <v>7</v>
      </c>
      <c r="U11" s="100">
        <v>3729.5999999999995</v>
      </c>
      <c r="V11" s="100">
        <v>0.62043492658090738</v>
      </c>
      <c r="W11" s="100">
        <v>330.56772888230745</v>
      </c>
      <c r="X11" s="100">
        <v>8</v>
      </c>
      <c r="Y11" s="100">
        <v>4262.3999999999996</v>
      </c>
      <c r="Z11" s="100">
        <v>9</v>
      </c>
      <c r="AA11" s="100">
        <v>4795.2</v>
      </c>
      <c r="AB11" s="100">
        <v>8</v>
      </c>
      <c r="AC11" s="100">
        <v>4262.3999999999996</v>
      </c>
      <c r="AD11" s="100">
        <v>6</v>
      </c>
      <c r="AE11" s="100">
        <v>3196.7999999999997</v>
      </c>
      <c r="AF11" s="100">
        <v>6</v>
      </c>
      <c r="AG11" s="100">
        <v>3196.7999999999997</v>
      </c>
      <c r="AH11" s="100">
        <v>9</v>
      </c>
      <c r="AI11" s="100">
        <v>4795.2</v>
      </c>
      <c r="AJ11" s="100">
        <v>9</v>
      </c>
      <c r="AK11" s="100">
        <v>4795.2</v>
      </c>
      <c r="AL11" s="100">
        <v>11</v>
      </c>
      <c r="AM11" s="100">
        <v>5860.7999999999993</v>
      </c>
      <c r="AN11" s="100">
        <v>12</v>
      </c>
      <c r="AO11" s="100">
        <v>6393.5999999999995</v>
      </c>
      <c r="AP11" s="100">
        <v>5.2176758011077382</v>
      </c>
      <c r="AQ11" s="100">
        <v>2779.9776668302029</v>
      </c>
      <c r="AR11" s="100">
        <v>7</v>
      </c>
      <c r="AS11" s="100">
        <v>3729.5999999999995</v>
      </c>
      <c r="AT11" s="100">
        <v>10</v>
      </c>
      <c r="AU11" s="100">
        <v>5328</v>
      </c>
      <c r="AV11" s="100">
        <v>9</v>
      </c>
      <c r="AW11" s="100">
        <v>4795.2</v>
      </c>
      <c r="AX11" s="100">
        <v>5.2948003747293626</v>
      </c>
      <c r="AY11" s="100">
        <v>2821.0696396558042</v>
      </c>
      <c r="AZ11" s="100">
        <v>7</v>
      </c>
      <c r="BA11" s="100">
        <v>3729.5999999999995</v>
      </c>
      <c r="BB11" s="100">
        <v>7.7639286398350631</v>
      </c>
      <c r="BC11" s="100">
        <v>4136.6211793041211</v>
      </c>
      <c r="BD11" s="100">
        <v>10</v>
      </c>
      <c r="BE11" s="100">
        <v>5328</v>
      </c>
      <c r="BF11" s="100">
        <v>10</v>
      </c>
      <c r="BG11" s="100">
        <v>5328</v>
      </c>
      <c r="BH11" s="100">
        <v>7</v>
      </c>
      <c r="BI11" s="100">
        <v>3729.5999999999995</v>
      </c>
      <c r="BJ11" s="100">
        <v>9</v>
      </c>
      <c r="BK11" s="100">
        <v>4795.2</v>
      </c>
      <c r="BL11" s="100">
        <v>6.8746639994651595</v>
      </c>
      <c r="BM11" s="100">
        <v>3662.8209789150364</v>
      </c>
      <c r="BN11" s="100">
        <v>5.1735640773054605</v>
      </c>
      <c r="BO11" s="100">
        <v>2756.4749403883493</v>
      </c>
      <c r="BP11" s="100">
        <v>3.4136027382726084</v>
      </c>
      <c r="BQ11" s="100">
        <v>1818.7675389516455</v>
      </c>
      <c r="BR11" s="100">
        <v>9</v>
      </c>
      <c r="BS11" s="100">
        <v>4795.2</v>
      </c>
      <c r="BT11" s="100">
        <v>8</v>
      </c>
      <c r="BU11" s="100">
        <v>4262.3999999999996</v>
      </c>
      <c r="BV11" s="100">
        <v>6</v>
      </c>
      <c r="BW11" s="100">
        <v>3196.7999999999997</v>
      </c>
      <c r="BX11" s="100">
        <v>12</v>
      </c>
      <c r="BY11" s="100">
        <v>6393.5999999999995</v>
      </c>
      <c r="BZ11" s="100">
        <v>8</v>
      </c>
      <c r="CA11" s="100">
        <v>4262.3999999999996</v>
      </c>
      <c r="CB11" s="100">
        <v>11</v>
      </c>
      <c r="CC11" s="100">
        <v>5860.7999999999993</v>
      </c>
      <c r="CD11" s="100">
        <v>5.2915406252045516</v>
      </c>
      <c r="CE11" s="100">
        <v>2819.3328451089847</v>
      </c>
      <c r="CF11" s="100">
        <v>8</v>
      </c>
      <c r="CG11" s="100">
        <v>4262.3999999999996</v>
      </c>
      <c r="CH11" s="100">
        <v>0.29013257006898485</v>
      </c>
      <c r="CI11" s="100">
        <v>154.58263333275511</v>
      </c>
      <c r="CJ11" s="100">
        <v>13</v>
      </c>
      <c r="CK11" s="100">
        <v>6926.4</v>
      </c>
      <c r="CL11" s="100">
        <v>7</v>
      </c>
      <c r="CM11" s="100">
        <v>3729.5999999999995</v>
      </c>
      <c r="CN11" s="100">
        <v>8</v>
      </c>
      <c r="CO11" s="100">
        <v>4262.3999999999996</v>
      </c>
      <c r="CP11" s="100">
        <v>8</v>
      </c>
      <c r="CQ11" s="100">
        <v>4262.3999999999996</v>
      </c>
      <c r="CR11" s="100">
        <v>9</v>
      </c>
      <c r="CS11" s="100">
        <v>4795.2</v>
      </c>
      <c r="CT11" s="100">
        <v>1.0014534938208299</v>
      </c>
      <c r="CU11" s="100">
        <v>533.57442150773818</v>
      </c>
    </row>
    <row r="12" spans="1:99">
      <c r="C12" s="99" t="s">
        <v>178</v>
      </c>
      <c r="D12" s="100">
        <v>7.4893237089854292</v>
      </c>
      <c r="E12" s="100">
        <v>4214.9913834169993</v>
      </c>
      <c r="F12" s="100">
        <v>0</v>
      </c>
      <c r="G12" s="100">
        <v>0</v>
      </c>
      <c r="H12" s="100">
        <v>9</v>
      </c>
      <c r="I12" s="100">
        <v>5065.2</v>
      </c>
      <c r="J12" s="100">
        <v>6</v>
      </c>
      <c r="K12" s="100">
        <v>3376.7999999999997</v>
      </c>
      <c r="L12" s="100">
        <v>9.580196311416957</v>
      </c>
      <c r="M12" s="100">
        <v>5391.7344840654632</v>
      </c>
      <c r="N12" s="100">
        <v>7.1153927024583234</v>
      </c>
      <c r="O12" s="100">
        <v>4004.543012943544</v>
      </c>
      <c r="P12" s="100">
        <v>2.3243768263657749</v>
      </c>
      <c r="Q12" s="100">
        <v>1308.159277878658</v>
      </c>
      <c r="R12" s="100">
        <v>7</v>
      </c>
      <c r="S12" s="100">
        <v>3939.5999999999995</v>
      </c>
      <c r="T12" s="100">
        <v>7</v>
      </c>
      <c r="U12" s="100">
        <v>3939.5999999999995</v>
      </c>
      <c r="V12" s="100">
        <v>0.72384074767772522</v>
      </c>
      <c r="W12" s="100">
        <v>407.37757279302372</v>
      </c>
      <c r="X12" s="100">
        <v>8</v>
      </c>
      <c r="Y12" s="100">
        <v>4502.3999999999996</v>
      </c>
      <c r="Z12" s="100">
        <v>9</v>
      </c>
      <c r="AA12" s="100">
        <v>5065.2</v>
      </c>
      <c r="AB12" s="100">
        <v>8</v>
      </c>
      <c r="AC12" s="100">
        <v>4502.3999999999996</v>
      </c>
      <c r="AD12" s="100">
        <v>6</v>
      </c>
      <c r="AE12" s="100">
        <v>3376.7999999999997</v>
      </c>
      <c r="AF12" s="100">
        <v>7</v>
      </c>
      <c r="AG12" s="100">
        <v>3939.5999999999995</v>
      </c>
      <c r="AH12" s="100">
        <v>9</v>
      </c>
      <c r="AI12" s="100">
        <v>5065.2</v>
      </c>
      <c r="AJ12" s="100">
        <v>10</v>
      </c>
      <c r="AK12" s="100">
        <v>5628</v>
      </c>
      <c r="AL12" s="100">
        <v>12</v>
      </c>
      <c r="AM12" s="100">
        <v>6753.5999999999995</v>
      </c>
      <c r="AN12" s="100">
        <v>11</v>
      </c>
      <c r="AO12" s="100">
        <v>6190.7999999999993</v>
      </c>
      <c r="AP12" s="100">
        <v>4.695908220996964</v>
      </c>
      <c r="AQ12" s="100">
        <v>2642.8571467770912</v>
      </c>
      <c r="AR12" s="100">
        <v>7</v>
      </c>
      <c r="AS12" s="100">
        <v>3939.5999999999995</v>
      </c>
      <c r="AT12" s="100">
        <v>10</v>
      </c>
      <c r="AU12" s="100">
        <v>5628</v>
      </c>
      <c r="AV12" s="100">
        <v>9</v>
      </c>
      <c r="AW12" s="100">
        <v>5065.2</v>
      </c>
      <c r="AX12" s="100">
        <v>4.8134548861176025</v>
      </c>
      <c r="AY12" s="100">
        <v>2709.0124099069867</v>
      </c>
      <c r="AZ12" s="100">
        <v>7</v>
      </c>
      <c r="BA12" s="100">
        <v>3939.5999999999995</v>
      </c>
      <c r="BB12" s="100">
        <v>8.6265873775945128</v>
      </c>
      <c r="BC12" s="100">
        <v>4855.0433761101913</v>
      </c>
      <c r="BD12" s="100">
        <v>10</v>
      </c>
      <c r="BE12" s="100">
        <v>5628</v>
      </c>
      <c r="BF12" s="100">
        <v>10</v>
      </c>
      <c r="BG12" s="100">
        <v>5628</v>
      </c>
      <c r="BH12" s="100">
        <v>7</v>
      </c>
      <c r="BI12" s="100">
        <v>3939.5999999999995</v>
      </c>
      <c r="BJ12" s="100">
        <v>11</v>
      </c>
      <c r="BK12" s="100">
        <v>6190.7999999999993</v>
      </c>
      <c r="BL12" s="100">
        <v>6.8746639994651595</v>
      </c>
      <c r="BM12" s="100">
        <v>3869.0608988989916</v>
      </c>
      <c r="BN12" s="100">
        <v>5.1735640773054605</v>
      </c>
      <c r="BO12" s="100">
        <v>2911.6818627075131</v>
      </c>
      <c r="BP12" s="100">
        <v>3.1291358434165577</v>
      </c>
      <c r="BQ12" s="100">
        <v>1761.0776526748386</v>
      </c>
      <c r="BR12" s="100">
        <v>7</v>
      </c>
      <c r="BS12" s="100">
        <v>3939.5999999999995</v>
      </c>
      <c r="BT12" s="100">
        <v>8</v>
      </c>
      <c r="BU12" s="100">
        <v>4502.3999999999996</v>
      </c>
      <c r="BV12" s="100">
        <v>7</v>
      </c>
      <c r="BW12" s="100">
        <v>3939.5999999999995</v>
      </c>
      <c r="BX12" s="100">
        <v>13</v>
      </c>
      <c r="BY12" s="100">
        <v>7316.4</v>
      </c>
      <c r="BZ12" s="100">
        <v>8</v>
      </c>
      <c r="CA12" s="100">
        <v>4502.3999999999996</v>
      </c>
      <c r="CB12" s="100">
        <v>11</v>
      </c>
      <c r="CC12" s="100">
        <v>6190.7999999999993</v>
      </c>
      <c r="CD12" s="100">
        <v>5.2915406252045516</v>
      </c>
      <c r="CE12" s="100">
        <v>2978.0790638651215</v>
      </c>
      <c r="CF12" s="100">
        <v>7</v>
      </c>
      <c r="CG12" s="100">
        <v>3939.5999999999995</v>
      </c>
      <c r="CH12" s="100">
        <v>0.33848799841381561</v>
      </c>
      <c r="CI12" s="100">
        <v>190.5010455072954</v>
      </c>
      <c r="CJ12" s="100">
        <v>12</v>
      </c>
      <c r="CK12" s="100">
        <v>6753.5999999999995</v>
      </c>
      <c r="CL12" s="100">
        <v>7</v>
      </c>
      <c r="CM12" s="100">
        <v>3939.5999999999995</v>
      </c>
      <c r="CN12" s="100">
        <v>8</v>
      </c>
      <c r="CO12" s="100">
        <v>4502.3999999999996</v>
      </c>
      <c r="CP12" s="100">
        <v>8</v>
      </c>
      <c r="CQ12" s="100">
        <v>4502.3999999999996</v>
      </c>
      <c r="CR12" s="100">
        <v>9</v>
      </c>
      <c r="CS12" s="100">
        <v>5065.2</v>
      </c>
      <c r="CT12" s="100">
        <v>0.91799903600242738</v>
      </c>
      <c r="CU12" s="100">
        <v>516.6498574621661</v>
      </c>
    </row>
    <row r="13" spans="1:99">
      <c r="C13" s="99" t="s">
        <v>179</v>
      </c>
      <c r="D13" s="100">
        <v>8.3214707877615872</v>
      </c>
      <c r="E13" s="100">
        <v>708.98931111728723</v>
      </c>
      <c r="F13" s="100">
        <v>0</v>
      </c>
      <c r="G13" s="100">
        <v>0</v>
      </c>
      <c r="H13" s="100">
        <v>9</v>
      </c>
      <c r="I13" s="100">
        <v>766.80000000000007</v>
      </c>
      <c r="J13" s="100">
        <v>6</v>
      </c>
      <c r="K13" s="100">
        <v>511.20000000000005</v>
      </c>
      <c r="L13" s="100">
        <v>9.580196311416957</v>
      </c>
      <c r="M13" s="100">
        <v>816.23272573272482</v>
      </c>
      <c r="N13" s="100">
        <v>7.1153927024583234</v>
      </c>
      <c r="O13" s="100">
        <v>606.23145824944913</v>
      </c>
      <c r="P13" s="100">
        <v>2.3243768263657749</v>
      </c>
      <c r="Q13" s="100">
        <v>198.03690560636403</v>
      </c>
      <c r="R13" s="100">
        <v>8</v>
      </c>
      <c r="S13" s="100">
        <v>681.6</v>
      </c>
      <c r="T13" s="100">
        <v>7</v>
      </c>
      <c r="U13" s="100">
        <v>596.4</v>
      </c>
      <c r="V13" s="100">
        <v>0.82724656877454317</v>
      </c>
      <c r="W13" s="100">
        <v>70.481407659591085</v>
      </c>
      <c r="X13" s="100">
        <v>9</v>
      </c>
      <c r="Y13" s="100">
        <v>766.80000000000007</v>
      </c>
      <c r="Z13" s="100">
        <v>9</v>
      </c>
      <c r="AA13" s="100">
        <v>766.80000000000007</v>
      </c>
      <c r="AB13" s="100">
        <v>7</v>
      </c>
      <c r="AC13" s="100">
        <v>596.4</v>
      </c>
      <c r="AD13" s="100">
        <v>5</v>
      </c>
      <c r="AE13" s="100">
        <v>426</v>
      </c>
      <c r="AF13" s="100">
        <v>6</v>
      </c>
      <c r="AG13" s="100">
        <v>511.20000000000005</v>
      </c>
      <c r="AH13" s="100">
        <v>9</v>
      </c>
      <c r="AI13" s="100">
        <v>766.80000000000007</v>
      </c>
      <c r="AJ13" s="100">
        <v>10</v>
      </c>
      <c r="AK13" s="100">
        <v>852</v>
      </c>
      <c r="AL13" s="100">
        <v>13</v>
      </c>
      <c r="AM13" s="100">
        <v>1107.6000000000001</v>
      </c>
      <c r="AN13" s="100">
        <v>11</v>
      </c>
      <c r="AO13" s="100">
        <v>937.2</v>
      </c>
      <c r="AP13" s="100">
        <v>5.2176758011077382</v>
      </c>
      <c r="AQ13" s="100">
        <v>444.54597825437929</v>
      </c>
      <c r="AR13" s="100">
        <v>7</v>
      </c>
      <c r="AS13" s="100">
        <v>596.4</v>
      </c>
      <c r="AT13" s="100">
        <v>12</v>
      </c>
      <c r="AU13" s="100">
        <v>1022.4000000000001</v>
      </c>
      <c r="AV13" s="100">
        <v>9</v>
      </c>
      <c r="AW13" s="100">
        <v>766.80000000000007</v>
      </c>
      <c r="AX13" s="100">
        <v>5.7761458633411227</v>
      </c>
      <c r="AY13" s="100">
        <v>492.1276275566637</v>
      </c>
      <c r="AZ13" s="100">
        <v>7</v>
      </c>
      <c r="BA13" s="100">
        <v>596.4</v>
      </c>
      <c r="BB13" s="100">
        <v>9.489246115353966</v>
      </c>
      <c r="BC13" s="100">
        <v>808.48376902815789</v>
      </c>
      <c r="BD13" s="100">
        <v>11</v>
      </c>
      <c r="BE13" s="100">
        <v>937.2</v>
      </c>
      <c r="BF13" s="100">
        <v>11</v>
      </c>
      <c r="BG13" s="100">
        <v>937.2</v>
      </c>
      <c r="BH13" s="100">
        <v>8</v>
      </c>
      <c r="BI13" s="100">
        <v>681.6</v>
      </c>
      <c r="BJ13" s="100">
        <v>11</v>
      </c>
      <c r="BK13" s="100">
        <v>937.2</v>
      </c>
      <c r="BL13" s="100">
        <v>6.8746639994651595</v>
      </c>
      <c r="BM13" s="100">
        <v>585.72137275443163</v>
      </c>
      <c r="BN13" s="100">
        <v>5.1735640773054605</v>
      </c>
      <c r="BO13" s="100">
        <v>440.78765938642528</v>
      </c>
      <c r="BP13" s="100">
        <v>3.1291358434165577</v>
      </c>
      <c r="BQ13" s="100">
        <v>266.60237385909073</v>
      </c>
      <c r="BR13" s="100">
        <v>9</v>
      </c>
      <c r="BS13" s="100">
        <v>766.80000000000007</v>
      </c>
      <c r="BT13" s="100">
        <v>8</v>
      </c>
      <c r="BU13" s="100">
        <v>681.6</v>
      </c>
      <c r="BV13" s="100">
        <v>7</v>
      </c>
      <c r="BW13" s="100">
        <v>596.4</v>
      </c>
      <c r="BX13" s="100">
        <v>12</v>
      </c>
      <c r="BY13" s="100">
        <v>1022.4000000000001</v>
      </c>
      <c r="BZ13" s="100">
        <v>8</v>
      </c>
      <c r="CA13" s="100">
        <v>681.6</v>
      </c>
      <c r="CB13" s="100">
        <v>12</v>
      </c>
      <c r="CC13" s="100">
        <v>1022.4000000000001</v>
      </c>
      <c r="CD13" s="100">
        <v>6.0474750002337734</v>
      </c>
      <c r="CE13" s="100">
        <v>515.24487001991747</v>
      </c>
      <c r="CF13" s="100">
        <v>8</v>
      </c>
      <c r="CG13" s="100">
        <v>681.6</v>
      </c>
      <c r="CH13" s="100">
        <v>0.33848799841381561</v>
      </c>
      <c r="CI13" s="100">
        <v>28.839177464857091</v>
      </c>
      <c r="CJ13" s="100">
        <v>12</v>
      </c>
      <c r="CK13" s="100">
        <v>1022.4000000000001</v>
      </c>
      <c r="CL13" s="100">
        <v>7</v>
      </c>
      <c r="CM13" s="100">
        <v>596.4</v>
      </c>
      <c r="CN13" s="100">
        <v>8</v>
      </c>
      <c r="CO13" s="100">
        <v>681.6</v>
      </c>
      <c r="CP13" s="100">
        <v>9</v>
      </c>
      <c r="CQ13" s="100">
        <v>766.80000000000007</v>
      </c>
      <c r="CR13" s="100">
        <v>10</v>
      </c>
      <c r="CS13" s="100">
        <v>852</v>
      </c>
      <c r="CT13" s="100">
        <v>1.0849079516392324</v>
      </c>
      <c r="CU13" s="100">
        <v>92.434157479662602</v>
      </c>
    </row>
    <row r="14" spans="1:99">
      <c r="C14" s="99" t="s">
        <v>180</v>
      </c>
      <c r="D14" s="100">
        <v>8.3214707877615872</v>
      </c>
      <c r="E14" s="100">
        <v>4064.2063327427591</v>
      </c>
      <c r="F14" s="100">
        <v>0</v>
      </c>
      <c r="G14" s="100">
        <v>0</v>
      </c>
      <c r="H14" s="100">
        <v>8</v>
      </c>
      <c r="I14" s="100">
        <v>3907.2</v>
      </c>
      <c r="J14" s="100">
        <v>6</v>
      </c>
      <c r="K14" s="100">
        <v>2930.3999999999996</v>
      </c>
      <c r="L14" s="100">
        <v>8.709269374015415</v>
      </c>
      <c r="M14" s="100">
        <v>4253.6071622691288</v>
      </c>
      <c r="N14" s="100">
        <v>6.3247935132962878</v>
      </c>
      <c r="O14" s="100">
        <v>3089.0291518939066</v>
      </c>
      <c r="P14" s="100">
        <v>2.6149239296614968</v>
      </c>
      <c r="Q14" s="100">
        <v>1277.1288472466749</v>
      </c>
      <c r="R14" s="100">
        <v>7</v>
      </c>
      <c r="S14" s="100">
        <v>3418.7999999999997</v>
      </c>
      <c r="T14" s="100">
        <v>8</v>
      </c>
      <c r="U14" s="100">
        <v>3907.2</v>
      </c>
      <c r="V14" s="100">
        <v>0.72384074767772522</v>
      </c>
      <c r="W14" s="100">
        <v>353.523821165801</v>
      </c>
      <c r="X14" s="100">
        <v>9</v>
      </c>
      <c r="Y14" s="100">
        <v>4395.5999999999995</v>
      </c>
      <c r="Z14" s="100">
        <v>9</v>
      </c>
      <c r="AA14" s="100">
        <v>4395.5999999999995</v>
      </c>
      <c r="AB14" s="100">
        <v>7</v>
      </c>
      <c r="AC14" s="100">
        <v>3418.7999999999997</v>
      </c>
      <c r="AD14" s="100">
        <v>6</v>
      </c>
      <c r="AE14" s="100">
        <v>2930.3999999999996</v>
      </c>
      <c r="AF14" s="100">
        <v>7</v>
      </c>
      <c r="AG14" s="100">
        <v>3418.7999999999997</v>
      </c>
      <c r="AH14" s="100">
        <v>9</v>
      </c>
      <c r="AI14" s="100">
        <v>4395.5999999999995</v>
      </c>
      <c r="AJ14" s="100">
        <v>9</v>
      </c>
      <c r="AK14" s="100">
        <v>4395.5999999999995</v>
      </c>
      <c r="AL14" s="100">
        <v>11</v>
      </c>
      <c r="AM14" s="100">
        <v>5372.4</v>
      </c>
      <c r="AN14" s="100">
        <v>11</v>
      </c>
      <c r="AO14" s="100">
        <v>5372.4</v>
      </c>
      <c r="AP14" s="100">
        <v>4.695908220996964</v>
      </c>
      <c r="AQ14" s="100">
        <v>2293.481575134917</v>
      </c>
      <c r="AR14" s="100">
        <v>6</v>
      </c>
      <c r="AS14" s="100">
        <v>2930.3999999999996</v>
      </c>
      <c r="AT14" s="100">
        <v>11</v>
      </c>
      <c r="AU14" s="100">
        <v>5372.4</v>
      </c>
      <c r="AV14" s="100">
        <v>8</v>
      </c>
      <c r="AW14" s="100">
        <v>3907.2</v>
      </c>
      <c r="AX14" s="100">
        <v>5.2948003747293626</v>
      </c>
      <c r="AY14" s="100">
        <v>2585.9805030178204</v>
      </c>
      <c r="AZ14" s="100">
        <v>7</v>
      </c>
      <c r="BA14" s="100">
        <v>3418.7999999999997</v>
      </c>
      <c r="BB14" s="100">
        <v>7.7639286398350631</v>
      </c>
      <c r="BC14" s="100">
        <v>3791.9027476954448</v>
      </c>
      <c r="BD14" s="100">
        <v>11</v>
      </c>
      <c r="BE14" s="100">
        <v>5372.4</v>
      </c>
      <c r="BF14" s="100">
        <v>11</v>
      </c>
      <c r="BG14" s="100">
        <v>5372.4</v>
      </c>
      <c r="BH14" s="100">
        <v>8</v>
      </c>
      <c r="BI14" s="100">
        <v>3907.2</v>
      </c>
      <c r="BJ14" s="100">
        <v>10</v>
      </c>
      <c r="BK14" s="100">
        <v>4884</v>
      </c>
      <c r="BL14" s="100">
        <v>6.8746639994651595</v>
      </c>
      <c r="BM14" s="100">
        <v>3357.5858973387835</v>
      </c>
      <c r="BN14" s="100">
        <v>5.1735640773054605</v>
      </c>
      <c r="BO14" s="100">
        <v>2526.7686953559869</v>
      </c>
      <c r="BP14" s="100">
        <v>3.4136027382726084</v>
      </c>
      <c r="BQ14" s="100">
        <v>1667.2035773723419</v>
      </c>
      <c r="BR14" s="100">
        <v>8</v>
      </c>
      <c r="BS14" s="100">
        <v>3907.2</v>
      </c>
      <c r="BT14" s="100">
        <v>8</v>
      </c>
      <c r="BU14" s="100">
        <v>3907.2</v>
      </c>
      <c r="BV14" s="100">
        <v>7</v>
      </c>
      <c r="BW14" s="100">
        <v>3418.7999999999997</v>
      </c>
      <c r="BX14" s="100">
        <v>11</v>
      </c>
      <c r="BY14" s="100">
        <v>5372.4</v>
      </c>
      <c r="BZ14" s="100">
        <v>8</v>
      </c>
      <c r="CA14" s="100">
        <v>3907.2</v>
      </c>
      <c r="CB14" s="100">
        <v>11</v>
      </c>
      <c r="CC14" s="100">
        <v>5372.4</v>
      </c>
      <c r="CD14" s="100">
        <v>6.0474750002337734</v>
      </c>
      <c r="CE14" s="100">
        <v>2953.5867901141746</v>
      </c>
      <c r="CF14" s="100">
        <v>8</v>
      </c>
      <c r="CG14" s="100">
        <v>3907.2</v>
      </c>
      <c r="CH14" s="100">
        <v>0.33848799841381561</v>
      </c>
      <c r="CI14" s="100">
        <v>165.31753842530753</v>
      </c>
      <c r="CJ14" s="100">
        <v>13</v>
      </c>
      <c r="CK14" s="100">
        <v>6349.2</v>
      </c>
      <c r="CL14" s="100">
        <v>8</v>
      </c>
      <c r="CM14" s="100">
        <v>3907.2</v>
      </c>
      <c r="CN14" s="100">
        <v>9</v>
      </c>
      <c r="CO14" s="100">
        <v>4395.5999999999995</v>
      </c>
      <c r="CP14" s="100">
        <v>8</v>
      </c>
      <c r="CQ14" s="100">
        <v>3907.2</v>
      </c>
      <c r="CR14" s="100">
        <v>9</v>
      </c>
      <c r="CS14" s="100">
        <v>4395.5999999999995</v>
      </c>
      <c r="CT14" s="100">
        <v>1.0014534938208299</v>
      </c>
      <c r="CU14" s="100">
        <v>489.10988638209329</v>
      </c>
    </row>
    <row r="15" spans="1:99">
      <c r="C15" s="99" t="s">
        <v>181</v>
      </c>
      <c r="D15" s="100">
        <v>6.6571766302092703</v>
      </c>
      <c r="E15" s="100">
        <v>5080.7572041757148</v>
      </c>
      <c r="F15" s="100">
        <v>0</v>
      </c>
      <c r="G15" s="100">
        <v>0</v>
      </c>
      <c r="H15" s="100">
        <v>9</v>
      </c>
      <c r="I15" s="100">
        <v>6868.7999999999993</v>
      </c>
      <c r="J15" s="100">
        <v>6</v>
      </c>
      <c r="K15" s="100">
        <v>4579.2</v>
      </c>
      <c r="L15" s="100">
        <v>9.580196311416957</v>
      </c>
      <c r="M15" s="100">
        <v>7311.6058248734207</v>
      </c>
      <c r="N15" s="100">
        <v>7.1153927024583234</v>
      </c>
      <c r="O15" s="100">
        <v>5430.4677105161918</v>
      </c>
      <c r="P15" s="100">
        <v>2.3243768263657749</v>
      </c>
      <c r="Q15" s="100">
        <v>1773.9643938823592</v>
      </c>
      <c r="R15" s="100">
        <v>7</v>
      </c>
      <c r="S15" s="100">
        <v>5342.4</v>
      </c>
      <c r="T15" s="100">
        <v>7</v>
      </c>
      <c r="U15" s="100">
        <v>5342.4</v>
      </c>
      <c r="V15" s="100">
        <v>0.62043492658090738</v>
      </c>
      <c r="W15" s="100">
        <v>473.51593596654845</v>
      </c>
      <c r="X15" s="100">
        <v>8</v>
      </c>
      <c r="Y15" s="100">
        <v>6105.5999999999995</v>
      </c>
      <c r="Z15" s="100">
        <v>9</v>
      </c>
      <c r="AA15" s="100">
        <v>6868.7999999999993</v>
      </c>
      <c r="AB15" s="100">
        <v>7</v>
      </c>
      <c r="AC15" s="100">
        <v>5342.4</v>
      </c>
      <c r="AD15" s="100">
        <v>5</v>
      </c>
      <c r="AE15" s="100">
        <v>3815.9999999999995</v>
      </c>
      <c r="AF15" s="100">
        <v>7</v>
      </c>
      <c r="AG15" s="100">
        <v>5342.4</v>
      </c>
      <c r="AH15" s="100">
        <v>9</v>
      </c>
      <c r="AI15" s="100">
        <v>6868.7999999999993</v>
      </c>
      <c r="AJ15" s="100">
        <v>10</v>
      </c>
      <c r="AK15" s="100">
        <v>7631.9999999999991</v>
      </c>
      <c r="AL15" s="100">
        <v>12</v>
      </c>
      <c r="AM15" s="100">
        <v>9158.4</v>
      </c>
      <c r="AN15" s="100">
        <v>12</v>
      </c>
      <c r="AO15" s="100">
        <v>9158.4</v>
      </c>
      <c r="AP15" s="100">
        <v>5.7394433812185115</v>
      </c>
      <c r="AQ15" s="100">
        <v>4380.3431885459677</v>
      </c>
      <c r="AR15" s="100">
        <v>6</v>
      </c>
      <c r="AS15" s="100">
        <v>4579.2</v>
      </c>
      <c r="AT15" s="100">
        <v>12</v>
      </c>
      <c r="AU15" s="100">
        <v>9158.4</v>
      </c>
      <c r="AV15" s="100">
        <v>10</v>
      </c>
      <c r="AW15" s="100">
        <v>7631.9999999999991</v>
      </c>
      <c r="AX15" s="100">
        <v>5.2948003747293626</v>
      </c>
      <c r="AY15" s="100">
        <v>4040.9916459934493</v>
      </c>
      <c r="AZ15" s="100">
        <v>7</v>
      </c>
      <c r="BA15" s="100">
        <v>5342.4</v>
      </c>
      <c r="BB15" s="100">
        <v>9.489246115353966</v>
      </c>
      <c r="BC15" s="100">
        <v>7242.1926352381461</v>
      </c>
      <c r="BD15" s="100">
        <v>10</v>
      </c>
      <c r="BE15" s="100">
        <v>7631.9999999999991</v>
      </c>
      <c r="BF15" s="100">
        <v>11</v>
      </c>
      <c r="BG15" s="100">
        <v>8395.1999999999989</v>
      </c>
      <c r="BH15" s="100">
        <v>7</v>
      </c>
      <c r="BI15" s="100">
        <v>5342.4</v>
      </c>
      <c r="BJ15" s="100">
        <v>10</v>
      </c>
      <c r="BK15" s="100">
        <v>7631.9999999999991</v>
      </c>
      <c r="BL15" s="100">
        <v>6.1108124439690306</v>
      </c>
      <c r="BM15" s="100">
        <v>4663.7720572371636</v>
      </c>
      <c r="BN15" s="100">
        <v>5.1735640773054605</v>
      </c>
      <c r="BO15" s="100">
        <v>3948.464103799527</v>
      </c>
      <c r="BP15" s="100">
        <v>3.1291358434165577</v>
      </c>
      <c r="BQ15" s="100">
        <v>2388.1564756955167</v>
      </c>
      <c r="BR15" s="100">
        <v>8</v>
      </c>
      <c r="BS15" s="100">
        <v>6105.5999999999995</v>
      </c>
      <c r="BT15" s="100">
        <v>8</v>
      </c>
      <c r="BU15" s="100">
        <v>6105.5999999999995</v>
      </c>
      <c r="BV15" s="100">
        <v>6</v>
      </c>
      <c r="BW15" s="100">
        <v>4579.2</v>
      </c>
      <c r="BX15" s="100">
        <v>11</v>
      </c>
      <c r="BY15" s="100">
        <v>8395.1999999999989</v>
      </c>
      <c r="BZ15" s="100">
        <v>8</v>
      </c>
      <c r="CA15" s="100">
        <v>6105.5999999999995</v>
      </c>
      <c r="CB15" s="100">
        <v>11</v>
      </c>
      <c r="CC15" s="100">
        <v>8395.1999999999989</v>
      </c>
      <c r="CD15" s="100">
        <v>6.0474750002337734</v>
      </c>
      <c r="CE15" s="100">
        <v>4615.4329201784158</v>
      </c>
      <c r="CF15" s="100">
        <v>8</v>
      </c>
      <c r="CG15" s="100">
        <v>6105.5999999999995</v>
      </c>
      <c r="CH15" s="100">
        <v>0.29013257006898485</v>
      </c>
      <c r="CI15" s="100">
        <v>221.42917747664922</v>
      </c>
      <c r="CJ15" s="100">
        <v>13</v>
      </c>
      <c r="CK15" s="100">
        <v>9921.5999999999985</v>
      </c>
      <c r="CL15" s="100">
        <v>7</v>
      </c>
      <c r="CM15" s="100">
        <v>5342.4</v>
      </c>
      <c r="CN15" s="100">
        <v>8</v>
      </c>
      <c r="CO15" s="100">
        <v>6105.5999999999995</v>
      </c>
      <c r="CP15" s="100">
        <v>8</v>
      </c>
      <c r="CQ15" s="100">
        <v>6105.5999999999995</v>
      </c>
      <c r="CR15" s="100">
        <v>9</v>
      </c>
      <c r="CS15" s="100">
        <v>6868.7999999999993</v>
      </c>
      <c r="CT15" s="100">
        <v>0.91799903600242738</v>
      </c>
      <c r="CU15" s="100">
        <v>700.61686427705251</v>
      </c>
    </row>
    <row r="16" spans="1:99">
      <c r="C16" s="99" t="s">
        <v>182</v>
      </c>
      <c r="D16" s="100">
        <v>8.3214707877615872</v>
      </c>
      <c r="E16" s="100">
        <v>2835.9572444691489</v>
      </c>
      <c r="F16" s="100">
        <v>0</v>
      </c>
      <c r="G16" s="100">
        <v>0</v>
      </c>
      <c r="H16" s="100">
        <v>9</v>
      </c>
      <c r="I16" s="100">
        <v>3067.2000000000003</v>
      </c>
      <c r="J16" s="100">
        <v>6</v>
      </c>
      <c r="K16" s="100">
        <v>2044.8000000000002</v>
      </c>
      <c r="L16" s="100">
        <v>9.580196311416957</v>
      </c>
      <c r="M16" s="100">
        <v>3264.9309029308993</v>
      </c>
      <c r="N16" s="100">
        <v>7.1153927024583234</v>
      </c>
      <c r="O16" s="100">
        <v>2424.9258329977965</v>
      </c>
      <c r="P16" s="100">
        <v>2.6149239296614968</v>
      </c>
      <c r="Q16" s="100">
        <v>891.16607522863808</v>
      </c>
      <c r="R16" s="100">
        <v>7</v>
      </c>
      <c r="S16" s="100">
        <v>2385.6</v>
      </c>
      <c r="T16" s="100">
        <v>7</v>
      </c>
      <c r="U16" s="100">
        <v>2385.6</v>
      </c>
      <c r="V16" s="100">
        <v>0.72384074767772522</v>
      </c>
      <c r="W16" s="100">
        <v>246.68492680856878</v>
      </c>
      <c r="X16" s="100">
        <v>8</v>
      </c>
      <c r="Y16" s="100">
        <v>2726.4</v>
      </c>
      <c r="Z16" s="100">
        <v>8</v>
      </c>
      <c r="AA16" s="100">
        <v>2726.4</v>
      </c>
      <c r="AB16" s="100">
        <v>7</v>
      </c>
      <c r="AC16" s="100">
        <v>2385.6</v>
      </c>
      <c r="AD16" s="100">
        <v>5</v>
      </c>
      <c r="AE16" s="100">
        <v>1704</v>
      </c>
      <c r="AF16" s="100">
        <v>6</v>
      </c>
      <c r="AG16" s="100">
        <v>2044.8000000000002</v>
      </c>
      <c r="AH16" s="100">
        <v>8</v>
      </c>
      <c r="AI16" s="100">
        <v>2726.4</v>
      </c>
      <c r="AJ16" s="100">
        <v>11</v>
      </c>
      <c r="AK16" s="100">
        <v>3748.8</v>
      </c>
      <c r="AL16" s="100">
        <v>12</v>
      </c>
      <c r="AM16" s="100">
        <v>4089.6000000000004</v>
      </c>
      <c r="AN16" s="100">
        <v>12</v>
      </c>
      <c r="AO16" s="100">
        <v>4089.6000000000004</v>
      </c>
      <c r="AP16" s="100">
        <v>5.2176758011077382</v>
      </c>
      <c r="AQ16" s="100">
        <v>1778.1839130175172</v>
      </c>
      <c r="AR16" s="100">
        <v>7</v>
      </c>
      <c r="AS16" s="100">
        <v>2385.6</v>
      </c>
      <c r="AT16" s="100">
        <v>12</v>
      </c>
      <c r="AU16" s="100">
        <v>4089.6000000000004</v>
      </c>
      <c r="AV16" s="100">
        <v>10</v>
      </c>
      <c r="AW16" s="100">
        <v>3408</v>
      </c>
      <c r="AX16" s="100">
        <v>5.2948003747293626</v>
      </c>
      <c r="AY16" s="100">
        <v>1804.4679677077668</v>
      </c>
      <c r="AZ16" s="100">
        <v>7</v>
      </c>
      <c r="BA16" s="100">
        <v>2385.6</v>
      </c>
      <c r="BB16" s="100">
        <v>9.489246115353966</v>
      </c>
      <c r="BC16" s="100">
        <v>3233.9350761126316</v>
      </c>
      <c r="BD16" s="100">
        <v>11</v>
      </c>
      <c r="BE16" s="100">
        <v>3748.8</v>
      </c>
      <c r="BF16" s="100">
        <v>11</v>
      </c>
      <c r="BG16" s="100">
        <v>3748.8</v>
      </c>
      <c r="BH16" s="100">
        <v>7</v>
      </c>
      <c r="BI16" s="100">
        <v>2385.6</v>
      </c>
      <c r="BJ16" s="100">
        <v>11</v>
      </c>
      <c r="BK16" s="100">
        <v>3748.8</v>
      </c>
      <c r="BL16" s="100">
        <v>6.8746639994651595</v>
      </c>
      <c r="BM16" s="100">
        <v>2342.8854910177265</v>
      </c>
      <c r="BN16" s="100">
        <v>5.1735640773054605</v>
      </c>
      <c r="BO16" s="100">
        <v>1763.1506375457011</v>
      </c>
      <c r="BP16" s="100">
        <v>3.4136027382726084</v>
      </c>
      <c r="BQ16" s="100">
        <v>1163.3558132033049</v>
      </c>
      <c r="BR16" s="100">
        <v>9</v>
      </c>
      <c r="BS16" s="100">
        <v>3067.2000000000003</v>
      </c>
      <c r="BT16" s="100">
        <v>8</v>
      </c>
      <c r="BU16" s="100">
        <v>2726.4</v>
      </c>
      <c r="BV16" s="100">
        <v>7</v>
      </c>
      <c r="BW16" s="100">
        <v>2385.6</v>
      </c>
      <c r="BX16" s="100">
        <v>13</v>
      </c>
      <c r="BY16" s="100">
        <v>4430.4000000000005</v>
      </c>
      <c r="BZ16" s="100">
        <v>7</v>
      </c>
      <c r="CA16" s="100">
        <v>2385.6</v>
      </c>
      <c r="CB16" s="100">
        <v>11</v>
      </c>
      <c r="CC16" s="100">
        <v>3748.8</v>
      </c>
      <c r="CD16" s="100">
        <v>5.2915406252045516</v>
      </c>
      <c r="CE16" s="100">
        <v>1803.3570450697111</v>
      </c>
      <c r="CF16" s="100">
        <v>9</v>
      </c>
      <c r="CG16" s="100">
        <v>3067.2000000000003</v>
      </c>
      <c r="CH16" s="100">
        <v>0.33848799841381561</v>
      </c>
      <c r="CI16" s="100">
        <v>115.35670985942836</v>
      </c>
      <c r="CJ16" s="100">
        <v>12</v>
      </c>
      <c r="CK16" s="100">
        <v>4089.6000000000004</v>
      </c>
      <c r="CL16" s="100">
        <v>8</v>
      </c>
      <c r="CM16" s="100">
        <v>2726.4</v>
      </c>
      <c r="CN16" s="100">
        <v>8</v>
      </c>
      <c r="CO16" s="100">
        <v>2726.4</v>
      </c>
      <c r="CP16" s="100">
        <v>8</v>
      </c>
      <c r="CQ16" s="100">
        <v>2726.4</v>
      </c>
      <c r="CR16" s="100">
        <v>9</v>
      </c>
      <c r="CS16" s="100">
        <v>3067.2000000000003</v>
      </c>
      <c r="CT16" s="100">
        <v>0.83454457818402494</v>
      </c>
      <c r="CU16" s="100">
        <v>284.41279224511572</v>
      </c>
    </row>
    <row r="17" spans="2:99">
      <c r="C17" s="99" t="s">
        <v>183</v>
      </c>
      <c r="D17" s="100">
        <v>7.4893237089854292</v>
      </c>
      <c r="E17" s="100">
        <v>3163.490334675445</v>
      </c>
      <c r="F17" s="100">
        <v>0</v>
      </c>
      <c r="G17" s="100">
        <v>0</v>
      </c>
      <c r="H17" s="100">
        <v>8</v>
      </c>
      <c r="I17" s="100">
        <v>3379.2</v>
      </c>
      <c r="J17" s="100">
        <v>6</v>
      </c>
      <c r="K17" s="100">
        <v>2534.3999999999996</v>
      </c>
      <c r="L17" s="100">
        <v>10.451123248818499</v>
      </c>
      <c r="M17" s="100">
        <v>4414.5544603009339</v>
      </c>
      <c r="N17" s="100">
        <v>7.1153927024583234</v>
      </c>
      <c r="O17" s="100">
        <v>3005.5418775183957</v>
      </c>
      <c r="P17" s="100">
        <v>2.3243768263657749</v>
      </c>
      <c r="Q17" s="100">
        <v>981.81677145690333</v>
      </c>
      <c r="R17" s="100">
        <v>6</v>
      </c>
      <c r="S17" s="100">
        <v>2534.3999999999996</v>
      </c>
      <c r="T17" s="100">
        <v>6</v>
      </c>
      <c r="U17" s="100">
        <v>2534.3999999999996</v>
      </c>
      <c r="V17" s="100">
        <v>0.72384074767772522</v>
      </c>
      <c r="W17" s="100">
        <v>305.75033181907111</v>
      </c>
      <c r="X17" s="100">
        <v>9</v>
      </c>
      <c r="Y17" s="100">
        <v>3801.6</v>
      </c>
      <c r="Z17" s="100">
        <v>8</v>
      </c>
      <c r="AA17" s="100">
        <v>3379.2</v>
      </c>
      <c r="AB17" s="100">
        <v>7</v>
      </c>
      <c r="AC17" s="100">
        <v>2956.7999999999997</v>
      </c>
      <c r="AD17" s="100">
        <v>5</v>
      </c>
      <c r="AE17" s="100">
        <v>2112</v>
      </c>
      <c r="AF17" s="100">
        <v>7</v>
      </c>
      <c r="AG17" s="100">
        <v>2956.7999999999997</v>
      </c>
      <c r="AH17" s="100">
        <v>8</v>
      </c>
      <c r="AI17" s="100">
        <v>3379.2</v>
      </c>
      <c r="AJ17" s="100">
        <v>11</v>
      </c>
      <c r="AK17" s="100">
        <v>4646.3999999999996</v>
      </c>
      <c r="AL17" s="100">
        <v>12</v>
      </c>
      <c r="AM17" s="100">
        <v>5068.7999999999993</v>
      </c>
      <c r="AN17" s="100">
        <v>10</v>
      </c>
      <c r="AO17" s="100">
        <v>4224</v>
      </c>
      <c r="AP17" s="100">
        <v>5.2176758011077382</v>
      </c>
      <c r="AQ17" s="100">
        <v>2203.9462583879085</v>
      </c>
      <c r="AR17" s="100">
        <v>6</v>
      </c>
      <c r="AS17" s="100">
        <v>2534.3999999999996</v>
      </c>
      <c r="AT17" s="100">
        <v>12</v>
      </c>
      <c r="AU17" s="100">
        <v>5068.7999999999993</v>
      </c>
      <c r="AV17" s="100">
        <v>10</v>
      </c>
      <c r="AW17" s="100">
        <v>4224</v>
      </c>
      <c r="AX17" s="100">
        <v>5.2948003747293626</v>
      </c>
      <c r="AY17" s="100">
        <v>2236.5236782856828</v>
      </c>
      <c r="AZ17" s="100">
        <v>7</v>
      </c>
      <c r="BA17" s="100">
        <v>2956.7999999999997</v>
      </c>
      <c r="BB17" s="100">
        <v>9.489246115353966</v>
      </c>
      <c r="BC17" s="100">
        <v>4008.2575591255149</v>
      </c>
      <c r="BD17" s="100">
        <v>12</v>
      </c>
      <c r="BE17" s="100">
        <v>5068.7999999999993</v>
      </c>
      <c r="BF17" s="100">
        <v>10</v>
      </c>
      <c r="BG17" s="100">
        <v>4224</v>
      </c>
      <c r="BH17" s="100">
        <v>7</v>
      </c>
      <c r="BI17" s="100">
        <v>2956.7999999999997</v>
      </c>
      <c r="BJ17" s="100">
        <v>11</v>
      </c>
      <c r="BK17" s="100">
        <v>4646.3999999999996</v>
      </c>
      <c r="BL17" s="100">
        <v>6.8746639994651595</v>
      </c>
      <c r="BM17" s="100">
        <v>2903.8580733740832</v>
      </c>
      <c r="BN17" s="100">
        <v>5.1735640773054605</v>
      </c>
      <c r="BO17" s="100">
        <v>2185.3134662538264</v>
      </c>
      <c r="BP17" s="100">
        <v>2.8446689485605066</v>
      </c>
      <c r="BQ17" s="100">
        <v>1201.5881638719579</v>
      </c>
      <c r="BR17" s="100">
        <v>8</v>
      </c>
      <c r="BS17" s="100">
        <v>3379.2</v>
      </c>
      <c r="BT17" s="100">
        <v>7</v>
      </c>
      <c r="BU17" s="100">
        <v>2956.7999999999997</v>
      </c>
      <c r="BV17" s="100">
        <v>6</v>
      </c>
      <c r="BW17" s="100">
        <v>2534.3999999999996</v>
      </c>
      <c r="BX17" s="100">
        <v>13</v>
      </c>
      <c r="BY17" s="100">
        <v>5491.2</v>
      </c>
      <c r="BZ17" s="100">
        <v>7</v>
      </c>
      <c r="CA17" s="100">
        <v>2956.7999999999997</v>
      </c>
      <c r="CB17" s="100">
        <v>11</v>
      </c>
      <c r="CC17" s="100">
        <v>4646.3999999999996</v>
      </c>
      <c r="CD17" s="100">
        <v>5.2915406252045516</v>
      </c>
      <c r="CE17" s="100">
        <v>2235.1467600864025</v>
      </c>
      <c r="CF17" s="100">
        <v>9</v>
      </c>
      <c r="CG17" s="100">
        <v>3801.6</v>
      </c>
      <c r="CH17" s="100">
        <v>0.33848799841381561</v>
      </c>
      <c r="CI17" s="100">
        <v>142.9773305299957</v>
      </c>
      <c r="CJ17" s="100">
        <v>13</v>
      </c>
      <c r="CK17" s="100">
        <v>5491.2</v>
      </c>
      <c r="CL17" s="100">
        <v>7</v>
      </c>
      <c r="CM17" s="100">
        <v>2956.7999999999997</v>
      </c>
      <c r="CN17" s="100">
        <v>8</v>
      </c>
      <c r="CO17" s="100">
        <v>3379.2</v>
      </c>
      <c r="CP17" s="100">
        <v>9</v>
      </c>
      <c r="CQ17" s="100">
        <v>3801.6</v>
      </c>
      <c r="CR17" s="100">
        <v>8</v>
      </c>
      <c r="CS17" s="100">
        <v>3379.2</v>
      </c>
      <c r="CT17" s="100">
        <v>1.0014534938208299</v>
      </c>
      <c r="CU17" s="100">
        <v>423.01395578991855</v>
      </c>
    </row>
    <row r="18" spans="2:99">
      <c r="C18" s="99" t="s">
        <v>184</v>
      </c>
      <c r="D18" s="100">
        <v>7.4893237089854292</v>
      </c>
      <c r="E18" s="100">
        <v>4889.0305172256876</v>
      </c>
      <c r="F18" s="100">
        <v>0</v>
      </c>
      <c r="G18" s="100">
        <v>0</v>
      </c>
      <c r="H18" s="100">
        <v>9</v>
      </c>
      <c r="I18" s="100">
        <v>5875.2</v>
      </c>
      <c r="J18" s="100">
        <v>6</v>
      </c>
      <c r="K18" s="100">
        <v>3916.7999999999997</v>
      </c>
      <c r="L18" s="100">
        <v>8.709269374015415</v>
      </c>
      <c r="M18" s="100">
        <v>5685.4110473572628</v>
      </c>
      <c r="N18" s="100">
        <v>6.3247935132962878</v>
      </c>
      <c r="O18" s="100">
        <v>4128.8252054798168</v>
      </c>
      <c r="P18" s="100">
        <v>2.6149239296614968</v>
      </c>
      <c r="Q18" s="100">
        <v>1707.0223412830251</v>
      </c>
      <c r="R18" s="100">
        <v>7</v>
      </c>
      <c r="S18" s="100">
        <v>4569.5999999999995</v>
      </c>
      <c r="T18" s="100">
        <v>7</v>
      </c>
      <c r="U18" s="100">
        <v>4569.5999999999995</v>
      </c>
      <c r="V18" s="100">
        <v>0.72384074767772522</v>
      </c>
      <c r="W18" s="100">
        <v>472.52324008401899</v>
      </c>
      <c r="X18" s="100">
        <v>9</v>
      </c>
      <c r="Y18" s="100">
        <v>5875.2</v>
      </c>
      <c r="Z18" s="100">
        <v>9</v>
      </c>
      <c r="AA18" s="100">
        <v>5875.2</v>
      </c>
      <c r="AB18" s="100">
        <v>7</v>
      </c>
      <c r="AC18" s="100">
        <v>4569.5999999999995</v>
      </c>
      <c r="AD18" s="100">
        <v>6</v>
      </c>
      <c r="AE18" s="100">
        <v>3916.7999999999997</v>
      </c>
      <c r="AF18" s="100">
        <v>7</v>
      </c>
      <c r="AG18" s="100">
        <v>4569.5999999999995</v>
      </c>
      <c r="AH18" s="100">
        <v>8</v>
      </c>
      <c r="AI18" s="100">
        <v>5222.3999999999996</v>
      </c>
      <c r="AJ18" s="100">
        <v>9</v>
      </c>
      <c r="AK18" s="100">
        <v>5875.2</v>
      </c>
      <c r="AL18" s="100">
        <v>12</v>
      </c>
      <c r="AM18" s="100">
        <v>7833.5999999999995</v>
      </c>
      <c r="AN18" s="100">
        <v>11</v>
      </c>
      <c r="AO18" s="100">
        <v>7180.7999999999993</v>
      </c>
      <c r="AP18" s="100">
        <v>5.7394433812185115</v>
      </c>
      <c r="AQ18" s="100">
        <v>3746.7086392594442</v>
      </c>
      <c r="AR18" s="100">
        <v>6</v>
      </c>
      <c r="AS18" s="100">
        <v>3916.7999999999997</v>
      </c>
      <c r="AT18" s="100">
        <v>11</v>
      </c>
      <c r="AU18" s="100">
        <v>7180.7999999999993</v>
      </c>
      <c r="AV18" s="100">
        <v>9</v>
      </c>
      <c r="AW18" s="100">
        <v>5875.2</v>
      </c>
      <c r="AX18" s="100">
        <v>5.7761458633411227</v>
      </c>
      <c r="AY18" s="100">
        <v>3770.6680195890845</v>
      </c>
      <c r="AZ18" s="100">
        <v>8</v>
      </c>
      <c r="BA18" s="100">
        <v>5222.3999999999996</v>
      </c>
      <c r="BB18" s="100">
        <v>7.7639286398350631</v>
      </c>
      <c r="BC18" s="100">
        <v>5068.292616084329</v>
      </c>
      <c r="BD18" s="100">
        <v>11</v>
      </c>
      <c r="BE18" s="100">
        <v>7180.7999999999993</v>
      </c>
      <c r="BF18" s="100">
        <v>11</v>
      </c>
      <c r="BG18" s="100">
        <v>7180.7999999999993</v>
      </c>
      <c r="BH18" s="100">
        <v>8</v>
      </c>
      <c r="BI18" s="100">
        <v>5222.3999999999996</v>
      </c>
      <c r="BJ18" s="100">
        <v>10</v>
      </c>
      <c r="BK18" s="100">
        <v>6528</v>
      </c>
      <c r="BL18" s="100">
        <v>6.1108124439690306</v>
      </c>
      <c r="BM18" s="100">
        <v>3989.1383634229828</v>
      </c>
      <c r="BN18" s="100">
        <v>5.1735640773054605</v>
      </c>
      <c r="BO18" s="100">
        <v>3377.3026296650046</v>
      </c>
      <c r="BP18" s="100">
        <v>3.4136027382726084</v>
      </c>
      <c r="BQ18" s="100">
        <v>2228.3998675443586</v>
      </c>
      <c r="BR18" s="100">
        <v>8</v>
      </c>
      <c r="BS18" s="100">
        <v>5222.3999999999996</v>
      </c>
      <c r="BT18" s="100">
        <v>8</v>
      </c>
      <c r="BU18" s="100">
        <v>5222.3999999999996</v>
      </c>
      <c r="BV18" s="100">
        <v>7</v>
      </c>
      <c r="BW18" s="100">
        <v>4569.5999999999995</v>
      </c>
      <c r="BX18" s="100">
        <v>13</v>
      </c>
      <c r="BY18" s="100">
        <v>8486.4</v>
      </c>
      <c r="BZ18" s="100">
        <v>7</v>
      </c>
      <c r="CA18" s="100">
        <v>4569.5999999999995</v>
      </c>
      <c r="CB18" s="100">
        <v>12</v>
      </c>
      <c r="CC18" s="100">
        <v>7833.5999999999995</v>
      </c>
      <c r="CD18" s="100">
        <v>6.0474750002337734</v>
      </c>
      <c r="CE18" s="100">
        <v>3947.7916801526071</v>
      </c>
      <c r="CF18" s="100">
        <v>8</v>
      </c>
      <c r="CG18" s="100">
        <v>5222.3999999999996</v>
      </c>
      <c r="CH18" s="100">
        <v>0.33848799841381561</v>
      </c>
      <c r="CI18" s="100">
        <v>220.96496536453881</v>
      </c>
      <c r="CJ18" s="100">
        <v>11</v>
      </c>
      <c r="CK18" s="100">
        <v>7180.7999999999993</v>
      </c>
      <c r="CL18" s="100">
        <v>7</v>
      </c>
      <c r="CM18" s="100">
        <v>4569.5999999999995</v>
      </c>
      <c r="CN18" s="100">
        <v>8</v>
      </c>
      <c r="CO18" s="100">
        <v>5222.3999999999996</v>
      </c>
      <c r="CP18" s="100">
        <v>9</v>
      </c>
      <c r="CQ18" s="100">
        <v>5875.2</v>
      </c>
      <c r="CR18" s="100">
        <v>9</v>
      </c>
      <c r="CS18" s="100">
        <v>5875.2</v>
      </c>
      <c r="CT18" s="100">
        <v>1.0014534938208299</v>
      </c>
      <c r="CU18" s="100">
        <v>653.74884076623778</v>
      </c>
    </row>
    <row r="19" spans="2:99">
      <c r="C19" s="99" t="s">
        <v>185</v>
      </c>
      <c r="D19" s="100">
        <v>7.4893237089854292</v>
      </c>
      <c r="E19" s="100">
        <v>2471.4768239651917</v>
      </c>
      <c r="F19" s="100">
        <v>0</v>
      </c>
      <c r="G19" s="100">
        <v>0</v>
      </c>
      <c r="H19" s="100">
        <v>8</v>
      </c>
      <c r="I19" s="100">
        <v>2640</v>
      </c>
      <c r="J19" s="100">
        <v>6</v>
      </c>
      <c r="K19" s="100">
        <v>1980</v>
      </c>
      <c r="L19" s="100">
        <v>9.580196311416957</v>
      </c>
      <c r="M19" s="100">
        <v>3161.4647827675958</v>
      </c>
      <c r="N19" s="100">
        <v>7.1153927024583234</v>
      </c>
      <c r="O19" s="100">
        <v>2348.0795918112467</v>
      </c>
      <c r="P19" s="100">
        <v>2.6149239296614968</v>
      </c>
      <c r="Q19" s="100">
        <v>862.92489678829395</v>
      </c>
      <c r="R19" s="100">
        <v>7</v>
      </c>
      <c r="S19" s="100">
        <v>2310</v>
      </c>
      <c r="T19" s="100">
        <v>6</v>
      </c>
      <c r="U19" s="100">
        <v>1980</v>
      </c>
      <c r="V19" s="100">
        <v>0.72384074767772522</v>
      </c>
      <c r="W19" s="100">
        <v>238.86744673364933</v>
      </c>
      <c r="X19" s="100">
        <v>9</v>
      </c>
      <c r="Y19" s="100">
        <v>2970</v>
      </c>
      <c r="Z19" s="100">
        <v>9</v>
      </c>
      <c r="AA19" s="100">
        <v>2970</v>
      </c>
      <c r="AB19" s="100">
        <v>7</v>
      </c>
      <c r="AC19" s="100">
        <v>2310</v>
      </c>
      <c r="AD19" s="100">
        <v>6</v>
      </c>
      <c r="AE19" s="100">
        <v>1980</v>
      </c>
      <c r="AF19" s="100">
        <v>7</v>
      </c>
      <c r="AG19" s="100">
        <v>2310</v>
      </c>
      <c r="AH19" s="100">
        <v>9</v>
      </c>
      <c r="AI19" s="100">
        <v>2970</v>
      </c>
      <c r="AJ19" s="100">
        <v>11</v>
      </c>
      <c r="AK19" s="100">
        <v>3630</v>
      </c>
      <c r="AL19" s="100">
        <v>11</v>
      </c>
      <c r="AM19" s="100">
        <v>3630</v>
      </c>
      <c r="AN19" s="100">
        <v>11</v>
      </c>
      <c r="AO19" s="100">
        <v>3630</v>
      </c>
      <c r="AP19" s="100">
        <v>5.2176758011077382</v>
      </c>
      <c r="AQ19" s="100">
        <v>1721.8330143655537</v>
      </c>
      <c r="AR19" s="100">
        <v>7</v>
      </c>
      <c r="AS19" s="100">
        <v>2310</v>
      </c>
      <c r="AT19" s="100">
        <v>12</v>
      </c>
      <c r="AU19" s="100">
        <v>3960</v>
      </c>
      <c r="AV19" s="100">
        <v>10</v>
      </c>
      <c r="AW19" s="100">
        <v>3300</v>
      </c>
      <c r="AX19" s="100">
        <v>4.8134548861176025</v>
      </c>
      <c r="AY19" s="100">
        <v>1588.4401124188089</v>
      </c>
      <c r="AZ19" s="100">
        <v>7</v>
      </c>
      <c r="BA19" s="100">
        <v>2310</v>
      </c>
      <c r="BB19" s="100">
        <v>9.489246115353966</v>
      </c>
      <c r="BC19" s="100">
        <v>3131.4512180668089</v>
      </c>
      <c r="BD19" s="100">
        <v>10</v>
      </c>
      <c r="BE19" s="100">
        <v>3300</v>
      </c>
      <c r="BF19" s="100">
        <v>10</v>
      </c>
      <c r="BG19" s="100">
        <v>3300</v>
      </c>
      <c r="BH19" s="100">
        <v>7</v>
      </c>
      <c r="BI19" s="100">
        <v>2310</v>
      </c>
      <c r="BJ19" s="100">
        <v>11</v>
      </c>
      <c r="BK19" s="100">
        <v>3630</v>
      </c>
      <c r="BL19" s="100">
        <v>6.8746639994651595</v>
      </c>
      <c r="BM19" s="100">
        <v>2268.6391198235028</v>
      </c>
      <c r="BN19" s="100">
        <v>5.1735640773054605</v>
      </c>
      <c r="BO19" s="100">
        <v>1707.2761455108021</v>
      </c>
      <c r="BP19" s="100">
        <v>3.1291358434165577</v>
      </c>
      <c r="BQ19" s="100">
        <v>1032.614828327464</v>
      </c>
      <c r="BR19" s="100">
        <v>8</v>
      </c>
      <c r="BS19" s="100">
        <v>2640</v>
      </c>
      <c r="BT19" s="100">
        <v>8</v>
      </c>
      <c r="BU19" s="100">
        <v>2640</v>
      </c>
      <c r="BV19" s="100">
        <v>7</v>
      </c>
      <c r="BW19" s="100">
        <v>2310</v>
      </c>
      <c r="BX19" s="100">
        <v>13</v>
      </c>
      <c r="BY19" s="100">
        <v>4290</v>
      </c>
      <c r="BZ19" s="100">
        <v>7</v>
      </c>
      <c r="CA19" s="100">
        <v>2310</v>
      </c>
      <c r="CB19" s="100">
        <v>13</v>
      </c>
      <c r="CC19" s="100">
        <v>4290</v>
      </c>
      <c r="CD19" s="100">
        <v>6.0474750002337734</v>
      </c>
      <c r="CE19" s="100">
        <v>1995.6667500771453</v>
      </c>
      <c r="CF19" s="100">
        <v>8</v>
      </c>
      <c r="CG19" s="100">
        <v>2640</v>
      </c>
      <c r="CH19" s="100">
        <v>0.33848799841381561</v>
      </c>
      <c r="CI19" s="100">
        <v>111.70103947655915</v>
      </c>
      <c r="CJ19" s="100">
        <v>12</v>
      </c>
      <c r="CK19" s="100">
        <v>3960</v>
      </c>
      <c r="CL19" s="100">
        <v>8</v>
      </c>
      <c r="CM19" s="100">
        <v>2640</v>
      </c>
      <c r="CN19" s="100">
        <v>8</v>
      </c>
      <c r="CO19" s="100">
        <v>2640</v>
      </c>
      <c r="CP19" s="100">
        <v>8</v>
      </c>
      <c r="CQ19" s="100">
        <v>2640</v>
      </c>
      <c r="CR19" s="100">
        <v>8</v>
      </c>
      <c r="CS19" s="100">
        <v>2640</v>
      </c>
      <c r="CT19" s="100">
        <v>0.91799903600242738</v>
      </c>
      <c r="CU19" s="100">
        <v>302.93968188080106</v>
      </c>
    </row>
    <row r="20" spans="2:99">
      <c r="B20" s="99" t="s">
        <v>127</v>
      </c>
      <c r="C20" s="99" t="s">
        <v>186</v>
      </c>
      <c r="D20" s="100">
        <v>14.1465003391947</v>
      </c>
      <c r="E20" s="100">
        <v>4057.2162972810402</v>
      </c>
      <c r="F20" s="100">
        <v>0</v>
      </c>
      <c r="G20" s="100">
        <v>0</v>
      </c>
      <c r="H20" s="100">
        <v>15</v>
      </c>
      <c r="I20" s="100">
        <v>4302</v>
      </c>
      <c r="J20" s="100">
        <v>17</v>
      </c>
      <c r="K20" s="100">
        <v>4875.6000000000004</v>
      </c>
      <c r="L20" s="100">
        <v>16.547611810629288</v>
      </c>
      <c r="M20" s="100">
        <v>4745.8550672884803</v>
      </c>
      <c r="N20" s="100">
        <v>13.440186215754609</v>
      </c>
      <c r="O20" s="100">
        <v>3854.6454066784222</v>
      </c>
      <c r="P20" s="100">
        <v>4.9393007560272721</v>
      </c>
      <c r="Q20" s="100">
        <v>1416.5914568286216</v>
      </c>
      <c r="R20" s="100">
        <v>13</v>
      </c>
      <c r="S20" s="100">
        <v>3728.4</v>
      </c>
      <c r="T20" s="100">
        <v>15</v>
      </c>
      <c r="U20" s="100">
        <v>4302</v>
      </c>
      <c r="V20" s="100">
        <v>1.7578989586459044</v>
      </c>
      <c r="W20" s="100">
        <v>504.16542133964538</v>
      </c>
      <c r="X20" s="100">
        <v>19</v>
      </c>
      <c r="Y20" s="100">
        <v>5449.2</v>
      </c>
      <c r="Z20" s="100">
        <v>13</v>
      </c>
      <c r="AA20" s="100">
        <v>3728.4</v>
      </c>
      <c r="AB20" s="100">
        <v>13</v>
      </c>
      <c r="AC20" s="100">
        <v>3728.4</v>
      </c>
      <c r="AD20" s="100">
        <v>14</v>
      </c>
      <c r="AE20" s="100">
        <v>4015.2000000000003</v>
      </c>
      <c r="AF20" s="100">
        <v>20</v>
      </c>
      <c r="AG20" s="100">
        <v>5736</v>
      </c>
      <c r="AH20" s="100">
        <v>13</v>
      </c>
      <c r="AI20" s="100">
        <v>3728.4</v>
      </c>
      <c r="AJ20" s="100">
        <v>14</v>
      </c>
      <c r="AK20" s="100">
        <v>4015.2000000000003</v>
      </c>
      <c r="AL20" s="100">
        <v>11</v>
      </c>
      <c r="AM20" s="100">
        <v>3154.8</v>
      </c>
      <c r="AN20" s="100">
        <v>14</v>
      </c>
      <c r="AO20" s="100">
        <v>4015.2000000000003</v>
      </c>
      <c r="AP20" s="100">
        <v>9.9135840221047022</v>
      </c>
      <c r="AQ20" s="100">
        <v>2843.2158975396287</v>
      </c>
      <c r="AR20" s="100">
        <v>11</v>
      </c>
      <c r="AS20" s="100">
        <v>3154.8</v>
      </c>
      <c r="AT20" s="100">
        <v>15</v>
      </c>
      <c r="AU20" s="100">
        <v>4302</v>
      </c>
      <c r="AV20" s="100">
        <v>21</v>
      </c>
      <c r="AW20" s="100">
        <v>6022.8</v>
      </c>
      <c r="AX20" s="100">
        <v>10.589600749458725</v>
      </c>
      <c r="AY20" s="100">
        <v>3037.0974949447627</v>
      </c>
      <c r="AZ20" s="100">
        <v>12</v>
      </c>
      <c r="BA20" s="100">
        <v>3441.6000000000004</v>
      </c>
      <c r="BB20" s="100">
        <v>17.253174755189026</v>
      </c>
      <c r="BC20" s="100">
        <v>4948.2105197882129</v>
      </c>
      <c r="BD20" s="100">
        <v>18</v>
      </c>
      <c r="BE20" s="100">
        <v>5162.4000000000005</v>
      </c>
      <c r="BF20" s="100">
        <v>20</v>
      </c>
      <c r="BG20" s="100">
        <v>5736</v>
      </c>
      <c r="BH20" s="100">
        <v>19</v>
      </c>
      <c r="BI20" s="100">
        <v>5449.2</v>
      </c>
      <c r="BJ20" s="100">
        <v>19</v>
      </c>
      <c r="BK20" s="100">
        <v>5449.2</v>
      </c>
      <c r="BL20" s="100">
        <v>16.040882665418707</v>
      </c>
      <c r="BM20" s="100">
        <v>4600.5251484420851</v>
      </c>
      <c r="BN20" s="100">
        <v>10.347128154610921</v>
      </c>
      <c r="BO20" s="100">
        <v>2967.5563547424122</v>
      </c>
      <c r="BP20" s="100">
        <v>3.4136027382726084</v>
      </c>
      <c r="BQ20" s="100">
        <v>979.02126533658418</v>
      </c>
      <c r="BR20" s="100">
        <v>12</v>
      </c>
      <c r="BS20" s="100">
        <v>3441.6000000000004</v>
      </c>
      <c r="BT20" s="100">
        <v>16</v>
      </c>
      <c r="BU20" s="100">
        <v>4588.8</v>
      </c>
      <c r="BV20" s="100">
        <v>15</v>
      </c>
      <c r="BW20" s="100">
        <v>4302</v>
      </c>
      <c r="BX20" s="100">
        <v>11</v>
      </c>
      <c r="BY20" s="100">
        <v>3154.8</v>
      </c>
      <c r="BZ20" s="100">
        <v>13</v>
      </c>
      <c r="CA20" s="100">
        <v>3728.4</v>
      </c>
      <c r="CB20" s="100">
        <v>22</v>
      </c>
      <c r="CC20" s="100">
        <v>6309.6</v>
      </c>
      <c r="CD20" s="100">
        <v>9.8271468753798814</v>
      </c>
      <c r="CE20" s="100">
        <v>2818.4257238589503</v>
      </c>
      <c r="CF20" s="100">
        <v>20</v>
      </c>
      <c r="CG20" s="100">
        <v>5736</v>
      </c>
      <c r="CH20" s="100">
        <v>1.0638194235862777</v>
      </c>
      <c r="CI20" s="100">
        <v>305.10341068454443</v>
      </c>
      <c r="CJ20" s="100">
        <v>14</v>
      </c>
      <c r="CK20" s="100">
        <v>4015.2000000000003</v>
      </c>
      <c r="CL20" s="100">
        <v>17</v>
      </c>
      <c r="CM20" s="100">
        <v>4875.6000000000004</v>
      </c>
      <c r="CN20" s="100">
        <v>18</v>
      </c>
      <c r="CO20" s="100">
        <v>5162.4000000000005</v>
      </c>
      <c r="CP20" s="100">
        <v>21</v>
      </c>
      <c r="CQ20" s="100">
        <v>6022.8</v>
      </c>
      <c r="CR20" s="100">
        <v>23</v>
      </c>
      <c r="CS20" s="100">
        <v>6596.4000000000005</v>
      </c>
      <c r="CT20" s="100">
        <v>1.5856346985496474</v>
      </c>
      <c r="CU20" s="100">
        <v>454.7600315440389</v>
      </c>
    </row>
    <row r="21" spans="2:99">
      <c r="C21" s="99" t="s">
        <v>187</v>
      </c>
      <c r="D21" s="100">
        <v>14.978647417970858</v>
      </c>
      <c r="E21" s="100">
        <v>934.66759888138154</v>
      </c>
      <c r="F21" s="100">
        <v>0</v>
      </c>
      <c r="G21" s="100">
        <v>0</v>
      </c>
      <c r="H21" s="100">
        <v>17</v>
      </c>
      <c r="I21" s="100">
        <v>1060.8</v>
      </c>
      <c r="J21" s="100">
        <v>15</v>
      </c>
      <c r="K21" s="100">
        <v>936</v>
      </c>
      <c r="L21" s="100">
        <v>19.160392622833914</v>
      </c>
      <c r="M21" s="100">
        <v>1195.6084996648362</v>
      </c>
      <c r="N21" s="100">
        <v>12.649587026592576</v>
      </c>
      <c r="O21" s="100">
        <v>789.33423045937673</v>
      </c>
      <c r="P21" s="100">
        <v>4.9393007560272721</v>
      </c>
      <c r="Q21" s="100">
        <v>308.21236717610179</v>
      </c>
      <c r="R21" s="100">
        <v>15</v>
      </c>
      <c r="S21" s="100">
        <v>936</v>
      </c>
      <c r="T21" s="100">
        <v>16</v>
      </c>
      <c r="U21" s="100">
        <v>998.4</v>
      </c>
      <c r="V21" s="100">
        <v>1.7578989586459044</v>
      </c>
      <c r="W21" s="100">
        <v>109.69289501950443</v>
      </c>
      <c r="X21" s="100">
        <v>20</v>
      </c>
      <c r="Y21" s="100">
        <v>1248</v>
      </c>
      <c r="Z21" s="100">
        <v>12</v>
      </c>
      <c r="AA21" s="100">
        <v>748.8</v>
      </c>
      <c r="AB21" s="100">
        <v>13</v>
      </c>
      <c r="AC21" s="100">
        <v>811.19999999999993</v>
      </c>
      <c r="AD21" s="100">
        <v>14</v>
      </c>
      <c r="AE21" s="100">
        <v>873.6</v>
      </c>
      <c r="AF21" s="100">
        <v>19</v>
      </c>
      <c r="AG21" s="100">
        <v>1185.5999999999999</v>
      </c>
      <c r="AH21" s="100">
        <v>14</v>
      </c>
      <c r="AI21" s="100">
        <v>873.6</v>
      </c>
      <c r="AJ21" s="100">
        <v>13</v>
      </c>
      <c r="AK21" s="100">
        <v>811.19999999999993</v>
      </c>
      <c r="AL21" s="100">
        <v>13</v>
      </c>
      <c r="AM21" s="100">
        <v>811.19999999999993</v>
      </c>
      <c r="AN21" s="100">
        <v>13</v>
      </c>
      <c r="AO21" s="100">
        <v>811.19999999999993</v>
      </c>
      <c r="AP21" s="100">
        <v>11.478886762437023</v>
      </c>
      <c r="AQ21" s="100">
        <v>716.28253397607023</v>
      </c>
      <c r="AR21" s="100">
        <v>13</v>
      </c>
      <c r="AS21" s="100">
        <v>811.19999999999993</v>
      </c>
      <c r="AT21" s="100">
        <v>14</v>
      </c>
      <c r="AU21" s="100">
        <v>873.6</v>
      </c>
      <c r="AV21" s="100">
        <v>19</v>
      </c>
      <c r="AW21" s="100">
        <v>1185.5999999999999</v>
      </c>
      <c r="AX21" s="100">
        <v>10.589600749458725</v>
      </c>
      <c r="AY21" s="100">
        <v>660.79108676622445</v>
      </c>
      <c r="AZ21" s="100">
        <v>12</v>
      </c>
      <c r="BA21" s="100">
        <v>748.8</v>
      </c>
      <c r="BB21" s="100">
        <v>18.978492230707932</v>
      </c>
      <c r="BC21" s="100">
        <v>1184.257915196175</v>
      </c>
      <c r="BD21" s="100">
        <v>19</v>
      </c>
      <c r="BE21" s="100">
        <v>1185.5999999999999</v>
      </c>
      <c r="BF21" s="100">
        <v>20</v>
      </c>
      <c r="BG21" s="100">
        <v>1248</v>
      </c>
      <c r="BH21" s="100">
        <v>21</v>
      </c>
      <c r="BI21" s="100">
        <v>1310.3999999999999</v>
      </c>
      <c r="BJ21" s="100">
        <v>18</v>
      </c>
      <c r="BK21" s="100">
        <v>1123.2</v>
      </c>
      <c r="BL21" s="100">
        <v>16.804734220914835</v>
      </c>
      <c r="BM21" s="100">
        <v>1048.6154153850857</v>
      </c>
      <c r="BN21" s="100">
        <v>10.993823664274105</v>
      </c>
      <c r="BO21" s="100">
        <v>686.01459665070411</v>
      </c>
      <c r="BP21" s="100">
        <v>3.4136027382726084</v>
      </c>
      <c r="BQ21" s="100">
        <v>213.00881086821076</v>
      </c>
      <c r="BR21" s="100">
        <v>13</v>
      </c>
      <c r="BS21" s="100">
        <v>811.19999999999993</v>
      </c>
      <c r="BT21" s="100">
        <v>16</v>
      </c>
      <c r="BU21" s="100">
        <v>998.4</v>
      </c>
      <c r="BV21" s="100">
        <v>14</v>
      </c>
      <c r="BW21" s="100">
        <v>873.6</v>
      </c>
      <c r="BX21" s="100">
        <v>14</v>
      </c>
      <c r="BY21" s="100">
        <v>873.6</v>
      </c>
      <c r="BZ21" s="100">
        <v>14</v>
      </c>
      <c r="CA21" s="100">
        <v>873.6</v>
      </c>
      <c r="CB21" s="100">
        <v>25</v>
      </c>
      <c r="CC21" s="100">
        <v>1560</v>
      </c>
      <c r="CD21" s="100">
        <v>9.0712125003506596</v>
      </c>
      <c r="CE21" s="100">
        <v>566.04366002188112</v>
      </c>
      <c r="CF21" s="100">
        <v>20</v>
      </c>
      <c r="CG21" s="100">
        <v>1248</v>
      </c>
      <c r="CH21" s="100">
        <v>0.96710856689661617</v>
      </c>
      <c r="CI21" s="100">
        <v>60.347574574348847</v>
      </c>
      <c r="CJ21" s="100">
        <v>14</v>
      </c>
      <c r="CK21" s="100">
        <v>873.6</v>
      </c>
      <c r="CL21" s="100">
        <v>16</v>
      </c>
      <c r="CM21" s="100">
        <v>998.4</v>
      </c>
      <c r="CN21" s="100">
        <v>18</v>
      </c>
      <c r="CO21" s="100">
        <v>1123.2</v>
      </c>
      <c r="CP21" s="100">
        <v>20</v>
      </c>
      <c r="CQ21" s="100">
        <v>1248</v>
      </c>
      <c r="CR21" s="100">
        <v>22</v>
      </c>
      <c r="CS21" s="100">
        <v>1372.8</v>
      </c>
      <c r="CT21" s="100">
        <v>1.6690891563680499</v>
      </c>
      <c r="CU21" s="100">
        <v>104.15116335736631</v>
      </c>
    </row>
    <row r="22" spans="2:99">
      <c r="C22" s="99" t="s">
        <v>188</v>
      </c>
      <c r="D22" s="100">
        <v>14.978647417970858</v>
      </c>
      <c r="E22" s="100">
        <v>2804.0027966441444</v>
      </c>
      <c r="F22" s="100">
        <v>0</v>
      </c>
      <c r="G22" s="100">
        <v>0</v>
      </c>
      <c r="H22" s="100">
        <v>16</v>
      </c>
      <c r="I22" s="100">
        <v>2995.2</v>
      </c>
      <c r="J22" s="100">
        <v>17</v>
      </c>
      <c r="K22" s="100">
        <v>3182.3999999999996</v>
      </c>
      <c r="L22" s="100">
        <v>18.289465685432376</v>
      </c>
      <c r="M22" s="100">
        <v>3423.7879763129404</v>
      </c>
      <c r="N22" s="100">
        <v>14.230785404916647</v>
      </c>
      <c r="O22" s="100">
        <v>2664.003027800396</v>
      </c>
      <c r="P22" s="100">
        <v>5.2298478593229936</v>
      </c>
      <c r="Q22" s="100">
        <v>979.02751926526435</v>
      </c>
      <c r="R22" s="100">
        <v>16</v>
      </c>
      <c r="S22" s="100">
        <v>2995.2</v>
      </c>
      <c r="T22" s="100">
        <v>15</v>
      </c>
      <c r="U22" s="100">
        <v>2808</v>
      </c>
      <c r="V22" s="100">
        <v>1.5510873164522685</v>
      </c>
      <c r="W22" s="100">
        <v>290.36354563986464</v>
      </c>
      <c r="X22" s="100">
        <v>21</v>
      </c>
      <c r="Y22" s="100">
        <v>3931.2</v>
      </c>
      <c r="Z22" s="100">
        <v>11</v>
      </c>
      <c r="AA22" s="100">
        <v>2059.1999999999998</v>
      </c>
      <c r="AB22" s="100">
        <v>15</v>
      </c>
      <c r="AC22" s="100">
        <v>2808</v>
      </c>
      <c r="AD22" s="100">
        <v>17</v>
      </c>
      <c r="AE22" s="100">
        <v>3182.3999999999996</v>
      </c>
      <c r="AF22" s="100">
        <v>19</v>
      </c>
      <c r="AG22" s="100">
        <v>3556.7999999999997</v>
      </c>
      <c r="AH22" s="100">
        <v>14</v>
      </c>
      <c r="AI22" s="100">
        <v>2620.7999999999997</v>
      </c>
      <c r="AJ22" s="100">
        <v>13</v>
      </c>
      <c r="AK22" s="100">
        <v>2433.6</v>
      </c>
      <c r="AL22" s="100">
        <v>13</v>
      </c>
      <c r="AM22" s="100">
        <v>2433.6</v>
      </c>
      <c r="AN22" s="100">
        <v>12</v>
      </c>
      <c r="AO22" s="100">
        <v>2246.3999999999996</v>
      </c>
      <c r="AP22" s="100">
        <v>10.957119182326251</v>
      </c>
      <c r="AQ22" s="100">
        <v>2051.1727109314738</v>
      </c>
      <c r="AR22" s="100">
        <v>11</v>
      </c>
      <c r="AS22" s="100">
        <v>2059.1999999999998</v>
      </c>
      <c r="AT22" s="100">
        <v>15</v>
      </c>
      <c r="AU22" s="100">
        <v>2808</v>
      </c>
      <c r="AV22" s="100">
        <v>18</v>
      </c>
      <c r="AW22" s="100">
        <v>3369.6</v>
      </c>
      <c r="AX22" s="100">
        <v>10.108255260846963</v>
      </c>
      <c r="AY22" s="100">
        <v>1892.2653848305515</v>
      </c>
      <c r="AZ22" s="100">
        <v>11</v>
      </c>
      <c r="BA22" s="100">
        <v>2059.1999999999998</v>
      </c>
      <c r="BB22" s="100">
        <v>18.115833492948479</v>
      </c>
      <c r="BC22" s="100">
        <v>3391.2840298799551</v>
      </c>
      <c r="BD22" s="100">
        <v>21</v>
      </c>
      <c r="BE22" s="100">
        <v>3931.2</v>
      </c>
      <c r="BF22" s="100">
        <v>21</v>
      </c>
      <c r="BG22" s="100">
        <v>3931.2</v>
      </c>
      <c r="BH22" s="100">
        <v>18</v>
      </c>
      <c r="BI22" s="100">
        <v>3369.6</v>
      </c>
      <c r="BJ22" s="100">
        <v>18</v>
      </c>
      <c r="BK22" s="100">
        <v>3369.6</v>
      </c>
      <c r="BL22" s="100">
        <v>15.277031109922577</v>
      </c>
      <c r="BM22" s="100">
        <v>2859.8602237775062</v>
      </c>
      <c r="BN22" s="100">
        <v>9.7004326449477389</v>
      </c>
      <c r="BO22" s="100">
        <v>1815.9209911342166</v>
      </c>
      <c r="BP22" s="100">
        <v>3.4136027382726084</v>
      </c>
      <c r="BQ22" s="100">
        <v>639.0264326046323</v>
      </c>
      <c r="BR22" s="100">
        <v>13</v>
      </c>
      <c r="BS22" s="100">
        <v>2433.6</v>
      </c>
      <c r="BT22" s="100">
        <v>15</v>
      </c>
      <c r="BU22" s="100">
        <v>2808</v>
      </c>
      <c r="BV22" s="100">
        <v>13</v>
      </c>
      <c r="BW22" s="100">
        <v>2433.6</v>
      </c>
      <c r="BX22" s="100">
        <v>14</v>
      </c>
      <c r="BY22" s="100">
        <v>2620.7999999999997</v>
      </c>
      <c r="BZ22" s="100">
        <v>14</v>
      </c>
      <c r="CA22" s="100">
        <v>2620.7999999999997</v>
      </c>
      <c r="CB22" s="100">
        <v>23</v>
      </c>
      <c r="CC22" s="100">
        <v>4305.5999999999995</v>
      </c>
      <c r="CD22" s="100">
        <v>9.8271468753798814</v>
      </c>
      <c r="CE22" s="100">
        <v>1839.6418950711136</v>
      </c>
      <c r="CF22" s="100">
        <v>19</v>
      </c>
      <c r="CG22" s="100">
        <v>3556.7999999999997</v>
      </c>
      <c r="CH22" s="100">
        <v>1.0154639952414468</v>
      </c>
      <c r="CI22" s="100">
        <v>190.09485990919885</v>
      </c>
      <c r="CJ22" s="100">
        <v>14</v>
      </c>
      <c r="CK22" s="100">
        <v>2620.7999999999997</v>
      </c>
      <c r="CL22" s="100">
        <v>16</v>
      </c>
      <c r="CM22" s="100">
        <v>2995.2</v>
      </c>
      <c r="CN22" s="100">
        <v>20</v>
      </c>
      <c r="CO22" s="100">
        <v>3744</v>
      </c>
      <c r="CP22" s="100">
        <v>21</v>
      </c>
      <c r="CQ22" s="100">
        <v>3931.2</v>
      </c>
      <c r="CR22" s="100">
        <v>26</v>
      </c>
      <c r="CS22" s="100">
        <v>4867.2</v>
      </c>
      <c r="CT22" s="100">
        <v>1.5021802407312448</v>
      </c>
      <c r="CU22" s="100">
        <v>281.20814106488899</v>
      </c>
    </row>
    <row r="23" spans="2:99">
      <c r="C23" s="99" t="s">
        <v>189</v>
      </c>
      <c r="D23" s="100">
        <v>16.642941575523174</v>
      </c>
      <c r="E23" s="100">
        <v>4893.024823203813</v>
      </c>
      <c r="F23" s="100">
        <v>0</v>
      </c>
      <c r="G23" s="100">
        <v>0</v>
      </c>
      <c r="H23" s="100">
        <v>16</v>
      </c>
      <c r="I23" s="100">
        <v>4704</v>
      </c>
      <c r="J23" s="100">
        <v>17</v>
      </c>
      <c r="K23" s="100">
        <v>4998</v>
      </c>
      <c r="L23" s="100">
        <v>17.41853874803083</v>
      </c>
      <c r="M23" s="100">
        <v>5121.0503919210641</v>
      </c>
      <c r="N23" s="100">
        <v>13.440186215754609</v>
      </c>
      <c r="O23" s="100">
        <v>3951.4147474318552</v>
      </c>
      <c r="P23" s="100">
        <v>4.6487536527315498</v>
      </c>
      <c r="Q23" s="100">
        <v>1366.7335739030757</v>
      </c>
      <c r="R23" s="100">
        <v>13</v>
      </c>
      <c r="S23" s="100">
        <v>3822</v>
      </c>
      <c r="T23" s="100">
        <v>15</v>
      </c>
      <c r="U23" s="100">
        <v>4410</v>
      </c>
      <c r="V23" s="100">
        <v>1.7578989586459044</v>
      </c>
      <c r="W23" s="100">
        <v>516.82229384189588</v>
      </c>
      <c r="X23" s="100">
        <v>19</v>
      </c>
      <c r="Y23" s="100">
        <v>5586</v>
      </c>
      <c r="Z23" s="100">
        <v>12</v>
      </c>
      <c r="AA23" s="100">
        <v>3528</v>
      </c>
      <c r="AB23" s="100">
        <v>13</v>
      </c>
      <c r="AC23" s="100">
        <v>3822</v>
      </c>
      <c r="AD23" s="100">
        <v>17</v>
      </c>
      <c r="AE23" s="100">
        <v>4998</v>
      </c>
      <c r="AF23" s="100">
        <v>18</v>
      </c>
      <c r="AG23" s="100">
        <v>5292</v>
      </c>
      <c r="AH23" s="100">
        <v>14</v>
      </c>
      <c r="AI23" s="100">
        <v>4116</v>
      </c>
      <c r="AJ23" s="100">
        <v>12</v>
      </c>
      <c r="AK23" s="100">
        <v>3528</v>
      </c>
      <c r="AL23" s="100">
        <v>11</v>
      </c>
      <c r="AM23" s="100">
        <v>3234</v>
      </c>
      <c r="AN23" s="100">
        <v>12</v>
      </c>
      <c r="AO23" s="100">
        <v>3528</v>
      </c>
      <c r="AP23" s="100">
        <v>10.957119182326251</v>
      </c>
      <c r="AQ23" s="100">
        <v>3221.3930396039177</v>
      </c>
      <c r="AR23" s="100">
        <v>11</v>
      </c>
      <c r="AS23" s="100">
        <v>3234</v>
      </c>
      <c r="AT23" s="100">
        <v>16</v>
      </c>
      <c r="AU23" s="100">
        <v>4704</v>
      </c>
      <c r="AV23" s="100">
        <v>18</v>
      </c>
      <c r="AW23" s="100">
        <v>5292</v>
      </c>
      <c r="AX23" s="100">
        <v>9.145564283623445</v>
      </c>
      <c r="AY23" s="100">
        <v>2688.7958993852926</v>
      </c>
      <c r="AZ23" s="100">
        <v>13</v>
      </c>
      <c r="BA23" s="100">
        <v>3822</v>
      </c>
      <c r="BB23" s="100">
        <v>18.978492230707932</v>
      </c>
      <c r="BC23" s="100">
        <v>5579.6767158281318</v>
      </c>
      <c r="BD23" s="100">
        <v>18</v>
      </c>
      <c r="BE23" s="100">
        <v>5292</v>
      </c>
      <c r="BF23" s="100">
        <v>20</v>
      </c>
      <c r="BG23" s="100">
        <v>5880</v>
      </c>
      <c r="BH23" s="100">
        <v>20</v>
      </c>
      <c r="BI23" s="100">
        <v>5880</v>
      </c>
      <c r="BJ23" s="100">
        <v>20</v>
      </c>
      <c r="BK23" s="100">
        <v>5880</v>
      </c>
      <c r="BL23" s="100">
        <v>17.568585776410963</v>
      </c>
      <c r="BM23" s="100">
        <v>5165.1642182648229</v>
      </c>
      <c r="BN23" s="100">
        <v>10.347128154610921</v>
      </c>
      <c r="BO23" s="100">
        <v>3042.0556774556107</v>
      </c>
      <c r="BP23" s="100">
        <v>3.9825365279847098</v>
      </c>
      <c r="BQ23" s="100">
        <v>1170.8657392275047</v>
      </c>
      <c r="BR23" s="100">
        <v>12</v>
      </c>
      <c r="BS23" s="100">
        <v>3528</v>
      </c>
      <c r="BT23" s="100">
        <v>15</v>
      </c>
      <c r="BU23" s="100">
        <v>4410</v>
      </c>
      <c r="BV23" s="100">
        <v>15</v>
      </c>
      <c r="BW23" s="100">
        <v>4410</v>
      </c>
      <c r="BX23" s="100">
        <v>13</v>
      </c>
      <c r="BY23" s="100">
        <v>3822</v>
      </c>
      <c r="BZ23" s="100">
        <v>14</v>
      </c>
      <c r="CA23" s="100">
        <v>4116</v>
      </c>
      <c r="CB23" s="100">
        <v>24</v>
      </c>
      <c r="CC23" s="100">
        <v>7056</v>
      </c>
      <c r="CD23" s="100">
        <v>9.0712125003506596</v>
      </c>
      <c r="CE23" s="100">
        <v>2666.9364751030939</v>
      </c>
      <c r="CF23" s="100">
        <v>20</v>
      </c>
      <c r="CG23" s="100">
        <v>5880</v>
      </c>
      <c r="CH23" s="100">
        <v>1.1121748519311085</v>
      </c>
      <c r="CI23" s="100">
        <v>326.97940646774589</v>
      </c>
      <c r="CJ23" s="100">
        <v>13</v>
      </c>
      <c r="CK23" s="100">
        <v>3822</v>
      </c>
      <c r="CL23" s="100">
        <v>17</v>
      </c>
      <c r="CM23" s="100">
        <v>4998</v>
      </c>
      <c r="CN23" s="100">
        <v>19</v>
      </c>
      <c r="CO23" s="100">
        <v>5586</v>
      </c>
      <c r="CP23" s="100">
        <v>19</v>
      </c>
      <c r="CQ23" s="100">
        <v>5586</v>
      </c>
      <c r="CR23" s="100">
        <v>23</v>
      </c>
      <c r="CS23" s="100">
        <v>6762</v>
      </c>
      <c r="CT23" s="100">
        <v>1.5856346985496474</v>
      </c>
      <c r="CU23" s="100">
        <v>466.17660137359633</v>
      </c>
    </row>
    <row r="24" spans="2:99">
      <c r="C24" s="99" t="s">
        <v>190</v>
      </c>
      <c r="D24" s="100">
        <v>15.810794496747016</v>
      </c>
      <c r="E24" s="100">
        <v>5805.723739205504</v>
      </c>
      <c r="F24" s="100">
        <v>0</v>
      </c>
      <c r="G24" s="100">
        <v>0</v>
      </c>
      <c r="H24" s="100">
        <v>18</v>
      </c>
      <c r="I24" s="100">
        <v>6609.5999999999995</v>
      </c>
      <c r="J24" s="100">
        <v>16</v>
      </c>
      <c r="K24" s="100">
        <v>5875.2</v>
      </c>
      <c r="L24" s="100">
        <v>17.41853874803083</v>
      </c>
      <c r="M24" s="100">
        <v>6396.0874282769209</v>
      </c>
      <c r="N24" s="100">
        <v>14.230785404916647</v>
      </c>
      <c r="O24" s="100">
        <v>5225.5444006853922</v>
      </c>
      <c r="P24" s="100">
        <v>4.9393007560272721</v>
      </c>
      <c r="Q24" s="100">
        <v>1813.7112376132143</v>
      </c>
      <c r="R24" s="100">
        <v>14</v>
      </c>
      <c r="S24" s="100">
        <v>5140.8</v>
      </c>
      <c r="T24" s="100">
        <v>15</v>
      </c>
      <c r="U24" s="100">
        <v>5508</v>
      </c>
      <c r="V24" s="100">
        <v>1.7578989586459044</v>
      </c>
      <c r="W24" s="100">
        <v>645.50049761477612</v>
      </c>
      <c r="X24" s="100">
        <v>20</v>
      </c>
      <c r="Y24" s="100">
        <v>7344</v>
      </c>
      <c r="Z24" s="100">
        <v>13</v>
      </c>
      <c r="AA24" s="100">
        <v>4773.5999999999995</v>
      </c>
      <c r="AB24" s="100">
        <v>13</v>
      </c>
      <c r="AC24" s="100">
        <v>4773.5999999999995</v>
      </c>
      <c r="AD24" s="100">
        <v>15</v>
      </c>
      <c r="AE24" s="100">
        <v>5508</v>
      </c>
      <c r="AF24" s="100">
        <v>19</v>
      </c>
      <c r="AG24" s="100">
        <v>6976.8</v>
      </c>
      <c r="AH24" s="100">
        <v>15</v>
      </c>
      <c r="AI24" s="100">
        <v>5508</v>
      </c>
      <c r="AJ24" s="100">
        <v>12</v>
      </c>
      <c r="AK24" s="100">
        <v>4406.3999999999996</v>
      </c>
      <c r="AL24" s="100">
        <v>11</v>
      </c>
      <c r="AM24" s="100">
        <v>4039.2</v>
      </c>
      <c r="AN24" s="100">
        <v>13</v>
      </c>
      <c r="AO24" s="100">
        <v>4773.5999999999995</v>
      </c>
      <c r="AP24" s="100">
        <v>10.435351602215476</v>
      </c>
      <c r="AQ24" s="100">
        <v>3831.8611083335227</v>
      </c>
      <c r="AR24" s="100">
        <v>12</v>
      </c>
      <c r="AS24" s="100">
        <v>4406.3999999999996</v>
      </c>
      <c r="AT24" s="100">
        <v>16</v>
      </c>
      <c r="AU24" s="100">
        <v>5875.2</v>
      </c>
      <c r="AV24" s="100">
        <v>19</v>
      </c>
      <c r="AW24" s="100">
        <v>6976.8</v>
      </c>
      <c r="AX24" s="100">
        <v>9.6269097722352051</v>
      </c>
      <c r="AY24" s="100">
        <v>3535.0012683647674</v>
      </c>
      <c r="AZ24" s="100">
        <v>12</v>
      </c>
      <c r="BA24" s="100">
        <v>4406.3999999999996</v>
      </c>
      <c r="BB24" s="100">
        <v>17.253174755189026</v>
      </c>
      <c r="BC24" s="100">
        <v>6335.3657701054099</v>
      </c>
      <c r="BD24" s="100">
        <v>20</v>
      </c>
      <c r="BE24" s="100">
        <v>7344</v>
      </c>
      <c r="BF24" s="100">
        <v>20</v>
      </c>
      <c r="BG24" s="100">
        <v>7344</v>
      </c>
      <c r="BH24" s="100">
        <v>17</v>
      </c>
      <c r="BI24" s="100">
        <v>6242.4</v>
      </c>
      <c r="BJ24" s="100">
        <v>18</v>
      </c>
      <c r="BK24" s="100">
        <v>6609.5999999999995</v>
      </c>
      <c r="BL24" s="100">
        <v>16.040882665418707</v>
      </c>
      <c r="BM24" s="100">
        <v>5890.2121147417492</v>
      </c>
      <c r="BN24" s="100">
        <v>9.0537371352845568</v>
      </c>
      <c r="BO24" s="100">
        <v>3324.5322760764893</v>
      </c>
      <c r="BP24" s="100">
        <v>3.9825365279847098</v>
      </c>
      <c r="BQ24" s="100">
        <v>1462.3874130759855</v>
      </c>
      <c r="BR24" s="100">
        <v>11</v>
      </c>
      <c r="BS24" s="100">
        <v>4039.2</v>
      </c>
      <c r="BT24" s="100">
        <v>15</v>
      </c>
      <c r="BU24" s="100">
        <v>5508</v>
      </c>
      <c r="BV24" s="100">
        <v>15</v>
      </c>
      <c r="BW24" s="100">
        <v>5508</v>
      </c>
      <c r="BX24" s="100">
        <v>13</v>
      </c>
      <c r="BY24" s="100">
        <v>4773.5999999999995</v>
      </c>
      <c r="BZ24" s="100">
        <v>14</v>
      </c>
      <c r="CA24" s="100">
        <v>5140.8</v>
      </c>
      <c r="CB24" s="100">
        <v>23</v>
      </c>
      <c r="CC24" s="100">
        <v>8445.6</v>
      </c>
      <c r="CD24" s="100">
        <v>9.8271468753798814</v>
      </c>
      <c r="CE24" s="100">
        <v>3608.5283326394924</v>
      </c>
      <c r="CF24" s="100">
        <v>20</v>
      </c>
      <c r="CG24" s="100">
        <v>7344</v>
      </c>
      <c r="CH24" s="100">
        <v>1.0638194235862777</v>
      </c>
      <c r="CI24" s="100">
        <v>390.63449234088114</v>
      </c>
      <c r="CJ24" s="100">
        <v>12</v>
      </c>
      <c r="CK24" s="100">
        <v>4406.3999999999996</v>
      </c>
      <c r="CL24" s="100">
        <v>16</v>
      </c>
      <c r="CM24" s="100">
        <v>5875.2</v>
      </c>
      <c r="CN24" s="100">
        <v>20</v>
      </c>
      <c r="CO24" s="100">
        <v>7344</v>
      </c>
      <c r="CP24" s="100">
        <v>21</v>
      </c>
      <c r="CQ24" s="100">
        <v>7711.2</v>
      </c>
      <c r="CR24" s="100">
        <v>25</v>
      </c>
      <c r="CS24" s="100">
        <v>9180</v>
      </c>
      <c r="CT24" s="100">
        <v>1.7525436141864523</v>
      </c>
      <c r="CU24" s="100">
        <v>643.5340151292653</v>
      </c>
    </row>
    <row r="25" spans="2:99">
      <c r="C25" s="99" t="s">
        <v>191</v>
      </c>
      <c r="D25" s="100">
        <v>15.810794496747016</v>
      </c>
      <c r="E25" s="100">
        <v>8386.045401074618</v>
      </c>
      <c r="F25" s="100">
        <v>0</v>
      </c>
      <c r="G25" s="100">
        <v>0</v>
      </c>
      <c r="H25" s="100">
        <v>15</v>
      </c>
      <c r="I25" s="100">
        <v>7956</v>
      </c>
      <c r="J25" s="100">
        <v>17</v>
      </c>
      <c r="K25" s="100">
        <v>9016.7999999999993</v>
      </c>
      <c r="L25" s="100">
        <v>15.676684873227748</v>
      </c>
      <c r="M25" s="100">
        <v>8314.9136567599962</v>
      </c>
      <c r="N25" s="100">
        <v>12.649587026592576</v>
      </c>
      <c r="O25" s="100">
        <v>6709.3409589047014</v>
      </c>
      <c r="P25" s="100">
        <v>5.2298478593229936</v>
      </c>
      <c r="Q25" s="100">
        <v>2773.9113045849158</v>
      </c>
      <c r="R25" s="100">
        <v>16</v>
      </c>
      <c r="S25" s="100">
        <v>8486.4</v>
      </c>
      <c r="T25" s="100">
        <v>16</v>
      </c>
      <c r="U25" s="100">
        <v>8486.4</v>
      </c>
      <c r="V25" s="100">
        <v>1.4476814953554504</v>
      </c>
      <c r="W25" s="100">
        <v>767.85026513653088</v>
      </c>
      <c r="X25" s="100">
        <v>17</v>
      </c>
      <c r="Y25" s="100">
        <v>9016.7999999999993</v>
      </c>
      <c r="Z25" s="100">
        <v>13</v>
      </c>
      <c r="AA25" s="100">
        <v>6895.2</v>
      </c>
      <c r="AB25" s="100">
        <v>13</v>
      </c>
      <c r="AC25" s="100">
        <v>6895.2</v>
      </c>
      <c r="AD25" s="100">
        <v>15</v>
      </c>
      <c r="AE25" s="100">
        <v>7956</v>
      </c>
      <c r="AF25" s="100">
        <v>17</v>
      </c>
      <c r="AG25" s="100">
        <v>9016.7999999999993</v>
      </c>
      <c r="AH25" s="100">
        <v>13</v>
      </c>
      <c r="AI25" s="100">
        <v>6895.2</v>
      </c>
      <c r="AJ25" s="100">
        <v>14</v>
      </c>
      <c r="AK25" s="100">
        <v>7425.5999999999995</v>
      </c>
      <c r="AL25" s="100">
        <v>11</v>
      </c>
      <c r="AM25" s="100">
        <v>5834.4</v>
      </c>
      <c r="AN25" s="100">
        <v>12</v>
      </c>
      <c r="AO25" s="100">
        <v>6364.7999999999993</v>
      </c>
      <c r="AP25" s="100">
        <v>9.3918164419939281</v>
      </c>
      <c r="AQ25" s="100">
        <v>4981.4194408335788</v>
      </c>
      <c r="AR25" s="100">
        <v>12</v>
      </c>
      <c r="AS25" s="100">
        <v>6364.7999999999993</v>
      </c>
      <c r="AT25" s="100">
        <v>13</v>
      </c>
      <c r="AU25" s="100">
        <v>6895.2</v>
      </c>
      <c r="AV25" s="100">
        <v>19</v>
      </c>
      <c r="AW25" s="100">
        <v>10077.6</v>
      </c>
      <c r="AX25" s="100">
        <v>10.589600749458725</v>
      </c>
      <c r="AY25" s="100">
        <v>5616.7242375129072</v>
      </c>
      <c r="AZ25" s="100">
        <v>12</v>
      </c>
      <c r="BA25" s="100">
        <v>6364.7999999999993</v>
      </c>
      <c r="BB25" s="100">
        <v>16.390516017429576</v>
      </c>
      <c r="BC25" s="100">
        <v>8693.5296956446473</v>
      </c>
      <c r="BD25" s="100">
        <v>21</v>
      </c>
      <c r="BE25" s="100">
        <v>11138.4</v>
      </c>
      <c r="BF25" s="100">
        <v>18</v>
      </c>
      <c r="BG25" s="100">
        <v>9547.1999999999989</v>
      </c>
      <c r="BH25" s="100">
        <v>17</v>
      </c>
      <c r="BI25" s="100">
        <v>9016.7999999999993</v>
      </c>
      <c r="BJ25" s="100">
        <v>19</v>
      </c>
      <c r="BK25" s="100">
        <v>10077.6</v>
      </c>
      <c r="BL25" s="100">
        <v>14.513179554426449</v>
      </c>
      <c r="BM25" s="100">
        <v>7697.7904356677882</v>
      </c>
      <c r="BN25" s="100">
        <v>10.993823664274105</v>
      </c>
      <c r="BO25" s="100">
        <v>5831.124071530985</v>
      </c>
      <c r="BP25" s="100">
        <v>3.4136027382726084</v>
      </c>
      <c r="BQ25" s="100">
        <v>1810.5748923797914</v>
      </c>
      <c r="BR25" s="100">
        <v>13</v>
      </c>
      <c r="BS25" s="100">
        <v>6895.2</v>
      </c>
      <c r="BT25" s="100">
        <v>16</v>
      </c>
      <c r="BU25" s="100">
        <v>8486.4</v>
      </c>
      <c r="BV25" s="100">
        <v>15</v>
      </c>
      <c r="BW25" s="100">
        <v>7956</v>
      </c>
      <c r="BX25" s="100">
        <v>13</v>
      </c>
      <c r="BY25" s="100">
        <v>6895.2</v>
      </c>
      <c r="BZ25" s="100">
        <v>12</v>
      </c>
      <c r="CA25" s="100">
        <v>6364.7999999999993</v>
      </c>
      <c r="CB25" s="100">
        <v>23</v>
      </c>
      <c r="CC25" s="100">
        <v>12199.199999999999</v>
      </c>
      <c r="CD25" s="100">
        <v>9.8271468753798814</v>
      </c>
      <c r="CE25" s="100">
        <v>5212.3187027014892</v>
      </c>
      <c r="CF25" s="100">
        <v>19</v>
      </c>
      <c r="CG25" s="100">
        <v>10077.6</v>
      </c>
      <c r="CH25" s="100">
        <v>1.1121748519311085</v>
      </c>
      <c r="CI25" s="100">
        <v>589.89754146425992</v>
      </c>
      <c r="CJ25" s="100">
        <v>13</v>
      </c>
      <c r="CK25" s="100">
        <v>6895.2</v>
      </c>
      <c r="CL25" s="100">
        <v>15</v>
      </c>
      <c r="CM25" s="100">
        <v>7956</v>
      </c>
      <c r="CN25" s="100">
        <v>19</v>
      </c>
      <c r="CO25" s="100">
        <v>10077.6</v>
      </c>
      <c r="CP25" s="100">
        <v>20</v>
      </c>
      <c r="CQ25" s="100">
        <v>10608</v>
      </c>
      <c r="CR25" s="100">
        <v>23</v>
      </c>
      <c r="CS25" s="100">
        <v>12199.199999999999</v>
      </c>
      <c r="CT25" s="100">
        <v>1.5856346985496474</v>
      </c>
      <c r="CU25" s="100">
        <v>841.02064411073297</v>
      </c>
    </row>
    <row r="26" spans="2:99">
      <c r="C26" s="99" t="s">
        <v>192</v>
      </c>
      <c r="D26" s="100">
        <v>14.1465003391947</v>
      </c>
      <c r="E26" s="100">
        <v>6875.1991648486246</v>
      </c>
      <c r="F26" s="100">
        <v>0</v>
      </c>
      <c r="G26" s="100">
        <v>0</v>
      </c>
      <c r="H26" s="100">
        <v>15</v>
      </c>
      <c r="I26" s="100">
        <v>7290</v>
      </c>
      <c r="J26" s="100">
        <v>17</v>
      </c>
      <c r="K26" s="100">
        <v>8262</v>
      </c>
      <c r="L26" s="100">
        <v>18.289465685432376</v>
      </c>
      <c r="M26" s="100">
        <v>8888.6803231201338</v>
      </c>
      <c r="N26" s="100">
        <v>12.649587026592576</v>
      </c>
      <c r="O26" s="100">
        <v>6147.6992949239921</v>
      </c>
      <c r="P26" s="100">
        <v>5.5203949626187159</v>
      </c>
      <c r="Q26" s="100">
        <v>2682.9119518326961</v>
      </c>
      <c r="R26" s="100">
        <v>14</v>
      </c>
      <c r="S26" s="100">
        <v>6804</v>
      </c>
      <c r="T26" s="100">
        <v>14</v>
      </c>
      <c r="U26" s="100">
        <v>6804</v>
      </c>
      <c r="V26" s="100">
        <v>1.6544931375490863</v>
      </c>
      <c r="W26" s="100">
        <v>804.08366484885596</v>
      </c>
      <c r="X26" s="100">
        <v>19</v>
      </c>
      <c r="Y26" s="100">
        <v>9234</v>
      </c>
      <c r="Z26" s="100">
        <v>13</v>
      </c>
      <c r="AA26" s="100">
        <v>6318</v>
      </c>
      <c r="AB26" s="100">
        <v>15</v>
      </c>
      <c r="AC26" s="100">
        <v>7290</v>
      </c>
      <c r="AD26" s="100">
        <v>16</v>
      </c>
      <c r="AE26" s="100">
        <v>7776</v>
      </c>
      <c r="AF26" s="100">
        <v>18</v>
      </c>
      <c r="AG26" s="100">
        <v>8748</v>
      </c>
      <c r="AH26" s="100">
        <v>14</v>
      </c>
      <c r="AI26" s="100">
        <v>6804</v>
      </c>
      <c r="AJ26" s="100">
        <v>13</v>
      </c>
      <c r="AK26" s="100">
        <v>6318</v>
      </c>
      <c r="AL26" s="100">
        <v>11</v>
      </c>
      <c r="AM26" s="100">
        <v>5346</v>
      </c>
      <c r="AN26" s="100">
        <v>12</v>
      </c>
      <c r="AO26" s="100">
        <v>5832</v>
      </c>
      <c r="AP26" s="100">
        <v>10.957119182326251</v>
      </c>
      <c r="AQ26" s="100">
        <v>5325.1599226105582</v>
      </c>
      <c r="AR26" s="100">
        <v>12</v>
      </c>
      <c r="AS26" s="100">
        <v>5832</v>
      </c>
      <c r="AT26" s="100">
        <v>15</v>
      </c>
      <c r="AU26" s="100">
        <v>7290</v>
      </c>
      <c r="AV26" s="100">
        <v>21</v>
      </c>
      <c r="AW26" s="100">
        <v>10206</v>
      </c>
      <c r="AX26" s="100">
        <v>10.108255260846963</v>
      </c>
      <c r="AY26" s="100">
        <v>4912.6120567716243</v>
      </c>
      <c r="AZ26" s="100">
        <v>13</v>
      </c>
      <c r="BA26" s="100">
        <v>6318</v>
      </c>
      <c r="BB26" s="100">
        <v>16.390516017429576</v>
      </c>
      <c r="BC26" s="100">
        <v>7965.7907844707743</v>
      </c>
      <c r="BD26" s="100">
        <v>20</v>
      </c>
      <c r="BE26" s="100">
        <v>9720</v>
      </c>
      <c r="BF26" s="100">
        <v>20</v>
      </c>
      <c r="BG26" s="100">
        <v>9720</v>
      </c>
      <c r="BH26" s="100">
        <v>18</v>
      </c>
      <c r="BI26" s="100">
        <v>8748</v>
      </c>
      <c r="BJ26" s="100">
        <v>18</v>
      </c>
      <c r="BK26" s="100">
        <v>8748</v>
      </c>
      <c r="BL26" s="100">
        <v>16.040882665418707</v>
      </c>
      <c r="BM26" s="100">
        <v>7795.8689753934914</v>
      </c>
      <c r="BN26" s="100">
        <v>10.993823664274105</v>
      </c>
      <c r="BO26" s="100">
        <v>5342.9983008372146</v>
      </c>
      <c r="BP26" s="100">
        <v>3.4136027382726084</v>
      </c>
      <c r="BQ26" s="100">
        <v>1659.0109308004876</v>
      </c>
      <c r="BR26" s="100">
        <v>11</v>
      </c>
      <c r="BS26" s="100">
        <v>5346</v>
      </c>
      <c r="BT26" s="100">
        <v>14</v>
      </c>
      <c r="BU26" s="100">
        <v>6804</v>
      </c>
      <c r="BV26" s="100">
        <v>13</v>
      </c>
      <c r="BW26" s="100">
        <v>6318</v>
      </c>
      <c r="BX26" s="100">
        <v>12</v>
      </c>
      <c r="BY26" s="100">
        <v>5832</v>
      </c>
      <c r="BZ26" s="100">
        <v>12</v>
      </c>
      <c r="CA26" s="100">
        <v>5832</v>
      </c>
      <c r="CB26" s="100">
        <v>24</v>
      </c>
      <c r="CC26" s="100">
        <v>11664</v>
      </c>
      <c r="CD26" s="100">
        <v>9.8271468753798814</v>
      </c>
      <c r="CE26" s="100">
        <v>4775.9933814346223</v>
      </c>
      <c r="CF26" s="100">
        <v>20</v>
      </c>
      <c r="CG26" s="100">
        <v>9720</v>
      </c>
      <c r="CH26" s="100">
        <v>0.96710856689661617</v>
      </c>
      <c r="CI26" s="100">
        <v>470.01476351175546</v>
      </c>
      <c r="CJ26" s="100">
        <v>13</v>
      </c>
      <c r="CK26" s="100">
        <v>6318</v>
      </c>
      <c r="CL26" s="100">
        <v>16</v>
      </c>
      <c r="CM26" s="100">
        <v>7776</v>
      </c>
      <c r="CN26" s="100">
        <v>19</v>
      </c>
      <c r="CO26" s="100">
        <v>9234</v>
      </c>
      <c r="CP26" s="100">
        <v>20</v>
      </c>
      <c r="CQ26" s="100">
        <v>9720</v>
      </c>
      <c r="CR26" s="100">
        <v>24</v>
      </c>
      <c r="CS26" s="100">
        <v>11664</v>
      </c>
      <c r="CT26" s="100">
        <v>1.5856346985496474</v>
      </c>
      <c r="CU26" s="100">
        <v>770.61846349512871</v>
      </c>
    </row>
    <row r="27" spans="2:99">
      <c r="C27" s="99" t="s">
        <v>193</v>
      </c>
      <c r="D27" s="100">
        <v>14.978647417970858</v>
      </c>
      <c r="E27" s="100">
        <v>6398.8781769571506</v>
      </c>
      <c r="F27" s="100">
        <v>0</v>
      </c>
      <c r="G27" s="100">
        <v>0</v>
      </c>
      <c r="H27" s="100">
        <v>16</v>
      </c>
      <c r="I27" s="100">
        <v>6835.2</v>
      </c>
      <c r="J27" s="100">
        <v>16</v>
      </c>
      <c r="K27" s="100">
        <v>6835.2</v>
      </c>
      <c r="L27" s="100">
        <v>16.547611810629288</v>
      </c>
      <c r="M27" s="100">
        <v>7069.1397655008313</v>
      </c>
      <c r="N27" s="100">
        <v>11.85898783743054</v>
      </c>
      <c r="O27" s="100">
        <v>5066.1596041503262</v>
      </c>
      <c r="P27" s="100">
        <v>5.5203949626187159</v>
      </c>
      <c r="Q27" s="100">
        <v>2358.3127280307153</v>
      </c>
      <c r="R27" s="100">
        <v>14</v>
      </c>
      <c r="S27" s="100">
        <v>5980.8</v>
      </c>
      <c r="T27" s="100">
        <v>16</v>
      </c>
      <c r="U27" s="100">
        <v>6835.2</v>
      </c>
      <c r="V27" s="100">
        <v>1.4476814953554504</v>
      </c>
      <c r="W27" s="100">
        <v>618.44953481584844</v>
      </c>
      <c r="X27" s="100">
        <v>19</v>
      </c>
      <c r="Y27" s="100">
        <v>8116.8</v>
      </c>
      <c r="Z27" s="100">
        <v>12</v>
      </c>
      <c r="AA27" s="100">
        <v>5126.3999999999996</v>
      </c>
      <c r="AB27" s="100">
        <v>13</v>
      </c>
      <c r="AC27" s="100">
        <v>5553.5999999999995</v>
      </c>
      <c r="AD27" s="100">
        <v>16</v>
      </c>
      <c r="AE27" s="100">
        <v>6835.2</v>
      </c>
      <c r="AF27" s="100">
        <v>18</v>
      </c>
      <c r="AG27" s="100">
        <v>7689.5999999999995</v>
      </c>
      <c r="AH27" s="100">
        <v>15</v>
      </c>
      <c r="AI27" s="100">
        <v>6408</v>
      </c>
      <c r="AJ27" s="100">
        <v>12</v>
      </c>
      <c r="AK27" s="100">
        <v>5126.3999999999996</v>
      </c>
      <c r="AL27" s="100">
        <v>12</v>
      </c>
      <c r="AM27" s="100">
        <v>5126.3999999999996</v>
      </c>
      <c r="AN27" s="100">
        <v>12</v>
      </c>
      <c r="AO27" s="100">
        <v>5126.3999999999996</v>
      </c>
      <c r="AP27" s="100">
        <v>10.435351602215476</v>
      </c>
      <c r="AQ27" s="100">
        <v>4457.9822044664515</v>
      </c>
      <c r="AR27" s="100">
        <v>13</v>
      </c>
      <c r="AS27" s="100">
        <v>5553.5999999999995</v>
      </c>
      <c r="AT27" s="100">
        <v>16</v>
      </c>
      <c r="AU27" s="100">
        <v>6835.2</v>
      </c>
      <c r="AV27" s="100">
        <v>20</v>
      </c>
      <c r="AW27" s="100">
        <v>8544</v>
      </c>
      <c r="AX27" s="100">
        <v>10.589600749458725</v>
      </c>
      <c r="AY27" s="100">
        <v>4523.877440168767</v>
      </c>
      <c r="AZ27" s="100">
        <v>11</v>
      </c>
      <c r="BA27" s="100">
        <v>4699.2</v>
      </c>
      <c r="BB27" s="100">
        <v>16.390516017429576</v>
      </c>
      <c r="BC27" s="100">
        <v>7002.0284426459148</v>
      </c>
      <c r="BD27" s="100">
        <v>19</v>
      </c>
      <c r="BE27" s="100">
        <v>8116.8</v>
      </c>
      <c r="BF27" s="100">
        <v>19</v>
      </c>
      <c r="BG27" s="100">
        <v>8116.8</v>
      </c>
      <c r="BH27" s="100">
        <v>19</v>
      </c>
      <c r="BI27" s="100">
        <v>8116.8</v>
      </c>
      <c r="BJ27" s="100">
        <v>20</v>
      </c>
      <c r="BK27" s="100">
        <v>8544</v>
      </c>
      <c r="BL27" s="100">
        <v>17.568585776410963</v>
      </c>
      <c r="BM27" s="100">
        <v>7505.2998436827629</v>
      </c>
      <c r="BN27" s="100">
        <v>10.347128154610921</v>
      </c>
      <c r="BO27" s="100">
        <v>4420.2931476497852</v>
      </c>
      <c r="BP27" s="100">
        <v>3.6980696331286587</v>
      </c>
      <c r="BQ27" s="100">
        <v>1579.815347272563</v>
      </c>
      <c r="BR27" s="100">
        <v>13</v>
      </c>
      <c r="BS27" s="100">
        <v>5553.5999999999995</v>
      </c>
      <c r="BT27" s="100">
        <v>16</v>
      </c>
      <c r="BU27" s="100">
        <v>6835.2</v>
      </c>
      <c r="BV27" s="100">
        <v>14</v>
      </c>
      <c r="BW27" s="100">
        <v>5980.8</v>
      </c>
      <c r="BX27" s="100">
        <v>13</v>
      </c>
      <c r="BY27" s="100">
        <v>5553.5999999999995</v>
      </c>
      <c r="BZ27" s="100">
        <v>12</v>
      </c>
      <c r="CA27" s="100">
        <v>5126.3999999999996</v>
      </c>
      <c r="CB27" s="100">
        <v>23</v>
      </c>
      <c r="CC27" s="100">
        <v>9825.6</v>
      </c>
      <c r="CD27" s="100">
        <v>9.8271468753798814</v>
      </c>
      <c r="CE27" s="100">
        <v>4198.1571451622849</v>
      </c>
      <c r="CF27" s="100">
        <v>21</v>
      </c>
      <c r="CG27" s="100">
        <v>8971.1999999999989</v>
      </c>
      <c r="CH27" s="100">
        <v>1.0154639952414468</v>
      </c>
      <c r="CI27" s="100">
        <v>433.80621876714605</v>
      </c>
      <c r="CJ27" s="100">
        <v>14</v>
      </c>
      <c r="CK27" s="100">
        <v>5980.8</v>
      </c>
      <c r="CL27" s="100">
        <v>17</v>
      </c>
      <c r="CM27" s="100">
        <v>7262.4</v>
      </c>
      <c r="CN27" s="100">
        <v>20</v>
      </c>
      <c r="CO27" s="100">
        <v>8544</v>
      </c>
      <c r="CP27" s="100">
        <v>18</v>
      </c>
      <c r="CQ27" s="100">
        <v>7689.5999999999995</v>
      </c>
      <c r="CR27" s="100">
        <v>24</v>
      </c>
      <c r="CS27" s="100">
        <v>10252.799999999999</v>
      </c>
      <c r="CT27" s="100">
        <v>1.5856346985496474</v>
      </c>
      <c r="CU27" s="100">
        <v>677.38314322040935</v>
      </c>
    </row>
    <row r="28" spans="2:99">
      <c r="C28" s="99" t="s">
        <v>194</v>
      </c>
      <c r="D28" s="100">
        <v>13.314353260418541</v>
      </c>
      <c r="E28" s="100">
        <v>9825.9927061888829</v>
      </c>
      <c r="F28" s="100">
        <v>0</v>
      </c>
      <c r="G28" s="100">
        <v>0</v>
      </c>
      <c r="H28" s="100">
        <v>15</v>
      </c>
      <c r="I28" s="100">
        <v>11070</v>
      </c>
      <c r="J28" s="100">
        <v>16</v>
      </c>
      <c r="K28" s="100">
        <v>11808</v>
      </c>
      <c r="L28" s="100">
        <v>17.41853874803083</v>
      </c>
      <c r="M28" s="100">
        <v>12854.881596046753</v>
      </c>
      <c r="N28" s="100">
        <v>11.85898783743054</v>
      </c>
      <c r="O28" s="100">
        <v>8751.9330240237377</v>
      </c>
      <c r="P28" s="100">
        <v>4.6487536527315498</v>
      </c>
      <c r="Q28" s="100">
        <v>3430.7801957158836</v>
      </c>
      <c r="R28" s="100">
        <v>15</v>
      </c>
      <c r="S28" s="100">
        <v>11070</v>
      </c>
      <c r="T28" s="100">
        <v>14</v>
      </c>
      <c r="U28" s="100">
        <v>10332</v>
      </c>
      <c r="V28" s="100">
        <v>1.6544931375490863</v>
      </c>
      <c r="W28" s="100">
        <v>1221.0159355112257</v>
      </c>
      <c r="X28" s="100">
        <v>20</v>
      </c>
      <c r="Y28" s="100">
        <v>14760</v>
      </c>
      <c r="Z28" s="100">
        <v>13</v>
      </c>
      <c r="AA28" s="100">
        <v>9594</v>
      </c>
      <c r="AB28" s="100">
        <v>13</v>
      </c>
      <c r="AC28" s="100">
        <v>9594</v>
      </c>
      <c r="AD28" s="100">
        <v>14</v>
      </c>
      <c r="AE28" s="100">
        <v>10332</v>
      </c>
      <c r="AF28" s="100">
        <v>19</v>
      </c>
      <c r="AG28" s="100">
        <v>14022</v>
      </c>
      <c r="AH28" s="100">
        <v>15</v>
      </c>
      <c r="AI28" s="100">
        <v>11070</v>
      </c>
      <c r="AJ28" s="100">
        <v>12</v>
      </c>
      <c r="AK28" s="100">
        <v>8856</v>
      </c>
      <c r="AL28" s="100">
        <v>13</v>
      </c>
      <c r="AM28" s="100">
        <v>9594</v>
      </c>
      <c r="AN28" s="100">
        <v>12</v>
      </c>
      <c r="AO28" s="100">
        <v>8856</v>
      </c>
      <c r="AP28" s="100">
        <v>10.957119182326251</v>
      </c>
      <c r="AQ28" s="100">
        <v>8086.3539565567726</v>
      </c>
      <c r="AR28" s="100">
        <v>12</v>
      </c>
      <c r="AS28" s="100">
        <v>8856</v>
      </c>
      <c r="AT28" s="100">
        <v>13</v>
      </c>
      <c r="AU28" s="100">
        <v>9594</v>
      </c>
      <c r="AV28" s="100">
        <v>21</v>
      </c>
      <c r="AW28" s="100">
        <v>15498</v>
      </c>
      <c r="AX28" s="100">
        <v>9.6269097722352051</v>
      </c>
      <c r="AY28" s="100">
        <v>7104.6594119095816</v>
      </c>
      <c r="AZ28" s="100">
        <v>12</v>
      </c>
      <c r="BA28" s="100">
        <v>8856</v>
      </c>
      <c r="BB28" s="100">
        <v>14.665198541910673</v>
      </c>
      <c r="BC28" s="100">
        <v>10822.916523930076</v>
      </c>
      <c r="BD28" s="100">
        <v>18</v>
      </c>
      <c r="BE28" s="100">
        <v>13284</v>
      </c>
      <c r="BF28" s="100">
        <v>21</v>
      </c>
      <c r="BG28" s="100">
        <v>15498</v>
      </c>
      <c r="BH28" s="100">
        <v>19</v>
      </c>
      <c r="BI28" s="100">
        <v>14022</v>
      </c>
      <c r="BJ28" s="100">
        <v>18</v>
      </c>
      <c r="BK28" s="100">
        <v>13284</v>
      </c>
      <c r="BL28" s="100">
        <v>16.040882665418707</v>
      </c>
      <c r="BM28" s="100">
        <v>11838.171407079006</v>
      </c>
      <c r="BN28" s="100">
        <v>9.7004326449477389</v>
      </c>
      <c r="BO28" s="100">
        <v>7158.9192919714314</v>
      </c>
      <c r="BP28" s="100">
        <v>3.1291358434165577</v>
      </c>
      <c r="BQ28" s="100">
        <v>2309.3022524414196</v>
      </c>
      <c r="BR28" s="100">
        <v>11</v>
      </c>
      <c r="BS28" s="100">
        <v>8118</v>
      </c>
      <c r="BT28" s="100">
        <v>16</v>
      </c>
      <c r="BU28" s="100">
        <v>11808</v>
      </c>
      <c r="BV28" s="100">
        <v>13</v>
      </c>
      <c r="BW28" s="100">
        <v>9594</v>
      </c>
      <c r="BX28" s="100">
        <v>11</v>
      </c>
      <c r="BY28" s="100">
        <v>8118</v>
      </c>
      <c r="BZ28" s="100">
        <v>12</v>
      </c>
      <c r="CA28" s="100">
        <v>8856</v>
      </c>
      <c r="CB28" s="100">
        <v>21</v>
      </c>
      <c r="CC28" s="100">
        <v>15498</v>
      </c>
      <c r="CD28" s="100">
        <v>9.8271468753798814</v>
      </c>
      <c r="CE28" s="100">
        <v>7252.4343940303525</v>
      </c>
      <c r="CF28" s="100">
        <v>19</v>
      </c>
      <c r="CG28" s="100">
        <v>14022</v>
      </c>
      <c r="CH28" s="100">
        <v>1.0638194235862777</v>
      </c>
      <c r="CI28" s="100">
        <v>785.09873460667291</v>
      </c>
      <c r="CJ28" s="100">
        <v>12</v>
      </c>
      <c r="CK28" s="100">
        <v>8856</v>
      </c>
      <c r="CL28" s="100">
        <v>16</v>
      </c>
      <c r="CM28" s="100">
        <v>11808</v>
      </c>
      <c r="CN28" s="100">
        <v>18</v>
      </c>
      <c r="CO28" s="100">
        <v>13284</v>
      </c>
      <c r="CP28" s="100">
        <v>21</v>
      </c>
      <c r="CQ28" s="100">
        <v>15498</v>
      </c>
      <c r="CR28" s="100">
        <v>25</v>
      </c>
      <c r="CS28" s="100">
        <v>18450</v>
      </c>
      <c r="CT28" s="100">
        <v>1.5856346985496474</v>
      </c>
      <c r="CU28" s="100">
        <v>1170.1984075296398</v>
      </c>
    </row>
    <row r="29" spans="2:99">
      <c r="C29" s="99" t="s">
        <v>195</v>
      </c>
      <c r="D29" s="100">
        <v>16.642941575523174</v>
      </c>
      <c r="E29" s="100">
        <v>5631.9714291570417</v>
      </c>
      <c r="F29" s="100">
        <v>0</v>
      </c>
      <c r="G29" s="100">
        <v>0</v>
      </c>
      <c r="H29" s="100">
        <v>16</v>
      </c>
      <c r="I29" s="100">
        <v>5414.4</v>
      </c>
      <c r="J29" s="100">
        <v>18</v>
      </c>
      <c r="K29" s="100">
        <v>6091.2</v>
      </c>
      <c r="L29" s="100">
        <v>16.547611810629288</v>
      </c>
      <c r="M29" s="100">
        <v>5599.7118367169505</v>
      </c>
      <c r="N29" s="100">
        <v>12.649587026592576</v>
      </c>
      <c r="O29" s="100">
        <v>4280.620249798927</v>
      </c>
      <c r="P29" s="100">
        <v>4.9393007560272721</v>
      </c>
      <c r="Q29" s="100">
        <v>1671.4593758396288</v>
      </c>
      <c r="R29" s="100">
        <v>15</v>
      </c>
      <c r="S29" s="100">
        <v>5076</v>
      </c>
      <c r="T29" s="100">
        <v>15</v>
      </c>
      <c r="U29" s="100">
        <v>5076</v>
      </c>
      <c r="V29" s="100">
        <v>1.7578989586459044</v>
      </c>
      <c r="W29" s="100">
        <v>594.87300760577398</v>
      </c>
      <c r="X29" s="100">
        <v>18</v>
      </c>
      <c r="Y29" s="100">
        <v>6091.2</v>
      </c>
      <c r="Z29" s="100">
        <v>11</v>
      </c>
      <c r="AA29" s="100">
        <v>3722.3999999999996</v>
      </c>
      <c r="AB29" s="100">
        <v>12</v>
      </c>
      <c r="AC29" s="100">
        <v>4060.7999999999997</v>
      </c>
      <c r="AD29" s="100">
        <v>14</v>
      </c>
      <c r="AE29" s="100">
        <v>4737.5999999999995</v>
      </c>
      <c r="AF29" s="100">
        <v>21</v>
      </c>
      <c r="AG29" s="100">
        <v>7106.4</v>
      </c>
      <c r="AH29" s="100">
        <v>15</v>
      </c>
      <c r="AI29" s="100">
        <v>5076</v>
      </c>
      <c r="AJ29" s="100">
        <v>13</v>
      </c>
      <c r="AK29" s="100">
        <v>4399.2</v>
      </c>
      <c r="AL29" s="100">
        <v>11</v>
      </c>
      <c r="AM29" s="100">
        <v>3722.3999999999996</v>
      </c>
      <c r="AN29" s="100">
        <v>14</v>
      </c>
      <c r="AO29" s="100">
        <v>4737.5999999999995</v>
      </c>
      <c r="AP29" s="100">
        <v>9.9135840221047022</v>
      </c>
      <c r="AQ29" s="100">
        <v>3354.756833080231</v>
      </c>
      <c r="AR29" s="100">
        <v>12</v>
      </c>
      <c r="AS29" s="100">
        <v>4060.7999999999997</v>
      </c>
      <c r="AT29" s="100">
        <v>15</v>
      </c>
      <c r="AU29" s="100">
        <v>5076</v>
      </c>
      <c r="AV29" s="100">
        <v>20</v>
      </c>
      <c r="AW29" s="100">
        <v>6768</v>
      </c>
      <c r="AX29" s="100">
        <v>9.145564283623445</v>
      </c>
      <c r="AY29" s="100">
        <v>3094.8589535781734</v>
      </c>
      <c r="AZ29" s="100">
        <v>13</v>
      </c>
      <c r="BA29" s="100">
        <v>4399.2</v>
      </c>
      <c r="BB29" s="100">
        <v>16.390516017429576</v>
      </c>
      <c r="BC29" s="100">
        <v>5546.5506202981678</v>
      </c>
      <c r="BD29" s="100">
        <v>21</v>
      </c>
      <c r="BE29" s="100">
        <v>7106.4</v>
      </c>
      <c r="BF29" s="100">
        <v>21</v>
      </c>
      <c r="BG29" s="100">
        <v>7106.4</v>
      </c>
      <c r="BH29" s="100">
        <v>18</v>
      </c>
      <c r="BI29" s="100">
        <v>6091.2</v>
      </c>
      <c r="BJ29" s="100">
        <v>20</v>
      </c>
      <c r="BK29" s="100">
        <v>6768</v>
      </c>
      <c r="BL29" s="100">
        <v>15.277031109922577</v>
      </c>
      <c r="BM29" s="100">
        <v>5169.7473275978</v>
      </c>
      <c r="BN29" s="100">
        <v>10.993823664274105</v>
      </c>
      <c r="BO29" s="100">
        <v>3720.3099279903568</v>
      </c>
      <c r="BP29" s="100">
        <v>3.6980696331286587</v>
      </c>
      <c r="BQ29" s="100">
        <v>1251.4267638507381</v>
      </c>
      <c r="BR29" s="100">
        <v>12</v>
      </c>
      <c r="BS29" s="100">
        <v>4060.7999999999997</v>
      </c>
      <c r="BT29" s="100">
        <v>14</v>
      </c>
      <c r="BU29" s="100">
        <v>4737.5999999999995</v>
      </c>
      <c r="BV29" s="100">
        <v>14</v>
      </c>
      <c r="BW29" s="100">
        <v>4737.5999999999995</v>
      </c>
      <c r="BX29" s="100">
        <v>13</v>
      </c>
      <c r="BY29" s="100">
        <v>4399.2</v>
      </c>
      <c r="BZ29" s="100">
        <v>12</v>
      </c>
      <c r="CA29" s="100">
        <v>4060.7999999999997</v>
      </c>
      <c r="CB29" s="100">
        <v>22</v>
      </c>
      <c r="CC29" s="100">
        <v>7444.7999999999993</v>
      </c>
      <c r="CD29" s="100">
        <v>9.0712125003506596</v>
      </c>
      <c r="CE29" s="100">
        <v>3069.6983101186629</v>
      </c>
      <c r="CF29" s="100">
        <v>21</v>
      </c>
      <c r="CG29" s="100">
        <v>7106.4</v>
      </c>
      <c r="CH29" s="100">
        <v>0.96710856689661617</v>
      </c>
      <c r="CI29" s="100">
        <v>327.26953903781487</v>
      </c>
      <c r="CJ29" s="100">
        <v>14</v>
      </c>
      <c r="CK29" s="100">
        <v>4737.5999999999995</v>
      </c>
      <c r="CL29" s="100">
        <v>17</v>
      </c>
      <c r="CM29" s="100">
        <v>5752.7999999999993</v>
      </c>
      <c r="CN29" s="100">
        <v>21</v>
      </c>
      <c r="CO29" s="100">
        <v>7106.4</v>
      </c>
      <c r="CP29" s="100">
        <v>21</v>
      </c>
      <c r="CQ29" s="100">
        <v>7106.4</v>
      </c>
      <c r="CR29" s="100">
        <v>23</v>
      </c>
      <c r="CS29" s="100">
        <v>7783.2</v>
      </c>
      <c r="CT29" s="100">
        <v>1.5856346985496474</v>
      </c>
      <c r="CU29" s="100">
        <v>536.57878198920071</v>
      </c>
    </row>
    <row r="30" spans="2:99">
      <c r="C30" s="99" t="s">
        <v>196</v>
      </c>
      <c r="D30" s="100">
        <v>14.1465003391947</v>
      </c>
      <c r="E30" s="100">
        <v>1969.1928472159022</v>
      </c>
      <c r="F30" s="100">
        <v>0</v>
      </c>
      <c r="G30" s="100">
        <v>0</v>
      </c>
      <c r="H30" s="100">
        <v>17</v>
      </c>
      <c r="I30" s="100">
        <v>2366.3999999999996</v>
      </c>
      <c r="J30" s="100">
        <v>17</v>
      </c>
      <c r="K30" s="100">
        <v>2366.3999999999996</v>
      </c>
      <c r="L30" s="100">
        <v>18.289465685432376</v>
      </c>
      <c r="M30" s="100">
        <v>2545.8936234121866</v>
      </c>
      <c r="N30" s="100">
        <v>12.649587026592576</v>
      </c>
      <c r="O30" s="100">
        <v>1760.8225141016865</v>
      </c>
      <c r="P30" s="100">
        <v>5.5203949626187159</v>
      </c>
      <c r="Q30" s="100">
        <v>768.43897879652513</v>
      </c>
      <c r="R30" s="100">
        <v>14</v>
      </c>
      <c r="S30" s="100">
        <v>1948.7999999999997</v>
      </c>
      <c r="T30" s="100">
        <v>17</v>
      </c>
      <c r="U30" s="100">
        <v>2366.3999999999996</v>
      </c>
      <c r="V30" s="100">
        <v>1.7578989586459044</v>
      </c>
      <c r="W30" s="100">
        <v>244.69953504350988</v>
      </c>
      <c r="X30" s="100">
        <v>19</v>
      </c>
      <c r="Y30" s="100">
        <v>2644.7999999999997</v>
      </c>
      <c r="Z30" s="100">
        <v>14</v>
      </c>
      <c r="AA30" s="100">
        <v>1948.7999999999997</v>
      </c>
      <c r="AB30" s="100">
        <v>12</v>
      </c>
      <c r="AC30" s="100">
        <v>1670.3999999999999</v>
      </c>
      <c r="AD30" s="100">
        <v>15</v>
      </c>
      <c r="AE30" s="100">
        <v>2088</v>
      </c>
      <c r="AF30" s="100">
        <v>20</v>
      </c>
      <c r="AG30" s="100">
        <v>2784</v>
      </c>
      <c r="AH30" s="100">
        <v>15</v>
      </c>
      <c r="AI30" s="100">
        <v>2088</v>
      </c>
      <c r="AJ30" s="100">
        <v>12</v>
      </c>
      <c r="AK30" s="100">
        <v>1670.3999999999999</v>
      </c>
      <c r="AL30" s="100">
        <v>13</v>
      </c>
      <c r="AM30" s="100">
        <v>1809.6</v>
      </c>
      <c r="AN30" s="100">
        <v>12</v>
      </c>
      <c r="AO30" s="100">
        <v>1670.3999999999999</v>
      </c>
      <c r="AP30" s="100">
        <v>10.435351602215476</v>
      </c>
      <c r="AQ30" s="100">
        <v>1452.6009430283941</v>
      </c>
      <c r="AR30" s="100">
        <v>11</v>
      </c>
      <c r="AS30" s="100">
        <v>1531.1999999999998</v>
      </c>
      <c r="AT30" s="100">
        <v>15</v>
      </c>
      <c r="AU30" s="100">
        <v>2088</v>
      </c>
      <c r="AV30" s="100">
        <v>20</v>
      </c>
      <c r="AW30" s="100">
        <v>2784</v>
      </c>
      <c r="AX30" s="100">
        <v>10.589600749458725</v>
      </c>
      <c r="AY30" s="100">
        <v>1474.0724243246543</v>
      </c>
      <c r="AZ30" s="100">
        <v>12</v>
      </c>
      <c r="BA30" s="100">
        <v>1670.3999999999999</v>
      </c>
      <c r="BB30" s="100">
        <v>16.390516017429576</v>
      </c>
      <c r="BC30" s="100">
        <v>2281.5598296261969</v>
      </c>
      <c r="BD30" s="100">
        <v>19</v>
      </c>
      <c r="BE30" s="100">
        <v>2644.7999999999997</v>
      </c>
      <c r="BF30" s="100">
        <v>19</v>
      </c>
      <c r="BG30" s="100">
        <v>2644.7999999999997</v>
      </c>
      <c r="BH30" s="100">
        <v>18</v>
      </c>
      <c r="BI30" s="100">
        <v>2505.6</v>
      </c>
      <c r="BJ30" s="100">
        <v>19</v>
      </c>
      <c r="BK30" s="100">
        <v>2644.7999999999997</v>
      </c>
      <c r="BL30" s="100">
        <v>17.568585776410963</v>
      </c>
      <c r="BM30" s="100">
        <v>2445.5471400764059</v>
      </c>
      <c r="BN30" s="100">
        <v>9.7004326449477389</v>
      </c>
      <c r="BO30" s="100">
        <v>1350.3002241767251</v>
      </c>
      <c r="BP30" s="100">
        <v>3.6980696331286587</v>
      </c>
      <c r="BQ30" s="100">
        <v>514.77129293150927</v>
      </c>
      <c r="BR30" s="100">
        <v>13</v>
      </c>
      <c r="BS30" s="100">
        <v>1809.6</v>
      </c>
      <c r="BT30" s="100">
        <v>16</v>
      </c>
      <c r="BU30" s="100">
        <v>2227.1999999999998</v>
      </c>
      <c r="BV30" s="100">
        <v>13</v>
      </c>
      <c r="BW30" s="100">
        <v>1809.6</v>
      </c>
      <c r="BX30" s="100">
        <v>14</v>
      </c>
      <c r="BY30" s="100">
        <v>1948.7999999999997</v>
      </c>
      <c r="BZ30" s="100">
        <v>13</v>
      </c>
      <c r="CA30" s="100">
        <v>1809.6</v>
      </c>
      <c r="CB30" s="100">
        <v>22</v>
      </c>
      <c r="CC30" s="100">
        <v>3062.3999999999996</v>
      </c>
      <c r="CD30" s="100">
        <v>9.8271468753798814</v>
      </c>
      <c r="CE30" s="100">
        <v>1367.9388450528793</v>
      </c>
      <c r="CF30" s="100">
        <v>19</v>
      </c>
      <c r="CG30" s="100">
        <v>2644.7999999999997</v>
      </c>
      <c r="CH30" s="100">
        <v>0.96710856689661617</v>
      </c>
      <c r="CI30" s="100">
        <v>134.62151251200896</v>
      </c>
      <c r="CJ30" s="100">
        <v>13</v>
      </c>
      <c r="CK30" s="100">
        <v>1809.6</v>
      </c>
      <c r="CL30" s="100">
        <v>17</v>
      </c>
      <c r="CM30" s="100">
        <v>2366.3999999999996</v>
      </c>
      <c r="CN30" s="100">
        <v>19</v>
      </c>
      <c r="CO30" s="100">
        <v>2644.7999999999997</v>
      </c>
      <c r="CP30" s="100">
        <v>21</v>
      </c>
      <c r="CQ30" s="100">
        <v>2923.2</v>
      </c>
      <c r="CR30" s="100">
        <v>25</v>
      </c>
      <c r="CS30" s="100">
        <v>3479.9999999999995</v>
      </c>
      <c r="CT30" s="100">
        <v>1.6690891563680499</v>
      </c>
      <c r="CU30" s="100">
        <v>232.33721056643253</v>
      </c>
    </row>
    <row r="31" spans="2:99">
      <c r="C31" s="99" t="s">
        <v>197</v>
      </c>
      <c r="D31" s="100">
        <v>14.978647417970858</v>
      </c>
      <c r="E31" s="100">
        <v>5104.7230400444687</v>
      </c>
      <c r="F31" s="100">
        <v>0</v>
      </c>
      <c r="G31" s="100">
        <v>0</v>
      </c>
      <c r="H31" s="100">
        <v>16</v>
      </c>
      <c r="I31" s="100">
        <v>5452.8</v>
      </c>
      <c r="J31" s="100">
        <v>16</v>
      </c>
      <c r="K31" s="100">
        <v>5452.8</v>
      </c>
      <c r="L31" s="100">
        <v>16.547611810629288</v>
      </c>
      <c r="M31" s="100">
        <v>5639.4261050624618</v>
      </c>
      <c r="N31" s="100">
        <v>11.85898783743054</v>
      </c>
      <c r="O31" s="100">
        <v>4041.543054996328</v>
      </c>
      <c r="P31" s="100">
        <v>5.2298478593229936</v>
      </c>
      <c r="Q31" s="100">
        <v>1782.3321504572762</v>
      </c>
      <c r="R31" s="100">
        <v>15</v>
      </c>
      <c r="S31" s="100">
        <v>5112</v>
      </c>
      <c r="T31" s="100">
        <v>16</v>
      </c>
      <c r="U31" s="100">
        <v>5452.8</v>
      </c>
      <c r="V31" s="100">
        <v>1.7578989586459044</v>
      </c>
      <c r="W31" s="100">
        <v>599.09196510652419</v>
      </c>
      <c r="X31" s="100">
        <v>19</v>
      </c>
      <c r="Y31" s="100">
        <v>6475.2</v>
      </c>
      <c r="Z31" s="100">
        <v>13</v>
      </c>
      <c r="AA31" s="100">
        <v>4430.4000000000005</v>
      </c>
      <c r="AB31" s="100">
        <v>13</v>
      </c>
      <c r="AC31" s="100">
        <v>4430.4000000000005</v>
      </c>
      <c r="AD31" s="100">
        <v>16</v>
      </c>
      <c r="AE31" s="100">
        <v>5452.8</v>
      </c>
      <c r="AF31" s="100">
        <v>19</v>
      </c>
      <c r="AG31" s="100">
        <v>6475.2</v>
      </c>
      <c r="AH31" s="100">
        <v>15</v>
      </c>
      <c r="AI31" s="100">
        <v>5112</v>
      </c>
      <c r="AJ31" s="100">
        <v>12</v>
      </c>
      <c r="AK31" s="100">
        <v>4089.6000000000004</v>
      </c>
      <c r="AL31" s="100">
        <v>11</v>
      </c>
      <c r="AM31" s="100">
        <v>3748.8</v>
      </c>
      <c r="AN31" s="100">
        <v>13</v>
      </c>
      <c r="AO31" s="100">
        <v>4430.4000000000005</v>
      </c>
      <c r="AP31" s="100">
        <v>10.957119182326251</v>
      </c>
      <c r="AQ31" s="100">
        <v>3734.1862173367863</v>
      </c>
      <c r="AR31" s="100">
        <v>10</v>
      </c>
      <c r="AS31" s="100">
        <v>3408</v>
      </c>
      <c r="AT31" s="100">
        <v>14</v>
      </c>
      <c r="AU31" s="100">
        <v>4771.2</v>
      </c>
      <c r="AV31" s="100">
        <v>18</v>
      </c>
      <c r="AW31" s="100">
        <v>6134.4000000000005</v>
      </c>
      <c r="AX31" s="100">
        <v>9.6269097722352051</v>
      </c>
      <c r="AY31" s="100">
        <v>3280.850850377758</v>
      </c>
      <c r="AZ31" s="100">
        <v>12</v>
      </c>
      <c r="BA31" s="100">
        <v>4089.6000000000004</v>
      </c>
      <c r="BB31" s="100">
        <v>16.390516017429576</v>
      </c>
      <c r="BC31" s="100">
        <v>5585.8878587399995</v>
      </c>
      <c r="BD31" s="100">
        <v>19</v>
      </c>
      <c r="BE31" s="100">
        <v>6475.2</v>
      </c>
      <c r="BF31" s="100">
        <v>19</v>
      </c>
      <c r="BG31" s="100">
        <v>6475.2</v>
      </c>
      <c r="BH31" s="100">
        <v>20</v>
      </c>
      <c r="BI31" s="100">
        <v>6816</v>
      </c>
      <c r="BJ31" s="100">
        <v>17</v>
      </c>
      <c r="BK31" s="100">
        <v>5793.6</v>
      </c>
      <c r="BL31" s="100">
        <v>16.040882665418707</v>
      </c>
      <c r="BM31" s="100">
        <v>5466.7328123746956</v>
      </c>
      <c r="BN31" s="100">
        <v>9.7004326449477389</v>
      </c>
      <c r="BO31" s="100">
        <v>3305.9074453981893</v>
      </c>
      <c r="BP31" s="100">
        <v>3.9825365279847098</v>
      </c>
      <c r="BQ31" s="100">
        <v>1357.2484487371892</v>
      </c>
      <c r="BR31" s="100">
        <v>13</v>
      </c>
      <c r="BS31" s="100">
        <v>4430.4000000000005</v>
      </c>
      <c r="BT31" s="100">
        <v>16</v>
      </c>
      <c r="BU31" s="100">
        <v>5452.8</v>
      </c>
      <c r="BV31" s="100">
        <v>14</v>
      </c>
      <c r="BW31" s="100">
        <v>4771.2</v>
      </c>
      <c r="BX31" s="100">
        <v>13</v>
      </c>
      <c r="BY31" s="100">
        <v>4430.4000000000005</v>
      </c>
      <c r="BZ31" s="100">
        <v>12</v>
      </c>
      <c r="CA31" s="100">
        <v>4089.6000000000004</v>
      </c>
      <c r="CB31" s="100">
        <v>21</v>
      </c>
      <c r="CC31" s="100">
        <v>7156.8</v>
      </c>
      <c r="CD31" s="100">
        <v>9.8271468753798814</v>
      </c>
      <c r="CE31" s="100">
        <v>3349.0916551294636</v>
      </c>
      <c r="CF31" s="100">
        <v>19</v>
      </c>
      <c r="CG31" s="100">
        <v>6475.2</v>
      </c>
      <c r="CH31" s="100">
        <v>1.1121748519311085</v>
      </c>
      <c r="CI31" s="100">
        <v>379.02918953812178</v>
      </c>
      <c r="CJ31" s="100">
        <v>13</v>
      </c>
      <c r="CK31" s="100">
        <v>4430.4000000000005</v>
      </c>
      <c r="CL31" s="100">
        <v>15</v>
      </c>
      <c r="CM31" s="100">
        <v>5112</v>
      </c>
      <c r="CN31" s="100">
        <v>21</v>
      </c>
      <c r="CO31" s="100">
        <v>7156.8</v>
      </c>
      <c r="CP31" s="100">
        <v>20</v>
      </c>
      <c r="CQ31" s="100">
        <v>6816</v>
      </c>
      <c r="CR31" s="100">
        <v>22</v>
      </c>
      <c r="CS31" s="100">
        <v>7497.6</v>
      </c>
      <c r="CT31" s="100">
        <v>1.5021802407312448</v>
      </c>
      <c r="CU31" s="100">
        <v>511.94302604120821</v>
      </c>
    </row>
    <row r="32" spans="2:99">
      <c r="C32" s="99" t="s">
        <v>198</v>
      </c>
      <c r="D32" s="100">
        <v>14.978647417970858</v>
      </c>
      <c r="E32" s="100">
        <v>12582.063831095522</v>
      </c>
      <c r="F32" s="100">
        <v>0</v>
      </c>
      <c r="G32" s="100">
        <v>0</v>
      </c>
      <c r="H32" s="100">
        <v>15</v>
      </c>
      <c r="I32" s="100">
        <v>12600</v>
      </c>
      <c r="J32" s="100">
        <v>17</v>
      </c>
      <c r="K32" s="100">
        <v>14280</v>
      </c>
      <c r="L32" s="100">
        <v>15.676684873227748</v>
      </c>
      <c r="M32" s="100">
        <v>13168.415293511309</v>
      </c>
      <c r="N32" s="100">
        <v>14.230785404916647</v>
      </c>
      <c r="O32" s="100">
        <v>11953.859740129983</v>
      </c>
      <c r="P32" s="100">
        <v>5.5203949626187159</v>
      </c>
      <c r="Q32" s="100">
        <v>4637.131768599721</v>
      </c>
      <c r="R32" s="100">
        <v>13</v>
      </c>
      <c r="S32" s="100">
        <v>10920</v>
      </c>
      <c r="T32" s="100">
        <v>14</v>
      </c>
      <c r="U32" s="100">
        <v>11760</v>
      </c>
      <c r="V32" s="100">
        <v>1.4476814953554504</v>
      </c>
      <c r="W32" s="100">
        <v>1216.0524560985784</v>
      </c>
      <c r="X32" s="100">
        <v>19</v>
      </c>
      <c r="Y32" s="100">
        <v>15960</v>
      </c>
      <c r="Z32" s="100">
        <v>12</v>
      </c>
      <c r="AA32" s="100">
        <v>10080</v>
      </c>
      <c r="AB32" s="100">
        <v>13</v>
      </c>
      <c r="AC32" s="100">
        <v>10920</v>
      </c>
      <c r="AD32" s="100">
        <v>14</v>
      </c>
      <c r="AE32" s="100">
        <v>11760</v>
      </c>
      <c r="AF32" s="100">
        <v>20</v>
      </c>
      <c r="AG32" s="100">
        <v>16800</v>
      </c>
      <c r="AH32" s="100">
        <v>13</v>
      </c>
      <c r="AI32" s="100">
        <v>10920</v>
      </c>
      <c r="AJ32" s="100">
        <v>13</v>
      </c>
      <c r="AK32" s="100">
        <v>10920</v>
      </c>
      <c r="AL32" s="100">
        <v>11</v>
      </c>
      <c r="AM32" s="100">
        <v>9240</v>
      </c>
      <c r="AN32" s="100">
        <v>13</v>
      </c>
      <c r="AO32" s="100">
        <v>10920</v>
      </c>
      <c r="AP32" s="100">
        <v>10.957119182326251</v>
      </c>
      <c r="AQ32" s="100">
        <v>9203.9801131540498</v>
      </c>
      <c r="AR32" s="100">
        <v>12</v>
      </c>
      <c r="AS32" s="100">
        <v>10080</v>
      </c>
      <c r="AT32" s="100">
        <v>13</v>
      </c>
      <c r="AU32" s="100">
        <v>10920</v>
      </c>
      <c r="AV32" s="100">
        <v>19</v>
      </c>
      <c r="AW32" s="100">
        <v>15960</v>
      </c>
      <c r="AX32" s="100">
        <v>9.6269097722352051</v>
      </c>
      <c r="AY32" s="100">
        <v>8086.6042086775724</v>
      </c>
      <c r="AZ32" s="100">
        <v>11</v>
      </c>
      <c r="BA32" s="100">
        <v>9240</v>
      </c>
      <c r="BB32" s="100">
        <v>16.390516017429576</v>
      </c>
      <c r="BC32" s="100">
        <v>13768.033454640843</v>
      </c>
      <c r="BD32" s="100">
        <v>20</v>
      </c>
      <c r="BE32" s="100">
        <v>16800</v>
      </c>
      <c r="BF32" s="100">
        <v>19</v>
      </c>
      <c r="BG32" s="100">
        <v>15960</v>
      </c>
      <c r="BH32" s="100">
        <v>17</v>
      </c>
      <c r="BI32" s="100">
        <v>14280</v>
      </c>
      <c r="BJ32" s="100">
        <v>18</v>
      </c>
      <c r="BK32" s="100">
        <v>15120</v>
      </c>
      <c r="BL32" s="100">
        <v>14.513179554426449</v>
      </c>
      <c r="BM32" s="100">
        <v>12191.070825718218</v>
      </c>
      <c r="BN32" s="100">
        <v>10.347128154610921</v>
      </c>
      <c r="BO32" s="100">
        <v>8691.5876498731741</v>
      </c>
      <c r="BP32" s="100">
        <v>3.1291358434165577</v>
      </c>
      <c r="BQ32" s="100">
        <v>2628.4741084699085</v>
      </c>
      <c r="BR32" s="100">
        <v>13</v>
      </c>
      <c r="BS32" s="100">
        <v>10920</v>
      </c>
      <c r="BT32" s="100">
        <v>14</v>
      </c>
      <c r="BU32" s="100">
        <v>11760</v>
      </c>
      <c r="BV32" s="100">
        <v>13</v>
      </c>
      <c r="BW32" s="100">
        <v>10920</v>
      </c>
      <c r="BX32" s="100">
        <v>12</v>
      </c>
      <c r="BY32" s="100">
        <v>10080</v>
      </c>
      <c r="BZ32" s="100">
        <v>12</v>
      </c>
      <c r="CA32" s="100">
        <v>10080</v>
      </c>
      <c r="CB32" s="100">
        <v>22</v>
      </c>
      <c r="CC32" s="100">
        <v>18480</v>
      </c>
      <c r="CD32" s="100">
        <v>9.8271468753798814</v>
      </c>
      <c r="CE32" s="100">
        <v>8254.8033753191012</v>
      </c>
      <c r="CF32" s="100">
        <v>19</v>
      </c>
      <c r="CG32" s="100">
        <v>15960</v>
      </c>
      <c r="CH32" s="100">
        <v>0.96710856689661617</v>
      </c>
      <c r="CI32" s="100">
        <v>812.37119619315763</v>
      </c>
      <c r="CJ32" s="100">
        <v>13</v>
      </c>
      <c r="CK32" s="100">
        <v>10920</v>
      </c>
      <c r="CL32" s="100">
        <v>15</v>
      </c>
      <c r="CM32" s="100">
        <v>12600</v>
      </c>
      <c r="CN32" s="100">
        <v>19</v>
      </c>
      <c r="CO32" s="100">
        <v>15960</v>
      </c>
      <c r="CP32" s="100">
        <v>21</v>
      </c>
      <c r="CQ32" s="100">
        <v>17640</v>
      </c>
      <c r="CR32" s="100">
        <v>22</v>
      </c>
      <c r="CS32" s="100">
        <v>18480</v>
      </c>
      <c r="CT32" s="100">
        <v>1.6690891563680499</v>
      </c>
      <c r="CU32" s="100">
        <v>1402.0348913491619</v>
      </c>
    </row>
    <row r="33" spans="2:99">
      <c r="C33" s="99" t="s">
        <v>199</v>
      </c>
      <c r="D33" s="100">
        <v>14.1465003391947</v>
      </c>
      <c r="E33" s="100">
        <v>6705.4411607782877</v>
      </c>
      <c r="F33" s="100">
        <v>0</v>
      </c>
      <c r="G33" s="100">
        <v>0</v>
      </c>
      <c r="H33" s="100">
        <v>16</v>
      </c>
      <c r="I33" s="100">
        <v>7584</v>
      </c>
      <c r="J33" s="100">
        <v>15</v>
      </c>
      <c r="K33" s="100">
        <v>7110</v>
      </c>
      <c r="L33" s="100">
        <v>17.41853874803083</v>
      </c>
      <c r="M33" s="100">
        <v>8256.3873665666142</v>
      </c>
      <c r="N33" s="100">
        <v>12.649587026592576</v>
      </c>
      <c r="O33" s="100">
        <v>5995.9042506048809</v>
      </c>
      <c r="P33" s="100">
        <v>4.9393007560272721</v>
      </c>
      <c r="Q33" s="100">
        <v>2341.2285583569269</v>
      </c>
      <c r="R33" s="100">
        <v>13</v>
      </c>
      <c r="S33" s="100">
        <v>6162</v>
      </c>
      <c r="T33" s="100">
        <v>15</v>
      </c>
      <c r="U33" s="100">
        <v>7110</v>
      </c>
      <c r="V33" s="100">
        <v>1.4476814953554504</v>
      </c>
      <c r="W33" s="100">
        <v>686.20102879848355</v>
      </c>
      <c r="X33" s="100">
        <v>20</v>
      </c>
      <c r="Y33" s="100">
        <v>9480</v>
      </c>
      <c r="Z33" s="100">
        <v>12</v>
      </c>
      <c r="AA33" s="100">
        <v>5688</v>
      </c>
      <c r="AB33" s="100">
        <v>13</v>
      </c>
      <c r="AC33" s="100">
        <v>6162</v>
      </c>
      <c r="AD33" s="100">
        <v>15</v>
      </c>
      <c r="AE33" s="100">
        <v>7110</v>
      </c>
      <c r="AF33" s="100">
        <v>18</v>
      </c>
      <c r="AG33" s="100">
        <v>8532</v>
      </c>
      <c r="AH33" s="100">
        <v>13</v>
      </c>
      <c r="AI33" s="100">
        <v>6162</v>
      </c>
      <c r="AJ33" s="100">
        <v>14</v>
      </c>
      <c r="AK33" s="100">
        <v>6636</v>
      </c>
      <c r="AL33" s="100">
        <v>13</v>
      </c>
      <c r="AM33" s="100">
        <v>6162</v>
      </c>
      <c r="AN33" s="100">
        <v>12</v>
      </c>
      <c r="AO33" s="100">
        <v>5688</v>
      </c>
      <c r="AP33" s="100">
        <v>10.435351602215476</v>
      </c>
      <c r="AQ33" s="100">
        <v>4946.3566594501362</v>
      </c>
      <c r="AR33" s="100">
        <v>13</v>
      </c>
      <c r="AS33" s="100">
        <v>6162</v>
      </c>
      <c r="AT33" s="100">
        <v>14</v>
      </c>
      <c r="AU33" s="100">
        <v>6636</v>
      </c>
      <c r="AV33" s="100">
        <v>18</v>
      </c>
      <c r="AW33" s="100">
        <v>8532</v>
      </c>
      <c r="AX33" s="100">
        <v>9.145564283623445</v>
      </c>
      <c r="AY33" s="100">
        <v>4334.9974704375127</v>
      </c>
      <c r="AZ33" s="100">
        <v>11</v>
      </c>
      <c r="BA33" s="100">
        <v>5214</v>
      </c>
      <c r="BB33" s="100">
        <v>17.253174755189026</v>
      </c>
      <c r="BC33" s="100">
        <v>8178.0048339595978</v>
      </c>
      <c r="BD33" s="100">
        <v>20</v>
      </c>
      <c r="BE33" s="100">
        <v>9480</v>
      </c>
      <c r="BF33" s="100">
        <v>17</v>
      </c>
      <c r="BG33" s="100">
        <v>8058</v>
      </c>
      <c r="BH33" s="100">
        <v>18</v>
      </c>
      <c r="BI33" s="100">
        <v>8532</v>
      </c>
      <c r="BJ33" s="100">
        <v>17</v>
      </c>
      <c r="BK33" s="100">
        <v>8058</v>
      </c>
      <c r="BL33" s="100">
        <v>14.513179554426449</v>
      </c>
      <c r="BM33" s="100">
        <v>6879.2471087981367</v>
      </c>
      <c r="BN33" s="100">
        <v>9.0537371352845568</v>
      </c>
      <c r="BO33" s="100">
        <v>4291.4714021248801</v>
      </c>
      <c r="BP33" s="100">
        <v>3.6980696331286587</v>
      </c>
      <c r="BQ33" s="100">
        <v>1752.8850061029841</v>
      </c>
      <c r="BR33" s="100">
        <v>13</v>
      </c>
      <c r="BS33" s="100">
        <v>6162</v>
      </c>
      <c r="BT33" s="100">
        <v>14</v>
      </c>
      <c r="BU33" s="100">
        <v>6636</v>
      </c>
      <c r="BV33" s="100">
        <v>13</v>
      </c>
      <c r="BW33" s="100">
        <v>6162</v>
      </c>
      <c r="BX33" s="100">
        <v>12</v>
      </c>
      <c r="BY33" s="100">
        <v>5688</v>
      </c>
      <c r="BZ33" s="100">
        <v>14</v>
      </c>
      <c r="CA33" s="100">
        <v>6636</v>
      </c>
      <c r="CB33" s="100">
        <v>21</v>
      </c>
      <c r="CC33" s="100">
        <v>9954</v>
      </c>
      <c r="CD33" s="100">
        <v>9.0712125003506596</v>
      </c>
      <c r="CE33" s="100">
        <v>4299.7547251662127</v>
      </c>
      <c r="CF33" s="100">
        <v>21</v>
      </c>
      <c r="CG33" s="100">
        <v>9954</v>
      </c>
      <c r="CH33" s="100">
        <v>1.0154639952414468</v>
      </c>
      <c r="CI33" s="100">
        <v>481.32993374444578</v>
      </c>
      <c r="CJ33" s="100">
        <v>12</v>
      </c>
      <c r="CK33" s="100">
        <v>5688</v>
      </c>
      <c r="CL33" s="100">
        <v>16</v>
      </c>
      <c r="CM33" s="100">
        <v>7584</v>
      </c>
      <c r="CN33" s="100">
        <v>19</v>
      </c>
      <c r="CO33" s="100">
        <v>9006</v>
      </c>
      <c r="CP33" s="100">
        <v>19</v>
      </c>
      <c r="CQ33" s="100">
        <v>9006</v>
      </c>
      <c r="CR33" s="100">
        <v>23</v>
      </c>
      <c r="CS33" s="100">
        <v>10902</v>
      </c>
      <c r="CT33" s="100">
        <v>1.6690891563680499</v>
      </c>
      <c r="CU33" s="100">
        <v>791.1482601184556</v>
      </c>
    </row>
    <row r="34" spans="2:99">
      <c r="C34" s="99" t="s">
        <v>200</v>
      </c>
      <c r="D34" s="100">
        <v>15.810794496747016</v>
      </c>
      <c r="E34" s="100">
        <v>8670.6397020160639</v>
      </c>
      <c r="F34" s="100">
        <v>0</v>
      </c>
      <c r="G34" s="100">
        <v>0</v>
      </c>
      <c r="H34" s="100">
        <v>17</v>
      </c>
      <c r="I34" s="100">
        <v>9322.7999999999993</v>
      </c>
      <c r="J34" s="100">
        <v>16</v>
      </c>
      <c r="K34" s="100">
        <v>8774.4</v>
      </c>
      <c r="L34" s="100">
        <v>18.289465685432376</v>
      </c>
      <c r="M34" s="100">
        <v>10029.942981891114</v>
      </c>
      <c r="N34" s="100">
        <v>12.649587026592576</v>
      </c>
      <c r="O34" s="100">
        <v>6937.0335253833682</v>
      </c>
      <c r="P34" s="100">
        <v>4.6487536527315498</v>
      </c>
      <c r="Q34" s="100">
        <v>2549.3765031579819</v>
      </c>
      <c r="R34" s="100">
        <v>14</v>
      </c>
      <c r="S34" s="100">
        <v>7677.5999999999995</v>
      </c>
      <c r="T34" s="100">
        <v>16</v>
      </c>
      <c r="U34" s="100">
        <v>8774.4</v>
      </c>
      <c r="V34" s="100">
        <v>1.7578989586459044</v>
      </c>
      <c r="W34" s="100">
        <v>964.03178892141398</v>
      </c>
      <c r="X34" s="100">
        <v>20</v>
      </c>
      <c r="Y34" s="100">
        <v>10968</v>
      </c>
      <c r="Z34" s="100">
        <v>13</v>
      </c>
      <c r="AA34" s="100">
        <v>7129.2</v>
      </c>
      <c r="AB34" s="100">
        <v>13</v>
      </c>
      <c r="AC34" s="100">
        <v>7129.2</v>
      </c>
      <c r="AD34" s="100">
        <v>14</v>
      </c>
      <c r="AE34" s="100">
        <v>7677.5999999999995</v>
      </c>
      <c r="AF34" s="100">
        <v>17</v>
      </c>
      <c r="AG34" s="100">
        <v>9322.7999999999993</v>
      </c>
      <c r="AH34" s="100">
        <v>14</v>
      </c>
      <c r="AI34" s="100">
        <v>7677.5999999999995</v>
      </c>
      <c r="AJ34" s="100">
        <v>13</v>
      </c>
      <c r="AK34" s="100">
        <v>7129.2</v>
      </c>
      <c r="AL34" s="100">
        <v>12</v>
      </c>
      <c r="AM34" s="100">
        <v>6580.7999999999993</v>
      </c>
      <c r="AN34" s="100">
        <v>12</v>
      </c>
      <c r="AO34" s="100">
        <v>6580.7999999999993</v>
      </c>
      <c r="AP34" s="100">
        <v>10.957119182326251</v>
      </c>
      <c r="AQ34" s="100">
        <v>6008.8841595877157</v>
      </c>
      <c r="AR34" s="100">
        <v>12</v>
      </c>
      <c r="AS34" s="100">
        <v>6580.7999999999993</v>
      </c>
      <c r="AT34" s="100">
        <v>15</v>
      </c>
      <c r="AU34" s="100">
        <v>8226</v>
      </c>
      <c r="AV34" s="100">
        <v>20</v>
      </c>
      <c r="AW34" s="100">
        <v>10968</v>
      </c>
      <c r="AX34" s="100">
        <v>10.589600749458725</v>
      </c>
      <c r="AY34" s="100">
        <v>5807.3370510031646</v>
      </c>
      <c r="AZ34" s="100">
        <v>11</v>
      </c>
      <c r="BA34" s="100">
        <v>6032.4</v>
      </c>
      <c r="BB34" s="100">
        <v>15.527857279670126</v>
      </c>
      <c r="BC34" s="100">
        <v>8515.4769321710974</v>
      </c>
      <c r="BD34" s="100">
        <v>20</v>
      </c>
      <c r="BE34" s="100">
        <v>10968</v>
      </c>
      <c r="BF34" s="100">
        <v>21</v>
      </c>
      <c r="BG34" s="100">
        <v>11516.4</v>
      </c>
      <c r="BH34" s="100">
        <v>17</v>
      </c>
      <c r="BI34" s="100">
        <v>9322.7999999999993</v>
      </c>
      <c r="BJ34" s="100">
        <v>16</v>
      </c>
      <c r="BK34" s="100">
        <v>8774.4</v>
      </c>
      <c r="BL34" s="100">
        <v>16.040882665418707</v>
      </c>
      <c r="BM34" s="100">
        <v>8796.820053715619</v>
      </c>
      <c r="BN34" s="100">
        <v>10.347128154610921</v>
      </c>
      <c r="BO34" s="100">
        <v>5674.3650799886291</v>
      </c>
      <c r="BP34" s="100">
        <v>3.4136027382726084</v>
      </c>
      <c r="BQ34" s="100">
        <v>1872.0197416686983</v>
      </c>
      <c r="BR34" s="100">
        <v>13</v>
      </c>
      <c r="BS34" s="100">
        <v>7129.2</v>
      </c>
      <c r="BT34" s="100">
        <v>15</v>
      </c>
      <c r="BU34" s="100">
        <v>8226</v>
      </c>
      <c r="BV34" s="100">
        <v>13</v>
      </c>
      <c r="BW34" s="100">
        <v>7129.2</v>
      </c>
      <c r="BX34" s="100">
        <v>12</v>
      </c>
      <c r="BY34" s="100">
        <v>6580.7999999999993</v>
      </c>
      <c r="BZ34" s="100">
        <v>13</v>
      </c>
      <c r="CA34" s="100">
        <v>7129.2</v>
      </c>
      <c r="CB34" s="100">
        <v>24</v>
      </c>
      <c r="CC34" s="100">
        <v>13161.599999999999</v>
      </c>
      <c r="CD34" s="100">
        <v>10.583081250409103</v>
      </c>
      <c r="CE34" s="100">
        <v>5803.7617577243518</v>
      </c>
      <c r="CF34" s="100">
        <v>22</v>
      </c>
      <c r="CG34" s="100">
        <v>12064.8</v>
      </c>
      <c r="CH34" s="100">
        <v>1.0154639952414468</v>
      </c>
      <c r="CI34" s="100">
        <v>556.88045499040936</v>
      </c>
      <c r="CJ34" s="100">
        <v>13</v>
      </c>
      <c r="CK34" s="100">
        <v>7129.2</v>
      </c>
      <c r="CL34" s="100">
        <v>16</v>
      </c>
      <c r="CM34" s="100">
        <v>8774.4</v>
      </c>
      <c r="CN34" s="100">
        <v>21</v>
      </c>
      <c r="CO34" s="100">
        <v>11516.4</v>
      </c>
      <c r="CP34" s="100">
        <v>18</v>
      </c>
      <c r="CQ34" s="100">
        <v>9871.1999999999989</v>
      </c>
      <c r="CR34" s="100">
        <v>22</v>
      </c>
      <c r="CS34" s="100">
        <v>12064.8</v>
      </c>
      <c r="CT34" s="100">
        <v>1.5021802407312448</v>
      </c>
      <c r="CU34" s="100">
        <v>823.79564401701464</v>
      </c>
    </row>
    <row r="35" spans="2:99">
      <c r="C35" s="99" t="s">
        <v>201</v>
      </c>
      <c r="D35" s="100">
        <v>15.810794496747016</v>
      </c>
      <c r="E35" s="100">
        <v>7949.6674729643983</v>
      </c>
      <c r="F35" s="100">
        <v>0</v>
      </c>
      <c r="G35" s="100">
        <v>0</v>
      </c>
      <c r="H35" s="100">
        <v>14</v>
      </c>
      <c r="I35" s="100">
        <v>7039.1999999999989</v>
      </c>
      <c r="J35" s="100">
        <v>17</v>
      </c>
      <c r="K35" s="100">
        <v>8547.5999999999985</v>
      </c>
      <c r="L35" s="100">
        <v>18.289465685432376</v>
      </c>
      <c r="M35" s="100">
        <v>9195.9433466353967</v>
      </c>
      <c r="N35" s="100">
        <v>12.649587026592576</v>
      </c>
      <c r="O35" s="100">
        <v>6360.2123569707455</v>
      </c>
      <c r="P35" s="100">
        <v>5.5203949626187159</v>
      </c>
      <c r="Q35" s="100">
        <v>2775.65458720469</v>
      </c>
      <c r="R35" s="100">
        <v>14</v>
      </c>
      <c r="S35" s="100">
        <v>7039.1999999999989</v>
      </c>
      <c r="T35" s="100">
        <v>14</v>
      </c>
      <c r="U35" s="100">
        <v>7039.1999999999989</v>
      </c>
      <c r="V35" s="100">
        <v>1.5510873164522685</v>
      </c>
      <c r="W35" s="100">
        <v>779.88670271220042</v>
      </c>
      <c r="X35" s="100">
        <v>19</v>
      </c>
      <c r="Y35" s="100">
        <v>9553.1999999999989</v>
      </c>
      <c r="Z35" s="100">
        <v>13</v>
      </c>
      <c r="AA35" s="100">
        <v>6536.3999999999987</v>
      </c>
      <c r="AB35" s="100">
        <v>14</v>
      </c>
      <c r="AC35" s="100">
        <v>7039.1999999999989</v>
      </c>
      <c r="AD35" s="100">
        <v>14</v>
      </c>
      <c r="AE35" s="100">
        <v>7039.1999999999989</v>
      </c>
      <c r="AF35" s="100">
        <v>19</v>
      </c>
      <c r="AG35" s="100">
        <v>9553.1999999999989</v>
      </c>
      <c r="AH35" s="100">
        <v>13</v>
      </c>
      <c r="AI35" s="100">
        <v>6536.3999999999987</v>
      </c>
      <c r="AJ35" s="100">
        <v>13</v>
      </c>
      <c r="AK35" s="100">
        <v>6536.3999999999987</v>
      </c>
      <c r="AL35" s="100">
        <v>12</v>
      </c>
      <c r="AM35" s="100">
        <v>6033.5999999999985</v>
      </c>
      <c r="AN35" s="100">
        <v>12</v>
      </c>
      <c r="AO35" s="100">
        <v>6033.5999999999985</v>
      </c>
      <c r="AP35" s="100">
        <v>10.435351602215476</v>
      </c>
      <c r="AQ35" s="100">
        <v>5246.8947855939405</v>
      </c>
      <c r="AR35" s="100">
        <v>11</v>
      </c>
      <c r="AS35" s="100">
        <v>5530.7999999999993</v>
      </c>
      <c r="AT35" s="100">
        <v>14</v>
      </c>
      <c r="AU35" s="100">
        <v>7039.1999999999989</v>
      </c>
      <c r="AV35" s="100">
        <v>18</v>
      </c>
      <c r="AW35" s="100">
        <v>9050.3999999999978</v>
      </c>
      <c r="AX35" s="100">
        <v>9.6269097722352051</v>
      </c>
      <c r="AY35" s="100">
        <v>4840.4102334798599</v>
      </c>
      <c r="AZ35" s="100">
        <v>11</v>
      </c>
      <c r="BA35" s="100">
        <v>5530.7999999999993</v>
      </c>
      <c r="BB35" s="100">
        <v>18.978492230707932</v>
      </c>
      <c r="BC35" s="100">
        <v>9542.3858935999469</v>
      </c>
      <c r="BD35" s="100">
        <v>21</v>
      </c>
      <c r="BE35" s="100">
        <v>10558.799999999997</v>
      </c>
      <c r="BF35" s="100">
        <v>20</v>
      </c>
      <c r="BG35" s="100">
        <v>10055.999999999998</v>
      </c>
      <c r="BH35" s="100">
        <v>20</v>
      </c>
      <c r="BI35" s="100">
        <v>10055.999999999998</v>
      </c>
      <c r="BJ35" s="100">
        <v>19</v>
      </c>
      <c r="BK35" s="100">
        <v>9553.1999999999989</v>
      </c>
      <c r="BL35" s="100">
        <v>16.804734220914835</v>
      </c>
      <c r="BM35" s="100">
        <v>8449.4203662759774</v>
      </c>
      <c r="BN35" s="100">
        <v>9.7004326449477389</v>
      </c>
      <c r="BO35" s="100">
        <v>4877.3775338797223</v>
      </c>
      <c r="BP35" s="100">
        <v>3.4136027382726084</v>
      </c>
      <c r="BQ35" s="100">
        <v>1716.3594568034671</v>
      </c>
      <c r="BR35" s="100">
        <v>13</v>
      </c>
      <c r="BS35" s="100">
        <v>6536.3999999999987</v>
      </c>
      <c r="BT35" s="100">
        <v>16</v>
      </c>
      <c r="BU35" s="100">
        <v>8044.7999999999984</v>
      </c>
      <c r="BV35" s="100">
        <v>13</v>
      </c>
      <c r="BW35" s="100">
        <v>6536.3999999999987</v>
      </c>
      <c r="BX35" s="100">
        <v>13</v>
      </c>
      <c r="BY35" s="100">
        <v>6536.3999999999987</v>
      </c>
      <c r="BZ35" s="100">
        <v>12</v>
      </c>
      <c r="CA35" s="100">
        <v>6033.5999999999985</v>
      </c>
      <c r="CB35" s="100">
        <v>25</v>
      </c>
      <c r="CC35" s="100">
        <v>12569.999999999998</v>
      </c>
      <c r="CD35" s="100">
        <v>10.583081250409103</v>
      </c>
      <c r="CE35" s="100">
        <v>5321.1732527056956</v>
      </c>
      <c r="CF35" s="100">
        <v>19</v>
      </c>
      <c r="CG35" s="100">
        <v>9553.1999999999989</v>
      </c>
      <c r="CH35" s="100">
        <v>0.96710856689661617</v>
      </c>
      <c r="CI35" s="100">
        <v>486.2621874356185</v>
      </c>
      <c r="CJ35" s="100">
        <v>13</v>
      </c>
      <c r="CK35" s="100">
        <v>6536.3999999999987</v>
      </c>
      <c r="CL35" s="100">
        <v>15</v>
      </c>
      <c r="CM35" s="100">
        <v>7541.9999999999982</v>
      </c>
      <c r="CN35" s="100">
        <v>19</v>
      </c>
      <c r="CO35" s="100">
        <v>9553.1999999999989</v>
      </c>
      <c r="CP35" s="100">
        <v>20</v>
      </c>
      <c r="CQ35" s="100">
        <v>10055.999999999998</v>
      </c>
      <c r="CR35" s="100">
        <v>26</v>
      </c>
      <c r="CS35" s="100">
        <v>13072.799999999997</v>
      </c>
      <c r="CT35" s="100">
        <v>1.6690891563680499</v>
      </c>
      <c r="CU35" s="100">
        <v>839.21802782185534</v>
      </c>
    </row>
    <row r="36" spans="2:99">
      <c r="C36" s="99" t="s">
        <v>202</v>
      </c>
      <c r="D36" s="100">
        <v>15.810794496747016</v>
      </c>
      <c r="E36" s="100">
        <v>12028.85245312513</v>
      </c>
      <c r="F36" s="100">
        <v>0</v>
      </c>
      <c r="G36" s="100">
        <v>0</v>
      </c>
      <c r="H36" s="100">
        <v>16</v>
      </c>
      <c r="I36" s="100">
        <v>12172.8</v>
      </c>
      <c r="J36" s="100">
        <v>18</v>
      </c>
      <c r="K36" s="100">
        <v>13694.4</v>
      </c>
      <c r="L36" s="100">
        <v>18.289465685432376</v>
      </c>
      <c r="M36" s="100">
        <v>13914.625493476951</v>
      </c>
      <c r="N36" s="100">
        <v>14.230785404916647</v>
      </c>
      <c r="O36" s="100">
        <v>10826.781536060584</v>
      </c>
      <c r="P36" s="100">
        <v>5.2298478593229936</v>
      </c>
      <c r="Q36" s="100">
        <v>3978.8682513729332</v>
      </c>
      <c r="R36" s="100">
        <v>13</v>
      </c>
      <c r="S36" s="100">
        <v>9890.4</v>
      </c>
      <c r="T36" s="100">
        <v>15</v>
      </c>
      <c r="U36" s="100">
        <v>11412</v>
      </c>
      <c r="V36" s="100">
        <v>1.7578989586459044</v>
      </c>
      <c r="W36" s="100">
        <v>1337.409527737804</v>
      </c>
      <c r="X36" s="100">
        <v>19</v>
      </c>
      <c r="Y36" s="100">
        <v>14455.199999999999</v>
      </c>
      <c r="Z36" s="100">
        <v>11</v>
      </c>
      <c r="AA36" s="100">
        <v>8368.7999999999993</v>
      </c>
      <c r="AB36" s="100">
        <v>13</v>
      </c>
      <c r="AC36" s="100">
        <v>9890.4</v>
      </c>
      <c r="AD36" s="100">
        <v>16</v>
      </c>
      <c r="AE36" s="100">
        <v>12172.8</v>
      </c>
      <c r="AF36" s="100">
        <v>20</v>
      </c>
      <c r="AG36" s="100">
        <v>15216</v>
      </c>
      <c r="AH36" s="100">
        <v>13</v>
      </c>
      <c r="AI36" s="100">
        <v>9890.4</v>
      </c>
      <c r="AJ36" s="100">
        <v>14</v>
      </c>
      <c r="AK36" s="100">
        <v>10651.199999999999</v>
      </c>
      <c r="AL36" s="100">
        <v>12</v>
      </c>
      <c r="AM36" s="100">
        <v>9129.5999999999985</v>
      </c>
      <c r="AN36" s="100">
        <v>14</v>
      </c>
      <c r="AO36" s="100">
        <v>10651.199999999999</v>
      </c>
      <c r="AP36" s="100">
        <v>10.957119182326251</v>
      </c>
      <c r="AQ36" s="100">
        <v>8336.1762739138103</v>
      </c>
      <c r="AR36" s="100">
        <v>10</v>
      </c>
      <c r="AS36" s="100">
        <v>7608</v>
      </c>
      <c r="AT36" s="100">
        <v>15</v>
      </c>
      <c r="AU36" s="100">
        <v>11412</v>
      </c>
      <c r="AV36" s="100">
        <v>20</v>
      </c>
      <c r="AW36" s="100">
        <v>15216</v>
      </c>
      <c r="AX36" s="100">
        <v>9.145564283623445</v>
      </c>
      <c r="AY36" s="100">
        <v>6957.9453069807169</v>
      </c>
      <c r="AZ36" s="100">
        <v>11</v>
      </c>
      <c r="BA36" s="100">
        <v>8368.7999999999993</v>
      </c>
      <c r="BB36" s="100">
        <v>15.527857279670126</v>
      </c>
      <c r="BC36" s="100">
        <v>11813.59381837303</v>
      </c>
      <c r="BD36" s="100">
        <v>20</v>
      </c>
      <c r="BE36" s="100">
        <v>15216</v>
      </c>
      <c r="BF36" s="100">
        <v>19</v>
      </c>
      <c r="BG36" s="100">
        <v>14455.199999999999</v>
      </c>
      <c r="BH36" s="100">
        <v>19</v>
      </c>
      <c r="BI36" s="100">
        <v>14455.199999999999</v>
      </c>
      <c r="BJ36" s="100">
        <v>16</v>
      </c>
      <c r="BK36" s="100">
        <v>12172.8</v>
      </c>
      <c r="BL36" s="100">
        <v>16.040882665418707</v>
      </c>
      <c r="BM36" s="100">
        <v>12203.903531850552</v>
      </c>
      <c r="BN36" s="100">
        <v>9.7004326449477389</v>
      </c>
      <c r="BO36" s="100">
        <v>7380.089156276239</v>
      </c>
      <c r="BP36" s="100">
        <v>3.6980696331286587</v>
      </c>
      <c r="BQ36" s="100">
        <v>2813.4913768842835</v>
      </c>
      <c r="BR36" s="100">
        <v>12</v>
      </c>
      <c r="BS36" s="100">
        <v>9129.5999999999985</v>
      </c>
      <c r="BT36" s="100">
        <v>14</v>
      </c>
      <c r="BU36" s="100">
        <v>10651.199999999999</v>
      </c>
      <c r="BV36" s="100">
        <v>13</v>
      </c>
      <c r="BW36" s="100">
        <v>9890.4</v>
      </c>
      <c r="BX36" s="100">
        <v>12</v>
      </c>
      <c r="BY36" s="100">
        <v>9129.5999999999985</v>
      </c>
      <c r="BZ36" s="100">
        <v>12</v>
      </c>
      <c r="CA36" s="100">
        <v>9129.5999999999985</v>
      </c>
      <c r="CB36" s="100">
        <v>22</v>
      </c>
      <c r="CC36" s="100">
        <v>16737.599999999999</v>
      </c>
      <c r="CD36" s="100">
        <v>9.0712125003506596</v>
      </c>
      <c r="CE36" s="100">
        <v>6901.3784702667817</v>
      </c>
      <c r="CF36" s="100">
        <v>20</v>
      </c>
      <c r="CG36" s="100">
        <v>15216</v>
      </c>
      <c r="CH36" s="100">
        <v>0.9187531385517852</v>
      </c>
      <c r="CI36" s="100">
        <v>698.98738781019813</v>
      </c>
      <c r="CJ36" s="100">
        <v>14</v>
      </c>
      <c r="CK36" s="100">
        <v>10651.199999999999</v>
      </c>
      <c r="CL36" s="100">
        <v>16</v>
      </c>
      <c r="CM36" s="100">
        <v>12172.8</v>
      </c>
      <c r="CN36" s="100">
        <v>20</v>
      </c>
      <c r="CO36" s="100">
        <v>15216</v>
      </c>
      <c r="CP36" s="100">
        <v>20</v>
      </c>
      <c r="CQ36" s="100">
        <v>15216</v>
      </c>
      <c r="CR36" s="100">
        <v>24</v>
      </c>
      <c r="CS36" s="100">
        <v>18259.199999999997</v>
      </c>
      <c r="CT36" s="100">
        <v>1.6690891563680499</v>
      </c>
      <c r="CU36" s="100">
        <v>1269.8430301648123</v>
      </c>
    </row>
    <row r="37" spans="2:99">
      <c r="B37" s="99" t="s">
        <v>128</v>
      </c>
      <c r="C37" s="99" t="s">
        <v>203</v>
      </c>
      <c r="D37" s="100">
        <v>10.817912024090065</v>
      </c>
      <c r="E37" s="100">
        <v>9307.7315055270919</v>
      </c>
      <c r="F37" s="100">
        <v>0</v>
      </c>
      <c r="G37" s="100">
        <v>0</v>
      </c>
      <c r="H37" s="100">
        <v>11</v>
      </c>
      <c r="I37" s="100">
        <v>9464.4</v>
      </c>
      <c r="J37" s="100">
        <v>15</v>
      </c>
      <c r="K37" s="100">
        <v>12906</v>
      </c>
      <c r="L37" s="100">
        <v>10.451123248818499</v>
      </c>
      <c r="M37" s="100">
        <v>8992.1464432834364</v>
      </c>
      <c r="N37" s="100">
        <v>7.9059918916203591</v>
      </c>
      <c r="O37" s="100">
        <v>6802.315423550157</v>
      </c>
      <c r="P37" s="100">
        <v>2.3243768263657749</v>
      </c>
      <c r="Q37" s="100">
        <v>1999.8938214051127</v>
      </c>
      <c r="R37" s="100">
        <v>9</v>
      </c>
      <c r="S37" s="100">
        <v>7743.5999999999995</v>
      </c>
      <c r="T37" s="100">
        <v>8</v>
      </c>
      <c r="U37" s="100">
        <v>6883.2</v>
      </c>
      <c r="V37" s="100">
        <v>0.72384074767772522</v>
      </c>
      <c r="W37" s="100">
        <v>622.79257930191477</v>
      </c>
      <c r="X37" s="100">
        <v>11</v>
      </c>
      <c r="Y37" s="100">
        <v>9464.4</v>
      </c>
      <c r="Z37" s="100">
        <v>15</v>
      </c>
      <c r="AA37" s="100">
        <v>12906</v>
      </c>
      <c r="AB37" s="100">
        <v>9</v>
      </c>
      <c r="AC37" s="100">
        <v>7743.5999999999995</v>
      </c>
      <c r="AD37" s="100">
        <v>12</v>
      </c>
      <c r="AE37" s="100">
        <v>10324.799999999999</v>
      </c>
      <c r="AF37" s="100">
        <v>8</v>
      </c>
      <c r="AG37" s="100">
        <v>6883.2</v>
      </c>
      <c r="AH37" s="100">
        <v>8</v>
      </c>
      <c r="AI37" s="100">
        <v>6883.2</v>
      </c>
      <c r="AJ37" s="100">
        <v>9</v>
      </c>
      <c r="AK37" s="100">
        <v>7743.5999999999995</v>
      </c>
      <c r="AL37" s="100">
        <v>12</v>
      </c>
      <c r="AM37" s="100">
        <v>10324.799999999999</v>
      </c>
      <c r="AN37" s="100">
        <v>9</v>
      </c>
      <c r="AO37" s="100">
        <v>7743.5999999999995</v>
      </c>
      <c r="AP37" s="100">
        <v>4.1741406408861907</v>
      </c>
      <c r="AQ37" s="100">
        <v>3591.4306074184783</v>
      </c>
      <c r="AR37" s="100">
        <v>12</v>
      </c>
      <c r="AS37" s="100">
        <v>10324.799999999999</v>
      </c>
      <c r="AT37" s="100">
        <v>12</v>
      </c>
      <c r="AU37" s="100">
        <v>10324.799999999999</v>
      </c>
      <c r="AV37" s="100">
        <v>15</v>
      </c>
      <c r="AW37" s="100">
        <v>12906</v>
      </c>
      <c r="AX37" s="100">
        <v>4.3321093975058416</v>
      </c>
      <c r="AY37" s="100">
        <v>3727.3469256140261</v>
      </c>
      <c r="AZ37" s="100">
        <v>11</v>
      </c>
      <c r="BA37" s="100">
        <v>9464.4</v>
      </c>
      <c r="BB37" s="100">
        <v>8.6265873775945128</v>
      </c>
      <c r="BC37" s="100">
        <v>7422.3157796823189</v>
      </c>
      <c r="BD37" s="100">
        <v>11</v>
      </c>
      <c r="BE37" s="100">
        <v>9464.4</v>
      </c>
      <c r="BF37" s="100">
        <v>11</v>
      </c>
      <c r="BG37" s="100">
        <v>9464.4</v>
      </c>
      <c r="BH37" s="100">
        <v>16</v>
      </c>
      <c r="BI37" s="100">
        <v>13766.4</v>
      </c>
      <c r="BJ37" s="100">
        <v>15</v>
      </c>
      <c r="BK37" s="100">
        <v>12906</v>
      </c>
      <c r="BL37" s="100">
        <v>6.1108124439690306</v>
      </c>
      <c r="BM37" s="100">
        <v>5257.743026790954</v>
      </c>
      <c r="BN37" s="100">
        <v>7.1136506062950087</v>
      </c>
      <c r="BO37" s="100">
        <v>6120.584981656225</v>
      </c>
      <c r="BP37" s="100">
        <v>3.1291358434165577</v>
      </c>
      <c r="BQ37" s="100">
        <v>2692.3084796756061</v>
      </c>
      <c r="BR37" s="100">
        <v>15</v>
      </c>
      <c r="BS37" s="100">
        <v>12906</v>
      </c>
      <c r="BT37" s="100">
        <v>11</v>
      </c>
      <c r="BU37" s="100">
        <v>9464.4</v>
      </c>
      <c r="BV37" s="100">
        <v>13</v>
      </c>
      <c r="BW37" s="100">
        <v>11185.199999999999</v>
      </c>
      <c r="BX37" s="100">
        <v>12</v>
      </c>
      <c r="BY37" s="100">
        <v>10324.799999999999</v>
      </c>
      <c r="BZ37" s="100">
        <v>11</v>
      </c>
      <c r="CA37" s="100">
        <v>9464.4</v>
      </c>
      <c r="CB37" s="100">
        <v>11</v>
      </c>
      <c r="CC37" s="100">
        <v>9464.4</v>
      </c>
      <c r="CD37" s="100">
        <v>10.583081250409103</v>
      </c>
      <c r="CE37" s="100">
        <v>9105.6831078519917</v>
      </c>
      <c r="CF37" s="100">
        <v>13</v>
      </c>
      <c r="CG37" s="100">
        <v>11185.199999999999</v>
      </c>
      <c r="CH37" s="100">
        <v>0.72533142517246207</v>
      </c>
      <c r="CI37" s="100">
        <v>624.07515821838638</v>
      </c>
      <c r="CJ37" s="100">
        <v>10</v>
      </c>
      <c r="CK37" s="100">
        <v>8604</v>
      </c>
      <c r="CL37" s="100">
        <v>11</v>
      </c>
      <c r="CM37" s="100">
        <v>9464.4</v>
      </c>
      <c r="CN37" s="100">
        <v>8</v>
      </c>
      <c r="CO37" s="100">
        <v>6883.2</v>
      </c>
      <c r="CP37" s="100">
        <v>9</v>
      </c>
      <c r="CQ37" s="100">
        <v>7743.5999999999995</v>
      </c>
      <c r="CR37" s="100">
        <v>8</v>
      </c>
      <c r="CS37" s="100">
        <v>6883.2</v>
      </c>
      <c r="CT37" s="100">
        <v>0.91799903600242738</v>
      </c>
      <c r="CU37" s="100">
        <v>789.84637057648854</v>
      </c>
    </row>
    <row r="38" spans="2:99">
      <c r="C38" s="99" t="s">
        <v>204</v>
      </c>
      <c r="D38" s="100">
        <v>10.817912024090065</v>
      </c>
      <c r="E38" s="100">
        <v>13435.84673391986</v>
      </c>
      <c r="F38" s="100">
        <v>0</v>
      </c>
      <c r="G38" s="100">
        <v>0</v>
      </c>
      <c r="H38" s="100">
        <v>10</v>
      </c>
      <c r="I38" s="100">
        <v>12420</v>
      </c>
      <c r="J38" s="100">
        <v>15</v>
      </c>
      <c r="K38" s="100">
        <v>18630</v>
      </c>
      <c r="L38" s="100">
        <v>10.451123248818499</v>
      </c>
      <c r="M38" s="100">
        <v>12980.295075032576</v>
      </c>
      <c r="N38" s="100">
        <v>7.1153927024583234</v>
      </c>
      <c r="O38" s="100">
        <v>8837.3177364532385</v>
      </c>
      <c r="P38" s="100">
        <v>2.3243768263657749</v>
      </c>
      <c r="Q38" s="100">
        <v>2886.8760183462923</v>
      </c>
      <c r="R38" s="100">
        <v>9</v>
      </c>
      <c r="S38" s="100">
        <v>11178</v>
      </c>
      <c r="T38" s="100">
        <v>9</v>
      </c>
      <c r="U38" s="100">
        <v>11178</v>
      </c>
      <c r="V38" s="100">
        <v>0.82724656877454317</v>
      </c>
      <c r="W38" s="100">
        <v>1027.4402384179825</v>
      </c>
      <c r="X38" s="100">
        <v>12</v>
      </c>
      <c r="Y38" s="100">
        <v>14904</v>
      </c>
      <c r="Z38" s="100">
        <v>13</v>
      </c>
      <c r="AA38" s="100">
        <v>16146</v>
      </c>
      <c r="AB38" s="100">
        <v>9</v>
      </c>
      <c r="AC38" s="100">
        <v>11178</v>
      </c>
      <c r="AD38" s="100">
        <v>11</v>
      </c>
      <c r="AE38" s="100">
        <v>13662</v>
      </c>
      <c r="AF38" s="100">
        <v>8</v>
      </c>
      <c r="AG38" s="100">
        <v>9936</v>
      </c>
      <c r="AH38" s="100">
        <v>8</v>
      </c>
      <c r="AI38" s="100">
        <v>9936</v>
      </c>
      <c r="AJ38" s="100">
        <v>9</v>
      </c>
      <c r="AK38" s="100">
        <v>11178</v>
      </c>
      <c r="AL38" s="100">
        <v>11</v>
      </c>
      <c r="AM38" s="100">
        <v>13662</v>
      </c>
      <c r="AN38" s="100">
        <v>8</v>
      </c>
      <c r="AO38" s="100">
        <v>9936</v>
      </c>
      <c r="AP38" s="100">
        <v>4.1741406408861907</v>
      </c>
      <c r="AQ38" s="100">
        <v>5184.2826759806485</v>
      </c>
      <c r="AR38" s="100">
        <v>12</v>
      </c>
      <c r="AS38" s="100">
        <v>14904</v>
      </c>
      <c r="AT38" s="100">
        <v>13</v>
      </c>
      <c r="AU38" s="100">
        <v>16146</v>
      </c>
      <c r="AV38" s="100">
        <v>16</v>
      </c>
      <c r="AW38" s="100">
        <v>19872</v>
      </c>
      <c r="AX38" s="100">
        <v>4.3321093975058416</v>
      </c>
      <c r="AY38" s="100">
        <v>5380.479871702255</v>
      </c>
      <c r="AZ38" s="100">
        <v>11</v>
      </c>
      <c r="BA38" s="100">
        <v>13662</v>
      </c>
      <c r="BB38" s="100">
        <v>7.7639286398350631</v>
      </c>
      <c r="BC38" s="100">
        <v>9642.7993706751477</v>
      </c>
      <c r="BD38" s="100">
        <v>12</v>
      </c>
      <c r="BE38" s="100">
        <v>14904</v>
      </c>
      <c r="BF38" s="100">
        <v>13</v>
      </c>
      <c r="BG38" s="100">
        <v>16146</v>
      </c>
      <c r="BH38" s="100">
        <v>14</v>
      </c>
      <c r="BI38" s="100">
        <v>17388</v>
      </c>
      <c r="BJ38" s="100">
        <v>13</v>
      </c>
      <c r="BK38" s="100">
        <v>16146</v>
      </c>
      <c r="BL38" s="100">
        <v>6.1108124439690306</v>
      </c>
      <c r="BM38" s="100">
        <v>7589.6290554095358</v>
      </c>
      <c r="BN38" s="100">
        <v>6.4669550966318257</v>
      </c>
      <c r="BO38" s="100">
        <v>8031.9582300167276</v>
      </c>
      <c r="BP38" s="100">
        <v>3.1291358434165577</v>
      </c>
      <c r="BQ38" s="100">
        <v>3886.3867175233645</v>
      </c>
      <c r="BR38" s="100">
        <v>14</v>
      </c>
      <c r="BS38" s="100">
        <v>17388</v>
      </c>
      <c r="BT38" s="100">
        <v>10</v>
      </c>
      <c r="BU38" s="100">
        <v>12420</v>
      </c>
      <c r="BV38" s="100">
        <v>13</v>
      </c>
      <c r="BW38" s="100">
        <v>16146</v>
      </c>
      <c r="BX38" s="100">
        <v>12</v>
      </c>
      <c r="BY38" s="100">
        <v>14904</v>
      </c>
      <c r="BZ38" s="100">
        <v>10</v>
      </c>
      <c r="CA38" s="100">
        <v>12420</v>
      </c>
      <c r="CB38" s="100">
        <v>11</v>
      </c>
      <c r="CC38" s="100">
        <v>13662</v>
      </c>
      <c r="CD38" s="100">
        <v>10.583081250409103</v>
      </c>
      <c r="CE38" s="100">
        <v>13144.186913008107</v>
      </c>
      <c r="CF38" s="100">
        <v>14</v>
      </c>
      <c r="CG38" s="100">
        <v>17388</v>
      </c>
      <c r="CH38" s="100">
        <v>0.62862056848280046</v>
      </c>
      <c r="CI38" s="100">
        <v>780.74674605563814</v>
      </c>
      <c r="CJ38" s="100">
        <v>9</v>
      </c>
      <c r="CK38" s="100">
        <v>11178</v>
      </c>
      <c r="CL38" s="100">
        <v>11</v>
      </c>
      <c r="CM38" s="100">
        <v>13662</v>
      </c>
      <c r="CN38" s="100">
        <v>8</v>
      </c>
      <c r="CO38" s="100">
        <v>9936</v>
      </c>
      <c r="CP38" s="100">
        <v>10</v>
      </c>
      <c r="CQ38" s="100">
        <v>12420</v>
      </c>
      <c r="CR38" s="100">
        <v>8</v>
      </c>
      <c r="CS38" s="100">
        <v>9936</v>
      </c>
      <c r="CT38" s="100">
        <v>0.91799903600242738</v>
      </c>
      <c r="CU38" s="100">
        <v>1140.1548027150147</v>
      </c>
    </row>
    <row r="39" spans="2:99">
      <c r="C39" s="99" t="s">
        <v>205</v>
      </c>
      <c r="D39" s="100">
        <v>11.650059102866223</v>
      </c>
      <c r="E39" s="100">
        <v>16580.364115199209</v>
      </c>
      <c r="F39" s="100">
        <v>0</v>
      </c>
      <c r="G39" s="100">
        <v>0</v>
      </c>
      <c r="H39" s="100">
        <v>11</v>
      </c>
      <c r="I39" s="100">
        <v>15655.2</v>
      </c>
      <c r="J39" s="100">
        <v>14</v>
      </c>
      <c r="K39" s="100">
        <v>19924.8</v>
      </c>
      <c r="L39" s="100">
        <v>8.709269374015415</v>
      </c>
      <c r="M39" s="100">
        <v>12395.03217309874</v>
      </c>
      <c r="N39" s="100">
        <v>7.1153927024583234</v>
      </c>
      <c r="O39" s="100">
        <v>10126.626894138686</v>
      </c>
      <c r="P39" s="100">
        <v>2.6149239296614968</v>
      </c>
      <c r="Q39" s="100">
        <v>3721.5597366942425</v>
      </c>
      <c r="R39" s="100">
        <v>8</v>
      </c>
      <c r="S39" s="100">
        <v>11385.6</v>
      </c>
      <c r="T39" s="100">
        <v>8</v>
      </c>
      <c r="U39" s="100">
        <v>11385.6</v>
      </c>
      <c r="V39" s="100">
        <v>0.72384074767772522</v>
      </c>
      <c r="W39" s="100">
        <v>1030.1701520949387</v>
      </c>
      <c r="X39" s="100">
        <v>13</v>
      </c>
      <c r="Y39" s="100">
        <v>18501.600000000002</v>
      </c>
      <c r="Z39" s="100">
        <v>14</v>
      </c>
      <c r="AA39" s="100">
        <v>19924.8</v>
      </c>
      <c r="AB39" s="100">
        <v>9</v>
      </c>
      <c r="AC39" s="100">
        <v>12808.800000000001</v>
      </c>
      <c r="AD39" s="100">
        <v>11</v>
      </c>
      <c r="AE39" s="100">
        <v>15655.2</v>
      </c>
      <c r="AF39" s="100">
        <v>7</v>
      </c>
      <c r="AG39" s="100">
        <v>9962.4</v>
      </c>
      <c r="AH39" s="100">
        <v>8</v>
      </c>
      <c r="AI39" s="100">
        <v>11385.6</v>
      </c>
      <c r="AJ39" s="100">
        <v>9</v>
      </c>
      <c r="AK39" s="100">
        <v>12808.800000000001</v>
      </c>
      <c r="AL39" s="100">
        <v>11</v>
      </c>
      <c r="AM39" s="100">
        <v>15655.2</v>
      </c>
      <c r="AN39" s="100">
        <v>9</v>
      </c>
      <c r="AO39" s="100">
        <v>12808.800000000001</v>
      </c>
      <c r="AP39" s="100">
        <v>4.695908220996964</v>
      </c>
      <c r="AQ39" s="100">
        <v>6683.2165801228793</v>
      </c>
      <c r="AR39" s="100">
        <v>11</v>
      </c>
      <c r="AS39" s="100">
        <v>15655.2</v>
      </c>
      <c r="AT39" s="100">
        <v>12</v>
      </c>
      <c r="AU39" s="100">
        <v>17078.400000000001</v>
      </c>
      <c r="AV39" s="100">
        <v>16</v>
      </c>
      <c r="AW39" s="100">
        <v>22771.200000000001</v>
      </c>
      <c r="AX39" s="100">
        <v>4.8134548861176025</v>
      </c>
      <c r="AY39" s="100">
        <v>6850.5089939225718</v>
      </c>
      <c r="AZ39" s="100">
        <v>11</v>
      </c>
      <c r="BA39" s="100">
        <v>15655.2</v>
      </c>
      <c r="BB39" s="100">
        <v>8.6265873775945128</v>
      </c>
      <c r="BC39" s="100">
        <v>12277.35915579251</v>
      </c>
      <c r="BD39" s="100">
        <v>11</v>
      </c>
      <c r="BE39" s="100">
        <v>15655.2</v>
      </c>
      <c r="BF39" s="100">
        <v>13</v>
      </c>
      <c r="BG39" s="100">
        <v>18501.600000000002</v>
      </c>
      <c r="BH39" s="100">
        <v>15</v>
      </c>
      <c r="BI39" s="100">
        <v>21348</v>
      </c>
      <c r="BJ39" s="100">
        <v>14</v>
      </c>
      <c r="BK39" s="100">
        <v>19924.8</v>
      </c>
      <c r="BL39" s="100">
        <v>6.1108124439690306</v>
      </c>
      <c r="BM39" s="100">
        <v>8696.9082702567248</v>
      </c>
      <c r="BN39" s="100">
        <v>6.4669550966318257</v>
      </c>
      <c r="BO39" s="100">
        <v>9203.7704935264137</v>
      </c>
      <c r="BP39" s="100">
        <v>3.1291358434165577</v>
      </c>
      <c r="BQ39" s="100">
        <v>4453.3861323504452</v>
      </c>
      <c r="BR39" s="100">
        <v>14</v>
      </c>
      <c r="BS39" s="100">
        <v>19924.8</v>
      </c>
      <c r="BT39" s="100">
        <v>12</v>
      </c>
      <c r="BU39" s="100">
        <v>17078.400000000001</v>
      </c>
      <c r="BV39" s="100">
        <v>13</v>
      </c>
      <c r="BW39" s="100">
        <v>18501.600000000002</v>
      </c>
      <c r="BX39" s="100">
        <v>12</v>
      </c>
      <c r="BY39" s="100">
        <v>17078.400000000001</v>
      </c>
      <c r="BZ39" s="100">
        <v>12</v>
      </c>
      <c r="CA39" s="100">
        <v>17078.400000000001</v>
      </c>
      <c r="CB39" s="100">
        <v>12</v>
      </c>
      <c r="CC39" s="100">
        <v>17078.400000000001</v>
      </c>
      <c r="CD39" s="100">
        <v>12.094950000467547</v>
      </c>
      <c r="CE39" s="100">
        <v>17213.532840665412</v>
      </c>
      <c r="CF39" s="100">
        <v>12</v>
      </c>
      <c r="CG39" s="100">
        <v>17078.400000000001</v>
      </c>
      <c r="CH39" s="100">
        <v>0.67697599682763121</v>
      </c>
      <c r="CI39" s="100">
        <v>963.47223868508479</v>
      </c>
      <c r="CJ39" s="100">
        <v>10</v>
      </c>
      <c r="CK39" s="100">
        <v>14232</v>
      </c>
      <c r="CL39" s="100">
        <v>10</v>
      </c>
      <c r="CM39" s="100">
        <v>14232</v>
      </c>
      <c r="CN39" s="100">
        <v>8</v>
      </c>
      <c r="CO39" s="100">
        <v>11385.6</v>
      </c>
      <c r="CP39" s="100">
        <v>9</v>
      </c>
      <c r="CQ39" s="100">
        <v>12808.800000000001</v>
      </c>
      <c r="CR39" s="100">
        <v>8</v>
      </c>
      <c r="CS39" s="100">
        <v>11385.6</v>
      </c>
      <c r="CT39" s="100">
        <v>0.75109012036562239</v>
      </c>
      <c r="CU39" s="100">
        <v>1068.9514593043539</v>
      </c>
    </row>
    <row r="40" spans="2:99">
      <c r="C40" s="99" t="s">
        <v>206</v>
      </c>
      <c r="D40" s="100">
        <v>11.650059102866223</v>
      </c>
      <c r="E40" s="100">
        <v>8443.9628377574372</v>
      </c>
      <c r="F40" s="100">
        <v>0</v>
      </c>
      <c r="G40" s="100">
        <v>0</v>
      </c>
      <c r="H40" s="100">
        <v>11</v>
      </c>
      <c r="I40" s="100">
        <v>7972.7999999999993</v>
      </c>
      <c r="J40" s="100">
        <v>13</v>
      </c>
      <c r="K40" s="100">
        <v>9422.4</v>
      </c>
      <c r="L40" s="100">
        <v>9.580196311416957</v>
      </c>
      <c r="M40" s="100">
        <v>6943.7262865150096</v>
      </c>
      <c r="N40" s="100">
        <v>7.1153927024583234</v>
      </c>
      <c r="O40" s="100">
        <v>5157.2366307417924</v>
      </c>
      <c r="P40" s="100">
        <v>2.3243768263657749</v>
      </c>
      <c r="Q40" s="100">
        <v>1684.7083237499135</v>
      </c>
      <c r="R40" s="100">
        <v>10</v>
      </c>
      <c r="S40" s="100">
        <v>7248</v>
      </c>
      <c r="T40" s="100">
        <v>7</v>
      </c>
      <c r="U40" s="100">
        <v>5073.5999999999995</v>
      </c>
      <c r="V40" s="100">
        <v>0.82724656877454317</v>
      </c>
      <c r="W40" s="100">
        <v>599.5883130477888</v>
      </c>
      <c r="X40" s="100">
        <v>12</v>
      </c>
      <c r="Y40" s="100">
        <v>8697.5999999999985</v>
      </c>
      <c r="Z40" s="100">
        <v>13</v>
      </c>
      <c r="AA40" s="100">
        <v>9422.4</v>
      </c>
      <c r="AB40" s="100">
        <v>9</v>
      </c>
      <c r="AC40" s="100">
        <v>6523.2</v>
      </c>
      <c r="AD40" s="100">
        <v>12</v>
      </c>
      <c r="AE40" s="100">
        <v>8697.5999999999985</v>
      </c>
      <c r="AF40" s="100">
        <v>8</v>
      </c>
      <c r="AG40" s="100">
        <v>5798.4</v>
      </c>
      <c r="AH40" s="100">
        <v>8</v>
      </c>
      <c r="AI40" s="100">
        <v>5798.4</v>
      </c>
      <c r="AJ40" s="100">
        <v>9</v>
      </c>
      <c r="AK40" s="100">
        <v>6523.2</v>
      </c>
      <c r="AL40" s="100">
        <v>13</v>
      </c>
      <c r="AM40" s="100">
        <v>9422.4</v>
      </c>
      <c r="AN40" s="100">
        <v>8</v>
      </c>
      <c r="AO40" s="100">
        <v>5798.4</v>
      </c>
      <c r="AP40" s="100">
        <v>4.1741406408861907</v>
      </c>
      <c r="AQ40" s="100">
        <v>3025.4171365143106</v>
      </c>
      <c r="AR40" s="100">
        <v>11</v>
      </c>
      <c r="AS40" s="100">
        <v>7972.7999999999993</v>
      </c>
      <c r="AT40" s="100">
        <v>14</v>
      </c>
      <c r="AU40" s="100">
        <v>10147.199999999999</v>
      </c>
      <c r="AV40" s="100">
        <v>15</v>
      </c>
      <c r="AW40" s="100">
        <v>10872</v>
      </c>
      <c r="AX40" s="100">
        <v>4.8134548861176025</v>
      </c>
      <c r="AY40" s="100">
        <v>3488.7921014580379</v>
      </c>
      <c r="AZ40" s="100">
        <v>11</v>
      </c>
      <c r="BA40" s="100">
        <v>7972.7999999999993</v>
      </c>
      <c r="BB40" s="100">
        <v>9.489246115353966</v>
      </c>
      <c r="BC40" s="100">
        <v>6877.8055844085538</v>
      </c>
      <c r="BD40" s="100">
        <v>12</v>
      </c>
      <c r="BE40" s="100">
        <v>8697.5999999999985</v>
      </c>
      <c r="BF40" s="100">
        <v>13</v>
      </c>
      <c r="BG40" s="100">
        <v>9422.4</v>
      </c>
      <c r="BH40" s="100">
        <v>16</v>
      </c>
      <c r="BI40" s="100">
        <v>11596.8</v>
      </c>
      <c r="BJ40" s="100">
        <v>15</v>
      </c>
      <c r="BK40" s="100">
        <v>10872</v>
      </c>
      <c r="BL40" s="100">
        <v>6.1108124439690306</v>
      </c>
      <c r="BM40" s="100">
        <v>4429.1168593887533</v>
      </c>
      <c r="BN40" s="100">
        <v>6.4669550966318257</v>
      </c>
      <c r="BO40" s="100">
        <v>4687.2490540387471</v>
      </c>
      <c r="BP40" s="100">
        <v>2.8446689485605066</v>
      </c>
      <c r="BQ40" s="100">
        <v>2061.8160539166552</v>
      </c>
      <c r="BR40" s="100">
        <v>14</v>
      </c>
      <c r="BS40" s="100">
        <v>10147.199999999999</v>
      </c>
      <c r="BT40" s="100">
        <v>12</v>
      </c>
      <c r="BU40" s="100">
        <v>8697.5999999999985</v>
      </c>
      <c r="BV40" s="100">
        <v>14</v>
      </c>
      <c r="BW40" s="100">
        <v>10147.199999999999</v>
      </c>
      <c r="BX40" s="100">
        <v>11</v>
      </c>
      <c r="BY40" s="100">
        <v>7972.7999999999993</v>
      </c>
      <c r="BZ40" s="100">
        <v>11</v>
      </c>
      <c r="CA40" s="100">
        <v>7972.7999999999993</v>
      </c>
      <c r="CB40" s="100">
        <v>10</v>
      </c>
      <c r="CC40" s="100">
        <v>7248</v>
      </c>
      <c r="CD40" s="100">
        <v>12.094950000467547</v>
      </c>
      <c r="CE40" s="100">
        <v>8766.4197603388766</v>
      </c>
      <c r="CF40" s="100">
        <v>13</v>
      </c>
      <c r="CG40" s="100">
        <v>9422.4</v>
      </c>
      <c r="CH40" s="100">
        <v>0.67697599682763121</v>
      </c>
      <c r="CI40" s="100">
        <v>490.67220250066708</v>
      </c>
      <c r="CJ40" s="100">
        <v>10</v>
      </c>
      <c r="CK40" s="100">
        <v>7248</v>
      </c>
      <c r="CL40" s="100">
        <v>11</v>
      </c>
      <c r="CM40" s="100">
        <v>7972.7999999999993</v>
      </c>
      <c r="CN40" s="100">
        <v>8</v>
      </c>
      <c r="CO40" s="100">
        <v>5798.4</v>
      </c>
      <c r="CP40" s="100">
        <v>11</v>
      </c>
      <c r="CQ40" s="100">
        <v>7972.7999999999993</v>
      </c>
      <c r="CR40" s="100">
        <v>8</v>
      </c>
      <c r="CS40" s="100">
        <v>5798.4</v>
      </c>
      <c r="CT40" s="100">
        <v>0.83454457818402494</v>
      </c>
      <c r="CU40" s="100">
        <v>604.8779102677812</v>
      </c>
    </row>
    <row r="41" spans="2:99">
      <c r="C41" s="99" t="s">
        <v>207</v>
      </c>
      <c r="D41" s="100">
        <v>12.482206181642383</v>
      </c>
      <c r="E41" s="100">
        <v>8238.2560798839731</v>
      </c>
      <c r="F41" s="100">
        <v>0</v>
      </c>
      <c r="G41" s="100">
        <v>0</v>
      </c>
      <c r="H41" s="100">
        <v>11</v>
      </c>
      <c r="I41" s="100">
        <v>7260</v>
      </c>
      <c r="J41" s="100">
        <v>14</v>
      </c>
      <c r="K41" s="100">
        <v>9240</v>
      </c>
      <c r="L41" s="100">
        <v>9.580196311416957</v>
      </c>
      <c r="M41" s="100">
        <v>6322.9295655351916</v>
      </c>
      <c r="N41" s="100">
        <v>7.1153927024583234</v>
      </c>
      <c r="O41" s="100">
        <v>4696.1591836224934</v>
      </c>
      <c r="P41" s="100">
        <v>2.9054710329572186</v>
      </c>
      <c r="Q41" s="100">
        <v>1917.6108817517643</v>
      </c>
      <c r="R41" s="100">
        <v>9</v>
      </c>
      <c r="S41" s="100">
        <v>5940</v>
      </c>
      <c r="T41" s="100">
        <v>8</v>
      </c>
      <c r="U41" s="100">
        <v>5280</v>
      </c>
      <c r="V41" s="100">
        <v>0.72384074767772522</v>
      </c>
      <c r="W41" s="100">
        <v>477.73489346729866</v>
      </c>
      <c r="X41" s="100">
        <v>11</v>
      </c>
      <c r="Y41" s="100">
        <v>7260</v>
      </c>
      <c r="Z41" s="100">
        <v>14</v>
      </c>
      <c r="AA41" s="100">
        <v>9240</v>
      </c>
      <c r="AB41" s="100">
        <v>9</v>
      </c>
      <c r="AC41" s="100">
        <v>5940</v>
      </c>
      <c r="AD41" s="100">
        <v>11</v>
      </c>
      <c r="AE41" s="100">
        <v>7260</v>
      </c>
      <c r="AF41" s="100">
        <v>8</v>
      </c>
      <c r="AG41" s="100">
        <v>5280</v>
      </c>
      <c r="AH41" s="100">
        <v>8</v>
      </c>
      <c r="AI41" s="100">
        <v>5280</v>
      </c>
      <c r="AJ41" s="100">
        <v>9</v>
      </c>
      <c r="AK41" s="100">
        <v>5940</v>
      </c>
      <c r="AL41" s="100">
        <v>11</v>
      </c>
      <c r="AM41" s="100">
        <v>7260</v>
      </c>
      <c r="AN41" s="100">
        <v>9</v>
      </c>
      <c r="AO41" s="100">
        <v>5940</v>
      </c>
      <c r="AP41" s="100">
        <v>4.695908220996964</v>
      </c>
      <c r="AQ41" s="100">
        <v>3099.2994258579961</v>
      </c>
      <c r="AR41" s="100">
        <v>12</v>
      </c>
      <c r="AS41" s="100">
        <v>7920</v>
      </c>
      <c r="AT41" s="100">
        <v>14</v>
      </c>
      <c r="AU41" s="100">
        <v>9240</v>
      </c>
      <c r="AV41" s="100">
        <v>15</v>
      </c>
      <c r="AW41" s="100">
        <v>9900</v>
      </c>
      <c r="AX41" s="100">
        <v>4.8134548861176025</v>
      </c>
      <c r="AY41" s="100">
        <v>3176.8802248376178</v>
      </c>
      <c r="AZ41" s="100">
        <v>13</v>
      </c>
      <c r="BA41" s="100">
        <v>8580</v>
      </c>
      <c r="BB41" s="100">
        <v>8.6265873775945128</v>
      </c>
      <c r="BC41" s="100">
        <v>5693.5476692123784</v>
      </c>
      <c r="BD41" s="100">
        <v>11</v>
      </c>
      <c r="BE41" s="100">
        <v>7260</v>
      </c>
      <c r="BF41" s="100">
        <v>13</v>
      </c>
      <c r="BG41" s="100">
        <v>8580</v>
      </c>
      <c r="BH41" s="100">
        <v>16</v>
      </c>
      <c r="BI41" s="100">
        <v>10560</v>
      </c>
      <c r="BJ41" s="100">
        <v>16</v>
      </c>
      <c r="BK41" s="100">
        <v>10560</v>
      </c>
      <c r="BL41" s="100">
        <v>6.1108124439690306</v>
      </c>
      <c r="BM41" s="100">
        <v>4033.1362130195603</v>
      </c>
      <c r="BN41" s="100">
        <v>6.4669550966318257</v>
      </c>
      <c r="BO41" s="100">
        <v>4268.1903637770047</v>
      </c>
      <c r="BP41" s="100">
        <v>3.4136027382726084</v>
      </c>
      <c r="BQ41" s="100">
        <v>2252.9778072599215</v>
      </c>
      <c r="BR41" s="100">
        <v>14</v>
      </c>
      <c r="BS41" s="100">
        <v>9240</v>
      </c>
      <c r="BT41" s="100">
        <v>12</v>
      </c>
      <c r="BU41" s="100">
        <v>7920</v>
      </c>
      <c r="BV41" s="100">
        <v>14</v>
      </c>
      <c r="BW41" s="100">
        <v>9240</v>
      </c>
      <c r="BX41" s="100">
        <v>13</v>
      </c>
      <c r="BY41" s="100">
        <v>8580</v>
      </c>
      <c r="BZ41" s="100">
        <v>11</v>
      </c>
      <c r="CA41" s="100">
        <v>7260</v>
      </c>
      <c r="CB41" s="100">
        <v>11</v>
      </c>
      <c r="CC41" s="100">
        <v>7260</v>
      </c>
      <c r="CD41" s="100">
        <v>12.094950000467547</v>
      </c>
      <c r="CE41" s="100">
        <v>7982.667000308581</v>
      </c>
      <c r="CF41" s="100">
        <v>14</v>
      </c>
      <c r="CG41" s="100">
        <v>9240</v>
      </c>
      <c r="CH41" s="100">
        <v>0.67697599682763121</v>
      </c>
      <c r="CI41" s="100">
        <v>446.80415790623658</v>
      </c>
      <c r="CJ41" s="100">
        <v>10</v>
      </c>
      <c r="CK41" s="100">
        <v>6600</v>
      </c>
      <c r="CL41" s="100">
        <v>11</v>
      </c>
      <c r="CM41" s="100">
        <v>7260</v>
      </c>
      <c r="CN41" s="100">
        <v>8</v>
      </c>
      <c r="CO41" s="100">
        <v>5280</v>
      </c>
      <c r="CP41" s="100">
        <v>11</v>
      </c>
      <c r="CQ41" s="100">
        <v>7260</v>
      </c>
      <c r="CR41" s="100">
        <v>9</v>
      </c>
      <c r="CS41" s="100">
        <v>5940</v>
      </c>
      <c r="CT41" s="100">
        <v>0.83454457818402494</v>
      </c>
      <c r="CU41" s="100">
        <v>550.79942160145652</v>
      </c>
    </row>
    <row r="42" spans="2:99">
      <c r="C42" s="99" t="s">
        <v>208</v>
      </c>
      <c r="D42" s="100">
        <v>10.817912024090065</v>
      </c>
      <c r="E42" s="100">
        <v>9151.9535723801946</v>
      </c>
      <c r="F42" s="100">
        <v>0</v>
      </c>
      <c r="G42" s="100">
        <v>0</v>
      </c>
      <c r="H42" s="100">
        <v>9</v>
      </c>
      <c r="I42" s="100">
        <v>7614</v>
      </c>
      <c r="J42" s="100">
        <v>13</v>
      </c>
      <c r="K42" s="100">
        <v>10998</v>
      </c>
      <c r="L42" s="100">
        <v>10.451123248818499</v>
      </c>
      <c r="M42" s="100">
        <v>8841.6502685004507</v>
      </c>
      <c r="N42" s="100">
        <v>7.1153927024583234</v>
      </c>
      <c r="O42" s="100">
        <v>6019.6222262797419</v>
      </c>
      <c r="P42" s="100">
        <v>2.6149239296614968</v>
      </c>
      <c r="Q42" s="100">
        <v>2212.2256444936261</v>
      </c>
      <c r="R42" s="100">
        <v>9</v>
      </c>
      <c r="S42" s="100">
        <v>7614</v>
      </c>
      <c r="T42" s="100">
        <v>7</v>
      </c>
      <c r="U42" s="100">
        <v>5922</v>
      </c>
      <c r="V42" s="100">
        <v>0.72384074767772522</v>
      </c>
      <c r="W42" s="100">
        <v>612.36927253535555</v>
      </c>
      <c r="X42" s="100">
        <v>12</v>
      </c>
      <c r="Y42" s="100">
        <v>10152</v>
      </c>
      <c r="Z42" s="100">
        <v>14</v>
      </c>
      <c r="AA42" s="100">
        <v>11844</v>
      </c>
      <c r="AB42" s="100">
        <v>10</v>
      </c>
      <c r="AC42" s="100">
        <v>8460</v>
      </c>
      <c r="AD42" s="100">
        <v>12</v>
      </c>
      <c r="AE42" s="100">
        <v>10152</v>
      </c>
      <c r="AF42" s="100">
        <v>7</v>
      </c>
      <c r="AG42" s="100">
        <v>5922</v>
      </c>
      <c r="AH42" s="100">
        <v>9</v>
      </c>
      <c r="AI42" s="100">
        <v>7614</v>
      </c>
      <c r="AJ42" s="100">
        <v>9</v>
      </c>
      <c r="AK42" s="100">
        <v>7614</v>
      </c>
      <c r="AL42" s="100">
        <v>11</v>
      </c>
      <c r="AM42" s="100">
        <v>9306</v>
      </c>
      <c r="AN42" s="100">
        <v>9</v>
      </c>
      <c r="AO42" s="100">
        <v>7614</v>
      </c>
      <c r="AP42" s="100">
        <v>4.695908220996964</v>
      </c>
      <c r="AQ42" s="100">
        <v>3972.7383549634314</v>
      </c>
      <c r="AR42" s="100">
        <v>11</v>
      </c>
      <c r="AS42" s="100">
        <v>9306</v>
      </c>
      <c r="AT42" s="100">
        <v>14</v>
      </c>
      <c r="AU42" s="100">
        <v>11844</v>
      </c>
      <c r="AV42" s="100">
        <v>15</v>
      </c>
      <c r="AW42" s="100">
        <v>12690</v>
      </c>
      <c r="AX42" s="100">
        <v>4.3321093975058416</v>
      </c>
      <c r="AY42" s="100">
        <v>3664.9645502899421</v>
      </c>
      <c r="AZ42" s="100">
        <v>11</v>
      </c>
      <c r="BA42" s="100">
        <v>9306</v>
      </c>
      <c r="BB42" s="100">
        <v>9.489246115353966</v>
      </c>
      <c r="BC42" s="100">
        <v>8027.9022135894556</v>
      </c>
      <c r="BD42" s="100">
        <v>12</v>
      </c>
      <c r="BE42" s="100">
        <v>10152</v>
      </c>
      <c r="BF42" s="100">
        <v>14</v>
      </c>
      <c r="BG42" s="100">
        <v>11844</v>
      </c>
      <c r="BH42" s="100">
        <v>15</v>
      </c>
      <c r="BI42" s="100">
        <v>12690</v>
      </c>
      <c r="BJ42" s="100">
        <v>14</v>
      </c>
      <c r="BK42" s="100">
        <v>11844</v>
      </c>
      <c r="BL42" s="100">
        <v>6.1108124439690306</v>
      </c>
      <c r="BM42" s="100">
        <v>5169.7473275978</v>
      </c>
      <c r="BN42" s="100">
        <v>7.1136506062950087</v>
      </c>
      <c r="BO42" s="100">
        <v>6018.1484129255778</v>
      </c>
      <c r="BP42" s="100">
        <v>2.8446689485605066</v>
      </c>
      <c r="BQ42" s="100">
        <v>2406.5899304821887</v>
      </c>
      <c r="BR42" s="100">
        <v>15</v>
      </c>
      <c r="BS42" s="100">
        <v>12690</v>
      </c>
      <c r="BT42" s="100">
        <v>11</v>
      </c>
      <c r="BU42" s="100">
        <v>9306</v>
      </c>
      <c r="BV42" s="100">
        <v>13</v>
      </c>
      <c r="BW42" s="100">
        <v>10998</v>
      </c>
      <c r="BX42" s="100">
        <v>12</v>
      </c>
      <c r="BY42" s="100">
        <v>10152</v>
      </c>
      <c r="BZ42" s="100">
        <v>12</v>
      </c>
      <c r="CA42" s="100">
        <v>10152</v>
      </c>
      <c r="CB42" s="100">
        <v>12</v>
      </c>
      <c r="CC42" s="100">
        <v>10152</v>
      </c>
      <c r="CD42" s="100">
        <v>12.094950000467547</v>
      </c>
      <c r="CE42" s="100">
        <v>10232.327700395545</v>
      </c>
      <c r="CF42" s="100">
        <v>14</v>
      </c>
      <c r="CG42" s="100">
        <v>11844</v>
      </c>
      <c r="CH42" s="100">
        <v>0.62862056848280046</v>
      </c>
      <c r="CI42" s="100">
        <v>531.81300093644916</v>
      </c>
      <c r="CJ42" s="100">
        <v>9</v>
      </c>
      <c r="CK42" s="100">
        <v>7614</v>
      </c>
      <c r="CL42" s="100">
        <v>10</v>
      </c>
      <c r="CM42" s="100">
        <v>8460</v>
      </c>
      <c r="CN42" s="100">
        <v>8</v>
      </c>
      <c r="CO42" s="100">
        <v>6768</v>
      </c>
      <c r="CP42" s="100">
        <v>11</v>
      </c>
      <c r="CQ42" s="100">
        <v>9306</v>
      </c>
      <c r="CR42" s="100">
        <v>8</v>
      </c>
      <c r="CS42" s="100">
        <v>6768</v>
      </c>
      <c r="CT42" s="100">
        <v>0.91799903600242738</v>
      </c>
      <c r="CU42" s="100">
        <v>776.62718445805353</v>
      </c>
    </row>
    <row r="43" spans="2:99">
      <c r="C43" s="99" t="s">
        <v>209</v>
      </c>
      <c r="D43" s="100">
        <v>12.482206181642383</v>
      </c>
      <c r="E43" s="100">
        <v>12761.807600111171</v>
      </c>
      <c r="F43" s="100">
        <v>0</v>
      </c>
      <c r="G43" s="100">
        <v>0</v>
      </c>
      <c r="H43" s="100">
        <v>10</v>
      </c>
      <c r="I43" s="100">
        <v>10224</v>
      </c>
      <c r="J43" s="100">
        <v>15</v>
      </c>
      <c r="K43" s="100">
        <v>15336</v>
      </c>
      <c r="L43" s="100">
        <v>8.709269374015415</v>
      </c>
      <c r="M43" s="100">
        <v>8904.3570079933597</v>
      </c>
      <c r="N43" s="100">
        <v>7.1153927024583234</v>
      </c>
      <c r="O43" s="100">
        <v>7274.7774989933896</v>
      </c>
      <c r="P43" s="100">
        <v>2.6149239296614968</v>
      </c>
      <c r="Q43" s="100">
        <v>2673.4982256859143</v>
      </c>
      <c r="R43" s="100">
        <v>10</v>
      </c>
      <c r="S43" s="100">
        <v>10224</v>
      </c>
      <c r="T43" s="100">
        <v>8</v>
      </c>
      <c r="U43" s="100">
        <v>8179.2</v>
      </c>
      <c r="V43" s="100">
        <v>0.72384074767772522</v>
      </c>
      <c r="W43" s="100">
        <v>740.05478042570621</v>
      </c>
      <c r="X43" s="100">
        <v>12</v>
      </c>
      <c r="Y43" s="100">
        <v>12268.8</v>
      </c>
      <c r="Z43" s="100">
        <v>13</v>
      </c>
      <c r="AA43" s="100">
        <v>13291.199999999999</v>
      </c>
      <c r="AB43" s="100">
        <v>9</v>
      </c>
      <c r="AC43" s="100">
        <v>9201.6</v>
      </c>
      <c r="AD43" s="100">
        <v>11</v>
      </c>
      <c r="AE43" s="100">
        <v>11246.4</v>
      </c>
      <c r="AF43" s="100">
        <v>8</v>
      </c>
      <c r="AG43" s="100">
        <v>8179.2</v>
      </c>
      <c r="AH43" s="100">
        <v>9</v>
      </c>
      <c r="AI43" s="100">
        <v>9201.6</v>
      </c>
      <c r="AJ43" s="100">
        <v>9</v>
      </c>
      <c r="AK43" s="100">
        <v>9201.6</v>
      </c>
      <c r="AL43" s="100">
        <v>11</v>
      </c>
      <c r="AM43" s="100">
        <v>11246.4</v>
      </c>
      <c r="AN43" s="100">
        <v>9</v>
      </c>
      <c r="AO43" s="100">
        <v>9201.6</v>
      </c>
      <c r="AP43" s="100">
        <v>4.695908220996964</v>
      </c>
      <c r="AQ43" s="100">
        <v>4801.0965651472961</v>
      </c>
      <c r="AR43" s="100">
        <v>11</v>
      </c>
      <c r="AS43" s="100">
        <v>11246.4</v>
      </c>
      <c r="AT43" s="100">
        <v>13</v>
      </c>
      <c r="AU43" s="100">
        <v>13291.199999999999</v>
      </c>
      <c r="AV43" s="100">
        <v>15</v>
      </c>
      <c r="AW43" s="100">
        <v>15336</v>
      </c>
      <c r="AX43" s="100">
        <v>4.8134548861176025</v>
      </c>
      <c r="AY43" s="100">
        <v>4921.2762755666363</v>
      </c>
      <c r="AZ43" s="100">
        <v>12</v>
      </c>
      <c r="BA43" s="100">
        <v>12268.8</v>
      </c>
      <c r="BB43" s="100">
        <v>9.489246115353966</v>
      </c>
      <c r="BC43" s="100">
        <v>9701.8052283378947</v>
      </c>
      <c r="BD43" s="100">
        <v>12</v>
      </c>
      <c r="BE43" s="100">
        <v>12268.8</v>
      </c>
      <c r="BF43" s="100">
        <v>12</v>
      </c>
      <c r="BG43" s="100">
        <v>12268.8</v>
      </c>
      <c r="BH43" s="100">
        <v>14</v>
      </c>
      <c r="BI43" s="100">
        <v>14313.6</v>
      </c>
      <c r="BJ43" s="100">
        <v>13</v>
      </c>
      <c r="BK43" s="100">
        <v>13291.199999999999</v>
      </c>
      <c r="BL43" s="100">
        <v>5.3469608884729016</v>
      </c>
      <c r="BM43" s="100">
        <v>5466.7328123746947</v>
      </c>
      <c r="BN43" s="100">
        <v>7.1136506062950087</v>
      </c>
      <c r="BO43" s="100">
        <v>7272.9963798760164</v>
      </c>
      <c r="BP43" s="100">
        <v>3.1291358434165577</v>
      </c>
      <c r="BQ43" s="100">
        <v>3199.2284863090886</v>
      </c>
      <c r="BR43" s="100">
        <v>13</v>
      </c>
      <c r="BS43" s="100">
        <v>13291.199999999999</v>
      </c>
      <c r="BT43" s="100">
        <v>12</v>
      </c>
      <c r="BU43" s="100">
        <v>12268.8</v>
      </c>
      <c r="BV43" s="100">
        <v>13</v>
      </c>
      <c r="BW43" s="100">
        <v>13291.199999999999</v>
      </c>
      <c r="BX43" s="100">
        <v>13</v>
      </c>
      <c r="BY43" s="100">
        <v>13291.199999999999</v>
      </c>
      <c r="BZ43" s="100">
        <v>12</v>
      </c>
      <c r="CA43" s="100">
        <v>12268.8</v>
      </c>
      <c r="CB43" s="100">
        <v>11</v>
      </c>
      <c r="CC43" s="100">
        <v>11246.4</v>
      </c>
      <c r="CD43" s="100">
        <v>10.583081250409103</v>
      </c>
      <c r="CE43" s="100">
        <v>10820.142270418266</v>
      </c>
      <c r="CF43" s="100">
        <v>14</v>
      </c>
      <c r="CG43" s="100">
        <v>14313.6</v>
      </c>
      <c r="CH43" s="100">
        <v>0.67697599682763121</v>
      </c>
      <c r="CI43" s="100">
        <v>692.1402591565701</v>
      </c>
      <c r="CJ43" s="100">
        <v>9</v>
      </c>
      <c r="CK43" s="100">
        <v>9201.6</v>
      </c>
      <c r="CL43" s="100">
        <v>11</v>
      </c>
      <c r="CM43" s="100">
        <v>11246.4</v>
      </c>
      <c r="CN43" s="100">
        <v>8</v>
      </c>
      <c r="CO43" s="100">
        <v>8179.2</v>
      </c>
      <c r="CP43" s="100">
        <v>11</v>
      </c>
      <c r="CQ43" s="100">
        <v>11246.4</v>
      </c>
      <c r="CR43" s="100">
        <v>9</v>
      </c>
      <c r="CS43" s="100">
        <v>9201.6</v>
      </c>
      <c r="CT43" s="100">
        <v>0.83454457818402494</v>
      </c>
      <c r="CU43" s="100">
        <v>853.23837673534706</v>
      </c>
    </row>
    <row r="44" spans="2:99">
      <c r="C44" s="99" t="s">
        <v>210</v>
      </c>
      <c r="D44" s="100">
        <v>9.985764945313905</v>
      </c>
      <c r="E44" s="100">
        <v>10209.446080088936</v>
      </c>
      <c r="F44" s="100">
        <v>0</v>
      </c>
      <c r="G44" s="100">
        <v>0</v>
      </c>
      <c r="H44" s="100">
        <v>11</v>
      </c>
      <c r="I44" s="100">
        <v>11246.4</v>
      </c>
      <c r="J44" s="100">
        <v>13</v>
      </c>
      <c r="K44" s="100">
        <v>13291.199999999999</v>
      </c>
      <c r="L44" s="100">
        <v>10.451123248818499</v>
      </c>
      <c r="M44" s="100">
        <v>10685.228409592033</v>
      </c>
      <c r="N44" s="100">
        <v>7.9059918916203591</v>
      </c>
      <c r="O44" s="100">
        <v>8083.0861099926551</v>
      </c>
      <c r="P44" s="100">
        <v>2.3243768263657749</v>
      </c>
      <c r="Q44" s="100">
        <v>2376.4428672763684</v>
      </c>
      <c r="R44" s="100">
        <v>10</v>
      </c>
      <c r="S44" s="100">
        <v>10224</v>
      </c>
      <c r="T44" s="100">
        <v>8</v>
      </c>
      <c r="U44" s="100">
        <v>8179.2</v>
      </c>
      <c r="V44" s="100">
        <v>0.72384074767772522</v>
      </c>
      <c r="W44" s="100">
        <v>740.05478042570621</v>
      </c>
      <c r="X44" s="100">
        <v>12</v>
      </c>
      <c r="Y44" s="100">
        <v>12268.8</v>
      </c>
      <c r="Z44" s="100">
        <v>13</v>
      </c>
      <c r="AA44" s="100">
        <v>13291.199999999999</v>
      </c>
      <c r="AB44" s="100">
        <v>8</v>
      </c>
      <c r="AC44" s="100">
        <v>8179.2</v>
      </c>
      <c r="AD44" s="100">
        <v>10</v>
      </c>
      <c r="AE44" s="100">
        <v>10224</v>
      </c>
      <c r="AF44" s="100">
        <v>8</v>
      </c>
      <c r="AG44" s="100">
        <v>8179.2</v>
      </c>
      <c r="AH44" s="100">
        <v>9</v>
      </c>
      <c r="AI44" s="100">
        <v>9201.6</v>
      </c>
      <c r="AJ44" s="100">
        <v>10</v>
      </c>
      <c r="AK44" s="100">
        <v>10224</v>
      </c>
      <c r="AL44" s="100">
        <v>11</v>
      </c>
      <c r="AM44" s="100">
        <v>11246.4</v>
      </c>
      <c r="AN44" s="100">
        <v>9</v>
      </c>
      <c r="AO44" s="100">
        <v>9201.6</v>
      </c>
      <c r="AP44" s="100">
        <v>4.695908220996964</v>
      </c>
      <c r="AQ44" s="100">
        <v>4801.0965651472961</v>
      </c>
      <c r="AR44" s="100">
        <v>11</v>
      </c>
      <c r="AS44" s="100">
        <v>11246.4</v>
      </c>
      <c r="AT44" s="100">
        <v>14</v>
      </c>
      <c r="AU44" s="100">
        <v>14313.6</v>
      </c>
      <c r="AV44" s="100">
        <v>15</v>
      </c>
      <c r="AW44" s="100">
        <v>15336</v>
      </c>
      <c r="AX44" s="100">
        <v>4.3321093975058416</v>
      </c>
      <c r="AY44" s="100">
        <v>4429.148648009972</v>
      </c>
      <c r="AZ44" s="100">
        <v>13</v>
      </c>
      <c r="BA44" s="100">
        <v>13291.199999999999</v>
      </c>
      <c r="BB44" s="100">
        <v>8.6265873775945128</v>
      </c>
      <c r="BC44" s="100">
        <v>8819.8229348526293</v>
      </c>
      <c r="BD44" s="100">
        <v>11</v>
      </c>
      <c r="BE44" s="100">
        <v>11246.4</v>
      </c>
      <c r="BF44" s="100">
        <v>12</v>
      </c>
      <c r="BG44" s="100">
        <v>12268.8</v>
      </c>
      <c r="BH44" s="100">
        <v>14</v>
      </c>
      <c r="BI44" s="100">
        <v>14313.6</v>
      </c>
      <c r="BJ44" s="100">
        <v>14</v>
      </c>
      <c r="BK44" s="100">
        <v>14313.6</v>
      </c>
      <c r="BL44" s="100">
        <v>6.1108124439690306</v>
      </c>
      <c r="BM44" s="100">
        <v>6247.6946427139364</v>
      </c>
      <c r="BN44" s="100">
        <v>6.4669550966318257</v>
      </c>
      <c r="BO44" s="100">
        <v>6611.8148907963787</v>
      </c>
      <c r="BP44" s="100">
        <v>3.1291358434165577</v>
      </c>
      <c r="BQ44" s="100">
        <v>3199.2284863090886</v>
      </c>
      <c r="BR44" s="100">
        <v>15</v>
      </c>
      <c r="BS44" s="100">
        <v>15336</v>
      </c>
      <c r="BT44" s="100">
        <v>13</v>
      </c>
      <c r="BU44" s="100">
        <v>13291.199999999999</v>
      </c>
      <c r="BV44" s="100">
        <v>13</v>
      </c>
      <c r="BW44" s="100">
        <v>13291.199999999999</v>
      </c>
      <c r="BX44" s="100">
        <v>12</v>
      </c>
      <c r="BY44" s="100">
        <v>12268.8</v>
      </c>
      <c r="BZ44" s="100">
        <v>11</v>
      </c>
      <c r="CA44" s="100">
        <v>11246.4</v>
      </c>
      <c r="CB44" s="100">
        <v>10</v>
      </c>
      <c r="CC44" s="100">
        <v>10224</v>
      </c>
      <c r="CD44" s="100">
        <v>12.094950000467547</v>
      </c>
      <c r="CE44" s="100">
        <v>12365.876880478019</v>
      </c>
      <c r="CF44" s="100">
        <v>14</v>
      </c>
      <c r="CG44" s="100">
        <v>14313.6</v>
      </c>
      <c r="CH44" s="100">
        <v>0.67697599682763121</v>
      </c>
      <c r="CI44" s="100">
        <v>692.1402591565701</v>
      </c>
      <c r="CJ44" s="100">
        <v>9</v>
      </c>
      <c r="CK44" s="100">
        <v>9201.6</v>
      </c>
      <c r="CL44" s="100">
        <v>10</v>
      </c>
      <c r="CM44" s="100">
        <v>10224</v>
      </c>
      <c r="CN44" s="100">
        <v>9</v>
      </c>
      <c r="CO44" s="100">
        <v>9201.6</v>
      </c>
      <c r="CP44" s="100">
        <v>10</v>
      </c>
      <c r="CQ44" s="100">
        <v>10224</v>
      </c>
      <c r="CR44" s="100">
        <v>8</v>
      </c>
      <c r="CS44" s="100">
        <v>8179.2</v>
      </c>
      <c r="CT44" s="100">
        <v>0.91799903600242738</v>
      </c>
      <c r="CU44" s="100">
        <v>938.56221440888169</v>
      </c>
    </row>
    <row r="45" spans="2:99">
      <c r="C45" s="99" t="s">
        <v>211</v>
      </c>
      <c r="D45" s="100">
        <v>11.650059102866223</v>
      </c>
      <c r="E45" s="100">
        <v>14553.253831300486</v>
      </c>
      <c r="F45" s="100">
        <v>0</v>
      </c>
      <c r="G45" s="100">
        <v>0</v>
      </c>
      <c r="H45" s="100">
        <v>10</v>
      </c>
      <c r="I45" s="100">
        <v>12492</v>
      </c>
      <c r="J45" s="100">
        <v>15</v>
      </c>
      <c r="K45" s="100">
        <v>18738</v>
      </c>
      <c r="L45" s="100">
        <v>9.580196311416957</v>
      </c>
      <c r="M45" s="100">
        <v>11967.581232222063</v>
      </c>
      <c r="N45" s="100">
        <v>7.9059918916203591</v>
      </c>
      <c r="O45" s="100">
        <v>9876.1650710121521</v>
      </c>
      <c r="P45" s="100">
        <v>2.3243768263657749</v>
      </c>
      <c r="Q45" s="100">
        <v>2903.6115314961262</v>
      </c>
      <c r="R45" s="100">
        <v>10</v>
      </c>
      <c r="S45" s="100">
        <v>12492</v>
      </c>
      <c r="T45" s="100">
        <v>9</v>
      </c>
      <c r="U45" s="100">
        <v>11242.800000000001</v>
      </c>
      <c r="V45" s="100">
        <v>0.82724656877454317</v>
      </c>
      <c r="W45" s="100">
        <v>1033.3964137131593</v>
      </c>
      <c r="X45" s="100">
        <v>13</v>
      </c>
      <c r="Y45" s="100">
        <v>16239.6</v>
      </c>
      <c r="Z45" s="100">
        <v>12</v>
      </c>
      <c r="AA45" s="100">
        <v>14990.400000000001</v>
      </c>
      <c r="AB45" s="100">
        <v>9</v>
      </c>
      <c r="AC45" s="100">
        <v>11242.800000000001</v>
      </c>
      <c r="AD45" s="100">
        <v>11</v>
      </c>
      <c r="AE45" s="100">
        <v>13741.2</v>
      </c>
      <c r="AF45" s="100">
        <v>8</v>
      </c>
      <c r="AG45" s="100">
        <v>9993.6</v>
      </c>
      <c r="AH45" s="100">
        <v>8</v>
      </c>
      <c r="AI45" s="100">
        <v>9993.6</v>
      </c>
      <c r="AJ45" s="100">
        <v>9</v>
      </c>
      <c r="AK45" s="100">
        <v>11242.800000000001</v>
      </c>
      <c r="AL45" s="100">
        <v>11</v>
      </c>
      <c r="AM45" s="100">
        <v>13741.2</v>
      </c>
      <c r="AN45" s="100">
        <v>8</v>
      </c>
      <c r="AO45" s="100">
        <v>9993.6</v>
      </c>
      <c r="AP45" s="100">
        <v>4.1741406408861907</v>
      </c>
      <c r="AQ45" s="100">
        <v>5214.3364885950296</v>
      </c>
      <c r="AR45" s="100">
        <v>12</v>
      </c>
      <c r="AS45" s="100">
        <v>14990.400000000001</v>
      </c>
      <c r="AT45" s="100">
        <v>12</v>
      </c>
      <c r="AU45" s="100">
        <v>14990.400000000001</v>
      </c>
      <c r="AV45" s="100">
        <v>14</v>
      </c>
      <c r="AW45" s="100">
        <v>17488.8</v>
      </c>
      <c r="AX45" s="100">
        <v>4.8134548861176025</v>
      </c>
      <c r="AY45" s="100">
        <v>6012.967843738109</v>
      </c>
      <c r="AZ45" s="100">
        <v>12</v>
      </c>
      <c r="BA45" s="100">
        <v>14990.400000000001</v>
      </c>
      <c r="BB45" s="100">
        <v>9.489246115353966</v>
      </c>
      <c r="BC45" s="100">
        <v>11853.966247300175</v>
      </c>
      <c r="BD45" s="100">
        <v>10</v>
      </c>
      <c r="BE45" s="100">
        <v>12492</v>
      </c>
      <c r="BF45" s="100">
        <v>12</v>
      </c>
      <c r="BG45" s="100">
        <v>14990.400000000001</v>
      </c>
      <c r="BH45" s="100">
        <v>16</v>
      </c>
      <c r="BI45" s="100">
        <v>19987.2</v>
      </c>
      <c r="BJ45" s="100">
        <v>13</v>
      </c>
      <c r="BK45" s="100">
        <v>16239.6</v>
      </c>
      <c r="BL45" s="100">
        <v>5.3469608884729016</v>
      </c>
      <c r="BM45" s="100">
        <v>6679.4235418803491</v>
      </c>
      <c r="BN45" s="100">
        <v>6.4669550966318257</v>
      </c>
      <c r="BO45" s="100">
        <v>8078.5203067124767</v>
      </c>
      <c r="BP45" s="100">
        <v>2.8446689485605066</v>
      </c>
      <c r="BQ45" s="100">
        <v>3553.560450541785</v>
      </c>
      <c r="BR45" s="100">
        <v>16</v>
      </c>
      <c r="BS45" s="100">
        <v>19987.2</v>
      </c>
      <c r="BT45" s="100">
        <v>11</v>
      </c>
      <c r="BU45" s="100">
        <v>13741.2</v>
      </c>
      <c r="BV45" s="100">
        <v>14</v>
      </c>
      <c r="BW45" s="100">
        <v>17488.8</v>
      </c>
      <c r="BX45" s="100">
        <v>12</v>
      </c>
      <c r="BY45" s="100">
        <v>14990.400000000001</v>
      </c>
      <c r="BZ45" s="100">
        <v>11</v>
      </c>
      <c r="CA45" s="100">
        <v>13741.2</v>
      </c>
      <c r="CB45" s="100">
        <v>11</v>
      </c>
      <c r="CC45" s="100">
        <v>13741.2</v>
      </c>
      <c r="CD45" s="100">
        <v>11.339015625438325</v>
      </c>
      <c r="CE45" s="100">
        <v>14164.698319297557</v>
      </c>
      <c r="CF45" s="100">
        <v>13</v>
      </c>
      <c r="CG45" s="100">
        <v>16239.6</v>
      </c>
      <c r="CH45" s="100">
        <v>0.62862056848280046</v>
      </c>
      <c r="CI45" s="100">
        <v>785.27281414871436</v>
      </c>
      <c r="CJ45" s="100">
        <v>10</v>
      </c>
      <c r="CK45" s="100">
        <v>12492</v>
      </c>
      <c r="CL45" s="100">
        <v>9</v>
      </c>
      <c r="CM45" s="100">
        <v>11242.800000000001</v>
      </c>
      <c r="CN45" s="100">
        <v>8</v>
      </c>
      <c r="CO45" s="100">
        <v>9993.6</v>
      </c>
      <c r="CP45" s="100">
        <v>10</v>
      </c>
      <c r="CQ45" s="100">
        <v>12492</v>
      </c>
      <c r="CR45" s="100">
        <v>9</v>
      </c>
      <c r="CS45" s="100">
        <v>11242.800000000001</v>
      </c>
      <c r="CT45" s="100">
        <v>0.83454457818402494</v>
      </c>
      <c r="CU45" s="100">
        <v>1042.5130870674841</v>
      </c>
    </row>
    <row r="46" spans="2:99">
      <c r="C46" s="99" t="s">
        <v>212</v>
      </c>
      <c r="D46" s="100">
        <v>11.650059102866223</v>
      </c>
      <c r="E46" s="100">
        <v>14119.871632673861</v>
      </c>
      <c r="F46" s="100">
        <v>0</v>
      </c>
      <c r="G46" s="100">
        <v>0</v>
      </c>
      <c r="H46" s="100">
        <v>9</v>
      </c>
      <c r="I46" s="100">
        <v>10908</v>
      </c>
      <c r="J46" s="100">
        <v>13</v>
      </c>
      <c r="K46" s="100">
        <v>15756</v>
      </c>
      <c r="L46" s="100">
        <v>9.580196311416957</v>
      </c>
      <c r="M46" s="100">
        <v>11611.197929437352</v>
      </c>
      <c r="N46" s="100">
        <v>7.1153927024583234</v>
      </c>
      <c r="O46" s="100">
        <v>8623.8559553794876</v>
      </c>
      <c r="P46" s="100">
        <v>2.3243768263657749</v>
      </c>
      <c r="Q46" s="100">
        <v>2817.1447135553194</v>
      </c>
      <c r="R46" s="100">
        <v>8</v>
      </c>
      <c r="S46" s="100">
        <v>9696</v>
      </c>
      <c r="T46" s="100">
        <v>8</v>
      </c>
      <c r="U46" s="100">
        <v>9696</v>
      </c>
      <c r="V46" s="100">
        <v>0.82724656877454317</v>
      </c>
      <c r="W46" s="100">
        <v>1002.6228413547464</v>
      </c>
      <c r="X46" s="100">
        <v>12</v>
      </c>
      <c r="Y46" s="100">
        <v>14544</v>
      </c>
      <c r="Z46" s="100">
        <v>14</v>
      </c>
      <c r="AA46" s="100">
        <v>16968</v>
      </c>
      <c r="AB46" s="100">
        <v>9</v>
      </c>
      <c r="AC46" s="100">
        <v>10908</v>
      </c>
      <c r="AD46" s="100">
        <v>12</v>
      </c>
      <c r="AE46" s="100">
        <v>14544</v>
      </c>
      <c r="AF46" s="100">
        <v>7</v>
      </c>
      <c r="AG46" s="100">
        <v>8484</v>
      </c>
      <c r="AH46" s="100">
        <v>8</v>
      </c>
      <c r="AI46" s="100">
        <v>9696</v>
      </c>
      <c r="AJ46" s="100">
        <v>8</v>
      </c>
      <c r="AK46" s="100">
        <v>9696</v>
      </c>
      <c r="AL46" s="100">
        <v>11</v>
      </c>
      <c r="AM46" s="100">
        <v>13332</v>
      </c>
      <c r="AN46" s="100">
        <v>8</v>
      </c>
      <c r="AO46" s="100">
        <v>9696</v>
      </c>
      <c r="AP46" s="100">
        <v>4.1741406408861907</v>
      </c>
      <c r="AQ46" s="100">
        <v>5059.0584567540636</v>
      </c>
      <c r="AR46" s="100">
        <v>12</v>
      </c>
      <c r="AS46" s="100">
        <v>14544</v>
      </c>
      <c r="AT46" s="100">
        <v>13</v>
      </c>
      <c r="AU46" s="100">
        <v>15756</v>
      </c>
      <c r="AV46" s="100">
        <v>16</v>
      </c>
      <c r="AW46" s="100">
        <v>19392</v>
      </c>
      <c r="AX46" s="100">
        <v>4.8134548861176025</v>
      </c>
      <c r="AY46" s="100">
        <v>5833.9073219745342</v>
      </c>
      <c r="AZ46" s="100">
        <v>11</v>
      </c>
      <c r="BA46" s="100">
        <v>13332</v>
      </c>
      <c r="BB46" s="100">
        <v>9.489246115353966</v>
      </c>
      <c r="BC46" s="100">
        <v>11500.966291809007</v>
      </c>
      <c r="BD46" s="100">
        <v>10</v>
      </c>
      <c r="BE46" s="100">
        <v>12120</v>
      </c>
      <c r="BF46" s="100">
        <v>13</v>
      </c>
      <c r="BG46" s="100">
        <v>15756</v>
      </c>
      <c r="BH46" s="100">
        <v>16</v>
      </c>
      <c r="BI46" s="100">
        <v>19392</v>
      </c>
      <c r="BJ46" s="100">
        <v>13</v>
      </c>
      <c r="BK46" s="100">
        <v>15756</v>
      </c>
      <c r="BL46" s="100">
        <v>5.3469608884729016</v>
      </c>
      <c r="BM46" s="100">
        <v>6480.5165968291567</v>
      </c>
      <c r="BN46" s="100">
        <v>6.4669550966318257</v>
      </c>
      <c r="BO46" s="100">
        <v>7837.9495771177726</v>
      </c>
      <c r="BP46" s="100">
        <v>3.1291358434165577</v>
      </c>
      <c r="BQ46" s="100">
        <v>3792.5126422208677</v>
      </c>
      <c r="BR46" s="100">
        <v>15</v>
      </c>
      <c r="BS46" s="100">
        <v>18180</v>
      </c>
      <c r="BT46" s="100">
        <v>11</v>
      </c>
      <c r="BU46" s="100">
        <v>13332</v>
      </c>
      <c r="BV46" s="100">
        <v>12</v>
      </c>
      <c r="BW46" s="100">
        <v>14544</v>
      </c>
      <c r="BX46" s="100">
        <v>13</v>
      </c>
      <c r="BY46" s="100">
        <v>15756</v>
      </c>
      <c r="BZ46" s="100">
        <v>10</v>
      </c>
      <c r="CA46" s="100">
        <v>12120</v>
      </c>
      <c r="CB46" s="100">
        <v>11</v>
      </c>
      <c r="CC46" s="100">
        <v>13332</v>
      </c>
      <c r="CD46" s="100">
        <v>11.339015625438325</v>
      </c>
      <c r="CE46" s="100">
        <v>13742.88693803125</v>
      </c>
      <c r="CF46" s="100">
        <v>13</v>
      </c>
      <c r="CG46" s="100">
        <v>15756</v>
      </c>
      <c r="CH46" s="100">
        <v>0.62862056848280046</v>
      </c>
      <c r="CI46" s="100">
        <v>761.8881290011542</v>
      </c>
      <c r="CJ46" s="100">
        <v>10</v>
      </c>
      <c r="CK46" s="100">
        <v>12120</v>
      </c>
      <c r="CL46" s="100">
        <v>11</v>
      </c>
      <c r="CM46" s="100">
        <v>13332</v>
      </c>
      <c r="CN46" s="100">
        <v>7</v>
      </c>
      <c r="CO46" s="100">
        <v>8484</v>
      </c>
      <c r="CP46" s="100">
        <v>10</v>
      </c>
      <c r="CQ46" s="100">
        <v>12120</v>
      </c>
      <c r="CR46" s="100">
        <v>7</v>
      </c>
      <c r="CS46" s="100">
        <v>8484</v>
      </c>
      <c r="CT46" s="100">
        <v>0.83454457818402494</v>
      </c>
      <c r="CU46" s="100">
        <v>1011.4680287590382</v>
      </c>
    </row>
    <row r="47" spans="2:99">
      <c r="C47" s="99" t="s">
        <v>213</v>
      </c>
      <c r="D47" s="100">
        <v>9.985764945313905</v>
      </c>
      <c r="E47" s="100">
        <v>15254.25453046152</v>
      </c>
      <c r="F47" s="100">
        <v>0</v>
      </c>
      <c r="G47" s="100">
        <v>0</v>
      </c>
      <c r="H47" s="100">
        <v>11</v>
      </c>
      <c r="I47" s="100">
        <v>16803.599999999999</v>
      </c>
      <c r="J47" s="100">
        <v>14</v>
      </c>
      <c r="K47" s="100">
        <v>21386.399999999998</v>
      </c>
      <c r="L47" s="100">
        <v>9.580196311416957</v>
      </c>
      <c r="M47" s="100">
        <v>14634.707885320542</v>
      </c>
      <c r="N47" s="100">
        <v>6.3247935132962878</v>
      </c>
      <c r="O47" s="100">
        <v>9661.7545709114092</v>
      </c>
      <c r="P47" s="100">
        <v>2.3243768263657749</v>
      </c>
      <c r="Q47" s="100">
        <v>3550.7180399563576</v>
      </c>
      <c r="R47" s="100">
        <v>8</v>
      </c>
      <c r="S47" s="100">
        <v>12220.8</v>
      </c>
      <c r="T47" s="100">
        <v>7</v>
      </c>
      <c r="U47" s="100">
        <v>10693.199999999999</v>
      </c>
      <c r="V47" s="100">
        <v>0.72384074767772522</v>
      </c>
      <c r="W47" s="100">
        <v>1105.7391261524929</v>
      </c>
      <c r="X47" s="100">
        <v>11</v>
      </c>
      <c r="Y47" s="100">
        <v>16803.599999999999</v>
      </c>
      <c r="Z47" s="100">
        <v>13</v>
      </c>
      <c r="AA47" s="100">
        <v>19858.8</v>
      </c>
      <c r="AB47" s="100">
        <v>9</v>
      </c>
      <c r="AC47" s="100">
        <v>13748.4</v>
      </c>
      <c r="AD47" s="100">
        <v>11</v>
      </c>
      <c r="AE47" s="100">
        <v>16803.599999999999</v>
      </c>
      <c r="AF47" s="100">
        <v>7</v>
      </c>
      <c r="AG47" s="100">
        <v>10693.199999999999</v>
      </c>
      <c r="AH47" s="100">
        <v>7</v>
      </c>
      <c r="AI47" s="100">
        <v>10693.199999999999</v>
      </c>
      <c r="AJ47" s="100">
        <v>9</v>
      </c>
      <c r="AK47" s="100">
        <v>13748.4</v>
      </c>
      <c r="AL47" s="100">
        <v>12</v>
      </c>
      <c r="AM47" s="100">
        <v>18331.199999999997</v>
      </c>
      <c r="AN47" s="100">
        <v>8</v>
      </c>
      <c r="AO47" s="100">
        <v>12220.8</v>
      </c>
      <c r="AP47" s="100">
        <v>3.6523730607754166</v>
      </c>
      <c r="AQ47" s="100">
        <v>5579.3650876405263</v>
      </c>
      <c r="AR47" s="100">
        <v>12</v>
      </c>
      <c r="AS47" s="100">
        <v>18331.199999999997</v>
      </c>
      <c r="AT47" s="100">
        <v>13</v>
      </c>
      <c r="AU47" s="100">
        <v>19858.8</v>
      </c>
      <c r="AV47" s="100">
        <v>13</v>
      </c>
      <c r="AW47" s="100">
        <v>19858.8</v>
      </c>
      <c r="AX47" s="100">
        <v>4.3321093975058416</v>
      </c>
      <c r="AY47" s="100">
        <v>6617.7303156299231</v>
      </c>
      <c r="AZ47" s="100">
        <v>12</v>
      </c>
      <c r="BA47" s="100">
        <v>18331.199999999997</v>
      </c>
      <c r="BB47" s="100">
        <v>8.6265873775945128</v>
      </c>
      <c r="BC47" s="100">
        <v>13177.974878013378</v>
      </c>
      <c r="BD47" s="100">
        <v>11</v>
      </c>
      <c r="BE47" s="100">
        <v>16803.599999999999</v>
      </c>
      <c r="BF47" s="100">
        <v>13</v>
      </c>
      <c r="BG47" s="100">
        <v>19858.8</v>
      </c>
      <c r="BH47" s="100">
        <v>14</v>
      </c>
      <c r="BI47" s="100">
        <v>21386.399999999998</v>
      </c>
      <c r="BJ47" s="100">
        <v>15</v>
      </c>
      <c r="BK47" s="100">
        <v>22914</v>
      </c>
      <c r="BL47" s="100">
        <v>6.1108124439690306</v>
      </c>
      <c r="BM47" s="100">
        <v>9334.8770894070913</v>
      </c>
      <c r="BN47" s="100">
        <v>5.8202595869686435</v>
      </c>
      <c r="BO47" s="100">
        <v>8891.0285450532992</v>
      </c>
      <c r="BP47" s="100">
        <v>3.4136027382726084</v>
      </c>
      <c r="BQ47" s="100">
        <v>5214.619542985236</v>
      </c>
      <c r="BR47" s="100">
        <v>13</v>
      </c>
      <c r="BS47" s="100">
        <v>19858.8</v>
      </c>
      <c r="BT47" s="100">
        <v>11</v>
      </c>
      <c r="BU47" s="100">
        <v>16803.599999999999</v>
      </c>
      <c r="BV47" s="100">
        <v>14</v>
      </c>
      <c r="BW47" s="100">
        <v>21386.399999999998</v>
      </c>
      <c r="BX47" s="100">
        <v>11</v>
      </c>
      <c r="BY47" s="100">
        <v>16803.599999999999</v>
      </c>
      <c r="BZ47" s="100">
        <v>11</v>
      </c>
      <c r="CA47" s="100">
        <v>16803.599999999999</v>
      </c>
      <c r="CB47" s="100">
        <v>10</v>
      </c>
      <c r="CC47" s="100">
        <v>15276</v>
      </c>
      <c r="CD47" s="100">
        <v>10.583081250409103</v>
      </c>
      <c r="CE47" s="100">
        <v>16166.714918124944</v>
      </c>
      <c r="CF47" s="100">
        <v>13</v>
      </c>
      <c r="CG47" s="100">
        <v>19858.8</v>
      </c>
      <c r="CH47" s="100">
        <v>0.5802651401379697</v>
      </c>
      <c r="CI47" s="100">
        <v>886.41302807476245</v>
      </c>
      <c r="CJ47" s="100">
        <v>9</v>
      </c>
      <c r="CK47" s="100">
        <v>13748.4</v>
      </c>
      <c r="CL47" s="100">
        <v>9</v>
      </c>
      <c r="CM47" s="100">
        <v>13748.4</v>
      </c>
      <c r="CN47" s="100">
        <v>7</v>
      </c>
      <c r="CO47" s="100">
        <v>10693.199999999999</v>
      </c>
      <c r="CP47" s="100">
        <v>10</v>
      </c>
      <c r="CQ47" s="100">
        <v>15276</v>
      </c>
      <c r="CR47" s="100">
        <v>7</v>
      </c>
      <c r="CS47" s="100">
        <v>10693.199999999999</v>
      </c>
      <c r="CT47" s="100">
        <v>0.91799903600242738</v>
      </c>
      <c r="CU47" s="100">
        <v>1402.335327397308</v>
      </c>
    </row>
    <row r="48" spans="2:99">
      <c r="C48" s="99" t="s">
        <v>214</v>
      </c>
      <c r="D48" s="100">
        <v>10.817912024090065</v>
      </c>
      <c r="E48" s="100">
        <v>9385.6204721005397</v>
      </c>
      <c r="F48" s="100">
        <v>0</v>
      </c>
      <c r="G48" s="100">
        <v>0</v>
      </c>
      <c r="H48" s="100">
        <v>10</v>
      </c>
      <c r="I48" s="100">
        <v>8676</v>
      </c>
      <c r="J48" s="100">
        <v>13</v>
      </c>
      <c r="K48" s="100">
        <v>11278.800000000001</v>
      </c>
      <c r="L48" s="100">
        <v>10.451123248818499</v>
      </c>
      <c r="M48" s="100">
        <v>9067.3945306749301</v>
      </c>
      <c r="N48" s="100">
        <v>7.9059918916203591</v>
      </c>
      <c r="O48" s="100">
        <v>6859.2385651698241</v>
      </c>
      <c r="P48" s="100">
        <v>2.6149239296614968</v>
      </c>
      <c r="Q48" s="100">
        <v>2268.7080013743148</v>
      </c>
      <c r="R48" s="100">
        <v>10</v>
      </c>
      <c r="S48" s="100">
        <v>8676</v>
      </c>
      <c r="T48" s="100">
        <v>9</v>
      </c>
      <c r="U48" s="100">
        <v>7808.4000000000005</v>
      </c>
      <c r="V48" s="100">
        <v>0.72384074767772522</v>
      </c>
      <c r="W48" s="100">
        <v>628.00423268519444</v>
      </c>
      <c r="X48" s="100">
        <v>12</v>
      </c>
      <c r="Y48" s="100">
        <v>10411.200000000001</v>
      </c>
      <c r="Z48" s="100">
        <v>14</v>
      </c>
      <c r="AA48" s="100">
        <v>12146.4</v>
      </c>
      <c r="AB48" s="100">
        <v>10</v>
      </c>
      <c r="AC48" s="100">
        <v>8676</v>
      </c>
      <c r="AD48" s="100">
        <v>11</v>
      </c>
      <c r="AE48" s="100">
        <v>9543.6</v>
      </c>
      <c r="AF48" s="100">
        <v>8</v>
      </c>
      <c r="AG48" s="100">
        <v>6940.8</v>
      </c>
      <c r="AH48" s="100">
        <v>9</v>
      </c>
      <c r="AI48" s="100">
        <v>7808.4000000000005</v>
      </c>
      <c r="AJ48" s="100">
        <v>9</v>
      </c>
      <c r="AK48" s="100">
        <v>7808.4000000000005</v>
      </c>
      <c r="AL48" s="100">
        <v>12</v>
      </c>
      <c r="AM48" s="100">
        <v>10411.200000000001</v>
      </c>
      <c r="AN48" s="100">
        <v>9</v>
      </c>
      <c r="AO48" s="100">
        <v>7808.4000000000005</v>
      </c>
      <c r="AP48" s="100">
        <v>4.695908220996964</v>
      </c>
      <c r="AQ48" s="100">
        <v>4074.1699725369663</v>
      </c>
      <c r="AR48" s="100">
        <v>12</v>
      </c>
      <c r="AS48" s="100">
        <v>10411.200000000001</v>
      </c>
      <c r="AT48" s="100">
        <v>14</v>
      </c>
      <c r="AU48" s="100">
        <v>12146.4</v>
      </c>
      <c r="AV48" s="100">
        <v>14</v>
      </c>
      <c r="AW48" s="100">
        <v>12146.4</v>
      </c>
      <c r="AX48" s="100">
        <v>4.8134548861176025</v>
      </c>
      <c r="AY48" s="100">
        <v>4176.1534591956324</v>
      </c>
      <c r="AZ48" s="100">
        <v>11</v>
      </c>
      <c r="BA48" s="100">
        <v>9543.6</v>
      </c>
      <c r="BB48" s="100">
        <v>9.489246115353966</v>
      </c>
      <c r="BC48" s="100">
        <v>8232.869929681101</v>
      </c>
      <c r="BD48" s="100">
        <v>10</v>
      </c>
      <c r="BE48" s="100">
        <v>8676</v>
      </c>
      <c r="BF48" s="100">
        <v>14</v>
      </c>
      <c r="BG48" s="100">
        <v>12146.4</v>
      </c>
      <c r="BH48" s="100">
        <v>16</v>
      </c>
      <c r="BI48" s="100">
        <v>13881.6</v>
      </c>
      <c r="BJ48" s="100">
        <v>15</v>
      </c>
      <c r="BK48" s="100">
        <v>13014</v>
      </c>
      <c r="BL48" s="100">
        <v>6.1108124439690306</v>
      </c>
      <c r="BM48" s="100">
        <v>5301.740876387531</v>
      </c>
      <c r="BN48" s="100">
        <v>7.1136506062950087</v>
      </c>
      <c r="BO48" s="100">
        <v>6171.8032660215495</v>
      </c>
      <c r="BP48" s="100">
        <v>3.1291358434165577</v>
      </c>
      <c r="BQ48" s="100">
        <v>2714.8382577482057</v>
      </c>
      <c r="BR48" s="100">
        <v>15</v>
      </c>
      <c r="BS48" s="100">
        <v>13014</v>
      </c>
      <c r="BT48" s="100">
        <v>12</v>
      </c>
      <c r="BU48" s="100">
        <v>10411.200000000001</v>
      </c>
      <c r="BV48" s="100">
        <v>14</v>
      </c>
      <c r="BW48" s="100">
        <v>12146.4</v>
      </c>
      <c r="BX48" s="100">
        <v>12</v>
      </c>
      <c r="BY48" s="100">
        <v>10411.200000000001</v>
      </c>
      <c r="BZ48" s="100">
        <v>13</v>
      </c>
      <c r="CA48" s="100">
        <v>11278.800000000001</v>
      </c>
      <c r="CB48" s="100">
        <v>10</v>
      </c>
      <c r="CC48" s="100">
        <v>8676</v>
      </c>
      <c r="CD48" s="100">
        <v>11.339015625438325</v>
      </c>
      <c r="CE48" s="100">
        <v>9837.7299566302918</v>
      </c>
      <c r="CF48" s="100">
        <v>13</v>
      </c>
      <c r="CG48" s="100">
        <v>11278.800000000001</v>
      </c>
      <c r="CH48" s="100">
        <v>0.67697599682763121</v>
      </c>
      <c r="CI48" s="100">
        <v>587.34437484765283</v>
      </c>
      <c r="CJ48" s="100">
        <v>10</v>
      </c>
      <c r="CK48" s="100">
        <v>8676</v>
      </c>
      <c r="CL48" s="100">
        <v>11</v>
      </c>
      <c r="CM48" s="100">
        <v>9543.6</v>
      </c>
      <c r="CN48" s="100">
        <v>8</v>
      </c>
      <c r="CO48" s="100">
        <v>6940.8</v>
      </c>
      <c r="CP48" s="100">
        <v>11</v>
      </c>
      <c r="CQ48" s="100">
        <v>9543.6</v>
      </c>
      <c r="CR48" s="100">
        <v>8</v>
      </c>
      <c r="CS48" s="100">
        <v>6940.8</v>
      </c>
      <c r="CT48" s="100">
        <v>0.83454457818402494</v>
      </c>
      <c r="CU48" s="100">
        <v>724.05087603246011</v>
      </c>
    </row>
    <row r="49" spans="2:99">
      <c r="B49" s="99" t="s">
        <v>129</v>
      </c>
      <c r="C49" s="99" t="s">
        <v>215</v>
      </c>
      <c r="D49" s="100">
        <v>3.2885638255941765</v>
      </c>
      <c r="E49" s="100">
        <v>3239.8930809753824</v>
      </c>
      <c r="F49" s="100">
        <v>6</v>
      </c>
      <c r="G49" s="100">
        <v>5911.2</v>
      </c>
      <c r="H49" s="100">
        <v>8</v>
      </c>
      <c r="I49" s="100">
        <v>7881.5999999999995</v>
      </c>
      <c r="J49" s="100">
        <v>10</v>
      </c>
      <c r="K49" s="100">
        <v>9852</v>
      </c>
      <c r="L49" s="100">
        <v>1.8442813438727848</v>
      </c>
      <c r="M49" s="100">
        <v>1816.9859799834674</v>
      </c>
      <c r="N49" s="100">
        <v>4.8503733894724057</v>
      </c>
      <c r="O49" s="100">
        <v>4778.5878633082139</v>
      </c>
      <c r="P49" s="100">
        <v>5.0994283231031199</v>
      </c>
      <c r="Q49" s="100">
        <v>5023.9567839211932</v>
      </c>
      <c r="R49" s="100">
        <v>5.9164896013762345</v>
      </c>
      <c r="S49" s="100">
        <v>5828.9255552758659</v>
      </c>
      <c r="T49" s="100">
        <v>4.8432659062428707</v>
      </c>
      <c r="U49" s="100">
        <v>4771.5855708304762</v>
      </c>
      <c r="V49" s="100">
        <v>6.1982272014417683</v>
      </c>
      <c r="W49" s="100">
        <v>6106.4934388604297</v>
      </c>
      <c r="X49" s="100">
        <v>7.284879773176808</v>
      </c>
      <c r="Y49" s="100">
        <v>7177.0635525337912</v>
      </c>
      <c r="Z49" s="100">
        <v>4.4292900486243063</v>
      </c>
      <c r="AA49" s="100">
        <v>4363.7365559046666</v>
      </c>
      <c r="AB49" s="100">
        <v>7</v>
      </c>
      <c r="AC49" s="100">
        <v>6896.4</v>
      </c>
      <c r="AD49" s="100">
        <v>8.1461768940325587</v>
      </c>
      <c r="AE49" s="100">
        <v>8025.6134760008763</v>
      </c>
      <c r="AF49" s="100">
        <v>4.1692556797677947</v>
      </c>
      <c r="AG49" s="100">
        <v>4107.5506957072312</v>
      </c>
      <c r="AH49" s="100">
        <v>4.8852463771591621</v>
      </c>
      <c r="AI49" s="100">
        <v>4812.9447307772061</v>
      </c>
      <c r="AJ49" s="100">
        <v>9</v>
      </c>
      <c r="AK49" s="100">
        <v>8866.7999999999993</v>
      </c>
      <c r="AL49" s="100">
        <v>8</v>
      </c>
      <c r="AM49" s="100">
        <v>7881.5999999999995</v>
      </c>
      <c r="AN49" s="100">
        <v>7</v>
      </c>
      <c r="AO49" s="100">
        <v>6896.4</v>
      </c>
      <c r="AP49" s="100">
        <v>6</v>
      </c>
      <c r="AQ49" s="100">
        <v>5911.2</v>
      </c>
      <c r="AR49" s="100">
        <v>10</v>
      </c>
      <c r="AS49" s="100">
        <v>9852</v>
      </c>
      <c r="AT49" s="100">
        <v>8</v>
      </c>
      <c r="AU49" s="100">
        <v>7881.5999999999995</v>
      </c>
      <c r="AV49" s="100">
        <v>7.7219392392884254</v>
      </c>
      <c r="AW49" s="100">
        <v>7607.6545385469562</v>
      </c>
      <c r="AX49" s="100">
        <v>6.4465581851973344</v>
      </c>
      <c r="AY49" s="100">
        <v>6351.1491240564137</v>
      </c>
      <c r="AZ49" s="100">
        <v>3.3354045438142359</v>
      </c>
      <c r="BA49" s="100">
        <v>3286.0405565657848</v>
      </c>
      <c r="BB49" s="100">
        <v>2.350448728633181</v>
      </c>
      <c r="BC49" s="100">
        <v>2315.6620874494097</v>
      </c>
      <c r="BD49" s="100">
        <v>9</v>
      </c>
      <c r="BE49" s="100">
        <v>8866.7999999999993</v>
      </c>
      <c r="BF49" s="100">
        <v>9</v>
      </c>
      <c r="BG49" s="100">
        <v>8866.7999999999993</v>
      </c>
      <c r="BH49" s="100">
        <v>6.8223046251577708</v>
      </c>
      <c r="BI49" s="100">
        <v>6721.3345167054349</v>
      </c>
      <c r="BJ49" s="100">
        <v>2.2831392003218078</v>
      </c>
      <c r="BK49" s="100">
        <v>2249.3487401570451</v>
      </c>
      <c r="BL49" s="100">
        <v>6.3531515120271154</v>
      </c>
      <c r="BM49" s="100">
        <v>6259.1248696491139</v>
      </c>
      <c r="BN49" s="100">
        <v>7</v>
      </c>
      <c r="BO49" s="100">
        <v>6896.4</v>
      </c>
      <c r="BP49" s="100">
        <v>10</v>
      </c>
      <c r="BQ49" s="100">
        <v>9852</v>
      </c>
      <c r="BR49" s="100">
        <v>9</v>
      </c>
      <c r="BS49" s="100">
        <v>8866.7999999999993</v>
      </c>
      <c r="BT49" s="100">
        <v>10</v>
      </c>
      <c r="BU49" s="100">
        <v>9852</v>
      </c>
      <c r="BV49" s="100">
        <v>6</v>
      </c>
      <c r="BW49" s="100">
        <v>5911.2</v>
      </c>
      <c r="BX49" s="100">
        <v>6</v>
      </c>
      <c r="BY49" s="100">
        <v>5911.2</v>
      </c>
      <c r="BZ49" s="100">
        <v>4.6943189886283045</v>
      </c>
      <c r="CA49" s="100">
        <v>4624.8430675966056</v>
      </c>
      <c r="CB49" s="100">
        <v>10</v>
      </c>
      <c r="CC49" s="100">
        <v>9852</v>
      </c>
      <c r="CD49" s="100">
        <v>10</v>
      </c>
      <c r="CE49" s="100">
        <v>9852</v>
      </c>
      <c r="CF49" s="100">
        <v>6.1535246546835838</v>
      </c>
      <c r="CG49" s="100">
        <v>6062.4524897942665</v>
      </c>
      <c r="CH49" s="100">
        <v>6.8842113856520841</v>
      </c>
      <c r="CI49" s="100">
        <v>6782.3250571444332</v>
      </c>
      <c r="CJ49" s="100">
        <v>8</v>
      </c>
      <c r="CK49" s="100">
        <v>7881.5999999999995</v>
      </c>
      <c r="CL49" s="100">
        <v>2.2588564099642365</v>
      </c>
      <c r="CM49" s="100">
        <v>2225.4253350967656</v>
      </c>
      <c r="CN49" s="100">
        <v>8.4389753518191508</v>
      </c>
      <c r="CO49" s="100">
        <v>8314.0785166122259</v>
      </c>
      <c r="CP49" s="100">
        <v>6.5999355029170133</v>
      </c>
      <c r="CQ49" s="100">
        <v>6502.2564574738408</v>
      </c>
      <c r="CR49" s="100">
        <v>8</v>
      </c>
      <c r="CS49" s="100">
        <v>7881.5999999999995</v>
      </c>
      <c r="CT49" s="100">
        <v>4.1181745739948896</v>
      </c>
      <c r="CU49" s="100">
        <v>4057.2255902997649</v>
      </c>
    </row>
    <row r="50" spans="2:99">
      <c r="C50" s="99" t="s">
        <v>216</v>
      </c>
      <c r="D50" s="100">
        <v>6.6571766302092703</v>
      </c>
      <c r="E50" s="100">
        <v>1877.3238097190142</v>
      </c>
      <c r="F50" s="100">
        <v>0</v>
      </c>
      <c r="G50" s="100">
        <v>0</v>
      </c>
      <c r="H50" s="100">
        <v>8</v>
      </c>
      <c r="I50" s="100">
        <v>2256</v>
      </c>
      <c r="J50" s="100">
        <v>11</v>
      </c>
      <c r="K50" s="100">
        <v>3102</v>
      </c>
      <c r="L50" s="100">
        <v>7.8383424366138739</v>
      </c>
      <c r="M50" s="100">
        <v>2210.4125671251122</v>
      </c>
      <c r="N50" s="100">
        <v>3.9529959458101795</v>
      </c>
      <c r="O50" s="100">
        <v>1114.7448567184706</v>
      </c>
      <c r="P50" s="100">
        <v>2.3243768263657749</v>
      </c>
      <c r="Q50" s="100">
        <v>655.47426503514851</v>
      </c>
      <c r="R50" s="100">
        <v>7</v>
      </c>
      <c r="S50" s="100">
        <v>1974</v>
      </c>
      <c r="T50" s="100">
        <v>7</v>
      </c>
      <c r="U50" s="100">
        <v>1974</v>
      </c>
      <c r="V50" s="100">
        <v>0.93065238987136101</v>
      </c>
      <c r="W50" s="100">
        <v>262.44397394372379</v>
      </c>
      <c r="X50" s="100">
        <v>8</v>
      </c>
      <c r="Y50" s="100">
        <v>2256</v>
      </c>
      <c r="Z50" s="100">
        <v>11</v>
      </c>
      <c r="AA50" s="100">
        <v>3102</v>
      </c>
      <c r="AB50" s="100">
        <v>7</v>
      </c>
      <c r="AC50" s="100">
        <v>1974</v>
      </c>
      <c r="AD50" s="100">
        <v>10</v>
      </c>
      <c r="AE50" s="100">
        <v>2820</v>
      </c>
      <c r="AF50" s="100">
        <v>5</v>
      </c>
      <c r="AG50" s="100">
        <v>1410</v>
      </c>
      <c r="AH50" s="100">
        <v>10</v>
      </c>
      <c r="AI50" s="100">
        <v>2820</v>
      </c>
      <c r="AJ50" s="100">
        <v>10</v>
      </c>
      <c r="AK50" s="100">
        <v>2820</v>
      </c>
      <c r="AL50" s="100">
        <v>9</v>
      </c>
      <c r="AM50" s="100">
        <v>2538</v>
      </c>
      <c r="AN50" s="100">
        <v>7</v>
      </c>
      <c r="AO50" s="100">
        <v>1974</v>
      </c>
      <c r="AP50" s="100">
        <v>3.6523730607754166</v>
      </c>
      <c r="AQ50" s="100">
        <v>1029.9692031386676</v>
      </c>
      <c r="AR50" s="100">
        <v>9</v>
      </c>
      <c r="AS50" s="100">
        <v>2538</v>
      </c>
      <c r="AT50" s="100">
        <v>7</v>
      </c>
      <c r="AU50" s="100">
        <v>1974</v>
      </c>
      <c r="AV50" s="100">
        <v>8</v>
      </c>
      <c r="AW50" s="100">
        <v>2256</v>
      </c>
      <c r="AX50" s="100">
        <v>3.3694184202823214</v>
      </c>
      <c r="AY50" s="100">
        <v>950.17599451961462</v>
      </c>
      <c r="AZ50" s="100">
        <v>6</v>
      </c>
      <c r="BA50" s="100">
        <v>1692</v>
      </c>
      <c r="BB50" s="100">
        <v>7.7639286398350631</v>
      </c>
      <c r="BC50" s="100">
        <v>2189.4278764334877</v>
      </c>
      <c r="BD50" s="100">
        <v>8</v>
      </c>
      <c r="BE50" s="100">
        <v>2256</v>
      </c>
      <c r="BF50" s="100">
        <v>9</v>
      </c>
      <c r="BG50" s="100">
        <v>2538</v>
      </c>
      <c r="BH50" s="100">
        <v>10</v>
      </c>
      <c r="BI50" s="100">
        <v>2820</v>
      </c>
      <c r="BJ50" s="100">
        <v>8</v>
      </c>
      <c r="BK50" s="100">
        <v>2256</v>
      </c>
      <c r="BL50" s="100">
        <v>6.8746639994651595</v>
      </c>
      <c r="BM50" s="100">
        <v>1938.6552478491749</v>
      </c>
      <c r="BN50" s="100">
        <v>5.8202595869686435</v>
      </c>
      <c r="BO50" s="100">
        <v>1641.3132035251574</v>
      </c>
      <c r="BP50" s="100">
        <v>2.8446689485605066</v>
      </c>
      <c r="BQ50" s="100">
        <v>802.19664349406287</v>
      </c>
      <c r="BR50" s="100">
        <v>9</v>
      </c>
      <c r="BS50" s="100">
        <v>2538</v>
      </c>
      <c r="BT50" s="100">
        <v>11</v>
      </c>
      <c r="BU50" s="100">
        <v>3102</v>
      </c>
      <c r="BV50" s="100">
        <v>7</v>
      </c>
      <c r="BW50" s="100">
        <v>1974</v>
      </c>
      <c r="BX50" s="100">
        <v>6</v>
      </c>
      <c r="BY50" s="100">
        <v>1692</v>
      </c>
      <c r="BZ50" s="100">
        <v>11</v>
      </c>
      <c r="CA50" s="100">
        <v>3102</v>
      </c>
      <c r="CB50" s="100">
        <v>12</v>
      </c>
      <c r="CC50" s="100">
        <v>3384</v>
      </c>
      <c r="CD50" s="100">
        <v>7.5593437502922169</v>
      </c>
      <c r="CE50" s="100">
        <v>2131.7349375824051</v>
      </c>
      <c r="CF50" s="100">
        <v>8</v>
      </c>
      <c r="CG50" s="100">
        <v>2256</v>
      </c>
      <c r="CH50" s="100">
        <v>0.43519885510347722</v>
      </c>
      <c r="CI50" s="100">
        <v>122.72607713918057</v>
      </c>
      <c r="CJ50" s="100">
        <v>10</v>
      </c>
      <c r="CK50" s="100">
        <v>2820</v>
      </c>
      <c r="CL50" s="100">
        <v>11</v>
      </c>
      <c r="CM50" s="100">
        <v>3102</v>
      </c>
      <c r="CN50" s="100">
        <v>9</v>
      </c>
      <c r="CO50" s="100">
        <v>2538</v>
      </c>
      <c r="CP50" s="100">
        <v>8</v>
      </c>
      <c r="CQ50" s="100">
        <v>2256</v>
      </c>
      <c r="CR50" s="100">
        <v>9</v>
      </c>
      <c r="CS50" s="100">
        <v>2538</v>
      </c>
      <c r="CT50" s="100">
        <v>1.0014534938208299</v>
      </c>
      <c r="CU50" s="100">
        <v>282.40988525747406</v>
      </c>
    </row>
    <row r="51" spans="2:99">
      <c r="C51" s="99" t="s">
        <v>217</v>
      </c>
      <c r="D51" s="100">
        <v>6.6571766302092703</v>
      </c>
      <c r="E51" s="100">
        <v>5687.8917128508001</v>
      </c>
      <c r="F51" s="100">
        <v>0</v>
      </c>
      <c r="G51" s="100">
        <v>0</v>
      </c>
      <c r="H51" s="100">
        <v>9</v>
      </c>
      <c r="I51" s="100">
        <v>7689.5999999999995</v>
      </c>
      <c r="J51" s="100">
        <v>9</v>
      </c>
      <c r="K51" s="100">
        <v>7689.5999999999995</v>
      </c>
      <c r="L51" s="100">
        <v>6.9674154992123327</v>
      </c>
      <c r="M51" s="100">
        <v>5952.959802527017</v>
      </c>
      <c r="N51" s="100">
        <v>4.7435951349722156</v>
      </c>
      <c r="O51" s="100">
        <v>4052.9276833202607</v>
      </c>
      <c r="P51" s="100">
        <v>2.0338297230700531</v>
      </c>
      <c r="Q51" s="100">
        <v>1737.7041153910534</v>
      </c>
      <c r="R51" s="100">
        <v>7</v>
      </c>
      <c r="S51" s="100">
        <v>5980.8</v>
      </c>
      <c r="T51" s="100">
        <v>6</v>
      </c>
      <c r="U51" s="100">
        <v>5126.3999999999996</v>
      </c>
      <c r="V51" s="100">
        <v>0.82724656877454317</v>
      </c>
      <c r="W51" s="100">
        <v>706.79946836096963</v>
      </c>
      <c r="X51" s="100">
        <v>7</v>
      </c>
      <c r="Y51" s="100">
        <v>5980.8</v>
      </c>
      <c r="Z51" s="100">
        <v>9</v>
      </c>
      <c r="AA51" s="100">
        <v>7689.5999999999995</v>
      </c>
      <c r="AB51" s="100">
        <v>7</v>
      </c>
      <c r="AC51" s="100">
        <v>5980.8</v>
      </c>
      <c r="AD51" s="100">
        <v>10</v>
      </c>
      <c r="AE51" s="100">
        <v>8544</v>
      </c>
      <c r="AF51" s="100">
        <v>5</v>
      </c>
      <c r="AG51" s="100">
        <v>4272</v>
      </c>
      <c r="AH51" s="100">
        <v>8</v>
      </c>
      <c r="AI51" s="100">
        <v>6835.2</v>
      </c>
      <c r="AJ51" s="100">
        <v>9</v>
      </c>
      <c r="AK51" s="100">
        <v>7689.5999999999995</v>
      </c>
      <c r="AL51" s="100">
        <v>8</v>
      </c>
      <c r="AM51" s="100">
        <v>6835.2</v>
      </c>
      <c r="AN51" s="100">
        <v>7</v>
      </c>
      <c r="AO51" s="100">
        <v>5980.8</v>
      </c>
      <c r="AP51" s="100">
        <v>3.1306054806646433</v>
      </c>
      <c r="AQ51" s="100">
        <v>2674.789322679871</v>
      </c>
      <c r="AR51" s="100">
        <v>9</v>
      </c>
      <c r="AS51" s="100">
        <v>7689.5999999999995</v>
      </c>
      <c r="AT51" s="100">
        <v>8</v>
      </c>
      <c r="AU51" s="100">
        <v>6835.2</v>
      </c>
      <c r="AV51" s="100">
        <v>8</v>
      </c>
      <c r="AW51" s="100">
        <v>6835.2</v>
      </c>
      <c r="AX51" s="100">
        <v>3.3694184202823214</v>
      </c>
      <c r="AY51" s="100">
        <v>2878.8310982892153</v>
      </c>
      <c r="AZ51" s="100">
        <v>6</v>
      </c>
      <c r="BA51" s="100">
        <v>5126.3999999999996</v>
      </c>
      <c r="BB51" s="100">
        <v>7.7639286398350631</v>
      </c>
      <c r="BC51" s="100">
        <v>6633.5006298750777</v>
      </c>
      <c r="BD51" s="100">
        <v>8</v>
      </c>
      <c r="BE51" s="100">
        <v>6835.2</v>
      </c>
      <c r="BF51" s="100">
        <v>8</v>
      </c>
      <c r="BG51" s="100">
        <v>6835.2</v>
      </c>
      <c r="BH51" s="100">
        <v>9</v>
      </c>
      <c r="BI51" s="100">
        <v>7689.5999999999995</v>
      </c>
      <c r="BJ51" s="100">
        <v>8</v>
      </c>
      <c r="BK51" s="100">
        <v>6835.2</v>
      </c>
      <c r="BL51" s="100">
        <v>6.1108124439690306</v>
      </c>
      <c r="BM51" s="100">
        <v>5221.0781521271392</v>
      </c>
      <c r="BN51" s="100">
        <v>5.1735640773054605</v>
      </c>
      <c r="BO51" s="100">
        <v>4420.2931476497852</v>
      </c>
      <c r="BP51" s="100">
        <v>2.5602020537044563</v>
      </c>
      <c r="BQ51" s="100">
        <v>2187.4366346850875</v>
      </c>
      <c r="BR51" s="100">
        <v>9</v>
      </c>
      <c r="BS51" s="100">
        <v>7689.5999999999995</v>
      </c>
      <c r="BT51" s="100">
        <v>11</v>
      </c>
      <c r="BU51" s="100">
        <v>9398.4</v>
      </c>
      <c r="BV51" s="100">
        <v>7</v>
      </c>
      <c r="BW51" s="100">
        <v>5980.8</v>
      </c>
      <c r="BX51" s="100">
        <v>6</v>
      </c>
      <c r="BY51" s="100">
        <v>5126.3999999999996</v>
      </c>
      <c r="BZ51" s="100">
        <v>10</v>
      </c>
      <c r="CA51" s="100">
        <v>8544</v>
      </c>
      <c r="CB51" s="100">
        <v>10</v>
      </c>
      <c r="CC51" s="100">
        <v>8544</v>
      </c>
      <c r="CD51" s="100">
        <v>9.0712125003506596</v>
      </c>
      <c r="CE51" s="100">
        <v>7750.4439602996035</v>
      </c>
      <c r="CF51" s="100">
        <v>7</v>
      </c>
      <c r="CG51" s="100">
        <v>5980.8</v>
      </c>
      <c r="CH51" s="100">
        <v>0.38684342675864641</v>
      </c>
      <c r="CI51" s="100">
        <v>330.51902382258749</v>
      </c>
      <c r="CJ51" s="100">
        <v>9</v>
      </c>
      <c r="CK51" s="100">
        <v>7689.5999999999995</v>
      </c>
      <c r="CL51" s="100">
        <v>11</v>
      </c>
      <c r="CM51" s="100">
        <v>9398.4</v>
      </c>
      <c r="CN51" s="100">
        <v>9</v>
      </c>
      <c r="CO51" s="100">
        <v>7689.5999999999995</v>
      </c>
      <c r="CP51" s="100">
        <v>9</v>
      </c>
      <c r="CQ51" s="100">
        <v>7689.5999999999995</v>
      </c>
      <c r="CR51" s="100">
        <v>8</v>
      </c>
      <c r="CS51" s="100">
        <v>6835.2</v>
      </c>
      <c r="CT51" s="100">
        <v>0.91799903600242738</v>
      </c>
      <c r="CU51" s="100">
        <v>784.33837636047394</v>
      </c>
    </row>
    <row r="52" spans="2:99">
      <c r="C52" s="99" t="s">
        <v>218</v>
      </c>
      <c r="D52" s="100">
        <v>6.6571766302092703</v>
      </c>
      <c r="E52" s="100">
        <v>3594.8753803130062</v>
      </c>
      <c r="F52" s="100">
        <v>0</v>
      </c>
      <c r="G52" s="100">
        <v>0</v>
      </c>
      <c r="H52" s="100">
        <v>10</v>
      </c>
      <c r="I52" s="100">
        <v>5400</v>
      </c>
      <c r="J52" s="100">
        <v>10</v>
      </c>
      <c r="K52" s="100">
        <v>5400</v>
      </c>
      <c r="L52" s="100">
        <v>6.9674154992123327</v>
      </c>
      <c r="M52" s="100">
        <v>3762.4043695746595</v>
      </c>
      <c r="N52" s="100">
        <v>3.9529959458101795</v>
      </c>
      <c r="O52" s="100">
        <v>2134.6178107374972</v>
      </c>
      <c r="P52" s="100">
        <v>2.0338297230700531</v>
      </c>
      <c r="Q52" s="100">
        <v>1098.2680504578286</v>
      </c>
      <c r="R52" s="100">
        <v>8</v>
      </c>
      <c r="S52" s="100">
        <v>4320</v>
      </c>
      <c r="T52" s="100">
        <v>6</v>
      </c>
      <c r="U52" s="100">
        <v>3240</v>
      </c>
      <c r="V52" s="100">
        <v>0.93065238987136101</v>
      </c>
      <c r="W52" s="100">
        <v>502.55229053053495</v>
      </c>
      <c r="X52" s="100">
        <v>8</v>
      </c>
      <c r="Y52" s="100">
        <v>4320</v>
      </c>
      <c r="Z52" s="100">
        <v>9</v>
      </c>
      <c r="AA52" s="100">
        <v>4860</v>
      </c>
      <c r="AB52" s="100">
        <v>7</v>
      </c>
      <c r="AC52" s="100">
        <v>3780</v>
      </c>
      <c r="AD52" s="100">
        <v>9</v>
      </c>
      <c r="AE52" s="100">
        <v>4860</v>
      </c>
      <c r="AF52" s="100">
        <v>6</v>
      </c>
      <c r="AG52" s="100">
        <v>3240</v>
      </c>
      <c r="AH52" s="100">
        <v>9</v>
      </c>
      <c r="AI52" s="100">
        <v>4860</v>
      </c>
      <c r="AJ52" s="100">
        <v>10</v>
      </c>
      <c r="AK52" s="100">
        <v>5400</v>
      </c>
      <c r="AL52" s="100">
        <v>8</v>
      </c>
      <c r="AM52" s="100">
        <v>4320</v>
      </c>
      <c r="AN52" s="100">
        <v>7</v>
      </c>
      <c r="AO52" s="100">
        <v>3780</v>
      </c>
      <c r="AP52" s="100">
        <v>3.1306054806646433</v>
      </c>
      <c r="AQ52" s="100">
        <v>1690.5269595589073</v>
      </c>
      <c r="AR52" s="100">
        <v>9</v>
      </c>
      <c r="AS52" s="100">
        <v>4860</v>
      </c>
      <c r="AT52" s="100">
        <v>7</v>
      </c>
      <c r="AU52" s="100">
        <v>3780</v>
      </c>
      <c r="AV52" s="100">
        <v>7</v>
      </c>
      <c r="AW52" s="100">
        <v>3780</v>
      </c>
      <c r="AX52" s="100">
        <v>3.3694184202823214</v>
      </c>
      <c r="AY52" s="100">
        <v>1819.4859469524536</v>
      </c>
      <c r="AZ52" s="100">
        <v>6</v>
      </c>
      <c r="BA52" s="100">
        <v>3240</v>
      </c>
      <c r="BB52" s="100">
        <v>8.6265873775945128</v>
      </c>
      <c r="BC52" s="100">
        <v>4658.3571839010365</v>
      </c>
      <c r="BD52" s="100">
        <v>8</v>
      </c>
      <c r="BE52" s="100">
        <v>4320</v>
      </c>
      <c r="BF52" s="100">
        <v>9</v>
      </c>
      <c r="BG52" s="100">
        <v>4860</v>
      </c>
      <c r="BH52" s="100">
        <v>9</v>
      </c>
      <c r="BI52" s="100">
        <v>4860</v>
      </c>
      <c r="BJ52" s="100">
        <v>8</v>
      </c>
      <c r="BK52" s="100">
        <v>4320</v>
      </c>
      <c r="BL52" s="100">
        <v>5.3469608884729016</v>
      </c>
      <c r="BM52" s="100">
        <v>2887.3588797753669</v>
      </c>
      <c r="BN52" s="100">
        <v>5.1735640773054605</v>
      </c>
      <c r="BO52" s="100">
        <v>2793.7246017449488</v>
      </c>
      <c r="BP52" s="100">
        <v>2.5602020537044563</v>
      </c>
      <c r="BQ52" s="100">
        <v>1382.5091090004064</v>
      </c>
      <c r="BR52" s="100">
        <v>9</v>
      </c>
      <c r="BS52" s="100">
        <v>4860</v>
      </c>
      <c r="BT52" s="100">
        <v>11</v>
      </c>
      <c r="BU52" s="100">
        <v>5940</v>
      </c>
      <c r="BV52" s="100">
        <v>6</v>
      </c>
      <c r="BW52" s="100">
        <v>3240</v>
      </c>
      <c r="BX52" s="100">
        <v>5</v>
      </c>
      <c r="BY52" s="100">
        <v>2700</v>
      </c>
      <c r="BZ52" s="100">
        <v>10</v>
      </c>
      <c r="CA52" s="100">
        <v>5400</v>
      </c>
      <c r="CB52" s="100">
        <v>11</v>
      </c>
      <c r="CC52" s="100">
        <v>5940</v>
      </c>
      <c r="CD52" s="100">
        <v>9.0712125003506596</v>
      </c>
      <c r="CE52" s="100">
        <v>4898.4547501893558</v>
      </c>
      <c r="CF52" s="100">
        <v>9</v>
      </c>
      <c r="CG52" s="100">
        <v>4860</v>
      </c>
      <c r="CH52" s="100">
        <v>0.43519885510347722</v>
      </c>
      <c r="CI52" s="100">
        <v>235.0073817558777</v>
      </c>
      <c r="CJ52" s="100">
        <v>9</v>
      </c>
      <c r="CK52" s="100">
        <v>4860</v>
      </c>
      <c r="CL52" s="100">
        <v>11</v>
      </c>
      <c r="CM52" s="100">
        <v>5940</v>
      </c>
      <c r="CN52" s="100">
        <v>9</v>
      </c>
      <c r="CO52" s="100">
        <v>4860</v>
      </c>
      <c r="CP52" s="100">
        <v>9</v>
      </c>
      <c r="CQ52" s="100">
        <v>4860</v>
      </c>
      <c r="CR52" s="100">
        <v>8</v>
      </c>
      <c r="CS52" s="100">
        <v>4320</v>
      </c>
      <c r="CT52" s="100">
        <v>1.0014534938208299</v>
      </c>
      <c r="CU52" s="100">
        <v>540.78488666324813</v>
      </c>
    </row>
    <row r="53" spans="2:99">
      <c r="C53" s="99" t="s">
        <v>219</v>
      </c>
      <c r="D53" s="100">
        <v>5.8250295514331114</v>
      </c>
      <c r="E53" s="100">
        <v>2369.6220215229896</v>
      </c>
      <c r="F53" s="100">
        <v>0</v>
      </c>
      <c r="G53" s="100">
        <v>0</v>
      </c>
      <c r="H53" s="100">
        <v>8</v>
      </c>
      <c r="I53" s="100">
        <v>3254.4</v>
      </c>
      <c r="J53" s="100">
        <v>10</v>
      </c>
      <c r="K53" s="100">
        <v>4068</v>
      </c>
      <c r="L53" s="100">
        <v>6.9674154992123327</v>
      </c>
      <c r="M53" s="100">
        <v>2834.3446250795769</v>
      </c>
      <c r="N53" s="100">
        <v>3.9529959458101795</v>
      </c>
      <c r="O53" s="100">
        <v>1608.078750755581</v>
      </c>
      <c r="P53" s="100">
        <v>2.3243768263657749</v>
      </c>
      <c r="Q53" s="100">
        <v>945.55649296559727</v>
      </c>
      <c r="R53" s="100">
        <v>8</v>
      </c>
      <c r="S53" s="100">
        <v>3254.4</v>
      </c>
      <c r="T53" s="100">
        <v>7</v>
      </c>
      <c r="U53" s="100">
        <v>2847.6</v>
      </c>
      <c r="V53" s="100">
        <v>0.82724656877454317</v>
      </c>
      <c r="W53" s="100">
        <v>336.52390417748416</v>
      </c>
      <c r="X53" s="100">
        <v>8</v>
      </c>
      <c r="Y53" s="100">
        <v>3254.4</v>
      </c>
      <c r="Z53" s="100">
        <v>10</v>
      </c>
      <c r="AA53" s="100">
        <v>4068</v>
      </c>
      <c r="AB53" s="100">
        <v>6</v>
      </c>
      <c r="AC53" s="100">
        <v>2440.8000000000002</v>
      </c>
      <c r="AD53" s="100">
        <v>9</v>
      </c>
      <c r="AE53" s="100">
        <v>3661.2000000000003</v>
      </c>
      <c r="AF53" s="100">
        <v>6</v>
      </c>
      <c r="AG53" s="100">
        <v>2440.8000000000002</v>
      </c>
      <c r="AH53" s="100">
        <v>10</v>
      </c>
      <c r="AI53" s="100">
        <v>4068</v>
      </c>
      <c r="AJ53" s="100">
        <v>9</v>
      </c>
      <c r="AK53" s="100">
        <v>3661.2000000000003</v>
      </c>
      <c r="AL53" s="100">
        <v>9</v>
      </c>
      <c r="AM53" s="100">
        <v>3661.2000000000003</v>
      </c>
      <c r="AN53" s="100">
        <v>7</v>
      </c>
      <c r="AO53" s="100">
        <v>2847.6</v>
      </c>
      <c r="AP53" s="100">
        <v>3.6523730607754166</v>
      </c>
      <c r="AQ53" s="100">
        <v>1485.7853611234395</v>
      </c>
      <c r="AR53" s="100">
        <v>10</v>
      </c>
      <c r="AS53" s="100">
        <v>4068</v>
      </c>
      <c r="AT53" s="100">
        <v>7</v>
      </c>
      <c r="AU53" s="100">
        <v>2847.6</v>
      </c>
      <c r="AV53" s="100">
        <v>9</v>
      </c>
      <c r="AW53" s="100">
        <v>3661.2000000000003</v>
      </c>
      <c r="AX53" s="100">
        <v>3.3694184202823214</v>
      </c>
      <c r="AY53" s="100">
        <v>1370.6794133708484</v>
      </c>
      <c r="AZ53" s="100">
        <v>6</v>
      </c>
      <c r="BA53" s="100">
        <v>2440.8000000000002</v>
      </c>
      <c r="BB53" s="100">
        <v>9.489246115353966</v>
      </c>
      <c r="BC53" s="100">
        <v>3860.2253197259934</v>
      </c>
      <c r="BD53" s="100">
        <v>8</v>
      </c>
      <c r="BE53" s="100">
        <v>3254.4</v>
      </c>
      <c r="BF53" s="100">
        <v>8</v>
      </c>
      <c r="BG53" s="100">
        <v>3254.4</v>
      </c>
      <c r="BH53" s="100">
        <v>9</v>
      </c>
      <c r="BI53" s="100">
        <v>3661.2000000000003</v>
      </c>
      <c r="BJ53" s="100">
        <v>8</v>
      </c>
      <c r="BK53" s="100">
        <v>3254.4</v>
      </c>
      <c r="BL53" s="100">
        <v>6.8746639994651595</v>
      </c>
      <c r="BM53" s="100">
        <v>2796.6133149824268</v>
      </c>
      <c r="BN53" s="100">
        <v>4.5268685676422784</v>
      </c>
      <c r="BO53" s="100">
        <v>1841.5301333168788</v>
      </c>
      <c r="BP53" s="100">
        <v>2.5602020537044563</v>
      </c>
      <c r="BQ53" s="100">
        <v>1041.4901954469728</v>
      </c>
      <c r="BR53" s="100">
        <v>10</v>
      </c>
      <c r="BS53" s="100">
        <v>4068</v>
      </c>
      <c r="BT53" s="100">
        <v>11</v>
      </c>
      <c r="BU53" s="100">
        <v>4474.8</v>
      </c>
      <c r="BV53" s="100">
        <v>6</v>
      </c>
      <c r="BW53" s="100">
        <v>2440.8000000000002</v>
      </c>
      <c r="BX53" s="100">
        <v>6</v>
      </c>
      <c r="BY53" s="100">
        <v>2440.8000000000002</v>
      </c>
      <c r="BZ53" s="100">
        <v>10</v>
      </c>
      <c r="CA53" s="100">
        <v>4068</v>
      </c>
      <c r="CB53" s="100">
        <v>10</v>
      </c>
      <c r="CC53" s="100">
        <v>4068</v>
      </c>
      <c r="CD53" s="100">
        <v>9.0712125003506596</v>
      </c>
      <c r="CE53" s="100">
        <v>3690.1692451426484</v>
      </c>
      <c r="CF53" s="100">
        <v>8</v>
      </c>
      <c r="CG53" s="100">
        <v>3254.4</v>
      </c>
      <c r="CH53" s="100">
        <v>0.38684342675864641</v>
      </c>
      <c r="CI53" s="100">
        <v>157.36790600541735</v>
      </c>
      <c r="CJ53" s="100">
        <v>8</v>
      </c>
      <c r="CK53" s="100">
        <v>3254.4</v>
      </c>
      <c r="CL53" s="100">
        <v>10</v>
      </c>
      <c r="CM53" s="100">
        <v>4068</v>
      </c>
      <c r="CN53" s="100">
        <v>9</v>
      </c>
      <c r="CO53" s="100">
        <v>3661.2000000000003</v>
      </c>
      <c r="CP53" s="100">
        <v>9</v>
      </c>
      <c r="CQ53" s="100">
        <v>3661.2000000000003</v>
      </c>
      <c r="CR53" s="100">
        <v>8</v>
      </c>
      <c r="CS53" s="100">
        <v>3254.4</v>
      </c>
      <c r="CT53" s="100">
        <v>0.83454457818402494</v>
      </c>
      <c r="CU53" s="100">
        <v>339.49273440526133</v>
      </c>
    </row>
    <row r="54" spans="2:99">
      <c r="C54" s="99" t="s">
        <v>220</v>
      </c>
      <c r="D54" s="100">
        <v>6.6571766302092703</v>
      </c>
      <c r="E54" s="100">
        <v>2228.8227357940636</v>
      </c>
      <c r="F54" s="100">
        <v>0</v>
      </c>
      <c r="G54" s="100">
        <v>0</v>
      </c>
      <c r="H54" s="100">
        <v>9</v>
      </c>
      <c r="I54" s="100">
        <v>3013.2000000000003</v>
      </c>
      <c r="J54" s="100">
        <v>10</v>
      </c>
      <c r="K54" s="100">
        <v>3348</v>
      </c>
      <c r="L54" s="100">
        <v>7.8383424366138739</v>
      </c>
      <c r="M54" s="100">
        <v>2624.2770477783251</v>
      </c>
      <c r="N54" s="100">
        <v>4.7435951349722156</v>
      </c>
      <c r="O54" s="100">
        <v>1588.1556511886979</v>
      </c>
      <c r="P54" s="100">
        <v>2.0338297230700531</v>
      </c>
      <c r="Q54" s="100">
        <v>680.92619128385377</v>
      </c>
      <c r="R54" s="100">
        <v>7</v>
      </c>
      <c r="S54" s="100">
        <v>2343.6</v>
      </c>
      <c r="T54" s="100">
        <v>7</v>
      </c>
      <c r="U54" s="100">
        <v>2343.6</v>
      </c>
      <c r="V54" s="100">
        <v>0.82724656877454317</v>
      </c>
      <c r="W54" s="100">
        <v>276.96215122571704</v>
      </c>
      <c r="X54" s="100">
        <v>9</v>
      </c>
      <c r="Y54" s="100">
        <v>3013.2000000000003</v>
      </c>
      <c r="Z54" s="100">
        <v>11</v>
      </c>
      <c r="AA54" s="100">
        <v>3682.8</v>
      </c>
      <c r="AB54" s="100">
        <v>7</v>
      </c>
      <c r="AC54" s="100">
        <v>2343.6</v>
      </c>
      <c r="AD54" s="100">
        <v>9</v>
      </c>
      <c r="AE54" s="100">
        <v>3013.2000000000003</v>
      </c>
      <c r="AF54" s="100">
        <v>6</v>
      </c>
      <c r="AG54" s="100">
        <v>2008.8000000000002</v>
      </c>
      <c r="AH54" s="100">
        <v>9</v>
      </c>
      <c r="AI54" s="100">
        <v>3013.2000000000003</v>
      </c>
      <c r="AJ54" s="100">
        <v>9</v>
      </c>
      <c r="AK54" s="100">
        <v>3013.2000000000003</v>
      </c>
      <c r="AL54" s="100">
        <v>8</v>
      </c>
      <c r="AM54" s="100">
        <v>2678.4</v>
      </c>
      <c r="AN54" s="100">
        <v>7</v>
      </c>
      <c r="AO54" s="100">
        <v>2343.6</v>
      </c>
      <c r="AP54" s="100">
        <v>3.1306054806646433</v>
      </c>
      <c r="AQ54" s="100">
        <v>1048.1267149265227</v>
      </c>
      <c r="AR54" s="100">
        <v>10</v>
      </c>
      <c r="AS54" s="100">
        <v>3348</v>
      </c>
      <c r="AT54" s="100">
        <v>8</v>
      </c>
      <c r="AU54" s="100">
        <v>2678.4</v>
      </c>
      <c r="AV54" s="100">
        <v>7</v>
      </c>
      <c r="AW54" s="100">
        <v>2343.6</v>
      </c>
      <c r="AX54" s="100">
        <v>3.3694184202823214</v>
      </c>
      <c r="AY54" s="100">
        <v>1128.0812871105213</v>
      </c>
      <c r="AZ54" s="100">
        <v>6</v>
      </c>
      <c r="BA54" s="100">
        <v>2008.8000000000002</v>
      </c>
      <c r="BB54" s="100">
        <v>7.7639286398350631</v>
      </c>
      <c r="BC54" s="100">
        <v>2599.3633086167792</v>
      </c>
      <c r="BD54" s="100">
        <v>8</v>
      </c>
      <c r="BE54" s="100">
        <v>2678.4</v>
      </c>
      <c r="BF54" s="100">
        <v>9</v>
      </c>
      <c r="BG54" s="100">
        <v>3013.2000000000003</v>
      </c>
      <c r="BH54" s="100">
        <v>10</v>
      </c>
      <c r="BI54" s="100">
        <v>3348</v>
      </c>
      <c r="BJ54" s="100">
        <v>8</v>
      </c>
      <c r="BK54" s="100">
        <v>2678.4</v>
      </c>
      <c r="BL54" s="100">
        <v>6.1108124439690306</v>
      </c>
      <c r="BM54" s="100">
        <v>2045.9000062408315</v>
      </c>
      <c r="BN54" s="100">
        <v>5.1735640773054605</v>
      </c>
      <c r="BO54" s="100">
        <v>1732.1092530818682</v>
      </c>
      <c r="BP54" s="100">
        <v>2.5602020537044563</v>
      </c>
      <c r="BQ54" s="100">
        <v>857.15564758025198</v>
      </c>
      <c r="BR54" s="100">
        <v>10</v>
      </c>
      <c r="BS54" s="100">
        <v>3348</v>
      </c>
      <c r="BT54" s="100">
        <v>12</v>
      </c>
      <c r="BU54" s="100">
        <v>4017.6000000000004</v>
      </c>
      <c r="BV54" s="100">
        <v>6</v>
      </c>
      <c r="BW54" s="100">
        <v>2008.8000000000002</v>
      </c>
      <c r="BX54" s="100">
        <v>6</v>
      </c>
      <c r="BY54" s="100">
        <v>2008.8000000000002</v>
      </c>
      <c r="BZ54" s="100">
        <v>12</v>
      </c>
      <c r="CA54" s="100">
        <v>4017.6000000000004</v>
      </c>
      <c r="CB54" s="100">
        <v>12</v>
      </c>
      <c r="CC54" s="100">
        <v>4017.6000000000004</v>
      </c>
      <c r="CD54" s="100">
        <v>9.0712125003506596</v>
      </c>
      <c r="CE54" s="100">
        <v>3037.0419451174012</v>
      </c>
      <c r="CF54" s="100">
        <v>9</v>
      </c>
      <c r="CG54" s="100">
        <v>3013.2000000000003</v>
      </c>
      <c r="CH54" s="100">
        <v>0.43519885510347722</v>
      </c>
      <c r="CI54" s="100">
        <v>145.70457668864418</v>
      </c>
      <c r="CJ54" s="100">
        <v>9</v>
      </c>
      <c r="CK54" s="100">
        <v>3013.2000000000003</v>
      </c>
      <c r="CL54" s="100">
        <v>12</v>
      </c>
      <c r="CM54" s="100">
        <v>4017.6000000000004</v>
      </c>
      <c r="CN54" s="100">
        <v>9</v>
      </c>
      <c r="CO54" s="100">
        <v>3013.2000000000003</v>
      </c>
      <c r="CP54" s="100">
        <v>8</v>
      </c>
      <c r="CQ54" s="100">
        <v>2678.4</v>
      </c>
      <c r="CR54" s="100">
        <v>9</v>
      </c>
      <c r="CS54" s="100">
        <v>3013.2000000000003</v>
      </c>
      <c r="CT54" s="100">
        <v>1.0014534938208299</v>
      </c>
      <c r="CU54" s="100">
        <v>335.28662973121385</v>
      </c>
    </row>
    <row r="55" spans="2:99">
      <c r="C55" s="99" t="s">
        <v>221</v>
      </c>
      <c r="D55" s="100">
        <v>5.8250295514331114</v>
      </c>
      <c r="E55" s="100">
        <v>3865.489610331013</v>
      </c>
      <c r="F55" s="100">
        <v>0</v>
      </c>
      <c r="G55" s="100">
        <v>0</v>
      </c>
      <c r="H55" s="100">
        <v>8</v>
      </c>
      <c r="I55" s="100">
        <v>5308.8</v>
      </c>
      <c r="J55" s="100">
        <v>9</v>
      </c>
      <c r="K55" s="100">
        <v>5972.4000000000005</v>
      </c>
      <c r="L55" s="100">
        <v>7.8383424366138739</v>
      </c>
      <c r="M55" s="100">
        <v>5201.5240409369671</v>
      </c>
      <c r="N55" s="100">
        <v>4.7435951349722156</v>
      </c>
      <c r="O55" s="100">
        <v>3147.8497315675622</v>
      </c>
      <c r="P55" s="100">
        <v>2.3243768263657749</v>
      </c>
      <c r="Q55" s="100">
        <v>1542.4564619763282</v>
      </c>
      <c r="R55" s="100">
        <v>7</v>
      </c>
      <c r="S55" s="100">
        <v>4645.2</v>
      </c>
      <c r="T55" s="100">
        <v>7</v>
      </c>
      <c r="U55" s="100">
        <v>4645.2</v>
      </c>
      <c r="V55" s="100">
        <v>0.82724656877454317</v>
      </c>
      <c r="W55" s="100">
        <v>548.96082303878688</v>
      </c>
      <c r="X55" s="100">
        <v>9</v>
      </c>
      <c r="Y55" s="100">
        <v>5972.4000000000005</v>
      </c>
      <c r="Z55" s="100">
        <v>11</v>
      </c>
      <c r="AA55" s="100">
        <v>7299.6</v>
      </c>
      <c r="AB55" s="100">
        <v>7</v>
      </c>
      <c r="AC55" s="100">
        <v>4645.2</v>
      </c>
      <c r="AD55" s="100">
        <v>10</v>
      </c>
      <c r="AE55" s="100">
        <v>6636</v>
      </c>
      <c r="AF55" s="100">
        <v>5</v>
      </c>
      <c r="AG55" s="100">
        <v>3318</v>
      </c>
      <c r="AH55" s="100">
        <v>9</v>
      </c>
      <c r="AI55" s="100">
        <v>5972.4000000000005</v>
      </c>
      <c r="AJ55" s="100">
        <v>9</v>
      </c>
      <c r="AK55" s="100">
        <v>5972.4000000000005</v>
      </c>
      <c r="AL55" s="100">
        <v>8</v>
      </c>
      <c r="AM55" s="100">
        <v>5308.8</v>
      </c>
      <c r="AN55" s="100">
        <v>8</v>
      </c>
      <c r="AO55" s="100">
        <v>5308.8</v>
      </c>
      <c r="AP55" s="100">
        <v>3.1306054806646433</v>
      </c>
      <c r="AQ55" s="100">
        <v>2077.4697969690574</v>
      </c>
      <c r="AR55" s="100">
        <v>10</v>
      </c>
      <c r="AS55" s="100">
        <v>6636</v>
      </c>
      <c r="AT55" s="100">
        <v>8</v>
      </c>
      <c r="AU55" s="100">
        <v>5308.8</v>
      </c>
      <c r="AV55" s="100">
        <v>9</v>
      </c>
      <c r="AW55" s="100">
        <v>5972.4000000000005</v>
      </c>
      <c r="AX55" s="100">
        <v>3.3694184202823214</v>
      </c>
      <c r="AY55" s="100">
        <v>2235.9460636993485</v>
      </c>
      <c r="AZ55" s="100">
        <v>6</v>
      </c>
      <c r="BA55" s="100">
        <v>3981.6000000000004</v>
      </c>
      <c r="BB55" s="100">
        <v>8.6265873775945128</v>
      </c>
      <c r="BC55" s="100">
        <v>5724.6033837717187</v>
      </c>
      <c r="BD55" s="100">
        <v>8</v>
      </c>
      <c r="BE55" s="100">
        <v>5308.8</v>
      </c>
      <c r="BF55" s="100">
        <v>8</v>
      </c>
      <c r="BG55" s="100">
        <v>5308.8</v>
      </c>
      <c r="BH55" s="100">
        <v>9</v>
      </c>
      <c r="BI55" s="100">
        <v>5972.4000000000005</v>
      </c>
      <c r="BJ55" s="100">
        <v>7</v>
      </c>
      <c r="BK55" s="100">
        <v>4645.2</v>
      </c>
      <c r="BL55" s="100">
        <v>6.1108124439690306</v>
      </c>
      <c r="BM55" s="100">
        <v>4055.1351378178488</v>
      </c>
      <c r="BN55" s="100">
        <v>4.5268685676422784</v>
      </c>
      <c r="BO55" s="100">
        <v>3004.0299814874161</v>
      </c>
      <c r="BP55" s="100">
        <v>2.5602020537044563</v>
      </c>
      <c r="BQ55" s="100">
        <v>1698.9500828382772</v>
      </c>
      <c r="BR55" s="100">
        <v>9</v>
      </c>
      <c r="BS55" s="100">
        <v>5972.4000000000005</v>
      </c>
      <c r="BT55" s="100">
        <v>12</v>
      </c>
      <c r="BU55" s="100">
        <v>7963.2000000000007</v>
      </c>
      <c r="BV55" s="100">
        <v>7</v>
      </c>
      <c r="BW55" s="100">
        <v>4645.2</v>
      </c>
      <c r="BX55" s="100">
        <v>6</v>
      </c>
      <c r="BY55" s="100">
        <v>3981.6000000000004</v>
      </c>
      <c r="BZ55" s="100">
        <v>10</v>
      </c>
      <c r="CA55" s="100">
        <v>6636</v>
      </c>
      <c r="CB55" s="100">
        <v>12</v>
      </c>
      <c r="CC55" s="100">
        <v>7963.2000000000007</v>
      </c>
      <c r="CD55" s="100">
        <v>9.0712125003506596</v>
      </c>
      <c r="CE55" s="100">
        <v>6019.6566152326977</v>
      </c>
      <c r="CF55" s="100">
        <v>9</v>
      </c>
      <c r="CG55" s="100">
        <v>5972.4000000000005</v>
      </c>
      <c r="CH55" s="100">
        <v>0.43519885510347722</v>
      </c>
      <c r="CI55" s="100">
        <v>288.79796024666751</v>
      </c>
      <c r="CJ55" s="100">
        <v>9</v>
      </c>
      <c r="CK55" s="100">
        <v>5972.4000000000005</v>
      </c>
      <c r="CL55" s="100">
        <v>12</v>
      </c>
      <c r="CM55" s="100">
        <v>7963.2000000000007</v>
      </c>
      <c r="CN55" s="100">
        <v>8</v>
      </c>
      <c r="CO55" s="100">
        <v>5308.8</v>
      </c>
      <c r="CP55" s="100">
        <v>8</v>
      </c>
      <c r="CQ55" s="100">
        <v>5308.8</v>
      </c>
      <c r="CR55" s="100">
        <v>8</v>
      </c>
      <c r="CS55" s="100">
        <v>5308.8</v>
      </c>
      <c r="CT55" s="100">
        <v>0.91799903600242738</v>
      </c>
      <c r="CU55" s="100">
        <v>609.18416029121079</v>
      </c>
    </row>
    <row r="56" spans="2:99">
      <c r="C56" s="99" t="s">
        <v>222</v>
      </c>
      <c r="D56" s="100">
        <v>5.2085211316949884</v>
      </c>
      <c r="E56" s="100">
        <v>5112.6843428718003</v>
      </c>
      <c r="F56" s="100">
        <v>3.7399811309497712</v>
      </c>
      <c r="G56" s="100">
        <v>3671.1654781402949</v>
      </c>
      <c r="H56" s="100">
        <v>6.7143737899716678</v>
      </c>
      <c r="I56" s="100">
        <v>6590.8293122361883</v>
      </c>
      <c r="J56" s="100">
        <v>4.2972468904448951</v>
      </c>
      <c r="K56" s="100">
        <v>4218.177547660709</v>
      </c>
      <c r="L56" s="100">
        <v>3.3540492853856825</v>
      </c>
      <c r="M56" s="100">
        <v>3292.3347785345854</v>
      </c>
      <c r="N56" s="100">
        <v>4.9871254599427237</v>
      </c>
      <c r="O56" s="100">
        <v>4895.3623514797773</v>
      </c>
      <c r="P56" s="100">
        <v>5.3196004906055734</v>
      </c>
      <c r="Q56" s="100">
        <v>5221.7198415784305</v>
      </c>
      <c r="R56" s="100">
        <v>4.1778325804268164</v>
      </c>
      <c r="S56" s="100">
        <v>4100.9604609469625</v>
      </c>
      <c r="T56" s="100">
        <v>4.9221590746407902</v>
      </c>
      <c r="U56" s="100">
        <v>4831.5913476673995</v>
      </c>
      <c r="V56" s="100">
        <v>6.2923274374591642</v>
      </c>
      <c r="W56" s="100">
        <v>6176.5486126099149</v>
      </c>
      <c r="X56" s="100">
        <v>3.6536500059312589</v>
      </c>
      <c r="Y56" s="100">
        <v>3586.4228458221232</v>
      </c>
      <c r="Z56" s="100">
        <v>5.1039173174532158</v>
      </c>
      <c r="AA56" s="100">
        <v>5010.0052388120757</v>
      </c>
      <c r="AB56" s="100">
        <v>5.7868626958614682</v>
      </c>
      <c r="AC56" s="100">
        <v>5680.3844222576163</v>
      </c>
      <c r="AD56" s="100">
        <v>7.4806881899140869</v>
      </c>
      <c r="AE56" s="100">
        <v>7343.0435272196673</v>
      </c>
      <c r="AF56" s="100">
        <v>4.8398263957250069</v>
      </c>
      <c r="AG56" s="100">
        <v>4750.7735900436664</v>
      </c>
      <c r="AH56" s="100">
        <v>0.64953777883222374</v>
      </c>
      <c r="AI56" s="100">
        <v>637.58628370171073</v>
      </c>
      <c r="AJ56" s="100">
        <v>9</v>
      </c>
      <c r="AK56" s="100">
        <v>8834.4</v>
      </c>
      <c r="AL56" s="100">
        <v>8</v>
      </c>
      <c r="AM56" s="100">
        <v>7852.7999999999993</v>
      </c>
      <c r="AN56" s="100">
        <v>6</v>
      </c>
      <c r="AO56" s="100">
        <v>5889.5999999999995</v>
      </c>
      <c r="AP56" s="100">
        <v>6</v>
      </c>
      <c r="AQ56" s="100">
        <v>5889.5999999999995</v>
      </c>
      <c r="AR56" s="100">
        <v>10</v>
      </c>
      <c r="AS56" s="100">
        <v>9816</v>
      </c>
      <c r="AT56" s="100">
        <v>1.8148726841263005</v>
      </c>
      <c r="AU56" s="100">
        <v>1781.4790267383764</v>
      </c>
      <c r="AV56" s="100">
        <v>8</v>
      </c>
      <c r="AW56" s="100">
        <v>7852.7999999999993</v>
      </c>
      <c r="AX56" s="100">
        <v>3.2758699841796433</v>
      </c>
      <c r="AY56" s="100">
        <v>3215.5939764707377</v>
      </c>
      <c r="AZ56" s="100">
        <v>4.2680515564160988</v>
      </c>
      <c r="BA56" s="100">
        <v>4189.5194077780425</v>
      </c>
      <c r="BB56" s="100">
        <v>9</v>
      </c>
      <c r="BC56" s="100">
        <v>8834.4</v>
      </c>
      <c r="BD56" s="100">
        <v>8</v>
      </c>
      <c r="BE56" s="100">
        <v>7852.7999999999993</v>
      </c>
      <c r="BF56" s="100">
        <v>10</v>
      </c>
      <c r="BG56" s="100">
        <v>9816</v>
      </c>
      <c r="BH56" s="100">
        <v>7.2226236858271804</v>
      </c>
      <c r="BI56" s="100">
        <v>7089.7274100079594</v>
      </c>
      <c r="BJ56" s="100">
        <v>0.4535061068423184</v>
      </c>
      <c r="BK56" s="100">
        <v>445.16159447641968</v>
      </c>
      <c r="BL56" s="100">
        <v>8</v>
      </c>
      <c r="BM56" s="100">
        <v>7852.7999999999993</v>
      </c>
      <c r="BN56" s="100">
        <v>7</v>
      </c>
      <c r="BO56" s="100">
        <v>6871.1999999999989</v>
      </c>
      <c r="BP56" s="100">
        <v>10</v>
      </c>
      <c r="BQ56" s="100">
        <v>9816</v>
      </c>
      <c r="BR56" s="100">
        <v>9</v>
      </c>
      <c r="BS56" s="100">
        <v>8834.4</v>
      </c>
      <c r="BT56" s="100">
        <v>7.1192022596660776</v>
      </c>
      <c r="BU56" s="100">
        <v>6988.2089380882207</v>
      </c>
      <c r="BV56" s="100">
        <v>4.8223855798845561</v>
      </c>
      <c r="BW56" s="100">
        <v>4733.6536852146801</v>
      </c>
      <c r="BX56" s="100">
        <v>4.9655361722373437</v>
      </c>
      <c r="BY56" s="100">
        <v>4874.1703066681757</v>
      </c>
      <c r="BZ56" s="100">
        <v>7.9242753422233267</v>
      </c>
      <c r="CA56" s="100">
        <v>7778.4686759264168</v>
      </c>
      <c r="CB56" s="100">
        <v>8.4032150607093516</v>
      </c>
      <c r="CC56" s="100">
        <v>8248.5959035922988</v>
      </c>
      <c r="CD56" s="100">
        <v>0</v>
      </c>
      <c r="CE56" s="100">
        <v>0</v>
      </c>
      <c r="CF56" s="100">
        <v>6.7597133306037662</v>
      </c>
      <c r="CG56" s="100">
        <v>6635.334605320656</v>
      </c>
      <c r="CH56" s="100">
        <v>6.5545077473532949</v>
      </c>
      <c r="CI56" s="100">
        <v>6433.904804801994</v>
      </c>
      <c r="CJ56" s="100">
        <v>6.3724380877045919</v>
      </c>
      <c r="CK56" s="100">
        <v>6255.1852268908269</v>
      </c>
      <c r="CL56" s="100">
        <v>0.64208135024869062</v>
      </c>
      <c r="CM56" s="100">
        <v>630.26705340411468</v>
      </c>
      <c r="CN56" s="100">
        <v>9</v>
      </c>
      <c r="CO56" s="100">
        <v>8834.4</v>
      </c>
      <c r="CP56" s="100">
        <v>9</v>
      </c>
      <c r="CQ56" s="100">
        <v>8834.4</v>
      </c>
      <c r="CR56" s="100">
        <v>8</v>
      </c>
      <c r="CS56" s="100">
        <v>7852.7999999999993</v>
      </c>
      <c r="CT56" s="100">
        <v>11.207838258885578</v>
      </c>
      <c r="CU56" s="100">
        <v>11001.614034922082</v>
      </c>
    </row>
    <row r="57" spans="2:99">
      <c r="C57" s="99" t="s">
        <v>223</v>
      </c>
      <c r="D57" s="100">
        <v>5.8250295514331114</v>
      </c>
      <c r="E57" s="100">
        <v>8220.2817029824073</v>
      </c>
      <c r="F57" s="100">
        <v>0</v>
      </c>
      <c r="G57" s="100">
        <v>0</v>
      </c>
      <c r="H57" s="100">
        <v>9</v>
      </c>
      <c r="I57" s="100">
        <v>12700.800000000001</v>
      </c>
      <c r="J57" s="100">
        <v>9</v>
      </c>
      <c r="K57" s="100">
        <v>12700.800000000001</v>
      </c>
      <c r="L57" s="100">
        <v>6.9674154992123327</v>
      </c>
      <c r="M57" s="100">
        <v>9832.4167524884451</v>
      </c>
      <c r="N57" s="100">
        <v>3.9529959458101795</v>
      </c>
      <c r="O57" s="100">
        <v>5578.4678787273251</v>
      </c>
      <c r="P57" s="100">
        <v>2.0338297230700531</v>
      </c>
      <c r="Q57" s="100">
        <v>2870.1405051964589</v>
      </c>
      <c r="R57" s="100">
        <v>6</v>
      </c>
      <c r="S57" s="100">
        <v>8467.2000000000007</v>
      </c>
      <c r="T57" s="100">
        <v>6</v>
      </c>
      <c r="U57" s="100">
        <v>8467.2000000000007</v>
      </c>
      <c r="V57" s="100">
        <v>0.93065238987136101</v>
      </c>
      <c r="W57" s="100">
        <v>1313.3366525864647</v>
      </c>
      <c r="X57" s="100">
        <v>8</v>
      </c>
      <c r="Y57" s="100">
        <v>11289.6</v>
      </c>
      <c r="Z57" s="100">
        <v>10</v>
      </c>
      <c r="AA57" s="100">
        <v>14112</v>
      </c>
      <c r="AB57" s="100">
        <v>6</v>
      </c>
      <c r="AC57" s="100">
        <v>8467.2000000000007</v>
      </c>
      <c r="AD57" s="100">
        <v>8</v>
      </c>
      <c r="AE57" s="100">
        <v>11289.6</v>
      </c>
      <c r="AF57" s="100">
        <v>5</v>
      </c>
      <c r="AG57" s="100">
        <v>7056</v>
      </c>
      <c r="AH57" s="100">
        <v>8</v>
      </c>
      <c r="AI57" s="100">
        <v>11289.6</v>
      </c>
      <c r="AJ57" s="100">
        <v>8</v>
      </c>
      <c r="AK57" s="100">
        <v>11289.6</v>
      </c>
      <c r="AL57" s="100">
        <v>8</v>
      </c>
      <c r="AM57" s="100">
        <v>11289.6</v>
      </c>
      <c r="AN57" s="100">
        <v>6</v>
      </c>
      <c r="AO57" s="100">
        <v>8467.2000000000007</v>
      </c>
      <c r="AP57" s="100">
        <v>3.1306054806646433</v>
      </c>
      <c r="AQ57" s="100">
        <v>4417.9104543139447</v>
      </c>
      <c r="AR57" s="100">
        <v>8</v>
      </c>
      <c r="AS57" s="100">
        <v>11289.6</v>
      </c>
      <c r="AT57" s="100">
        <v>7</v>
      </c>
      <c r="AU57" s="100">
        <v>9878.4</v>
      </c>
      <c r="AV57" s="100">
        <v>8</v>
      </c>
      <c r="AW57" s="100">
        <v>11289.6</v>
      </c>
      <c r="AX57" s="100">
        <v>3.3694184202823214</v>
      </c>
      <c r="AY57" s="100">
        <v>4754.9232747024125</v>
      </c>
      <c r="AZ57" s="100">
        <v>5</v>
      </c>
      <c r="BA57" s="100">
        <v>7056</v>
      </c>
      <c r="BB57" s="100">
        <v>8.6265873775945128</v>
      </c>
      <c r="BC57" s="100">
        <v>12173.840107261376</v>
      </c>
      <c r="BD57" s="100">
        <v>8</v>
      </c>
      <c r="BE57" s="100">
        <v>11289.6</v>
      </c>
      <c r="BF57" s="100">
        <v>9</v>
      </c>
      <c r="BG57" s="100">
        <v>12700.800000000001</v>
      </c>
      <c r="BH57" s="100">
        <v>9</v>
      </c>
      <c r="BI57" s="100">
        <v>12700.800000000001</v>
      </c>
      <c r="BJ57" s="100">
        <v>7</v>
      </c>
      <c r="BK57" s="100">
        <v>9878.4</v>
      </c>
      <c r="BL57" s="100">
        <v>6.1108124439690306</v>
      </c>
      <c r="BM57" s="100">
        <v>8623.5785209290971</v>
      </c>
      <c r="BN57" s="100">
        <v>5.1735640773054605</v>
      </c>
      <c r="BO57" s="100">
        <v>7300.9336258934663</v>
      </c>
      <c r="BP57" s="100">
        <v>2.2757351588484056</v>
      </c>
      <c r="BQ57" s="100">
        <v>3211.51745616687</v>
      </c>
      <c r="BR57" s="100">
        <v>8</v>
      </c>
      <c r="BS57" s="100">
        <v>11289.6</v>
      </c>
      <c r="BT57" s="100">
        <v>11</v>
      </c>
      <c r="BU57" s="100">
        <v>15523.2</v>
      </c>
      <c r="BV57" s="100">
        <v>6</v>
      </c>
      <c r="BW57" s="100">
        <v>8467.2000000000007</v>
      </c>
      <c r="BX57" s="100">
        <v>6</v>
      </c>
      <c r="BY57" s="100">
        <v>8467.2000000000007</v>
      </c>
      <c r="BZ57" s="100">
        <v>11</v>
      </c>
      <c r="CA57" s="100">
        <v>15523.2</v>
      </c>
      <c r="CB57" s="100">
        <v>9</v>
      </c>
      <c r="CC57" s="100">
        <v>12700.800000000001</v>
      </c>
      <c r="CD57" s="100">
        <v>8.3152781253214378</v>
      </c>
      <c r="CE57" s="100">
        <v>11734.520490453613</v>
      </c>
      <c r="CF57" s="100">
        <v>9</v>
      </c>
      <c r="CG57" s="100">
        <v>12700.800000000001</v>
      </c>
      <c r="CH57" s="100">
        <v>0.38684342675864641</v>
      </c>
      <c r="CI57" s="100">
        <v>545.91344384180184</v>
      </c>
      <c r="CJ57" s="100">
        <v>8</v>
      </c>
      <c r="CK57" s="100">
        <v>11289.6</v>
      </c>
      <c r="CL57" s="100">
        <v>10</v>
      </c>
      <c r="CM57" s="100">
        <v>14112</v>
      </c>
      <c r="CN57" s="100">
        <v>9</v>
      </c>
      <c r="CO57" s="100">
        <v>12700.800000000001</v>
      </c>
      <c r="CP57" s="100">
        <v>9</v>
      </c>
      <c r="CQ57" s="100">
        <v>12700.800000000001</v>
      </c>
      <c r="CR57" s="100">
        <v>7</v>
      </c>
      <c r="CS57" s="100">
        <v>9878.4</v>
      </c>
      <c r="CT57" s="100">
        <v>0.91799903600242738</v>
      </c>
      <c r="CU57" s="100">
        <v>1295.4802396066257</v>
      </c>
    </row>
    <row r="58" spans="2:99">
      <c r="C58" s="99" t="s">
        <v>224</v>
      </c>
      <c r="D58" s="100">
        <v>3.2885638255941765</v>
      </c>
      <c r="E58" s="100">
        <v>3871.2973354894648</v>
      </c>
      <c r="F58" s="100">
        <v>7</v>
      </c>
      <c r="G58" s="100">
        <v>8240.4</v>
      </c>
      <c r="H58" s="100">
        <v>8</v>
      </c>
      <c r="I58" s="100">
        <v>9417.6</v>
      </c>
      <c r="J58" s="100">
        <v>11</v>
      </c>
      <c r="K58" s="100">
        <v>12949.2</v>
      </c>
      <c r="L58" s="100">
        <v>1.8442813438727848</v>
      </c>
      <c r="M58" s="100">
        <v>2171.0879980070422</v>
      </c>
      <c r="N58" s="100">
        <v>5.820448067366887</v>
      </c>
      <c r="O58" s="100">
        <v>6851.8314649042995</v>
      </c>
      <c r="P58" s="100">
        <v>5.0994283231031199</v>
      </c>
      <c r="Q58" s="100">
        <v>6003.0470219569934</v>
      </c>
      <c r="R58" s="100">
        <v>5.9164896013762345</v>
      </c>
      <c r="S58" s="100">
        <v>6964.8915587401034</v>
      </c>
      <c r="T58" s="100">
        <v>4.1513707767796033</v>
      </c>
      <c r="U58" s="100">
        <v>4886.9936784249494</v>
      </c>
      <c r="V58" s="100">
        <v>6.1982272014417683</v>
      </c>
      <c r="W58" s="100">
        <v>7296.55306153725</v>
      </c>
      <c r="X58" s="100">
        <v>7.284879773176808</v>
      </c>
      <c r="Y58" s="100">
        <v>8575.760468983739</v>
      </c>
      <c r="Z58" s="100">
        <v>3.9863610437618751</v>
      </c>
      <c r="AA58" s="100">
        <v>4692.7442207164795</v>
      </c>
      <c r="AB58" s="100">
        <v>6</v>
      </c>
      <c r="AC58" s="100">
        <v>7063.2000000000007</v>
      </c>
      <c r="AD58" s="100">
        <v>6.5169415152260468</v>
      </c>
      <c r="AE58" s="100">
        <v>7671.7435517241029</v>
      </c>
      <c r="AF58" s="100">
        <v>3.4743797331398287</v>
      </c>
      <c r="AG58" s="100">
        <v>4090.0398218522064</v>
      </c>
      <c r="AH58" s="100">
        <v>4.8852463771591621</v>
      </c>
      <c r="AI58" s="100">
        <v>5750.9120351917654</v>
      </c>
      <c r="AJ58" s="100">
        <v>8</v>
      </c>
      <c r="AK58" s="100">
        <v>9417.6</v>
      </c>
      <c r="AL58" s="100">
        <v>8</v>
      </c>
      <c r="AM58" s="100">
        <v>9417.6</v>
      </c>
      <c r="AN58" s="100">
        <v>8</v>
      </c>
      <c r="AO58" s="100">
        <v>9417.6</v>
      </c>
      <c r="AP58" s="100">
        <v>6</v>
      </c>
      <c r="AQ58" s="100">
        <v>7063.2000000000007</v>
      </c>
      <c r="AR58" s="100">
        <v>10</v>
      </c>
      <c r="AS58" s="100">
        <v>11772</v>
      </c>
      <c r="AT58" s="100">
        <v>7</v>
      </c>
      <c r="AU58" s="100">
        <v>8240.4</v>
      </c>
      <c r="AV58" s="100">
        <v>6.7566968343773715</v>
      </c>
      <c r="AW58" s="100">
        <v>7953.9835134290424</v>
      </c>
      <c r="AX58" s="100">
        <v>5.5256213015977149</v>
      </c>
      <c r="AY58" s="100">
        <v>6504.7613962408304</v>
      </c>
      <c r="AZ58" s="100">
        <v>3.3354045438142359</v>
      </c>
      <c r="BA58" s="100">
        <v>3926.4382289781188</v>
      </c>
      <c r="BB58" s="100">
        <v>2.08928775878505</v>
      </c>
      <c r="BC58" s="100">
        <v>2459.5095496417612</v>
      </c>
      <c r="BD58" s="100">
        <v>8</v>
      </c>
      <c r="BE58" s="100">
        <v>9417.6</v>
      </c>
      <c r="BF58" s="100">
        <v>9</v>
      </c>
      <c r="BG58" s="100">
        <v>10594.800000000001</v>
      </c>
      <c r="BH58" s="100">
        <v>7.675092703302492</v>
      </c>
      <c r="BI58" s="100">
        <v>9035.1191303276937</v>
      </c>
      <c r="BJ58" s="100">
        <v>1.9977468002815817</v>
      </c>
      <c r="BK58" s="100">
        <v>2351.7475332914782</v>
      </c>
      <c r="BL58" s="100">
        <v>6.3531515120271154</v>
      </c>
      <c r="BM58" s="100">
        <v>7478.9299599583201</v>
      </c>
      <c r="BN58" s="100">
        <v>8</v>
      </c>
      <c r="BO58" s="100">
        <v>9417.6</v>
      </c>
      <c r="BP58" s="100">
        <v>9</v>
      </c>
      <c r="BQ58" s="100">
        <v>10594.800000000001</v>
      </c>
      <c r="BR58" s="100">
        <v>8</v>
      </c>
      <c r="BS58" s="100">
        <v>9417.6</v>
      </c>
      <c r="BT58" s="100">
        <v>10</v>
      </c>
      <c r="BU58" s="100">
        <v>11772</v>
      </c>
      <c r="BV58" s="100">
        <v>6</v>
      </c>
      <c r="BW58" s="100">
        <v>7063.2000000000007</v>
      </c>
      <c r="BX58" s="100">
        <v>6</v>
      </c>
      <c r="BY58" s="100">
        <v>7063.2000000000007</v>
      </c>
      <c r="BZ58" s="100">
        <v>4.2675627169348225</v>
      </c>
      <c r="CA58" s="100">
        <v>5023.7748303756734</v>
      </c>
      <c r="CB58" s="100">
        <v>11</v>
      </c>
      <c r="CC58" s="100">
        <v>12949.2</v>
      </c>
      <c r="CD58" s="100">
        <v>10</v>
      </c>
      <c r="CE58" s="100">
        <v>11772</v>
      </c>
      <c r="CF58" s="100">
        <v>5.3843340728481355</v>
      </c>
      <c r="CG58" s="100">
        <v>6338.4380705568256</v>
      </c>
      <c r="CH58" s="100">
        <v>6.8842113856520841</v>
      </c>
      <c r="CI58" s="100">
        <v>8104.0936431896334</v>
      </c>
      <c r="CJ58" s="100">
        <v>8</v>
      </c>
      <c r="CK58" s="100">
        <v>9417.6</v>
      </c>
      <c r="CL58" s="100">
        <v>2.7106276919570842</v>
      </c>
      <c r="CM58" s="100">
        <v>3190.9509189718797</v>
      </c>
      <c r="CN58" s="100">
        <v>7.5013114238392449</v>
      </c>
      <c r="CO58" s="100">
        <v>8830.5438081435586</v>
      </c>
      <c r="CP58" s="100">
        <v>6.5999355029170133</v>
      </c>
      <c r="CQ58" s="100">
        <v>7769.4440740339087</v>
      </c>
      <c r="CR58" s="100">
        <v>8</v>
      </c>
      <c r="CS58" s="100">
        <v>9417.6</v>
      </c>
      <c r="CT58" s="100">
        <v>4.1181745739948896</v>
      </c>
      <c r="CU58" s="100">
        <v>4847.9151085067842</v>
      </c>
    </row>
    <row r="59" spans="2:99">
      <c r="C59" s="99" t="s">
        <v>225</v>
      </c>
      <c r="D59" s="100">
        <v>5.8250295514331114</v>
      </c>
      <c r="E59" s="100">
        <v>1768.4789718150923</v>
      </c>
      <c r="F59" s="100">
        <v>0</v>
      </c>
      <c r="G59" s="100">
        <v>0</v>
      </c>
      <c r="H59" s="100">
        <v>9</v>
      </c>
      <c r="I59" s="100">
        <v>2732.3999999999996</v>
      </c>
      <c r="J59" s="100">
        <v>11</v>
      </c>
      <c r="K59" s="100">
        <v>3339.5999999999995</v>
      </c>
      <c r="L59" s="100">
        <v>6.9674154992123327</v>
      </c>
      <c r="M59" s="100">
        <v>2115.3073455608642</v>
      </c>
      <c r="N59" s="100">
        <v>3.9529959458101795</v>
      </c>
      <c r="O59" s="100">
        <v>1200.1295691479704</v>
      </c>
      <c r="P59" s="100">
        <v>2.0338297230700531</v>
      </c>
      <c r="Q59" s="100">
        <v>617.47070392406806</v>
      </c>
      <c r="R59" s="100">
        <v>8</v>
      </c>
      <c r="S59" s="100">
        <v>2428.7999999999997</v>
      </c>
      <c r="T59" s="100">
        <v>7</v>
      </c>
      <c r="U59" s="100">
        <v>2125.1999999999998</v>
      </c>
      <c r="V59" s="100">
        <v>0.93065238987136101</v>
      </c>
      <c r="W59" s="100">
        <v>282.5460655649452</v>
      </c>
      <c r="X59" s="100">
        <v>9</v>
      </c>
      <c r="Y59" s="100">
        <v>2732.3999999999996</v>
      </c>
      <c r="Z59" s="100">
        <v>10</v>
      </c>
      <c r="AA59" s="100">
        <v>3035.9999999999995</v>
      </c>
      <c r="AB59" s="100">
        <v>7</v>
      </c>
      <c r="AC59" s="100">
        <v>2125.1999999999998</v>
      </c>
      <c r="AD59" s="100">
        <v>10</v>
      </c>
      <c r="AE59" s="100">
        <v>3035.9999999999995</v>
      </c>
      <c r="AF59" s="100">
        <v>6</v>
      </c>
      <c r="AG59" s="100">
        <v>1821.6</v>
      </c>
      <c r="AH59" s="100">
        <v>8</v>
      </c>
      <c r="AI59" s="100">
        <v>2428.7999999999997</v>
      </c>
      <c r="AJ59" s="100">
        <v>10</v>
      </c>
      <c r="AK59" s="100">
        <v>3035.9999999999995</v>
      </c>
      <c r="AL59" s="100">
        <v>8</v>
      </c>
      <c r="AM59" s="100">
        <v>2428.7999999999997</v>
      </c>
      <c r="AN59" s="100">
        <v>7</v>
      </c>
      <c r="AO59" s="100">
        <v>2125.1999999999998</v>
      </c>
      <c r="AP59" s="100">
        <v>3.6523730607754166</v>
      </c>
      <c r="AQ59" s="100">
        <v>1108.8604612514164</v>
      </c>
      <c r="AR59" s="100">
        <v>10</v>
      </c>
      <c r="AS59" s="100">
        <v>3035.9999999999995</v>
      </c>
      <c r="AT59" s="100">
        <v>8</v>
      </c>
      <c r="AU59" s="100">
        <v>2428.7999999999997</v>
      </c>
      <c r="AV59" s="100">
        <v>8</v>
      </c>
      <c r="AW59" s="100">
        <v>2428.7999999999997</v>
      </c>
      <c r="AX59" s="100">
        <v>2.8880729316705613</v>
      </c>
      <c r="AY59" s="100">
        <v>876.81894205518233</v>
      </c>
      <c r="AZ59" s="100">
        <v>6</v>
      </c>
      <c r="BA59" s="100">
        <v>1821.6</v>
      </c>
      <c r="BB59" s="100">
        <v>7.7639286398350631</v>
      </c>
      <c r="BC59" s="100">
        <v>2357.1287350539251</v>
      </c>
      <c r="BD59" s="100">
        <v>9</v>
      </c>
      <c r="BE59" s="100">
        <v>2732.3999999999996</v>
      </c>
      <c r="BF59" s="100">
        <v>9</v>
      </c>
      <c r="BG59" s="100">
        <v>2732.3999999999996</v>
      </c>
      <c r="BH59" s="100">
        <v>10</v>
      </c>
      <c r="BI59" s="100">
        <v>3035.9999999999995</v>
      </c>
      <c r="BJ59" s="100">
        <v>8</v>
      </c>
      <c r="BK59" s="100">
        <v>2428.7999999999997</v>
      </c>
      <c r="BL59" s="100">
        <v>5.3469608884729016</v>
      </c>
      <c r="BM59" s="100">
        <v>1623.3373257403728</v>
      </c>
      <c r="BN59" s="100">
        <v>4.5268685676422784</v>
      </c>
      <c r="BO59" s="100">
        <v>1374.3572971361955</v>
      </c>
      <c r="BP59" s="100">
        <v>2.5602020537044563</v>
      </c>
      <c r="BQ59" s="100">
        <v>777.2773435046729</v>
      </c>
      <c r="BR59" s="100">
        <v>9</v>
      </c>
      <c r="BS59" s="100">
        <v>2732.3999999999996</v>
      </c>
      <c r="BT59" s="100">
        <v>11</v>
      </c>
      <c r="BU59" s="100">
        <v>3339.5999999999995</v>
      </c>
      <c r="BV59" s="100">
        <v>7</v>
      </c>
      <c r="BW59" s="100">
        <v>2125.1999999999998</v>
      </c>
      <c r="BX59" s="100">
        <v>6</v>
      </c>
      <c r="BY59" s="100">
        <v>1821.6</v>
      </c>
      <c r="BZ59" s="100">
        <v>12</v>
      </c>
      <c r="CA59" s="100">
        <v>3643.2</v>
      </c>
      <c r="CB59" s="100">
        <v>12</v>
      </c>
      <c r="CC59" s="100">
        <v>3643.2</v>
      </c>
      <c r="CD59" s="100">
        <v>8.3152781253214378</v>
      </c>
      <c r="CE59" s="100">
        <v>2524.5184388475882</v>
      </c>
      <c r="CF59" s="100">
        <v>8</v>
      </c>
      <c r="CG59" s="100">
        <v>2428.7999999999997</v>
      </c>
      <c r="CH59" s="100">
        <v>0.43519885510347722</v>
      </c>
      <c r="CI59" s="100">
        <v>132.12637240941567</v>
      </c>
      <c r="CJ59" s="100">
        <v>9</v>
      </c>
      <c r="CK59" s="100">
        <v>2732.3999999999996</v>
      </c>
      <c r="CL59" s="100">
        <v>10</v>
      </c>
      <c r="CM59" s="100">
        <v>3035.9999999999995</v>
      </c>
      <c r="CN59" s="100">
        <v>9</v>
      </c>
      <c r="CO59" s="100">
        <v>2732.3999999999996</v>
      </c>
      <c r="CP59" s="100">
        <v>9</v>
      </c>
      <c r="CQ59" s="100">
        <v>2732.3999999999996</v>
      </c>
      <c r="CR59" s="100">
        <v>9</v>
      </c>
      <c r="CS59" s="100">
        <v>2732.3999999999996</v>
      </c>
      <c r="CT59" s="100">
        <v>1.0014534938208299</v>
      </c>
      <c r="CU59" s="100">
        <v>304.04128072400391</v>
      </c>
    </row>
    <row r="60" spans="2:99">
      <c r="C60" s="99" t="s">
        <v>226</v>
      </c>
      <c r="D60" s="100">
        <v>5.8250295514331114</v>
      </c>
      <c r="E60" s="100">
        <v>3795.5892557138154</v>
      </c>
      <c r="F60" s="100">
        <v>0</v>
      </c>
      <c r="G60" s="100">
        <v>0</v>
      </c>
      <c r="H60" s="100">
        <v>9</v>
      </c>
      <c r="I60" s="100">
        <v>5864.4000000000005</v>
      </c>
      <c r="J60" s="100">
        <v>11</v>
      </c>
      <c r="K60" s="100">
        <v>7167.6</v>
      </c>
      <c r="L60" s="100">
        <v>6.9674154992123327</v>
      </c>
      <c r="M60" s="100">
        <v>4539.9679392867565</v>
      </c>
      <c r="N60" s="100">
        <v>4.7435951349722156</v>
      </c>
      <c r="O60" s="100">
        <v>3090.926589947896</v>
      </c>
      <c r="P60" s="100">
        <v>2.0338297230700531</v>
      </c>
      <c r="Q60" s="100">
        <v>1325.2434475524467</v>
      </c>
      <c r="R60" s="100">
        <v>7</v>
      </c>
      <c r="S60" s="100">
        <v>4561.2</v>
      </c>
      <c r="T60" s="100">
        <v>7</v>
      </c>
      <c r="U60" s="100">
        <v>4561.2</v>
      </c>
      <c r="V60" s="100">
        <v>0.93065238987136101</v>
      </c>
      <c r="W60" s="100">
        <v>606.4130972401789</v>
      </c>
      <c r="X60" s="100">
        <v>8</v>
      </c>
      <c r="Y60" s="100">
        <v>5212.8</v>
      </c>
      <c r="Z60" s="100">
        <v>9</v>
      </c>
      <c r="AA60" s="100">
        <v>5864.4000000000005</v>
      </c>
      <c r="AB60" s="100">
        <v>7</v>
      </c>
      <c r="AC60" s="100">
        <v>4561.2</v>
      </c>
      <c r="AD60" s="100">
        <v>10</v>
      </c>
      <c r="AE60" s="100">
        <v>6516</v>
      </c>
      <c r="AF60" s="100">
        <v>5</v>
      </c>
      <c r="AG60" s="100">
        <v>3258</v>
      </c>
      <c r="AH60" s="100">
        <v>9</v>
      </c>
      <c r="AI60" s="100">
        <v>5864.4000000000005</v>
      </c>
      <c r="AJ60" s="100">
        <v>9</v>
      </c>
      <c r="AK60" s="100">
        <v>5864.4000000000005</v>
      </c>
      <c r="AL60" s="100">
        <v>9</v>
      </c>
      <c r="AM60" s="100">
        <v>5864.4000000000005</v>
      </c>
      <c r="AN60" s="100">
        <v>7</v>
      </c>
      <c r="AO60" s="100">
        <v>4561.2</v>
      </c>
      <c r="AP60" s="100">
        <v>3.6523730607754166</v>
      </c>
      <c r="AQ60" s="100">
        <v>2379.8862864012617</v>
      </c>
      <c r="AR60" s="100">
        <v>8</v>
      </c>
      <c r="AS60" s="100">
        <v>5212.8</v>
      </c>
      <c r="AT60" s="100">
        <v>7</v>
      </c>
      <c r="AU60" s="100">
        <v>4561.2</v>
      </c>
      <c r="AV60" s="100">
        <v>8</v>
      </c>
      <c r="AW60" s="100">
        <v>5212.8</v>
      </c>
      <c r="AX60" s="100">
        <v>3.3694184202823214</v>
      </c>
      <c r="AY60" s="100">
        <v>2195.5130426559608</v>
      </c>
      <c r="AZ60" s="100">
        <v>6</v>
      </c>
      <c r="BA60" s="100">
        <v>3909.6000000000004</v>
      </c>
      <c r="BB60" s="100">
        <v>8.6265873775945128</v>
      </c>
      <c r="BC60" s="100">
        <v>5621.0843352405846</v>
      </c>
      <c r="BD60" s="100">
        <v>9</v>
      </c>
      <c r="BE60" s="100">
        <v>5864.4000000000005</v>
      </c>
      <c r="BF60" s="100">
        <v>9</v>
      </c>
      <c r="BG60" s="100">
        <v>5864.4000000000005</v>
      </c>
      <c r="BH60" s="100">
        <v>9</v>
      </c>
      <c r="BI60" s="100">
        <v>5864.4000000000005</v>
      </c>
      <c r="BJ60" s="100">
        <v>8</v>
      </c>
      <c r="BK60" s="100">
        <v>5212.8</v>
      </c>
      <c r="BL60" s="100">
        <v>5.3469608884729016</v>
      </c>
      <c r="BM60" s="100">
        <v>3484.0797149289428</v>
      </c>
      <c r="BN60" s="100">
        <v>5.1735640773054605</v>
      </c>
      <c r="BO60" s="100">
        <v>3371.0943527722384</v>
      </c>
      <c r="BP60" s="100">
        <v>2.5602020537044563</v>
      </c>
      <c r="BQ60" s="100">
        <v>1668.2276581938238</v>
      </c>
      <c r="BR60" s="100">
        <v>9</v>
      </c>
      <c r="BS60" s="100">
        <v>5864.4000000000005</v>
      </c>
      <c r="BT60" s="100">
        <v>10</v>
      </c>
      <c r="BU60" s="100">
        <v>6516</v>
      </c>
      <c r="BV60" s="100">
        <v>7</v>
      </c>
      <c r="BW60" s="100">
        <v>4561.2</v>
      </c>
      <c r="BX60" s="100">
        <v>6</v>
      </c>
      <c r="BY60" s="100">
        <v>3909.6000000000004</v>
      </c>
      <c r="BZ60" s="100">
        <v>12</v>
      </c>
      <c r="CA60" s="100">
        <v>7819.2000000000007</v>
      </c>
      <c r="CB60" s="100">
        <v>11</v>
      </c>
      <c r="CC60" s="100">
        <v>7167.6</v>
      </c>
      <c r="CD60" s="100">
        <v>8.3152781253214378</v>
      </c>
      <c r="CE60" s="100">
        <v>5418.2352264594492</v>
      </c>
      <c r="CF60" s="100">
        <v>8</v>
      </c>
      <c r="CG60" s="100">
        <v>5212.8</v>
      </c>
      <c r="CH60" s="100">
        <v>0.38684342675864641</v>
      </c>
      <c r="CI60" s="100">
        <v>252.06717687593402</v>
      </c>
      <c r="CJ60" s="100">
        <v>8</v>
      </c>
      <c r="CK60" s="100">
        <v>5212.8</v>
      </c>
      <c r="CL60" s="100">
        <v>11</v>
      </c>
      <c r="CM60" s="100">
        <v>7167.6</v>
      </c>
      <c r="CN60" s="100">
        <v>8</v>
      </c>
      <c r="CO60" s="100">
        <v>5212.8</v>
      </c>
      <c r="CP60" s="100">
        <v>10</v>
      </c>
      <c r="CQ60" s="100">
        <v>6516</v>
      </c>
      <c r="CR60" s="100">
        <v>7</v>
      </c>
      <c r="CS60" s="100">
        <v>4561.2</v>
      </c>
      <c r="CT60" s="100">
        <v>0.91799903600242738</v>
      </c>
      <c r="CU60" s="100">
        <v>598.16817185918171</v>
      </c>
    </row>
    <row r="61" spans="2:99">
      <c r="C61" s="99" t="s">
        <v>227</v>
      </c>
      <c r="D61" s="100">
        <v>5.8250295514331114</v>
      </c>
      <c r="E61" s="100">
        <v>5543.0981211437484</v>
      </c>
      <c r="F61" s="100">
        <v>0</v>
      </c>
      <c r="G61" s="100">
        <v>0</v>
      </c>
      <c r="H61" s="100">
        <v>9</v>
      </c>
      <c r="I61" s="100">
        <v>8564.4</v>
      </c>
      <c r="J61" s="100">
        <v>11</v>
      </c>
      <c r="K61" s="100">
        <v>10467.599999999999</v>
      </c>
      <c r="L61" s="100">
        <v>6.9674154992123327</v>
      </c>
      <c r="M61" s="100">
        <v>6630.1925890504554</v>
      </c>
      <c r="N61" s="100">
        <v>3.9529959458101795</v>
      </c>
      <c r="O61" s="100">
        <v>3761.6709420329667</v>
      </c>
      <c r="P61" s="100">
        <v>2.0338297230700531</v>
      </c>
      <c r="Q61" s="100">
        <v>1935.3923644734623</v>
      </c>
      <c r="R61" s="100">
        <v>8</v>
      </c>
      <c r="S61" s="100">
        <v>7612.7999999999993</v>
      </c>
      <c r="T61" s="100">
        <v>7</v>
      </c>
      <c r="U61" s="100">
        <v>6661.1999999999989</v>
      </c>
      <c r="V61" s="100">
        <v>0.82724656877454317</v>
      </c>
      <c r="W61" s="100">
        <v>787.20783484585525</v>
      </c>
      <c r="X61" s="100">
        <v>8</v>
      </c>
      <c r="Y61" s="100">
        <v>7612.7999999999993</v>
      </c>
      <c r="Z61" s="100">
        <v>9</v>
      </c>
      <c r="AA61" s="100">
        <v>8564.4</v>
      </c>
      <c r="AB61" s="100">
        <v>7</v>
      </c>
      <c r="AC61" s="100">
        <v>6661.1999999999989</v>
      </c>
      <c r="AD61" s="100">
        <v>10</v>
      </c>
      <c r="AE61" s="100">
        <v>9516</v>
      </c>
      <c r="AF61" s="100">
        <v>6</v>
      </c>
      <c r="AG61" s="100">
        <v>5709.5999999999995</v>
      </c>
      <c r="AH61" s="100">
        <v>8</v>
      </c>
      <c r="AI61" s="100">
        <v>7612.7999999999993</v>
      </c>
      <c r="AJ61" s="100">
        <v>9</v>
      </c>
      <c r="AK61" s="100">
        <v>8564.4</v>
      </c>
      <c r="AL61" s="100">
        <v>8</v>
      </c>
      <c r="AM61" s="100">
        <v>7612.7999999999993</v>
      </c>
      <c r="AN61" s="100">
        <v>8</v>
      </c>
      <c r="AO61" s="100">
        <v>7612.7999999999993</v>
      </c>
      <c r="AP61" s="100">
        <v>3.1306054806646433</v>
      </c>
      <c r="AQ61" s="100">
        <v>2979.0841754004741</v>
      </c>
      <c r="AR61" s="100">
        <v>8</v>
      </c>
      <c r="AS61" s="100">
        <v>7612.7999999999993</v>
      </c>
      <c r="AT61" s="100">
        <v>7</v>
      </c>
      <c r="AU61" s="100">
        <v>6661.1999999999989</v>
      </c>
      <c r="AV61" s="100">
        <v>9</v>
      </c>
      <c r="AW61" s="100">
        <v>8564.4</v>
      </c>
      <c r="AX61" s="100">
        <v>3.3694184202823214</v>
      </c>
      <c r="AY61" s="100">
        <v>3206.3385687406567</v>
      </c>
      <c r="AZ61" s="100">
        <v>6</v>
      </c>
      <c r="BA61" s="100">
        <v>5709.5999999999995</v>
      </c>
      <c r="BB61" s="100">
        <v>8.6265873775945128</v>
      </c>
      <c r="BC61" s="100">
        <v>8209.0605485189371</v>
      </c>
      <c r="BD61" s="100">
        <v>9</v>
      </c>
      <c r="BE61" s="100">
        <v>8564.4</v>
      </c>
      <c r="BF61" s="100">
        <v>10</v>
      </c>
      <c r="BG61" s="100">
        <v>9516</v>
      </c>
      <c r="BH61" s="100">
        <v>9</v>
      </c>
      <c r="BI61" s="100">
        <v>8564.4</v>
      </c>
      <c r="BJ61" s="100">
        <v>7</v>
      </c>
      <c r="BK61" s="100">
        <v>6661.1999999999989</v>
      </c>
      <c r="BL61" s="100">
        <v>6.1108124439690306</v>
      </c>
      <c r="BM61" s="100">
        <v>5815.0491216809287</v>
      </c>
      <c r="BN61" s="100">
        <v>5.1735640773054605</v>
      </c>
      <c r="BO61" s="100">
        <v>4923.1635759638757</v>
      </c>
      <c r="BP61" s="100">
        <v>2.8446689485605066</v>
      </c>
      <c r="BQ61" s="100">
        <v>2706.9869714501779</v>
      </c>
      <c r="BR61" s="100">
        <v>10</v>
      </c>
      <c r="BS61" s="100">
        <v>9516</v>
      </c>
      <c r="BT61" s="100">
        <v>12</v>
      </c>
      <c r="BU61" s="100">
        <v>11419.199999999999</v>
      </c>
      <c r="BV61" s="100">
        <v>6</v>
      </c>
      <c r="BW61" s="100">
        <v>5709.5999999999995</v>
      </c>
      <c r="BX61" s="100">
        <v>6</v>
      </c>
      <c r="BY61" s="100">
        <v>5709.5999999999995</v>
      </c>
      <c r="BZ61" s="100">
        <v>10</v>
      </c>
      <c r="CA61" s="100">
        <v>9516</v>
      </c>
      <c r="CB61" s="100">
        <v>11</v>
      </c>
      <c r="CC61" s="100">
        <v>10467.599999999999</v>
      </c>
      <c r="CD61" s="100">
        <v>9.0712125003506596</v>
      </c>
      <c r="CE61" s="100">
        <v>8632.1658153336866</v>
      </c>
      <c r="CF61" s="100">
        <v>8</v>
      </c>
      <c r="CG61" s="100">
        <v>7612.7999999999993</v>
      </c>
      <c r="CH61" s="100">
        <v>0.38684342675864641</v>
      </c>
      <c r="CI61" s="100">
        <v>368.12020490352791</v>
      </c>
      <c r="CJ61" s="100">
        <v>8</v>
      </c>
      <c r="CK61" s="100">
        <v>7612.7999999999993</v>
      </c>
      <c r="CL61" s="100">
        <v>12</v>
      </c>
      <c r="CM61" s="100">
        <v>11419.199999999999</v>
      </c>
      <c r="CN61" s="100">
        <v>10</v>
      </c>
      <c r="CO61" s="100">
        <v>9516</v>
      </c>
      <c r="CP61" s="100">
        <v>9</v>
      </c>
      <c r="CQ61" s="100">
        <v>8564.4</v>
      </c>
      <c r="CR61" s="100">
        <v>8</v>
      </c>
      <c r="CS61" s="100">
        <v>7612.7999999999993</v>
      </c>
      <c r="CT61" s="100">
        <v>0.91799903600242738</v>
      </c>
      <c r="CU61" s="100">
        <v>873.56788265990986</v>
      </c>
    </row>
    <row r="62" spans="2:99">
      <c r="C62" s="99" t="s">
        <v>228</v>
      </c>
      <c r="D62" s="100">
        <v>5.2085211316949884</v>
      </c>
      <c r="E62" s="100">
        <v>8694.063473025275</v>
      </c>
      <c r="F62" s="100">
        <v>3.7399811309497712</v>
      </c>
      <c r="G62" s="100">
        <v>6242.7765037813588</v>
      </c>
      <c r="H62" s="100">
        <v>6.7143737899716678</v>
      </c>
      <c r="I62" s="100">
        <v>11207.632730220708</v>
      </c>
      <c r="J62" s="100">
        <v>4.7269715794893843</v>
      </c>
      <c r="K62" s="100">
        <v>7890.2609604836807</v>
      </c>
      <c r="L62" s="100">
        <v>3.3540492853856825</v>
      </c>
      <c r="M62" s="100">
        <v>5598.5790671657815</v>
      </c>
      <c r="N62" s="100">
        <v>4.1559378832856035</v>
      </c>
      <c r="O62" s="100">
        <v>6937.0915147803298</v>
      </c>
      <c r="P62" s="100">
        <v>5.3196004906055734</v>
      </c>
      <c r="Q62" s="100">
        <v>8879.4771389188227</v>
      </c>
      <c r="R62" s="100">
        <v>4.1778325804268164</v>
      </c>
      <c r="S62" s="100">
        <v>6973.6381432484422</v>
      </c>
      <c r="T62" s="100">
        <v>4.2189934925492487</v>
      </c>
      <c r="U62" s="100">
        <v>7042.3439377632058</v>
      </c>
      <c r="V62" s="100">
        <v>5.5931799444081465</v>
      </c>
      <c r="W62" s="100">
        <v>9336.1359632060776</v>
      </c>
      <c r="X62" s="100">
        <v>3.2476888941611186</v>
      </c>
      <c r="Y62" s="100">
        <v>5421.0423021337392</v>
      </c>
      <c r="Z62" s="100">
        <v>4.6399248340483776</v>
      </c>
      <c r="AA62" s="100">
        <v>7744.9625329935525</v>
      </c>
      <c r="AB62" s="100">
        <v>4.9601680250241156</v>
      </c>
      <c r="AC62" s="100">
        <v>8279.5124673702539</v>
      </c>
      <c r="AD62" s="100">
        <v>6.6495006132569658</v>
      </c>
      <c r="AE62" s="100">
        <v>11099.346423648527</v>
      </c>
      <c r="AF62" s="100">
        <v>4.8398263957250069</v>
      </c>
      <c r="AG62" s="100">
        <v>8078.6382197441817</v>
      </c>
      <c r="AH62" s="100">
        <v>0.73073000118625175</v>
      </c>
      <c r="AI62" s="100">
        <v>1219.7345179800914</v>
      </c>
      <c r="AJ62" s="100">
        <v>9</v>
      </c>
      <c r="AK62" s="100">
        <v>15022.800000000001</v>
      </c>
      <c r="AL62" s="100">
        <v>8</v>
      </c>
      <c r="AM62" s="100">
        <v>13353.6</v>
      </c>
      <c r="AN62" s="100">
        <v>7</v>
      </c>
      <c r="AO62" s="100">
        <v>11684.4</v>
      </c>
      <c r="AP62" s="100">
        <v>6</v>
      </c>
      <c r="AQ62" s="100">
        <v>10015.200000000001</v>
      </c>
      <c r="AR62" s="100">
        <v>8</v>
      </c>
      <c r="AS62" s="100">
        <v>13353.6</v>
      </c>
      <c r="AT62" s="100">
        <v>1.8148726841263005</v>
      </c>
      <c r="AU62" s="100">
        <v>3029.3854843436211</v>
      </c>
      <c r="AV62" s="100">
        <v>7</v>
      </c>
      <c r="AW62" s="100">
        <v>11684.4</v>
      </c>
      <c r="AX62" s="100">
        <v>3.2758699841796433</v>
      </c>
      <c r="AY62" s="100">
        <v>5468.0821775926606</v>
      </c>
      <c r="AZ62" s="100">
        <v>4.2680515564160988</v>
      </c>
      <c r="BA62" s="100">
        <v>7124.2316579697526</v>
      </c>
      <c r="BB62" s="100">
        <v>8</v>
      </c>
      <c r="BC62" s="100">
        <v>13353.6</v>
      </c>
      <c r="BD62" s="100">
        <v>7</v>
      </c>
      <c r="BE62" s="100">
        <v>11684.4</v>
      </c>
      <c r="BF62" s="100">
        <v>9</v>
      </c>
      <c r="BG62" s="100">
        <v>15022.800000000001</v>
      </c>
      <c r="BH62" s="100">
        <v>7.2226236858271804</v>
      </c>
      <c r="BI62" s="100">
        <v>12056.00345638273</v>
      </c>
      <c r="BJ62" s="100">
        <v>0.39681784348702853</v>
      </c>
      <c r="BK62" s="100">
        <v>662.36834434854802</v>
      </c>
      <c r="BL62" s="100">
        <v>8</v>
      </c>
      <c r="BM62" s="100">
        <v>13353.6</v>
      </c>
      <c r="BN62" s="100">
        <v>8</v>
      </c>
      <c r="BO62" s="100">
        <v>13353.6</v>
      </c>
      <c r="BP62" s="100">
        <v>8</v>
      </c>
      <c r="BQ62" s="100">
        <v>13353.6</v>
      </c>
      <c r="BR62" s="100">
        <v>10</v>
      </c>
      <c r="BS62" s="100">
        <v>16692</v>
      </c>
      <c r="BT62" s="100">
        <v>7.8311224856326858</v>
      </c>
      <c r="BU62" s="100">
        <v>13071.709653018079</v>
      </c>
      <c r="BV62" s="100">
        <v>3.4445611284889686</v>
      </c>
      <c r="BW62" s="100">
        <v>5749.6614356737864</v>
      </c>
      <c r="BX62" s="100">
        <v>5.9586434066848133</v>
      </c>
      <c r="BY62" s="100">
        <v>9946.1675744382901</v>
      </c>
      <c r="BZ62" s="100">
        <v>7.9242753422233267</v>
      </c>
      <c r="CA62" s="100">
        <v>13227.200401239177</v>
      </c>
      <c r="CB62" s="100">
        <v>8.4032150607093516</v>
      </c>
      <c r="CC62" s="100">
        <v>14026.646579336049</v>
      </c>
      <c r="CD62" s="100">
        <v>0</v>
      </c>
      <c r="CE62" s="100">
        <v>0</v>
      </c>
      <c r="CF62" s="100">
        <v>5.9147491642782954</v>
      </c>
      <c r="CG62" s="100">
        <v>9872.8993050133304</v>
      </c>
      <c r="CH62" s="100">
        <v>5.8262291087584845</v>
      </c>
      <c r="CI62" s="100">
        <v>9725.1416283396629</v>
      </c>
      <c r="CJ62" s="100">
        <v>5.6643894112929702</v>
      </c>
      <c r="CK62" s="100">
        <v>9454.9988053302259</v>
      </c>
      <c r="CL62" s="100">
        <v>0.70628948527355961</v>
      </c>
      <c r="CM62" s="100">
        <v>1178.9384088186257</v>
      </c>
      <c r="CN62" s="100">
        <v>8</v>
      </c>
      <c r="CO62" s="100">
        <v>13353.6</v>
      </c>
      <c r="CP62" s="100">
        <v>9</v>
      </c>
      <c r="CQ62" s="100">
        <v>15022.800000000001</v>
      </c>
      <c r="CR62" s="100">
        <v>7</v>
      </c>
      <c r="CS62" s="100">
        <v>11684.4</v>
      </c>
      <c r="CT62" s="100">
        <v>10.273851737311782</v>
      </c>
      <c r="CU62" s="100">
        <v>17149.113319920827</v>
      </c>
    </row>
    <row r="63" spans="2:99">
      <c r="C63" s="99" t="s">
        <v>229</v>
      </c>
      <c r="D63" s="100">
        <v>5.8250295514331114</v>
      </c>
      <c r="E63" s="100">
        <v>4634.3935111201836</v>
      </c>
      <c r="F63" s="100">
        <v>0</v>
      </c>
      <c r="G63" s="100">
        <v>0</v>
      </c>
      <c r="H63" s="100">
        <v>9</v>
      </c>
      <c r="I63" s="100">
        <v>7160.4000000000005</v>
      </c>
      <c r="J63" s="100">
        <v>10</v>
      </c>
      <c r="K63" s="100">
        <v>7956</v>
      </c>
      <c r="L63" s="100">
        <v>7.8383424366138739</v>
      </c>
      <c r="M63" s="100">
        <v>6236.1852425699981</v>
      </c>
      <c r="N63" s="100">
        <v>3.9529959458101795</v>
      </c>
      <c r="O63" s="100">
        <v>3145.0035744865791</v>
      </c>
      <c r="P63" s="100">
        <v>2.3243768263657749</v>
      </c>
      <c r="Q63" s="100">
        <v>1849.2742030566105</v>
      </c>
      <c r="R63" s="100">
        <v>8</v>
      </c>
      <c r="S63" s="100">
        <v>6364.8</v>
      </c>
      <c r="T63" s="100">
        <v>7</v>
      </c>
      <c r="U63" s="100">
        <v>5569.2</v>
      </c>
      <c r="V63" s="100">
        <v>0.82724656877454317</v>
      </c>
      <c r="W63" s="100">
        <v>658.15737011702652</v>
      </c>
      <c r="X63" s="100">
        <v>7</v>
      </c>
      <c r="Y63" s="100">
        <v>5569.2</v>
      </c>
      <c r="Z63" s="100">
        <v>10</v>
      </c>
      <c r="AA63" s="100">
        <v>7956</v>
      </c>
      <c r="AB63" s="100">
        <v>7</v>
      </c>
      <c r="AC63" s="100">
        <v>5569.2</v>
      </c>
      <c r="AD63" s="100">
        <v>9</v>
      </c>
      <c r="AE63" s="100">
        <v>7160.4000000000005</v>
      </c>
      <c r="AF63" s="100">
        <v>6</v>
      </c>
      <c r="AG63" s="100">
        <v>4773.6000000000004</v>
      </c>
      <c r="AH63" s="100">
        <v>9</v>
      </c>
      <c r="AI63" s="100">
        <v>7160.4000000000005</v>
      </c>
      <c r="AJ63" s="100">
        <v>9</v>
      </c>
      <c r="AK63" s="100">
        <v>7160.4000000000005</v>
      </c>
      <c r="AL63" s="100">
        <v>8</v>
      </c>
      <c r="AM63" s="100">
        <v>6364.8</v>
      </c>
      <c r="AN63" s="100">
        <v>7</v>
      </c>
      <c r="AO63" s="100">
        <v>5569.2</v>
      </c>
      <c r="AP63" s="100">
        <v>3.6523730607754166</v>
      </c>
      <c r="AQ63" s="100">
        <v>2905.8280071529216</v>
      </c>
      <c r="AR63" s="100">
        <v>8</v>
      </c>
      <c r="AS63" s="100">
        <v>6364.8</v>
      </c>
      <c r="AT63" s="100">
        <v>7</v>
      </c>
      <c r="AU63" s="100">
        <v>5569.2</v>
      </c>
      <c r="AV63" s="100">
        <v>8</v>
      </c>
      <c r="AW63" s="100">
        <v>6364.8</v>
      </c>
      <c r="AX63" s="100">
        <v>3.3694184202823214</v>
      </c>
      <c r="AY63" s="100">
        <v>2680.7092951766149</v>
      </c>
      <c r="AZ63" s="100">
        <v>6</v>
      </c>
      <c r="BA63" s="100">
        <v>4773.6000000000004</v>
      </c>
      <c r="BB63" s="100">
        <v>7.7639286398350631</v>
      </c>
      <c r="BC63" s="100">
        <v>6176.9816258527762</v>
      </c>
      <c r="BD63" s="100">
        <v>9</v>
      </c>
      <c r="BE63" s="100">
        <v>7160.4000000000005</v>
      </c>
      <c r="BF63" s="100">
        <v>10</v>
      </c>
      <c r="BG63" s="100">
        <v>7956</v>
      </c>
      <c r="BH63" s="100">
        <v>9</v>
      </c>
      <c r="BI63" s="100">
        <v>7160.4000000000005</v>
      </c>
      <c r="BJ63" s="100">
        <v>8</v>
      </c>
      <c r="BK63" s="100">
        <v>6364.8</v>
      </c>
      <c r="BL63" s="100">
        <v>5.3469608884729016</v>
      </c>
      <c r="BM63" s="100">
        <v>4254.0420828690403</v>
      </c>
      <c r="BN63" s="100">
        <v>4.5268685676422784</v>
      </c>
      <c r="BO63" s="100">
        <v>3601.5766324161968</v>
      </c>
      <c r="BP63" s="100">
        <v>2.5602020537044563</v>
      </c>
      <c r="BQ63" s="100">
        <v>2036.8967539272655</v>
      </c>
      <c r="BR63" s="100">
        <v>10</v>
      </c>
      <c r="BS63" s="100">
        <v>7956</v>
      </c>
      <c r="BT63" s="100">
        <v>10</v>
      </c>
      <c r="BU63" s="100">
        <v>7956</v>
      </c>
      <c r="BV63" s="100">
        <v>6</v>
      </c>
      <c r="BW63" s="100">
        <v>4773.6000000000004</v>
      </c>
      <c r="BX63" s="100">
        <v>5</v>
      </c>
      <c r="BY63" s="100">
        <v>3978</v>
      </c>
      <c r="BZ63" s="100">
        <v>10</v>
      </c>
      <c r="CA63" s="100">
        <v>7956</v>
      </c>
      <c r="CB63" s="100">
        <v>10</v>
      </c>
      <c r="CC63" s="100">
        <v>7956</v>
      </c>
      <c r="CD63" s="100">
        <v>8.3152781253214378</v>
      </c>
      <c r="CE63" s="100">
        <v>6615.6352765057363</v>
      </c>
      <c r="CF63" s="100">
        <v>8</v>
      </c>
      <c r="CG63" s="100">
        <v>6364.8</v>
      </c>
      <c r="CH63" s="100">
        <v>0.38684342675864641</v>
      </c>
      <c r="CI63" s="100">
        <v>307.77263032917909</v>
      </c>
      <c r="CJ63" s="100">
        <v>9</v>
      </c>
      <c r="CK63" s="100">
        <v>7160.4000000000005</v>
      </c>
      <c r="CL63" s="100">
        <v>12</v>
      </c>
      <c r="CM63" s="100">
        <v>9547.2000000000007</v>
      </c>
      <c r="CN63" s="100">
        <v>9</v>
      </c>
      <c r="CO63" s="100">
        <v>7160.4000000000005</v>
      </c>
      <c r="CP63" s="100">
        <v>9</v>
      </c>
      <c r="CQ63" s="100">
        <v>7160.4000000000005</v>
      </c>
      <c r="CR63" s="100">
        <v>9</v>
      </c>
      <c r="CS63" s="100">
        <v>7160.4000000000005</v>
      </c>
      <c r="CT63" s="100">
        <v>0.83454457818402494</v>
      </c>
      <c r="CU63" s="100">
        <v>663.96366640321025</v>
      </c>
    </row>
    <row r="64" spans="2:99">
      <c r="C64" s="99" t="s">
        <v>230</v>
      </c>
      <c r="D64" s="100">
        <v>5.8250295514331114</v>
      </c>
      <c r="E64" s="100">
        <v>5878.6198233062951</v>
      </c>
      <c r="F64" s="100">
        <v>0</v>
      </c>
      <c r="G64" s="100">
        <v>0</v>
      </c>
      <c r="H64" s="100">
        <v>8</v>
      </c>
      <c r="I64" s="100">
        <v>8073.5999999999985</v>
      </c>
      <c r="J64" s="100">
        <v>10</v>
      </c>
      <c r="K64" s="100">
        <v>10091.999999999998</v>
      </c>
      <c r="L64" s="100">
        <v>6.9674154992123327</v>
      </c>
      <c r="M64" s="100">
        <v>7031.5157218050845</v>
      </c>
      <c r="N64" s="100">
        <v>4.7435951349722156</v>
      </c>
      <c r="O64" s="100">
        <v>4787.2362102139596</v>
      </c>
      <c r="P64" s="100">
        <v>2.0338297230700531</v>
      </c>
      <c r="Q64" s="100">
        <v>2052.5409565222972</v>
      </c>
      <c r="R64" s="100">
        <v>7</v>
      </c>
      <c r="S64" s="100">
        <v>7064.3999999999987</v>
      </c>
      <c r="T64" s="100">
        <v>6</v>
      </c>
      <c r="U64" s="100">
        <v>6055.1999999999989</v>
      </c>
      <c r="V64" s="100">
        <v>0.82724656877454317</v>
      </c>
      <c r="W64" s="100">
        <v>834.85723720726878</v>
      </c>
      <c r="X64" s="100">
        <v>8</v>
      </c>
      <c r="Y64" s="100">
        <v>8073.5999999999985</v>
      </c>
      <c r="Z64" s="100">
        <v>10</v>
      </c>
      <c r="AA64" s="100">
        <v>10091.999999999998</v>
      </c>
      <c r="AB64" s="100">
        <v>7</v>
      </c>
      <c r="AC64" s="100">
        <v>7064.3999999999987</v>
      </c>
      <c r="AD64" s="100">
        <v>8</v>
      </c>
      <c r="AE64" s="100">
        <v>8073.5999999999985</v>
      </c>
      <c r="AF64" s="100">
        <v>6</v>
      </c>
      <c r="AG64" s="100">
        <v>6055.1999999999989</v>
      </c>
      <c r="AH64" s="100">
        <v>8</v>
      </c>
      <c r="AI64" s="100">
        <v>8073.5999999999985</v>
      </c>
      <c r="AJ64" s="100">
        <v>8</v>
      </c>
      <c r="AK64" s="100">
        <v>8073.5999999999985</v>
      </c>
      <c r="AL64" s="100">
        <v>8</v>
      </c>
      <c r="AM64" s="100">
        <v>8073.5999999999985</v>
      </c>
      <c r="AN64" s="100">
        <v>8</v>
      </c>
      <c r="AO64" s="100">
        <v>8073.5999999999985</v>
      </c>
      <c r="AP64" s="100">
        <v>3.6523730607754166</v>
      </c>
      <c r="AQ64" s="100">
        <v>3685.9748929345496</v>
      </c>
      <c r="AR64" s="100">
        <v>10</v>
      </c>
      <c r="AS64" s="100">
        <v>10091.999999999998</v>
      </c>
      <c r="AT64" s="100">
        <v>8</v>
      </c>
      <c r="AU64" s="100">
        <v>8073.5999999999985</v>
      </c>
      <c r="AV64" s="100">
        <v>8</v>
      </c>
      <c r="AW64" s="100">
        <v>8073.5999999999985</v>
      </c>
      <c r="AX64" s="100">
        <v>3.3694184202823214</v>
      </c>
      <c r="AY64" s="100">
        <v>3400.417069748918</v>
      </c>
      <c r="AZ64" s="100">
        <v>6</v>
      </c>
      <c r="BA64" s="100">
        <v>6055.1999999999989</v>
      </c>
      <c r="BB64" s="100">
        <v>7.7639286398350631</v>
      </c>
      <c r="BC64" s="100">
        <v>7835.3567833215438</v>
      </c>
      <c r="BD64" s="100">
        <v>9</v>
      </c>
      <c r="BE64" s="100">
        <v>9082.7999999999993</v>
      </c>
      <c r="BF64" s="100">
        <v>8</v>
      </c>
      <c r="BG64" s="100">
        <v>8073.5999999999985</v>
      </c>
      <c r="BH64" s="100">
        <v>9</v>
      </c>
      <c r="BI64" s="100">
        <v>9082.7999999999993</v>
      </c>
      <c r="BJ64" s="100">
        <v>8</v>
      </c>
      <c r="BK64" s="100">
        <v>8073.5999999999985</v>
      </c>
      <c r="BL64" s="100">
        <v>6.1108124439690306</v>
      </c>
      <c r="BM64" s="100">
        <v>6167.0319184535447</v>
      </c>
      <c r="BN64" s="100">
        <v>4.5268685676422784</v>
      </c>
      <c r="BO64" s="100">
        <v>4568.5157584645867</v>
      </c>
      <c r="BP64" s="100">
        <v>2.8446689485605066</v>
      </c>
      <c r="BQ64" s="100">
        <v>2870.8399028872627</v>
      </c>
      <c r="BR64" s="100">
        <v>9</v>
      </c>
      <c r="BS64" s="100">
        <v>9082.7999999999993</v>
      </c>
      <c r="BT64" s="100">
        <v>10</v>
      </c>
      <c r="BU64" s="100">
        <v>10091.999999999998</v>
      </c>
      <c r="BV64" s="100">
        <v>7</v>
      </c>
      <c r="BW64" s="100">
        <v>7064.3999999999987</v>
      </c>
      <c r="BX64" s="100">
        <v>6</v>
      </c>
      <c r="BY64" s="100">
        <v>6055.1999999999989</v>
      </c>
      <c r="BZ64" s="100">
        <v>10</v>
      </c>
      <c r="CA64" s="100">
        <v>10091.999999999998</v>
      </c>
      <c r="CB64" s="100">
        <v>10</v>
      </c>
      <c r="CC64" s="100">
        <v>10091.999999999998</v>
      </c>
      <c r="CD64" s="100">
        <v>7.5593437502922169</v>
      </c>
      <c r="CE64" s="100">
        <v>7628.889712794904</v>
      </c>
      <c r="CF64" s="100">
        <v>8</v>
      </c>
      <c r="CG64" s="100">
        <v>8073.5999999999985</v>
      </c>
      <c r="CH64" s="100">
        <v>0.43519885510347722</v>
      </c>
      <c r="CI64" s="100">
        <v>439.20268457042914</v>
      </c>
      <c r="CJ64" s="100">
        <v>9</v>
      </c>
      <c r="CK64" s="100">
        <v>9082.7999999999993</v>
      </c>
      <c r="CL64" s="100">
        <v>10</v>
      </c>
      <c r="CM64" s="100">
        <v>10091.999999999998</v>
      </c>
      <c r="CN64" s="100">
        <v>9</v>
      </c>
      <c r="CO64" s="100">
        <v>9082.7999999999993</v>
      </c>
      <c r="CP64" s="100">
        <v>8</v>
      </c>
      <c r="CQ64" s="100">
        <v>8073.5999999999985</v>
      </c>
      <c r="CR64" s="100">
        <v>8</v>
      </c>
      <c r="CS64" s="100">
        <v>8073.5999999999985</v>
      </c>
      <c r="CT64" s="100">
        <v>0.83454457818402494</v>
      </c>
      <c r="CU64" s="100">
        <v>842.22238830331787</v>
      </c>
    </row>
    <row r="65" spans="2:99">
      <c r="C65" s="99" t="s">
        <v>231</v>
      </c>
      <c r="D65" s="100">
        <v>6.6571766302092703</v>
      </c>
      <c r="E65" s="100">
        <v>6830.2632225947109</v>
      </c>
      <c r="F65" s="100">
        <v>0</v>
      </c>
      <c r="G65" s="100">
        <v>0</v>
      </c>
      <c r="H65" s="100">
        <v>9</v>
      </c>
      <c r="I65" s="100">
        <v>9234</v>
      </c>
      <c r="J65" s="100">
        <v>10</v>
      </c>
      <c r="K65" s="100">
        <v>10260</v>
      </c>
      <c r="L65" s="100">
        <v>6.9674154992123327</v>
      </c>
      <c r="M65" s="100">
        <v>7148.568302191853</v>
      </c>
      <c r="N65" s="100">
        <v>4.7435951349722156</v>
      </c>
      <c r="O65" s="100">
        <v>4866.928608481493</v>
      </c>
      <c r="P65" s="100">
        <v>2.3243768263657749</v>
      </c>
      <c r="Q65" s="100">
        <v>2384.8106238512851</v>
      </c>
      <c r="R65" s="100">
        <v>7</v>
      </c>
      <c r="S65" s="100">
        <v>7182</v>
      </c>
      <c r="T65" s="100">
        <v>7</v>
      </c>
      <c r="U65" s="100">
        <v>7182</v>
      </c>
      <c r="V65" s="100">
        <v>0.82724656877454317</v>
      </c>
      <c r="W65" s="100">
        <v>848.75497956268134</v>
      </c>
      <c r="X65" s="100">
        <v>7</v>
      </c>
      <c r="Y65" s="100">
        <v>7182</v>
      </c>
      <c r="Z65" s="100">
        <v>10</v>
      </c>
      <c r="AA65" s="100">
        <v>10260</v>
      </c>
      <c r="AB65" s="100">
        <v>6</v>
      </c>
      <c r="AC65" s="100">
        <v>6156</v>
      </c>
      <c r="AD65" s="100">
        <v>9</v>
      </c>
      <c r="AE65" s="100">
        <v>9234</v>
      </c>
      <c r="AF65" s="100">
        <v>6</v>
      </c>
      <c r="AG65" s="100">
        <v>6156</v>
      </c>
      <c r="AH65" s="100">
        <v>9</v>
      </c>
      <c r="AI65" s="100">
        <v>9234</v>
      </c>
      <c r="AJ65" s="100">
        <v>9</v>
      </c>
      <c r="AK65" s="100">
        <v>9234</v>
      </c>
      <c r="AL65" s="100">
        <v>8</v>
      </c>
      <c r="AM65" s="100">
        <v>8208</v>
      </c>
      <c r="AN65" s="100">
        <v>7</v>
      </c>
      <c r="AO65" s="100">
        <v>7182</v>
      </c>
      <c r="AP65" s="100">
        <v>3.1306054806646433</v>
      </c>
      <c r="AQ65" s="100">
        <v>3212.0012231619239</v>
      </c>
      <c r="AR65" s="100">
        <v>9</v>
      </c>
      <c r="AS65" s="100">
        <v>9234</v>
      </c>
      <c r="AT65" s="100">
        <v>7</v>
      </c>
      <c r="AU65" s="100">
        <v>7182</v>
      </c>
      <c r="AV65" s="100">
        <v>8</v>
      </c>
      <c r="AW65" s="100">
        <v>8208</v>
      </c>
      <c r="AX65" s="100">
        <v>3.3694184202823214</v>
      </c>
      <c r="AY65" s="100">
        <v>3457.0232992096617</v>
      </c>
      <c r="AZ65" s="100">
        <v>6</v>
      </c>
      <c r="BA65" s="100">
        <v>6156</v>
      </c>
      <c r="BB65" s="100">
        <v>8.6265873775945128</v>
      </c>
      <c r="BC65" s="100">
        <v>8850.8786494119704</v>
      </c>
      <c r="BD65" s="100">
        <v>9</v>
      </c>
      <c r="BE65" s="100">
        <v>9234</v>
      </c>
      <c r="BF65" s="100">
        <v>9</v>
      </c>
      <c r="BG65" s="100">
        <v>9234</v>
      </c>
      <c r="BH65" s="100">
        <v>9</v>
      </c>
      <c r="BI65" s="100">
        <v>9234</v>
      </c>
      <c r="BJ65" s="100">
        <v>8</v>
      </c>
      <c r="BK65" s="100">
        <v>8208</v>
      </c>
      <c r="BL65" s="100">
        <v>6.1108124439690306</v>
      </c>
      <c r="BM65" s="100">
        <v>6269.6935675122249</v>
      </c>
      <c r="BN65" s="100">
        <v>5.1735640773054605</v>
      </c>
      <c r="BO65" s="100">
        <v>5308.0767433154024</v>
      </c>
      <c r="BP65" s="100">
        <v>2.5602020537044563</v>
      </c>
      <c r="BQ65" s="100">
        <v>2626.7673071007721</v>
      </c>
      <c r="BR65" s="100">
        <v>9</v>
      </c>
      <c r="BS65" s="100">
        <v>9234</v>
      </c>
      <c r="BT65" s="100">
        <v>10</v>
      </c>
      <c r="BU65" s="100">
        <v>10260</v>
      </c>
      <c r="BV65" s="100">
        <v>6</v>
      </c>
      <c r="BW65" s="100">
        <v>6156</v>
      </c>
      <c r="BX65" s="100">
        <v>6</v>
      </c>
      <c r="BY65" s="100">
        <v>6156</v>
      </c>
      <c r="BZ65" s="100">
        <v>10</v>
      </c>
      <c r="CA65" s="100">
        <v>10260</v>
      </c>
      <c r="CB65" s="100">
        <v>10</v>
      </c>
      <c r="CC65" s="100">
        <v>10260</v>
      </c>
      <c r="CD65" s="100">
        <v>9.0712125003506596</v>
      </c>
      <c r="CE65" s="100">
        <v>9307.0640253597776</v>
      </c>
      <c r="CF65" s="100">
        <v>9</v>
      </c>
      <c r="CG65" s="100">
        <v>9234</v>
      </c>
      <c r="CH65" s="100">
        <v>0.38684342675864641</v>
      </c>
      <c r="CI65" s="100">
        <v>396.90135585437122</v>
      </c>
      <c r="CJ65" s="100">
        <v>8</v>
      </c>
      <c r="CK65" s="100">
        <v>8208</v>
      </c>
      <c r="CL65" s="100">
        <v>10</v>
      </c>
      <c r="CM65" s="100">
        <v>10260</v>
      </c>
      <c r="CN65" s="100">
        <v>8</v>
      </c>
      <c r="CO65" s="100">
        <v>8208</v>
      </c>
      <c r="CP65" s="100">
        <v>9</v>
      </c>
      <c r="CQ65" s="100">
        <v>9234</v>
      </c>
      <c r="CR65" s="100">
        <v>7</v>
      </c>
      <c r="CS65" s="100">
        <v>7182</v>
      </c>
      <c r="CT65" s="100">
        <v>0.83454457818402494</v>
      </c>
      <c r="CU65" s="100">
        <v>856.24273721680959</v>
      </c>
    </row>
    <row r="66" spans="2:99">
      <c r="C66" s="99" t="s">
        <v>232</v>
      </c>
      <c r="D66" s="100">
        <v>5.8250295514331114</v>
      </c>
      <c r="E66" s="100">
        <v>6934.1151780259752</v>
      </c>
      <c r="F66" s="100">
        <v>0</v>
      </c>
      <c r="G66" s="100">
        <v>0</v>
      </c>
      <c r="H66" s="100">
        <v>9</v>
      </c>
      <c r="I66" s="100">
        <v>10713.599999999999</v>
      </c>
      <c r="J66" s="100">
        <v>9</v>
      </c>
      <c r="K66" s="100">
        <v>10713.599999999999</v>
      </c>
      <c r="L66" s="100">
        <v>6.9674154992123327</v>
      </c>
      <c r="M66" s="100">
        <v>8294.0114102623593</v>
      </c>
      <c r="N66" s="100">
        <v>3.9529959458101795</v>
      </c>
      <c r="O66" s="100">
        <v>4705.6463738924376</v>
      </c>
      <c r="P66" s="100">
        <v>2.3243768263657749</v>
      </c>
      <c r="Q66" s="100">
        <v>2766.9381741058182</v>
      </c>
      <c r="R66" s="100">
        <v>7</v>
      </c>
      <c r="S66" s="100">
        <v>8332.7999999999993</v>
      </c>
      <c r="T66" s="100">
        <v>6</v>
      </c>
      <c r="U66" s="100">
        <v>7142.4</v>
      </c>
      <c r="V66" s="100">
        <v>0.93065238987136101</v>
      </c>
      <c r="W66" s="100">
        <v>1107.8486049028679</v>
      </c>
      <c r="X66" s="100">
        <v>8</v>
      </c>
      <c r="Y66" s="100">
        <v>9523.1999999999989</v>
      </c>
      <c r="Z66" s="100">
        <v>9</v>
      </c>
      <c r="AA66" s="100">
        <v>10713.599999999999</v>
      </c>
      <c r="AB66" s="100">
        <v>7</v>
      </c>
      <c r="AC66" s="100">
        <v>8332.7999999999993</v>
      </c>
      <c r="AD66" s="100">
        <v>9</v>
      </c>
      <c r="AE66" s="100">
        <v>10713.599999999999</v>
      </c>
      <c r="AF66" s="100">
        <v>5</v>
      </c>
      <c r="AG66" s="100">
        <v>5951.9999999999991</v>
      </c>
      <c r="AH66" s="100">
        <v>9</v>
      </c>
      <c r="AI66" s="100">
        <v>10713.599999999999</v>
      </c>
      <c r="AJ66" s="100">
        <v>10</v>
      </c>
      <c r="AK66" s="100">
        <v>11903.999999999998</v>
      </c>
      <c r="AL66" s="100">
        <v>8</v>
      </c>
      <c r="AM66" s="100">
        <v>9523.1999999999989</v>
      </c>
      <c r="AN66" s="100">
        <v>7</v>
      </c>
      <c r="AO66" s="100">
        <v>8332.7999999999993</v>
      </c>
      <c r="AP66" s="100">
        <v>3.1306054806646433</v>
      </c>
      <c r="AQ66" s="100">
        <v>3726.6727641831908</v>
      </c>
      <c r="AR66" s="100">
        <v>8</v>
      </c>
      <c r="AS66" s="100">
        <v>9523.1999999999989</v>
      </c>
      <c r="AT66" s="100">
        <v>8</v>
      </c>
      <c r="AU66" s="100">
        <v>9523.1999999999989</v>
      </c>
      <c r="AV66" s="100">
        <v>7</v>
      </c>
      <c r="AW66" s="100">
        <v>8332.7999999999993</v>
      </c>
      <c r="AX66" s="100">
        <v>2.8880729316705613</v>
      </c>
      <c r="AY66" s="100">
        <v>3437.962017860636</v>
      </c>
      <c r="AZ66" s="100">
        <v>6</v>
      </c>
      <c r="BA66" s="100">
        <v>7142.4</v>
      </c>
      <c r="BB66" s="100">
        <v>8.6265873775945128</v>
      </c>
      <c r="BC66" s="100">
        <v>10269.089614288507</v>
      </c>
      <c r="BD66" s="100">
        <v>8</v>
      </c>
      <c r="BE66" s="100">
        <v>9523.1999999999989</v>
      </c>
      <c r="BF66" s="100">
        <v>9</v>
      </c>
      <c r="BG66" s="100">
        <v>10713.599999999999</v>
      </c>
      <c r="BH66" s="100">
        <v>10</v>
      </c>
      <c r="BI66" s="100">
        <v>11903.999999999998</v>
      </c>
      <c r="BJ66" s="100">
        <v>8</v>
      </c>
      <c r="BK66" s="100">
        <v>9523.1999999999989</v>
      </c>
      <c r="BL66" s="100">
        <v>5.3469608884729016</v>
      </c>
      <c r="BM66" s="100">
        <v>6365.0222416381412</v>
      </c>
      <c r="BN66" s="100">
        <v>5.1735640773054605</v>
      </c>
      <c r="BO66" s="100">
        <v>6158.6106776244196</v>
      </c>
      <c r="BP66" s="100">
        <v>2.8446689485605066</v>
      </c>
      <c r="BQ66" s="100">
        <v>3386.2939163664264</v>
      </c>
      <c r="BR66" s="100">
        <v>9</v>
      </c>
      <c r="BS66" s="100">
        <v>10713.599999999999</v>
      </c>
      <c r="BT66" s="100">
        <v>11</v>
      </c>
      <c r="BU66" s="100">
        <v>13094.399999999998</v>
      </c>
      <c r="BV66" s="100">
        <v>7</v>
      </c>
      <c r="BW66" s="100">
        <v>8332.7999999999993</v>
      </c>
      <c r="BX66" s="100">
        <v>5</v>
      </c>
      <c r="BY66" s="100">
        <v>5951.9999999999991</v>
      </c>
      <c r="BZ66" s="100">
        <v>10</v>
      </c>
      <c r="CA66" s="100">
        <v>11903.999999999998</v>
      </c>
      <c r="CB66" s="100">
        <v>11</v>
      </c>
      <c r="CC66" s="100">
        <v>13094.399999999998</v>
      </c>
      <c r="CD66" s="100">
        <v>8.3152781253214378</v>
      </c>
      <c r="CE66" s="100">
        <v>9898.5070803826384</v>
      </c>
      <c r="CF66" s="100">
        <v>8</v>
      </c>
      <c r="CG66" s="100">
        <v>9523.1999999999989</v>
      </c>
      <c r="CH66" s="100">
        <v>0.38684342675864641</v>
      </c>
      <c r="CI66" s="100">
        <v>460.49841521349265</v>
      </c>
      <c r="CJ66" s="100">
        <v>8</v>
      </c>
      <c r="CK66" s="100">
        <v>9523.1999999999989</v>
      </c>
      <c r="CL66" s="100">
        <v>12</v>
      </c>
      <c r="CM66" s="100">
        <v>14284.8</v>
      </c>
      <c r="CN66" s="100">
        <v>9</v>
      </c>
      <c r="CO66" s="100">
        <v>10713.599999999999</v>
      </c>
      <c r="CP66" s="100">
        <v>9</v>
      </c>
      <c r="CQ66" s="100">
        <v>10713.599999999999</v>
      </c>
      <c r="CR66" s="100">
        <v>7</v>
      </c>
      <c r="CS66" s="100">
        <v>8332.7999999999993</v>
      </c>
      <c r="CT66" s="100">
        <v>0.91799903600242738</v>
      </c>
      <c r="CU66" s="100">
        <v>1092.7860524572895</v>
      </c>
    </row>
    <row r="67" spans="2:99">
      <c r="C67" s="99" t="s">
        <v>233</v>
      </c>
      <c r="D67" s="100">
        <v>5.8250295514331114</v>
      </c>
      <c r="E67" s="100">
        <v>6542.673192169671</v>
      </c>
      <c r="F67" s="100">
        <v>0</v>
      </c>
      <c r="G67" s="100">
        <v>0</v>
      </c>
      <c r="H67" s="100">
        <v>9</v>
      </c>
      <c r="I67" s="100">
        <v>10108.800000000001</v>
      </c>
      <c r="J67" s="100">
        <v>10</v>
      </c>
      <c r="K67" s="100">
        <v>11232</v>
      </c>
      <c r="L67" s="100">
        <v>7.8383424366138739</v>
      </c>
      <c r="M67" s="100">
        <v>8804.0262248047038</v>
      </c>
      <c r="N67" s="100">
        <v>3.9529959458101795</v>
      </c>
      <c r="O67" s="100">
        <v>4440.005046333994</v>
      </c>
      <c r="P67" s="100">
        <v>2.0338297230700531</v>
      </c>
      <c r="Q67" s="100">
        <v>2284.3975449522836</v>
      </c>
      <c r="R67" s="100">
        <v>7</v>
      </c>
      <c r="S67" s="100">
        <v>7862.4000000000005</v>
      </c>
      <c r="T67" s="100">
        <v>6</v>
      </c>
      <c r="U67" s="100">
        <v>6739.2000000000007</v>
      </c>
      <c r="V67" s="100">
        <v>0.72384074767772522</v>
      </c>
      <c r="W67" s="100">
        <v>813.01792779162099</v>
      </c>
      <c r="X67" s="100">
        <v>7</v>
      </c>
      <c r="Y67" s="100">
        <v>7862.4000000000005</v>
      </c>
      <c r="Z67" s="100">
        <v>10</v>
      </c>
      <c r="AA67" s="100">
        <v>11232</v>
      </c>
      <c r="AB67" s="100">
        <v>6</v>
      </c>
      <c r="AC67" s="100">
        <v>6739.2000000000007</v>
      </c>
      <c r="AD67" s="100">
        <v>9</v>
      </c>
      <c r="AE67" s="100">
        <v>10108.800000000001</v>
      </c>
      <c r="AF67" s="100">
        <v>5</v>
      </c>
      <c r="AG67" s="100">
        <v>5616</v>
      </c>
      <c r="AH67" s="100">
        <v>9</v>
      </c>
      <c r="AI67" s="100">
        <v>10108.800000000001</v>
      </c>
      <c r="AJ67" s="100">
        <v>9</v>
      </c>
      <c r="AK67" s="100">
        <v>10108.800000000001</v>
      </c>
      <c r="AL67" s="100">
        <v>9</v>
      </c>
      <c r="AM67" s="100">
        <v>10108.800000000001</v>
      </c>
      <c r="AN67" s="100">
        <v>8</v>
      </c>
      <c r="AO67" s="100">
        <v>8985.6</v>
      </c>
      <c r="AP67" s="100">
        <v>3.1306054806646433</v>
      </c>
      <c r="AQ67" s="100">
        <v>3516.2960758825275</v>
      </c>
      <c r="AR67" s="100">
        <v>8</v>
      </c>
      <c r="AS67" s="100">
        <v>8985.6</v>
      </c>
      <c r="AT67" s="100">
        <v>6</v>
      </c>
      <c r="AU67" s="100">
        <v>6739.2000000000007</v>
      </c>
      <c r="AV67" s="100">
        <v>8</v>
      </c>
      <c r="AW67" s="100">
        <v>8985.6</v>
      </c>
      <c r="AX67" s="100">
        <v>3.3694184202823214</v>
      </c>
      <c r="AY67" s="100">
        <v>3784.5307696611035</v>
      </c>
      <c r="AZ67" s="100">
        <v>6</v>
      </c>
      <c r="BA67" s="100">
        <v>6739.2000000000007</v>
      </c>
      <c r="BB67" s="100">
        <v>8.6265873775945128</v>
      </c>
      <c r="BC67" s="100">
        <v>9689.3829425141575</v>
      </c>
      <c r="BD67" s="100">
        <v>8</v>
      </c>
      <c r="BE67" s="100">
        <v>8985.6</v>
      </c>
      <c r="BF67" s="100">
        <v>9</v>
      </c>
      <c r="BG67" s="100">
        <v>10108.800000000001</v>
      </c>
      <c r="BH67" s="100">
        <v>9</v>
      </c>
      <c r="BI67" s="100">
        <v>10108.800000000001</v>
      </c>
      <c r="BJ67" s="100">
        <v>7</v>
      </c>
      <c r="BK67" s="100">
        <v>7862.4000000000005</v>
      </c>
      <c r="BL67" s="100">
        <v>6.1108124439690306</v>
      </c>
      <c r="BM67" s="100">
        <v>6863.6645370660153</v>
      </c>
      <c r="BN67" s="100">
        <v>5.1735640773054605</v>
      </c>
      <c r="BO67" s="100">
        <v>5810.9471716294938</v>
      </c>
      <c r="BP67" s="100">
        <v>2.8446689485605066</v>
      </c>
      <c r="BQ67" s="100">
        <v>3195.132163023161</v>
      </c>
      <c r="BR67" s="100">
        <v>9</v>
      </c>
      <c r="BS67" s="100">
        <v>10108.800000000001</v>
      </c>
      <c r="BT67" s="100">
        <v>12</v>
      </c>
      <c r="BU67" s="100">
        <v>13478.400000000001</v>
      </c>
      <c r="BV67" s="100">
        <v>6</v>
      </c>
      <c r="BW67" s="100">
        <v>6739.2000000000007</v>
      </c>
      <c r="BX67" s="100">
        <v>5</v>
      </c>
      <c r="BY67" s="100">
        <v>5616</v>
      </c>
      <c r="BZ67" s="100">
        <v>10</v>
      </c>
      <c r="CA67" s="100">
        <v>11232</v>
      </c>
      <c r="CB67" s="100">
        <v>11</v>
      </c>
      <c r="CC67" s="100">
        <v>12355.2</v>
      </c>
      <c r="CD67" s="100">
        <v>7.5593437502922169</v>
      </c>
      <c r="CE67" s="100">
        <v>8490.654900328218</v>
      </c>
      <c r="CF67" s="100">
        <v>8</v>
      </c>
      <c r="CG67" s="100">
        <v>8985.6</v>
      </c>
      <c r="CH67" s="100">
        <v>0.38684342675864641</v>
      </c>
      <c r="CI67" s="100">
        <v>434.5025369353117</v>
      </c>
      <c r="CJ67" s="100">
        <v>9</v>
      </c>
      <c r="CK67" s="100">
        <v>10108.800000000001</v>
      </c>
      <c r="CL67" s="100">
        <v>12</v>
      </c>
      <c r="CM67" s="100">
        <v>13478.400000000001</v>
      </c>
      <c r="CN67" s="100">
        <v>9</v>
      </c>
      <c r="CO67" s="100">
        <v>10108.800000000001</v>
      </c>
      <c r="CP67" s="100">
        <v>9</v>
      </c>
      <c r="CQ67" s="100">
        <v>10108.800000000001</v>
      </c>
      <c r="CR67" s="100">
        <v>7</v>
      </c>
      <c r="CS67" s="100">
        <v>7862.4000000000005</v>
      </c>
      <c r="CT67" s="100">
        <v>0.83454457818402494</v>
      </c>
      <c r="CU67" s="100">
        <v>937.3604702162969</v>
      </c>
    </row>
    <row r="68" spans="2:99">
      <c r="C68" s="99" t="s">
        <v>234</v>
      </c>
      <c r="D68" s="100">
        <v>5.8250295514331114</v>
      </c>
      <c r="E68" s="100">
        <v>6018.4205325406911</v>
      </c>
      <c r="F68" s="100">
        <v>0</v>
      </c>
      <c r="G68" s="100">
        <v>0</v>
      </c>
      <c r="H68" s="100">
        <v>9</v>
      </c>
      <c r="I68" s="100">
        <v>9298.8000000000011</v>
      </c>
      <c r="J68" s="100">
        <v>11</v>
      </c>
      <c r="K68" s="100">
        <v>11365.2</v>
      </c>
      <c r="L68" s="100">
        <v>6.9674154992123327</v>
      </c>
      <c r="M68" s="100">
        <v>7198.7336937861828</v>
      </c>
      <c r="N68" s="100">
        <v>4.7435951349722156</v>
      </c>
      <c r="O68" s="100">
        <v>4901.082493453293</v>
      </c>
      <c r="P68" s="100">
        <v>2.3243768263657749</v>
      </c>
      <c r="Q68" s="100">
        <v>2401.546137001119</v>
      </c>
      <c r="R68" s="100">
        <v>8</v>
      </c>
      <c r="S68" s="100">
        <v>8265.6</v>
      </c>
      <c r="T68" s="100">
        <v>7</v>
      </c>
      <c r="U68" s="100">
        <v>7232.4000000000005</v>
      </c>
      <c r="V68" s="100">
        <v>0.93065238987136101</v>
      </c>
      <c r="W68" s="100">
        <v>961.55004921509021</v>
      </c>
      <c r="X68" s="100">
        <v>8</v>
      </c>
      <c r="Y68" s="100">
        <v>8265.6</v>
      </c>
      <c r="Z68" s="100">
        <v>11</v>
      </c>
      <c r="AA68" s="100">
        <v>11365.2</v>
      </c>
      <c r="AB68" s="100">
        <v>6</v>
      </c>
      <c r="AC68" s="100">
        <v>6199.2000000000007</v>
      </c>
      <c r="AD68" s="100">
        <v>9</v>
      </c>
      <c r="AE68" s="100">
        <v>9298.8000000000011</v>
      </c>
      <c r="AF68" s="100">
        <v>6</v>
      </c>
      <c r="AG68" s="100">
        <v>6199.2000000000007</v>
      </c>
      <c r="AH68" s="100">
        <v>9</v>
      </c>
      <c r="AI68" s="100">
        <v>9298.8000000000011</v>
      </c>
      <c r="AJ68" s="100">
        <v>9</v>
      </c>
      <c r="AK68" s="100">
        <v>9298.8000000000011</v>
      </c>
      <c r="AL68" s="100">
        <v>9</v>
      </c>
      <c r="AM68" s="100">
        <v>9298.8000000000011</v>
      </c>
      <c r="AN68" s="100">
        <v>7</v>
      </c>
      <c r="AO68" s="100">
        <v>7232.4000000000005</v>
      </c>
      <c r="AP68" s="100">
        <v>3.1306054806646433</v>
      </c>
      <c r="AQ68" s="100">
        <v>3234.5415826227095</v>
      </c>
      <c r="AR68" s="100">
        <v>9</v>
      </c>
      <c r="AS68" s="100">
        <v>9298.8000000000011</v>
      </c>
      <c r="AT68" s="100">
        <v>8</v>
      </c>
      <c r="AU68" s="100">
        <v>8265.6</v>
      </c>
      <c r="AV68" s="100">
        <v>8</v>
      </c>
      <c r="AW68" s="100">
        <v>8265.6</v>
      </c>
      <c r="AX68" s="100">
        <v>3.3694184202823214</v>
      </c>
      <c r="AY68" s="100">
        <v>3481.2831118356949</v>
      </c>
      <c r="AZ68" s="100">
        <v>6</v>
      </c>
      <c r="BA68" s="100">
        <v>6199.2000000000007</v>
      </c>
      <c r="BB68" s="100">
        <v>7.7639286398350631</v>
      </c>
      <c r="BC68" s="100">
        <v>8021.691070677588</v>
      </c>
      <c r="BD68" s="100">
        <v>8</v>
      </c>
      <c r="BE68" s="100">
        <v>8265.6</v>
      </c>
      <c r="BF68" s="100">
        <v>9</v>
      </c>
      <c r="BG68" s="100">
        <v>9298.8000000000011</v>
      </c>
      <c r="BH68" s="100">
        <v>10</v>
      </c>
      <c r="BI68" s="100">
        <v>10332</v>
      </c>
      <c r="BJ68" s="100">
        <v>8</v>
      </c>
      <c r="BK68" s="100">
        <v>8265.6</v>
      </c>
      <c r="BL68" s="100">
        <v>6.8746639994651595</v>
      </c>
      <c r="BM68" s="100">
        <v>7102.9028442474028</v>
      </c>
      <c r="BN68" s="100">
        <v>5.1735640773054605</v>
      </c>
      <c r="BO68" s="100">
        <v>5345.3264046720024</v>
      </c>
      <c r="BP68" s="100">
        <v>2.5602020537044563</v>
      </c>
      <c r="BQ68" s="100">
        <v>2645.2007618874445</v>
      </c>
      <c r="BR68" s="100">
        <v>8</v>
      </c>
      <c r="BS68" s="100">
        <v>8265.6</v>
      </c>
      <c r="BT68" s="100">
        <v>11</v>
      </c>
      <c r="BU68" s="100">
        <v>11365.2</v>
      </c>
      <c r="BV68" s="100">
        <v>6</v>
      </c>
      <c r="BW68" s="100">
        <v>6199.2000000000007</v>
      </c>
      <c r="BX68" s="100">
        <v>6</v>
      </c>
      <c r="BY68" s="100">
        <v>6199.2000000000007</v>
      </c>
      <c r="BZ68" s="100">
        <v>11</v>
      </c>
      <c r="CA68" s="100">
        <v>11365.2</v>
      </c>
      <c r="CB68" s="100">
        <v>11</v>
      </c>
      <c r="CC68" s="100">
        <v>11365.2</v>
      </c>
      <c r="CD68" s="100">
        <v>7.5593437502922169</v>
      </c>
      <c r="CE68" s="100">
        <v>7810.3139628019189</v>
      </c>
      <c r="CF68" s="100">
        <v>8</v>
      </c>
      <c r="CG68" s="100">
        <v>8265.6</v>
      </c>
      <c r="CH68" s="100">
        <v>0.43519885510347722</v>
      </c>
      <c r="CI68" s="100">
        <v>449.6474570929127</v>
      </c>
      <c r="CJ68" s="100">
        <v>8</v>
      </c>
      <c r="CK68" s="100">
        <v>8265.6</v>
      </c>
      <c r="CL68" s="100">
        <v>10</v>
      </c>
      <c r="CM68" s="100">
        <v>10332</v>
      </c>
      <c r="CN68" s="100">
        <v>8</v>
      </c>
      <c r="CO68" s="100">
        <v>8265.6</v>
      </c>
      <c r="CP68" s="100">
        <v>9</v>
      </c>
      <c r="CQ68" s="100">
        <v>9298.8000000000011</v>
      </c>
      <c r="CR68" s="100">
        <v>8</v>
      </c>
      <c r="CS68" s="100">
        <v>8265.6</v>
      </c>
      <c r="CT68" s="100">
        <v>0.83454457818402494</v>
      </c>
      <c r="CU68" s="100">
        <v>862.25145817973464</v>
      </c>
    </row>
    <row r="69" spans="2:99">
      <c r="C69" s="99" t="s">
        <v>235</v>
      </c>
      <c r="D69" s="100">
        <v>5.8250295514331114</v>
      </c>
      <c r="E69" s="100">
        <v>4417.7024118068712</v>
      </c>
      <c r="F69" s="100">
        <v>0</v>
      </c>
      <c r="G69" s="100">
        <v>0</v>
      </c>
      <c r="H69" s="100">
        <v>9</v>
      </c>
      <c r="I69" s="100">
        <v>6825.5999999999995</v>
      </c>
      <c r="J69" s="100">
        <v>10</v>
      </c>
      <c r="K69" s="100">
        <v>7584</v>
      </c>
      <c r="L69" s="100">
        <v>7.8383424366138739</v>
      </c>
      <c r="M69" s="100">
        <v>5944.5989039279621</v>
      </c>
      <c r="N69" s="100">
        <v>4.7435951349722156</v>
      </c>
      <c r="O69" s="100">
        <v>3597.5425503629281</v>
      </c>
      <c r="P69" s="100">
        <v>2.3243768263657749</v>
      </c>
      <c r="Q69" s="100">
        <v>1762.8073851158038</v>
      </c>
      <c r="R69" s="100">
        <v>7</v>
      </c>
      <c r="S69" s="100">
        <v>5308.8</v>
      </c>
      <c r="T69" s="100">
        <v>7</v>
      </c>
      <c r="U69" s="100">
        <v>5308.8</v>
      </c>
      <c r="V69" s="100">
        <v>0.82724656877454317</v>
      </c>
      <c r="W69" s="100">
        <v>627.38379775861347</v>
      </c>
      <c r="X69" s="100">
        <v>8</v>
      </c>
      <c r="Y69" s="100">
        <v>6067.2</v>
      </c>
      <c r="Z69" s="100">
        <v>10</v>
      </c>
      <c r="AA69" s="100">
        <v>7584</v>
      </c>
      <c r="AB69" s="100">
        <v>6</v>
      </c>
      <c r="AC69" s="100">
        <v>4550.3999999999996</v>
      </c>
      <c r="AD69" s="100">
        <v>10</v>
      </c>
      <c r="AE69" s="100">
        <v>7584</v>
      </c>
      <c r="AF69" s="100">
        <v>6</v>
      </c>
      <c r="AG69" s="100">
        <v>4550.3999999999996</v>
      </c>
      <c r="AH69" s="100">
        <v>9</v>
      </c>
      <c r="AI69" s="100">
        <v>6825.5999999999995</v>
      </c>
      <c r="AJ69" s="100">
        <v>9</v>
      </c>
      <c r="AK69" s="100">
        <v>6825.5999999999995</v>
      </c>
      <c r="AL69" s="100">
        <v>9</v>
      </c>
      <c r="AM69" s="100">
        <v>6825.5999999999995</v>
      </c>
      <c r="AN69" s="100">
        <v>7</v>
      </c>
      <c r="AO69" s="100">
        <v>5308.8</v>
      </c>
      <c r="AP69" s="100">
        <v>3.1306054806646433</v>
      </c>
      <c r="AQ69" s="100">
        <v>2374.2511965360654</v>
      </c>
      <c r="AR69" s="100">
        <v>9</v>
      </c>
      <c r="AS69" s="100">
        <v>6825.5999999999995</v>
      </c>
      <c r="AT69" s="100">
        <v>7</v>
      </c>
      <c r="AU69" s="100">
        <v>5308.8</v>
      </c>
      <c r="AV69" s="100">
        <v>8</v>
      </c>
      <c r="AW69" s="100">
        <v>6067.2</v>
      </c>
      <c r="AX69" s="100">
        <v>3.3694184202823214</v>
      </c>
      <c r="AY69" s="100">
        <v>2555.3669299421126</v>
      </c>
      <c r="AZ69" s="100">
        <v>5</v>
      </c>
      <c r="BA69" s="100">
        <v>3792</v>
      </c>
      <c r="BB69" s="100">
        <v>7.7639286398350631</v>
      </c>
      <c r="BC69" s="100">
        <v>5888.1634804509113</v>
      </c>
      <c r="BD69" s="100">
        <v>9</v>
      </c>
      <c r="BE69" s="100">
        <v>6825.5999999999995</v>
      </c>
      <c r="BF69" s="100">
        <v>9</v>
      </c>
      <c r="BG69" s="100">
        <v>6825.5999999999995</v>
      </c>
      <c r="BH69" s="100">
        <v>10</v>
      </c>
      <c r="BI69" s="100">
        <v>7584</v>
      </c>
      <c r="BJ69" s="100">
        <v>8</v>
      </c>
      <c r="BK69" s="100">
        <v>6067.2</v>
      </c>
      <c r="BL69" s="100">
        <v>6.1108124439690306</v>
      </c>
      <c r="BM69" s="100">
        <v>4634.4401575061129</v>
      </c>
      <c r="BN69" s="100">
        <v>5.1735640773054605</v>
      </c>
      <c r="BO69" s="100">
        <v>3923.6309962284613</v>
      </c>
      <c r="BP69" s="100">
        <v>2.5602020537044563</v>
      </c>
      <c r="BQ69" s="100">
        <v>1941.6572375294595</v>
      </c>
      <c r="BR69" s="100">
        <v>10</v>
      </c>
      <c r="BS69" s="100">
        <v>7584</v>
      </c>
      <c r="BT69" s="100">
        <v>11</v>
      </c>
      <c r="BU69" s="100">
        <v>8342.4</v>
      </c>
      <c r="BV69" s="100">
        <v>6</v>
      </c>
      <c r="BW69" s="100">
        <v>4550.3999999999996</v>
      </c>
      <c r="BX69" s="100">
        <v>5</v>
      </c>
      <c r="BY69" s="100">
        <v>3792</v>
      </c>
      <c r="BZ69" s="100">
        <v>11</v>
      </c>
      <c r="CA69" s="100">
        <v>8342.4</v>
      </c>
      <c r="CB69" s="100">
        <v>11</v>
      </c>
      <c r="CC69" s="100">
        <v>8342.4</v>
      </c>
      <c r="CD69" s="100">
        <v>7.5593437502922169</v>
      </c>
      <c r="CE69" s="100">
        <v>5733.0063002216175</v>
      </c>
      <c r="CF69" s="100">
        <v>9</v>
      </c>
      <c r="CG69" s="100">
        <v>6825.5999999999995</v>
      </c>
      <c r="CH69" s="100">
        <v>0.43519885510347722</v>
      </c>
      <c r="CI69" s="100">
        <v>330.05481171047711</v>
      </c>
      <c r="CJ69" s="100">
        <v>9</v>
      </c>
      <c r="CK69" s="100">
        <v>6825.5999999999995</v>
      </c>
      <c r="CL69" s="100">
        <v>12</v>
      </c>
      <c r="CM69" s="100">
        <v>9100.7999999999993</v>
      </c>
      <c r="CN69" s="100">
        <v>9</v>
      </c>
      <c r="CO69" s="100">
        <v>6825.5999999999995</v>
      </c>
      <c r="CP69" s="100">
        <v>8</v>
      </c>
      <c r="CQ69" s="100">
        <v>6067.2</v>
      </c>
      <c r="CR69" s="100">
        <v>7</v>
      </c>
      <c r="CS69" s="100">
        <v>5308.8</v>
      </c>
      <c r="CT69" s="100">
        <v>0.83454457818402494</v>
      </c>
      <c r="CU69" s="100">
        <v>632.91860809476452</v>
      </c>
    </row>
    <row r="70" spans="2:99">
      <c r="C70" s="99" t="s">
        <v>236</v>
      </c>
      <c r="D70" s="100">
        <v>5.8250295514331114</v>
      </c>
      <c r="E70" s="100">
        <v>3117.5558159270008</v>
      </c>
      <c r="F70" s="100">
        <v>0</v>
      </c>
      <c r="G70" s="100">
        <v>0</v>
      </c>
      <c r="H70" s="100">
        <v>8</v>
      </c>
      <c r="I70" s="100">
        <v>4281.5999999999995</v>
      </c>
      <c r="J70" s="100">
        <v>11</v>
      </c>
      <c r="K70" s="100">
        <v>5887.1999999999989</v>
      </c>
      <c r="L70" s="100">
        <v>7.8383424366138739</v>
      </c>
      <c r="M70" s="100">
        <v>4195.080872075745</v>
      </c>
      <c r="N70" s="100">
        <v>4.7435951349722156</v>
      </c>
      <c r="O70" s="100">
        <v>2538.7721162371295</v>
      </c>
      <c r="P70" s="100">
        <v>2.3243768263657749</v>
      </c>
      <c r="Q70" s="100">
        <v>1244.0064774709626</v>
      </c>
      <c r="R70" s="100">
        <v>7</v>
      </c>
      <c r="S70" s="100">
        <v>3746.3999999999996</v>
      </c>
      <c r="T70" s="100">
        <v>7</v>
      </c>
      <c r="U70" s="100">
        <v>3746.3999999999996</v>
      </c>
      <c r="V70" s="100">
        <v>0.93065238987136101</v>
      </c>
      <c r="W70" s="100">
        <v>498.08515905915237</v>
      </c>
      <c r="X70" s="100">
        <v>8</v>
      </c>
      <c r="Y70" s="100">
        <v>4281.5999999999995</v>
      </c>
      <c r="Z70" s="100">
        <v>10</v>
      </c>
      <c r="AA70" s="100">
        <v>5351.9999999999991</v>
      </c>
      <c r="AB70" s="100">
        <v>6</v>
      </c>
      <c r="AC70" s="100">
        <v>3211.2</v>
      </c>
      <c r="AD70" s="100">
        <v>8</v>
      </c>
      <c r="AE70" s="100">
        <v>4281.5999999999995</v>
      </c>
      <c r="AF70" s="100">
        <v>5</v>
      </c>
      <c r="AG70" s="100">
        <v>2675.9999999999995</v>
      </c>
      <c r="AH70" s="100">
        <v>8</v>
      </c>
      <c r="AI70" s="100">
        <v>4281.5999999999995</v>
      </c>
      <c r="AJ70" s="100">
        <v>9</v>
      </c>
      <c r="AK70" s="100">
        <v>4816.7999999999993</v>
      </c>
      <c r="AL70" s="100">
        <v>8</v>
      </c>
      <c r="AM70" s="100">
        <v>4281.5999999999995</v>
      </c>
      <c r="AN70" s="100">
        <v>7</v>
      </c>
      <c r="AO70" s="100">
        <v>3746.3999999999996</v>
      </c>
      <c r="AP70" s="100">
        <v>3.1306054806646433</v>
      </c>
      <c r="AQ70" s="100">
        <v>1675.500053251717</v>
      </c>
      <c r="AR70" s="100">
        <v>10</v>
      </c>
      <c r="AS70" s="100">
        <v>5351.9999999999991</v>
      </c>
      <c r="AT70" s="100">
        <v>8</v>
      </c>
      <c r="AU70" s="100">
        <v>4281.5999999999995</v>
      </c>
      <c r="AV70" s="100">
        <v>7</v>
      </c>
      <c r="AW70" s="100">
        <v>3746.3999999999996</v>
      </c>
      <c r="AX70" s="100">
        <v>3.3694184202823214</v>
      </c>
      <c r="AY70" s="100">
        <v>1803.3127385350981</v>
      </c>
      <c r="AZ70" s="100">
        <v>6</v>
      </c>
      <c r="BA70" s="100">
        <v>3211.2</v>
      </c>
      <c r="BB70" s="100">
        <v>8.6265873775945128</v>
      </c>
      <c r="BC70" s="100">
        <v>4616.9495644885828</v>
      </c>
      <c r="BD70" s="100">
        <v>8</v>
      </c>
      <c r="BE70" s="100">
        <v>4281.5999999999995</v>
      </c>
      <c r="BF70" s="100">
        <v>8</v>
      </c>
      <c r="BG70" s="100">
        <v>4281.5999999999995</v>
      </c>
      <c r="BH70" s="100">
        <v>9</v>
      </c>
      <c r="BI70" s="100">
        <v>4816.7999999999993</v>
      </c>
      <c r="BJ70" s="100">
        <v>8</v>
      </c>
      <c r="BK70" s="100">
        <v>4281.5999999999995</v>
      </c>
      <c r="BL70" s="100">
        <v>6.1108124439690306</v>
      </c>
      <c r="BM70" s="100">
        <v>3270.5068200122246</v>
      </c>
      <c r="BN70" s="100">
        <v>5.1735640773054605</v>
      </c>
      <c r="BO70" s="100">
        <v>2768.8914941738822</v>
      </c>
      <c r="BP70" s="100">
        <v>2.8446689485605066</v>
      </c>
      <c r="BQ70" s="100">
        <v>1522.4668212695829</v>
      </c>
      <c r="BR70" s="100">
        <v>9</v>
      </c>
      <c r="BS70" s="100">
        <v>4816.7999999999993</v>
      </c>
      <c r="BT70" s="100">
        <v>12</v>
      </c>
      <c r="BU70" s="100">
        <v>6422.4</v>
      </c>
      <c r="BV70" s="100">
        <v>6</v>
      </c>
      <c r="BW70" s="100">
        <v>3211.2</v>
      </c>
      <c r="BX70" s="100">
        <v>6</v>
      </c>
      <c r="BY70" s="100">
        <v>3211.2</v>
      </c>
      <c r="BZ70" s="100">
        <v>11</v>
      </c>
      <c r="CA70" s="100">
        <v>5887.1999999999989</v>
      </c>
      <c r="CB70" s="100">
        <v>11</v>
      </c>
      <c r="CC70" s="100">
        <v>5887.1999999999989</v>
      </c>
      <c r="CD70" s="100">
        <v>7.5593437502922169</v>
      </c>
      <c r="CE70" s="100">
        <v>4045.7607751563942</v>
      </c>
      <c r="CF70" s="100">
        <v>9</v>
      </c>
      <c r="CG70" s="100">
        <v>4816.7999999999993</v>
      </c>
      <c r="CH70" s="100">
        <v>0.38684342675864641</v>
      </c>
      <c r="CI70" s="100">
        <v>207.03860200122753</v>
      </c>
      <c r="CJ70" s="100">
        <v>9</v>
      </c>
      <c r="CK70" s="100">
        <v>4816.7999999999993</v>
      </c>
      <c r="CL70" s="100">
        <v>10</v>
      </c>
      <c r="CM70" s="100">
        <v>5351.9999999999991</v>
      </c>
      <c r="CN70" s="100">
        <v>10</v>
      </c>
      <c r="CO70" s="100">
        <v>5351.9999999999991</v>
      </c>
      <c r="CP70" s="100">
        <v>9</v>
      </c>
      <c r="CQ70" s="100">
        <v>4816.7999999999993</v>
      </c>
      <c r="CR70" s="100">
        <v>8</v>
      </c>
      <c r="CS70" s="100">
        <v>4281.5999999999995</v>
      </c>
      <c r="CT70" s="100">
        <v>1.0014534938208299</v>
      </c>
      <c r="CU70" s="100">
        <v>535.97790989290809</v>
      </c>
    </row>
    <row r="71" spans="2:99">
      <c r="B71" s="99" t="s">
        <v>130</v>
      </c>
      <c r="C71" s="99" t="s">
        <v>237</v>
      </c>
      <c r="D71" s="100">
        <v>4.6979483222773952</v>
      </c>
      <c r="E71" s="100">
        <v>2649.642853764451</v>
      </c>
      <c r="F71" s="100">
        <v>9</v>
      </c>
      <c r="G71" s="100">
        <v>5076</v>
      </c>
      <c r="H71" s="100">
        <v>11</v>
      </c>
      <c r="I71" s="100">
        <v>6204</v>
      </c>
      <c r="J71" s="100">
        <v>8</v>
      </c>
      <c r="K71" s="100">
        <v>4512</v>
      </c>
      <c r="L71" s="100">
        <v>2.5358868478250791</v>
      </c>
      <c r="M71" s="100">
        <v>1430.2401821733447</v>
      </c>
      <c r="N71" s="100">
        <v>9.7007467789448114</v>
      </c>
      <c r="O71" s="100">
        <v>5471.2211833248739</v>
      </c>
      <c r="P71" s="100">
        <v>8.2865710250425693</v>
      </c>
      <c r="Q71" s="100">
        <v>4673.6260581240094</v>
      </c>
      <c r="R71" s="100">
        <v>8.4521280019660487</v>
      </c>
      <c r="S71" s="100">
        <v>4767.0001931088518</v>
      </c>
      <c r="T71" s="100">
        <v>8.3027415535592066</v>
      </c>
      <c r="U71" s="100">
        <v>4682.7462362073929</v>
      </c>
      <c r="V71" s="100">
        <v>8.522562401982432</v>
      </c>
      <c r="W71" s="100">
        <v>4806.7251947180912</v>
      </c>
      <c r="X71" s="100">
        <v>10.016709688118111</v>
      </c>
      <c r="Y71" s="100">
        <v>5649.424264098614</v>
      </c>
      <c r="Z71" s="100">
        <v>5.758077063211597</v>
      </c>
      <c r="AA71" s="100">
        <v>3247.5554636513407</v>
      </c>
      <c r="AB71" s="100">
        <v>8</v>
      </c>
      <c r="AC71" s="100">
        <v>4512</v>
      </c>
      <c r="AD71" s="100">
        <v>11.404647651645581</v>
      </c>
      <c r="AE71" s="100">
        <v>6432.221275528108</v>
      </c>
      <c r="AF71" s="100">
        <v>6.9487594662796575</v>
      </c>
      <c r="AG71" s="100">
        <v>3919.100338981727</v>
      </c>
      <c r="AH71" s="100">
        <v>5.9708566831945307</v>
      </c>
      <c r="AI71" s="100">
        <v>3367.5631693217151</v>
      </c>
      <c r="AJ71" s="100">
        <v>7</v>
      </c>
      <c r="AK71" s="100">
        <v>3948</v>
      </c>
      <c r="AL71" s="100">
        <v>10</v>
      </c>
      <c r="AM71" s="100">
        <v>5640</v>
      </c>
      <c r="AN71" s="100">
        <v>9</v>
      </c>
      <c r="AO71" s="100">
        <v>5076</v>
      </c>
      <c r="AP71" s="100">
        <v>14</v>
      </c>
      <c r="AQ71" s="100">
        <v>7896</v>
      </c>
      <c r="AR71" s="100">
        <v>10</v>
      </c>
      <c r="AS71" s="100">
        <v>5640</v>
      </c>
      <c r="AT71" s="100">
        <v>11</v>
      </c>
      <c r="AU71" s="100">
        <v>6204</v>
      </c>
      <c r="AV71" s="100">
        <v>12.548151263843691</v>
      </c>
      <c r="AW71" s="100">
        <v>7077.1573128078417</v>
      </c>
      <c r="AX71" s="100">
        <v>12.893116370394669</v>
      </c>
      <c r="AY71" s="100">
        <v>7271.7176329025933</v>
      </c>
      <c r="AZ71" s="100">
        <v>6.6708090876284718</v>
      </c>
      <c r="BA71" s="100">
        <v>3762.3363254224582</v>
      </c>
      <c r="BB71" s="100">
        <v>2.8727706683294438</v>
      </c>
      <c r="BC71" s="100">
        <v>1620.2426569378063</v>
      </c>
      <c r="BD71" s="100">
        <v>12</v>
      </c>
      <c r="BE71" s="100">
        <v>6768</v>
      </c>
      <c r="BF71" s="100">
        <v>15</v>
      </c>
      <c r="BG71" s="100">
        <v>8460</v>
      </c>
      <c r="BH71" s="100">
        <v>11.086245015881376</v>
      </c>
      <c r="BI71" s="100">
        <v>6252.6421889570966</v>
      </c>
      <c r="BJ71" s="100">
        <v>3.4247088004827115</v>
      </c>
      <c r="BK71" s="100">
        <v>1931.5357634722493</v>
      </c>
      <c r="BL71" s="100">
        <v>5.5590075730237265</v>
      </c>
      <c r="BM71" s="100">
        <v>3135.2802711853819</v>
      </c>
      <c r="BN71" s="100">
        <v>9</v>
      </c>
      <c r="BO71" s="100">
        <v>5076</v>
      </c>
      <c r="BP71" s="100">
        <v>14</v>
      </c>
      <c r="BQ71" s="100">
        <v>7896</v>
      </c>
      <c r="BR71" s="100">
        <v>10</v>
      </c>
      <c r="BS71" s="100">
        <v>5640</v>
      </c>
      <c r="BT71" s="100">
        <v>11</v>
      </c>
      <c r="BU71" s="100">
        <v>6204</v>
      </c>
      <c r="BV71" s="100">
        <v>11</v>
      </c>
      <c r="BW71" s="100">
        <v>6204</v>
      </c>
      <c r="BX71" s="100">
        <v>12</v>
      </c>
      <c r="BY71" s="100">
        <v>6768</v>
      </c>
      <c r="BZ71" s="100">
        <v>5.5478315320152696</v>
      </c>
      <c r="CA71" s="100">
        <v>3128.9769840566119</v>
      </c>
      <c r="CB71" s="100">
        <v>10</v>
      </c>
      <c r="CC71" s="100">
        <v>5640</v>
      </c>
      <c r="CD71" s="100">
        <v>11</v>
      </c>
      <c r="CE71" s="100">
        <v>6204</v>
      </c>
      <c r="CF71" s="100">
        <v>10.768668145696271</v>
      </c>
      <c r="CG71" s="100">
        <v>6073.5288341726964</v>
      </c>
      <c r="CH71" s="100">
        <v>9.1789485142027782</v>
      </c>
      <c r="CI71" s="100">
        <v>5176.9269620103669</v>
      </c>
      <c r="CJ71" s="100">
        <v>10</v>
      </c>
      <c r="CK71" s="100">
        <v>5640</v>
      </c>
      <c r="CL71" s="100">
        <v>3.1623989739499314</v>
      </c>
      <c r="CM71" s="100">
        <v>1783.5930213077613</v>
      </c>
      <c r="CN71" s="100">
        <v>15.00262284767849</v>
      </c>
      <c r="CO71" s="100">
        <v>8461.4792860906691</v>
      </c>
      <c r="CP71" s="100">
        <v>5.8666093359262348</v>
      </c>
      <c r="CQ71" s="100">
        <v>3308.7676654623965</v>
      </c>
      <c r="CR71" s="100">
        <v>13</v>
      </c>
      <c r="CS71" s="100">
        <v>7332</v>
      </c>
      <c r="CT71" s="100">
        <v>5.6156926009021229</v>
      </c>
      <c r="CU71" s="100">
        <v>3167.2506269087971</v>
      </c>
    </row>
    <row r="72" spans="2:99">
      <c r="C72" s="99" t="s">
        <v>238</v>
      </c>
      <c r="D72" s="100">
        <v>5.1677431545051347</v>
      </c>
      <c r="E72" s="100">
        <v>384.48009069518196</v>
      </c>
      <c r="F72" s="100">
        <v>10</v>
      </c>
      <c r="G72" s="100">
        <v>743.99999999999989</v>
      </c>
      <c r="H72" s="100">
        <v>12</v>
      </c>
      <c r="I72" s="100">
        <v>892.8</v>
      </c>
      <c r="J72" s="100">
        <v>9</v>
      </c>
      <c r="K72" s="100">
        <v>669.59999999999991</v>
      </c>
      <c r="L72" s="100">
        <v>2.7664220158091775</v>
      </c>
      <c r="M72" s="100">
        <v>205.82179797620279</v>
      </c>
      <c r="N72" s="100">
        <v>8.730672101050331</v>
      </c>
      <c r="O72" s="100">
        <v>649.56200431814455</v>
      </c>
      <c r="P72" s="100">
        <v>8.9239995654304582</v>
      </c>
      <c r="Q72" s="100">
        <v>663.945567668026</v>
      </c>
      <c r="R72" s="100">
        <v>9.2973408021626547</v>
      </c>
      <c r="S72" s="100">
        <v>691.72215568090144</v>
      </c>
      <c r="T72" s="100">
        <v>9.6865318124857414</v>
      </c>
      <c r="U72" s="100">
        <v>720.67796684893904</v>
      </c>
      <c r="V72" s="100">
        <v>8.522562401982432</v>
      </c>
      <c r="W72" s="100">
        <v>634.07864270749292</v>
      </c>
      <c r="X72" s="100">
        <v>10.927319659765212</v>
      </c>
      <c r="Y72" s="100">
        <v>812.9925826865317</v>
      </c>
      <c r="Z72" s="100">
        <v>6.2010060680740287</v>
      </c>
      <c r="AA72" s="100">
        <v>461.35485146470768</v>
      </c>
      <c r="AB72" s="100">
        <v>8</v>
      </c>
      <c r="AC72" s="100">
        <v>595.19999999999993</v>
      </c>
      <c r="AD72" s="100">
        <v>11.404647651645581</v>
      </c>
      <c r="AE72" s="100">
        <v>848.50578528243113</v>
      </c>
      <c r="AF72" s="100">
        <v>6.2538835196516915</v>
      </c>
      <c r="AG72" s="100">
        <v>465.2889338620858</v>
      </c>
      <c r="AH72" s="100">
        <v>5.9708566831945307</v>
      </c>
      <c r="AI72" s="100">
        <v>444.23173722967306</v>
      </c>
      <c r="AJ72" s="100">
        <v>8</v>
      </c>
      <c r="AK72" s="100">
        <v>595.19999999999993</v>
      </c>
      <c r="AL72" s="100">
        <v>11</v>
      </c>
      <c r="AM72" s="100">
        <v>818.39999999999986</v>
      </c>
      <c r="AN72" s="100">
        <v>9</v>
      </c>
      <c r="AO72" s="100">
        <v>669.59999999999991</v>
      </c>
      <c r="AP72" s="100">
        <v>15</v>
      </c>
      <c r="AQ72" s="100">
        <v>1115.9999999999998</v>
      </c>
      <c r="AR72" s="100">
        <v>10</v>
      </c>
      <c r="AS72" s="100">
        <v>743.99999999999989</v>
      </c>
      <c r="AT72" s="100">
        <v>10</v>
      </c>
      <c r="AU72" s="100">
        <v>743.99999999999989</v>
      </c>
      <c r="AV72" s="100">
        <v>13.513393668754743</v>
      </c>
      <c r="AW72" s="100">
        <v>1005.3964889553528</v>
      </c>
      <c r="AX72" s="100">
        <v>13.814053253994286</v>
      </c>
      <c r="AY72" s="100">
        <v>1027.7655620971748</v>
      </c>
      <c r="AZ72" s="100">
        <v>6.6708090876284718</v>
      </c>
      <c r="BA72" s="100">
        <v>496.30819611955826</v>
      </c>
      <c r="BB72" s="100">
        <v>3.1339316381775748</v>
      </c>
      <c r="BC72" s="100">
        <v>233.16451388041153</v>
      </c>
      <c r="BD72" s="100">
        <v>11</v>
      </c>
      <c r="BE72" s="100">
        <v>818.39999999999986</v>
      </c>
      <c r="BF72" s="100">
        <v>14</v>
      </c>
      <c r="BG72" s="100">
        <v>1041.5999999999999</v>
      </c>
      <c r="BH72" s="100">
        <v>11.086245015881376</v>
      </c>
      <c r="BI72" s="100">
        <v>824.81662918157429</v>
      </c>
      <c r="BJ72" s="100">
        <v>3.4247088004827115</v>
      </c>
      <c r="BK72" s="100">
        <v>254.79833475591371</v>
      </c>
      <c r="BL72" s="100">
        <v>6.3531515120271154</v>
      </c>
      <c r="BM72" s="100">
        <v>472.67447249481734</v>
      </c>
      <c r="BN72" s="100">
        <v>11</v>
      </c>
      <c r="BO72" s="100">
        <v>818.39999999999986</v>
      </c>
      <c r="BP72" s="100">
        <v>13</v>
      </c>
      <c r="BQ72" s="100">
        <v>967.19999999999993</v>
      </c>
      <c r="BR72" s="100">
        <v>10</v>
      </c>
      <c r="BS72" s="100">
        <v>743.99999999999989</v>
      </c>
      <c r="BT72" s="100">
        <v>12</v>
      </c>
      <c r="BU72" s="100">
        <v>892.8</v>
      </c>
      <c r="BV72" s="100">
        <v>10</v>
      </c>
      <c r="BW72" s="100">
        <v>743.99999999999989</v>
      </c>
      <c r="BX72" s="100">
        <v>13</v>
      </c>
      <c r="BY72" s="100">
        <v>967.19999999999993</v>
      </c>
      <c r="BZ72" s="100">
        <v>5.9745878037087516</v>
      </c>
      <c r="CA72" s="100">
        <v>444.50933259593108</v>
      </c>
      <c r="CB72" s="100">
        <v>10</v>
      </c>
      <c r="CC72" s="100">
        <v>743.99999999999989</v>
      </c>
      <c r="CD72" s="100">
        <v>11</v>
      </c>
      <c r="CE72" s="100">
        <v>818.39999999999986</v>
      </c>
      <c r="CF72" s="100">
        <v>11.537858727531718</v>
      </c>
      <c r="CG72" s="100">
        <v>858.41668932835978</v>
      </c>
      <c r="CH72" s="100">
        <v>9.9438608903863432</v>
      </c>
      <c r="CI72" s="100">
        <v>739.8232502447438</v>
      </c>
      <c r="CJ72" s="100">
        <v>11</v>
      </c>
      <c r="CK72" s="100">
        <v>818.39999999999986</v>
      </c>
      <c r="CL72" s="100">
        <v>3.1623989739499314</v>
      </c>
      <c r="CM72" s="100">
        <v>235.28248366187486</v>
      </c>
      <c r="CN72" s="100">
        <v>15.00262284767849</v>
      </c>
      <c r="CO72" s="100">
        <v>1116.1951398672795</v>
      </c>
      <c r="CP72" s="100">
        <v>5.8666093359262348</v>
      </c>
      <c r="CQ72" s="100">
        <v>436.47573459291181</v>
      </c>
      <c r="CR72" s="100">
        <v>14</v>
      </c>
      <c r="CS72" s="100">
        <v>1041.5999999999999</v>
      </c>
      <c r="CT72" s="100">
        <v>5.9900721076289312</v>
      </c>
      <c r="CU72" s="100">
        <v>445.66136480759241</v>
      </c>
    </row>
    <row r="73" spans="2:99">
      <c r="C73" s="99" t="s">
        <v>239</v>
      </c>
      <c r="D73" s="100">
        <v>5.1677431545051347</v>
      </c>
      <c r="E73" s="100">
        <v>2889.8019719992708</v>
      </c>
      <c r="F73" s="100">
        <v>10</v>
      </c>
      <c r="G73" s="100">
        <v>5591.9999999999991</v>
      </c>
      <c r="H73" s="100">
        <v>10</v>
      </c>
      <c r="I73" s="100">
        <v>5591.9999999999991</v>
      </c>
      <c r="J73" s="100">
        <v>8</v>
      </c>
      <c r="K73" s="100">
        <v>4473.5999999999995</v>
      </c>
      <c r="L73" s="100">
        <v>2.7664220158091775</v>
      </c>
      <c r="M73" s="100">
        <v>1546.9831912404918</v>
      </c>
      <c r="N73" s="100">
        <v>8.730672101050331</v>
      </c>
      <c r="O73" s="100">
        <v>4882.1918389073444</v>
      </c>
      <c r="P73" s="100">
        <v>8.2865710250425693</v>
      </c>
      <c r="Q73" s="100">
        <v>4633.850517203804</v>
      </c>
      <c r="R73" s="100">
        <v>7.6069152017694455</v>
      </c>
      <c r="S73" s="100">
        <v>4253.7869808294736</v>
      </c>
      <c r="T73" s="100">
        <v>8.994636683022474</v>
      </c>
      <c r="U73" s="100">
        <v>5029.800833146167</v>
      </c>
      <c r="V73" s="100">
        <v>9.2973408021626529</v>
      </c>
      <c r="W73" s="100">
        <v>5199.072976569355</v>
      </c>
      <c r="X73" s="100">
        <v>10.016709688118111</v>
      </c>
      <c r="Y73" s="100">
        <v>5601.3440575956465</v>
      </c>
      <c r="Z73" s="100">
        <v>6.6439350729364586</v>
      </c>
      <c r="AA73" s="100">
        <v>3715.2884927860673</v>
      </c>
      <c r="AB73" s="100">
        <v>8</v>
      </c>
      <c r="AC73" s="100">
        <v>4473.5999999999995</v>
      </c>
      <c r="AD73" s="100">
        <v>10.590029962242324</v>
      </c>
      <c r="AE73" s="100">
        <v>5921.9447548859071</v>
      </c>
      <c r="AF73" s="100">
        <v>6.2538835196516915</v>
      </c>
      <c r="AG73" s="100">
        <v>3497.1716641892253</v>
      </c>
      <c r="AH73" s="100">
        <v>5.9708566831945307</v>
      </c>
      <c r="AI73" s="100">
        <v>3338.9030572423812</v>
      </c>
      <c r="AJ73" s="100">
        <v>7</v>
      </c>
      <c r="AK73" s="100">
        <v>3914.3999999999996</v>
      </c>
      <c r="AL73" s="100">
        <v>11</v>
      </c>
      <c r="AM73" s="100">
        <v>6151.1999999999989</v>
      </c>
      <c r="AN73" s="100">
        <v>8</v>
      </c>
      <c r="AO73" s="100">
        <v>4473.5999999999995</v>
      </c>
      <c r="AP73" s="100">
        <v>13</v>
      </c>
      <c r="AQ73" s="100">
        <v>7269.5999999999995</v>
      </c>
      <c r="AR73" s="100">
        <v>9</v>
      </c>
      <c r="AS73" s="100">
        <v>5032.7999999999993</v>
      </c>
      <c r="AT73" s="100">
        <v>10</v>
      </c>
      <c r="AU73" s="100">
        <v>5591.9999999999991</v>
      </c>
      <c r="AV73" s="100">
        <v>13.513393668754743</v>
      </c>
      <c r="AW73" s="100">
        <v>7556.6897395676515</v>
      </c>
      <c r="AX73" s="100">
        <v>12.893116370394669</v>
      </c>
      <c r="AY73" s="100">
        <v>7209.8306743246976</v>
      </c>
      <c r="AZ73" s="100">
        <v>6.6708090876284718</v>
      </c>
      <c r="BA73" s="100">
        <v>3730.3164418018409</v>
      </c>
      <c r="BB73" s="100">
        <v>3.3950926080257062</v>
      </c>
      <c r="BC73" s="100">
        <v>1898.5357864079747</v>
      </c>
      <c r="BD73" s="100">
        <v>12</v>
      </c>
      <c r="BE73" s="100">
        <v>6710.4</v>
      </c>
      <c r="BF73" s="100">
        <v>15</v>
      </c>
      <c r="BG73" s="100">
        <v>8387.9999999999982</v>
      </c>
      <c r="BH73" s="100">
        <v>10.233456937736657</v>
      </c>
      <c r="BI73" s="100">
        <v>5722.5491195823379</v>
      </c>
      <c r="BJ73" s="100">
        <v>2.8539240004022597</v>
      </c>
      <c r="BK73" s="100">
        <v>1595.9143010249434</v>
      </c>
      <c r="BL73" s="100">
        <v>7.1472954510305051</v>
      </c>
      <c r="BM73" s="100">
        <v>3996.7676162162579</v>
      </c>
      <c r="BN73" s="100">
        <v>9</v>
      </c>
      <c r="BO73" s="100">
        <v>5032.7999999999993</v>
      </c>
      <c r="BP73" s="100">
        <v>13</v>
      </c>
      <c r="BQ73" s="100">
        <v>7269.5999999999995</v>
      </c>
      <c r="BR73" s="100">
        <v>9</v>
      </c>
      <c r="BS73" s="100">
        <v>5032.7999999999993</v>
      </c>
      <c r="BT73" s="100">
        <v>13</v>
      </c>
      <c r="BU73" s="100">
        <v>7269.5999999999995</v>
      </c>
      <c r="BV73" s="100">
        <v>9</v>
      </c>
      <c r="BW73" s="100">
        <v>5032.7999999999993</v>
      </c>
      <c r="BX73" s="100">
        <v>11</v>
      </c>
      <c r="BY73" s="100">
        <v>6151.1999999999989</v>
      </c>
      <c r="BZ73" s="100">
        <v>6.8281003470957158</v>
      </c>
      <c r="CA73" s="100">
        <v>3818.2737140959239</v>
      </c>
      <c r="CB73" s="100">
        <v>9</v>
      </c>
      <c r="CC73" s="100">
        <v>5032.7999999999993</v>
      </c>
      <c r="CD73" s="100">
        <v>11</v>
      </c>
      <c r="CE73" s="100">
        <v>6151.1999999999989</v>
      </c>
      <c r="CF73" s="100">
        <v>12.307049309367168</v>
      </c>
      <c r="CG73" s="100">
        <v>6882.1019737981196</v>
      </c>
      <c r="CH73" s="100">
        <v>10.708773266569908</v>
      </c>
      <c r="CI73" s="100">
        <v>5988.3460106658922</v>
      </c>
      <c r="CJ73" s="100">
        <v>11</v>
      </c>
      <c r="CK73" s="100">
        <v>6151.1999999999989</v>
      </c>
      <c r="CL73" s="100">
        <v>3.1623989739499314</v>
      </c>
      <c r="CM73" s="100">
        <v>1768.4135062328014</v>
      </c>
      <c r="CN73" s="100">
        <v>12.189631063738773</v>
      </c>
      <c r="CO73" s="100">
        <v>6816.4416908427211</v>
      </c>
      <c r="CP73" s="100">
        <v>6.5999355029170133</v>
      </c>
      <c r="CQ73" s="100">
        <v>3690.6839332311934</v>
      </c>
      <c r="CR73" s="100">
        <v>15</v>
      </c>
      <c r="CS73" s="100">
        <v>8387.9999999999982</v>
      </c>
      <c r="CT73" s="100">
        <v>5.9900721076289312</v>
      </c>
      <c r="CU73" s="100">
        <v>3349.6483225860979</v>
      </c>
    </row>
    <row r="74" spans="2:99">
      <c r="C74" s="99" t="s">
        <v>240</v>
      </c>
      <c r="D74" s="100">
        <v>5.1677431545051347</v>
      </c>
      <c r="E74" s="100">
        <v>2083.6340398964703</v>
      </c>
      <c r="F74" s="100">
        <v>9</v>
      </c>
      <c r="G74" s="100">
        <v>3628.7999999999997</v>
      </c>
      <c r="H74" s="100">
        <v>11</v>
      </c>
      <c r="I74" s="100">
        <v>4435.2</v>
      </c>
      <c r="J74" s="100">
        <v>8</v>
      </c>
      <c r="K74" s="100">
        <v>3225.6</v>
      </c>
      <c r="L74" s="100">
        <v>2.5358868478250791</v>
      </c>
      <c r="M74" s="100">
        <v>1022.4695770430719</v>
      </c>
      <c r="N74" s="100">
        <v>9.7007467789448114</v>
      </c>
      <c r="O74" s="100">
        <v>3911.3411012705478</v>
      </c>
      <c r="P74" s="100">
        <v>7.6491424846546794</v>
      </c>
      <c r="Q74" s="100">
        <v>3084.1342498127665</v>
      </c>
      <c r="R74" s="100">
        <v>9.2973408021626547</v>
      </c>
      <c r="S74" s="100">
        <v>3748.6878114319825</v>
      </c>
      <c r="T74" s="100">
        <v>8.994636683022474</v>
      </c>
      <c r="U74" s="100">
        <v>3626.6375105946613</v>
      </c>
      <c r="V74" s="100">
        <v>9.2973408021626529</v>
      </c>
      <c r="W74" s="100">
        <v>3748.6878114319816</v>
      </c>
      <c r="X74" s="100">
        <v>10.016709688118111</v>
      </c>
      <c r="Y74" s="100">
        <v>4038.7373462492219</v>
      </c>
      <c r="Z74" s="100">
        <v>5.758077063211597</v>
      </c>
      <c r="AA74" s="100">
        <v>2321.6566718869158</v>
      </c>
      <c r="AB74" s="100">
        <v>7</v>
      </c>
      <c r="AC74" s="100">
        <v>2822.4</v>
      </c>
      <c r="AD74" s="100">
        <v>10.590029962242324</v>
      </c>
      <c r="AE74" s="100">
        <v>4269.9000807761049</v>
      </c>
      <c r="AF74" s="100">
        <v>7.6436354129076243</v>
      </c>
      <c r="AG74" s="100">
        <v>3081.9137984843542</v>
      </c>
      <c r="AH74" s="100">
        <v>5.9708566831945307</v>
      </c>
      <c r="AI74" s="100">
        <v>2407.4494146640345</v>
      </c>
      <c r="AJ74" s="100">
        <v>8</v>
      </c>
      <c r="AK74" s="100">
        <v>3225.6</v>
      </c>
      <c r="AL74" s="100">
        <v>10</v>
      </c>
      <c r="AM74" s="100">
        <v>4032</v>
      </c>
      <c r="AN74" s="100">
        <v>10</v>
      </c>
      <c r="AO74" s="100">
        <v>4032</v>
      </c>
      <c r="AP74" s="100">
        <v>14</v>
      </c>
      <c r="AQ74" s="100">
        <v>5644.8</v>
      </c>
      <c r="AR74" s="100">
        <v>9</v>
      </c>
      <c r="AS74" s="100">
        <v>3628.7999999999997</v>
      </c>
      <c r="AT74" s="100">
        <v>10</v>
      </c>
      <c r="AU74" s="100">
        <v>4032</v>
      </c>
      <c r="AV74" s="100">
        <v>12.548151263843691</v>
      </c>
      <c r="AW74" s="100">
        <v>5059.4145895817755</v>
      </c>
      <c r="AX74" s="100">
        <v>14.734990137593906</v>
      </c>
      <c r="AY74" s="100">
        <v>5941.1480234778628</v>
      </c>
      <c r="AZ74" s="100">
        <v>7.2267098449308449</v>
      </c>
      <c r="BA74" s="100">
        <v>2913.8094094761168</v>
      </c>
      <c r="BB74" s="100">
        <v>3.3950926080257062</v>
      </c>
      <c r="BC74" s="100">
        <v>1368.9013395559648</v>
      </c>
      <c r="BD74" s="100">
        <v>12</v>
      </c>
      <c r="BE74" s="100">
        <v>4838.3999999999996</v>
      </c>
      <c r="BF74" s="100">
        <v>14</v>
      </c>
      <c r="BG74" s="100">
        <v>5644.8</v>
      </c>
      <c r="BH74" s="100">
        <v>10.233456937736657</v>
      </c>
      <c r="BI74" s="100">
        <v>4126.1298372954197</v>
      </c>
      <c r="BJ74" s="100">
        <v>3.1393164004424858</v>
      </c>
      <c r="BK74" s="100">
        <v>1265.7723726584102</v>
      </c>
      <c r="BL74" s="100">
        <v>7.1472954510305051</v>
      </c>
      <c r="BM74" s="100">
        <v>2881.7895258554995</v>
      </c>
      <c r="BN74" s="100">
        <v>9</v>
      </c>
      <c r="BO74" s="100">
        <v>3628.7999999999997</v>
      </c>
      <c r="BP74" s="100">
        <v>14</v>
      </c>
      <c r="BQ74" s="100">
        <v>5644.8</v>
      </c>
      <c r="BR74" s="100">
        <v>10</v>
      </c>
      <c r="BS74" s="100">
        <v>4032</v>
      </c>
      <c r="BT74" s="100">
        <v>11</v>
      </c>
      <c r="BU74" s="100">
        <v>4435.2</v>
      </c>
      <c r="BV74" s="100">
        <v>11</v>
      </c>
      <c r="BW74" s="100">
        <v>4435.2</v>
      </c>
      <c r="BX74" s="100">
        <v>13</v>
      </c>
      <c r="BY74" s="100">
        <v>5241.5999999999995</v>
      </c>
      <c r="BZ74" s="100">
        <v>6.4013440754022337</v>
      </c>
      <c r="CA74" s="100">
        <v>2581.0219312021804</v>
      </c>
      <c r="CB74" s="100">
        <v>11</v>
      </c>
      <c r="CC74" s="100">
        <v>4435.2</v>
      </c>
      <c r="CD74" s="100">
        <v>10</v>
      </c>
      <c r="CE74" s="100">
        <v>4032</v>
      </c>
      <c r="CF74" s="100">
        <v>11.537858727531718</v>
      </c>
      <c r="CG74" s="100">
        <v>4652.0646389407884</v>
      </c>
      <c r="CH74" s="100">
        <v>9.1789485142027782</v>
      </c>
      <c r="CI74" s="100">
        <v>3700.9520409265601</v>
      </c>
      <c r="CJ74" s="100">
        <v>9</v>
      </c>
      <c r="CK74" s="100">
        <v>3628.7999999999997</v>
      </c>
      <c r="CL74" s="100">
        <v>3.1623989739499314</v>
      </c>
      <c r="CM74" s="100">
        <v>1275.0792662966123</v>
      </c>
      <c r="CN74" s="100">
        <v>13.127294991718678</v>
      </c>
      <c r="CO74" s="100">
        <v>5292.9253406609705</v>
      </c>
      <c r="CP74" s="100">
        <v>6.5999355029170133</v>
      </c>
      <c r="CQ74" s="100">
        <v>2661.0939947761399</v>
      </c>
      <c r="CR74" s="100">
        <v>13</v>
      </c>
      <c r="CS74" s="100">
        <v>5241.5999999999995</v>
      </c>
      <c r="CT74" s="100">
        <v>5.6156926009021229</v>
      </c>
      <c r="CU74" s="100">
        <v>2264.2472566837359</v>
      </c>
    </row>
    <row r="75" spans="2:99">
      <c r="C75" s="99" t="s">
        <v>241</v>
      </c>
      <c r="D75" s="100">
        <v>4.6979483222773952</v>
      </c>
      <c r="E75" s="100">
        <v>3021.7203608888203</v>
      </c>
      <c r="F75" s="100">
        <v>9</v>
      </c>
      <c r="G75" s="100">
        <v>5788.7999999999993</v>
      </c>
      <c r="H75" s="100">
        <v>11</v>
      </c>
      <c r="I75" s="100">
        <v>7075.1999999999989</v>
      </c>
      <c r="J75" s="100">
        <v>8</v>
      </c>
      <c r="K75" s="100">
        <v>5145.5999999999995</v>
      </c>
      <c r="L75" s="100">
        <v>2.7664220158091775</v>
      </c>
      <c r="M75" s="100">
        <v>1779.3626405684627</v>
      </c>
      <c r="N75" s="100">
        <v>9.7007467789448114</v>
      </c>
      <c r="O75" s="100">
        <v>6239.5203282173024</v>
      </c>
      <c r="P75" s="100">
        <v>8.2865710250425693</v>
      </c>
      <c r="Q75" s="100">
        <v>5329.9224833073804</v>
      </c>
      <c r="R75" s="100">
        <v>8.4521280019660487</v>
      </c>
      <c r="S75" s="100">
        <v>5436.4087308645621</v>
      </c>
      <c r="T75" s="100">
        <v>8.994636683022474</v>
      </c>
      <c r="U75" s="100">
        <v>5785.3503145200548</v>
      </c>
      <c r="V75" s="100">
        <v>8.522562401982432</v>
      </c>
      <c r="W75" s="100">
        <v>5481.7121369550996</v>
      </c>
      <c r="X75" s="100">
        <v>9.1060997164710091</v>
      </c>
      <c r="Y75" s="100">
        <v>5857.0433376341525</v>
      </c>
      <c r="Z75" s="100">
        <v>6.6439350729364586</v>
      </c>
      <c r="AA75" s="100">
        <v>4273.3790389127298</v>
      </c>
      <c r="AB75" s="100">
        <v>9</v>
      </c>
      <c r="AC75" s="100">
        <v>5788.7999999999993</v>
      </c>
      <c r="AD75" s="100">
        <v>11.404647651645581</v>
      </c>
      <c r="AE75" s="100">
        <v>7335.4693695384367</v>
      </c>
      <c r="AF75" s="100">
        <v>6.2538835196516915</v>
      </c>
      <c r="AG75" s="100">
        <v>4022.4978798399675</v>
      </c>
      <c r="AH75" s="100">
        <v>5.9708566831945307</v>
      </c>
      <c r="AI75" s="100">
        <v>3840.4550186307215</v>
      </c>
      <c r="AJ75" s="100">
        <v>7</v>
      </c>
      <c r="AK75" s="100">
        <v>4502.3999999999996</v>
      </c>
      <c r="AL75" s="100">
        <v>11</v>
      </c>
      <c r="AM75" s="100">
        <v>7075.1999999999989</v>
      </c>
      <c r="AN75" s="100">
        <v>8</v>
      </c>
      <c r="AO75" s="100">
        <v>5145.5999999999995</v>
      </c>
      <c r="AP75" s="100">
        <v>13</v>
      </c>
      <c r="AQ75" s="100">
        <v>8361.5999999999985</v>
      </c>
      <c r="AR75" s="100">
        <v>9</v>
      </c>
      <c r="AS75" s="100">
        <v>5788.7999999999993</v>
      </c>
      <c r="AT75" s="100">
        <v>11</v>
      </c>
      <c r="AU75" s="100">
        <v>7075.1999999999989</v>
      </c>
      <c r="AV75" s="100">
        <v>11.582908858932639</v>
      </c>
      <c r="AW75" s="100">
        <v>7450.126978065472</v>
      </c>
      <c r="AX75" s="100">
        <v>12.893116370394669</v>
      </c>
      <c r="AY75" s="100">
        <v>8292.8524494378507</v>
      </c>
      <c r="AZ75" s="100">
        <v>6.1149083303260996</v>
      </c>
      <c r="BA75" s="100">
        <v>3933.109038065747</v>
      </c>
      <c r="BB75" s="100">
        <v>2.8727706683294438</v>
      </c>
      <c r="BC75" s="100">
        <v>1847.766093869498</v>
      </c>
      <c r="BD75" s="100">
        <v>11</v>
      </c>
      <c r="BE75" s="100">
        <v>7075.1999999999989</v>
      </c>
      <c r="BF75" s="100">
        <v>14</v>
      </c>
      <c r="BG75" s="100">
        <v>9004.7999999999993</v>
      </c>
      <c r="BH75" s="100">
        <v>11.086245015881376</v>
      </c>
      <c r="BI75" s="100">
        <v>7130.6727942149</v>
      </c>
      <c r="BJ75" s="100">
        <v>3.4247088004827115</v>
      </c>
      <c r="BK75" s="100">
        <v>2202.7727004704798</v>
      </c>
      <c r="BL75" s="100">
        <v>6.3531515120271154</v>
      </c>
      <c r="BM75" s="100">
        <v>4086.3470525358402</v>
      </c>
      <c r="BN75" s="100">
        <v>9</v>
      </c>
      <c r="BO75" s="100">
        <v>5788.7999999999993</v>
      </c>
      <c r="BP75" s="100">
        <v>13</v>
      </c>
      <c r="BQ75" s="100">
        <v>8361.5999999999985</v>
      </c>
      <c r="BR75" s="100">
        <v>9</v>
      </c>
      <c r="BS75" s="100">
        <v>5788.7999999999993</v>
      </c>
      <c r="BT75" s="100">
        <v>11</v>
      </c>
      <c r="BU75" s="100">
        <v>7075.1999999999989</v>
      </c>
      <c r="BV75" s="100">
        <v>9</v>
      </c>
      <c r="BW75" s="100">
        <v>5788.7999999999993</v>
      </c>
      <c r="BX75" s="100">
        <v>11</v>
      </c>
      <c r="BY75" s="100">
        <v>7075.1999999999989</v>
      </c>
      <c r="BZ75" s="100">
        <v>5.9745878037087516</v>
      </c>
      <c r="CA75" s="100">
        <v>3842.8548753454688</v>
      </c>
      <c r="CB75" s="100">
        <v>10</v>
      </c>
      <c r="CC75" s="100">
        <v>6431.9999999999991</v>
      </c>
      <c r="CD75" s="100">
        <v>11</v>
      </c>
      <c r="CE75" s="100">
        <v>7075.1999999999989</v>
      </c>
      <c r="CF75" s="100">
        <v>12.307049309367168</v>
      </c>
      <c r="CG75" s="100">
        <v>7915.8941157849613</v>
      </c>
      <c r="CH75" s="100">
        <v>10.708773266569908</v>
      </c>
      <c r="CI75" s="100">
        <v>6887.8829650577645</v>
      </c>
      <c r="CJ75" s="100">
        <v>10</v>
      </c>
      <c r="CK75" s="100">
        <v>6431.9999999999991</v>
      </c>
      <c r="CL75" s="100">
        <v>2.9365133329535076</v>
      </c>
      <c r="CM75" s="100">
        <v>1888.7653757556959</v>
      </c>
      <c r="CN75" s="100">
        <v>13.127294991718678</v>
      </c>
      <c r="CO75" s="100">
        <v>8443.4761386734535</v>
      </c>
      <c r="CP75" s="100">
        <v>6.5999355029170133</v>
      </c>
      <c r="CQ75" s="100">
        <v>4245.0785154762225</v>
      </c>
      <c r="CR75" s="100">
        <v>15</v>
      </c>
      <c r="CS75" s="100">
        <v>9647.9999999999982</v>
      </c>
      <c r="CT75" s="100">
        <v>5.6156926009021229</v>
      </c>
      <c r="CU75" s="100">
        <v>3612.0134809002452</v>
      </c>
    </row>
    <row r="76" spans="2:99">
      <c r="C76" s="99" t="s">
        <v>242</v>
      </c>
      <c r="D76" s="100">
        <v>4.6979483222773952</v>
      </c>
      <c r="E76" s="100">
        <v>3658.7621533896354</v>
      </c>
      <c r="F76" s="100">
        <v>9</v>
      </c>
      <c r="G76" s="100">
        <v>7009.2</v>
      </c>
      <c r="H76" s="100">
        <v>11</v>
      </c>
      <c r="I76" s="100">
        <v>8566.7999999999993</v>
      </c>
      <c r="J76" s="100">
        <v>9</v>
      </c>
      <c r="K76" s="100">
        <v>7009.2</v>
      </c>
      <c r="L76" s="100">
        <v>2.7664220158091775</v>
      </c>
      <c r="M76" s="100">
        <v>2154.4894659121874</v>
      </c>
      <c r="N76" s="100">
        <v>9.7007467789448114</v>
      </c>
      <c r="O76" s="100">
        <v>7554.9415914422189</v>
      </c>
      <c r="P76" s="100">
        <v>7.6491424846546794</v>
      </c>
      <c r="Q76" s="100">
        <v>5957.1521670490638</v>
      </c>
      <c r="R76" s="100">
        <v>8.4521280019660487</v>
      </c>
      <c r="S76" s="100">
        <v>6582.5172879311585</v>
      </c>
      <c r="T76" s="100">
        <v>8.3027415535592066</v>
      </c>
      <c r="U76" s="100">
        <v>6466.1751219119096</v>
      </c>
      <c r="V76" s="100">
        <v>9.2973408021626529</v>
      </c>
      <c r="W76" s="100">
        <v>7240.7690167242736</v>
      </c>
      <c r="X76" s="100">
        <v>9.1060997164710091</v>
      </c>
      <c r="Y76" s="100">
        <v>7091.8304591876213</v>
      </c>
      <c r="Z76" s="100">
        <v>6.6439350729364586</v>
      </c>
      <c r="AA76" s="100">
        <v>5174.296634802914</v>
      </c>
      <c r="AB76" s="100">
        <v>9</v>
      </c>
      <c r="AC76" s="100">
        <v>7009.2</v>
      </c>
      <c r="AD76" s="100">
        <v>12.219265341048837</v>
      </c>
      <c r="AE76" s="100">
        <v>9516.3638476088345</v>
      </c>
      <c r="AF76" s="100">
        <v>6.9487594662796575</v>
      </c>
      <c r="AG76" s="100">
        <v>5411.6938723385965</v>
      </c>
      <c r="AH76" s="100">
        <v>7.0564669892298992</v>
      </c>
      <c r="AI76" s="100">
        <v>5495.5764912122449</v>
      </c>
      <c r="AJ76" s="100">
        <v>7</v>
      </c>
      <c r="AK76" s="100">
        <v>5451.5999999999995</v>
      </c>
      <c r="AL76" s="100">
        <v>10</v>
      </c>
      <c r="AM76" s="100">
        <v>7788</v>
      </c>
      <c r="AN76" s="100">
        <v>8</v>
      </c>
      <c r="AO76" s="100">
        <v>6230.4</v>
      </c>
      <c r="AP76" s="100">
        <v>12</v>
      </c>
      <c r="AQ76" s="100">
        <v>9345.5999999999985</v>
      </c>
      <c r="AR76" s="100">
        <v>10</v>
      </c>
      <c r="AS76" s="100">
        <v>7788</v>
      </c>
      <c r="AT76" s="100">
        <v>11</v>
      </c>
      <c r="AU76" s="100">
        <v>8566.7999999999993</v>
      </c>
      <c r="AV76" s="100">
        <v>12.548151263843691</v>
      </c>
      <c r="AW76" s="100">
        <v>9772.5002042814649</v>
      </c>
      <c r="AX76" s="100">
        <v>12.893116370394669</v>
      </c>
      <c r="AY76" s="100">
        <v>10041.159029263368</v>
      </c>
      <c r="AZ76" s="100">
        <v>6.6708090876284718</v>
      </c>
      <c r="BA76" s="100">
        <v>5195.2261174450532</v>
      </c>
      <c r="BB76" s="100">
        <v>3.3950926080257062</v>
      </c>
      <c r="BC76" s="100">
        <v>2644.0981231304199</v>
      </c>
      <c r="BD76" s="100">
        <v>11</v>
      </c>
      <c r="BE76" s="100">
        <v>8566.7999999999993</v>
      </c>
      <c r="BF76" s="100">
        <v>14</v>
      </c>
      <c r="BG76" s="100">
        <v>10903.199999999999</v>
      </c>
      <c r="BH76" s="100">
        <v>9.3806688595919354</v>
      </c>
      <c r="BI76" s="100">
        <v>7305.6649078501987</v>
      </c>
      <c r="BJ76" s="100">
        <v>2.8539240004022597</v>
      </c>
      <c r="BK76" s="100">
        <v>2222.6360115132798</v>
      </c>
      <c r="BL76" s="100">
        <v>7.1472954510305051</v>
      </c>
      <c r="BM76" s="100">
        <v>5566.3136972625571</v>
      </c>
      <c r="BN76" s="100">
        <v>9</v>
      </c>
      <c r="BO76" s="100">
        <v>7009.2</v>
      </c>
      <c r="BP76" s="100">
        <v>12</v>
      </c>
      <c r="BQ76" s="100">
        <v>9345.5999999999985</v>
      </c>
      <c r="BR76" s="100">
        <v>10</v>
      </c>
      <c r="BS76" s="100">
        <v>7788</v>
      </c>
      <c r="BT76" s="100">
        <v>11</v>
      </c>
      <c r="BU76" s="100">
        <v>8566.7999999999993</v>
      </c>
      <c r="BV76" s="100">
        <v>9</v>
      </c>
      <c r="BW76" s="100">
        <v>7009.2</v>
      </c>
      <c r="BX76" s="100">
        <v>11</v>
      </c>
      <c r="BY76" s="100">
        <v>8566.7999999999993</v>
      </c>
      <c r="BZ76" s="100">
        <v>6.8281003470957158</v>
      </c>
      <c r="CA76" s="100">
        <v>5317.724550318143</v>
      </c>
      <c r="CB76" s="100">
        <v>10</v>
      </c>
      <c r="CC76" s="100">
        <v>7788</v>
      </c>
      <c r="CD76" s="100">
        <v>11</v>
      </c>
      <c r="CE76" s="100">
        <v>8566.7999999999993</v>
      </c>
      <c r="CF76" s="100">
        <v>12.307049309367168</v>
      </c>
      <c r="CG76" s="100">
        <v>9584.7300021351493</v>
      </c>
      <c r="CH76" s="100">
        <v>9.1789485142027782</v>
      </c>
      <c r="CI76" s="100">
        <v>7148.5651028611237</v>
      </c>
      <c r="CJ76" s="100">
        <v>10</v>
      </c>
      <c r="CK76" s="100">
        <v>7788</v>
      </c>
      <c r="CL76" s="100">
        <v>3.1623989739499314</v>
      </c>
      <c r="CM76" s="100">
        <v>2462.8763209122067</v>
      </c>
      <c r="CN76" s="100">
        <v>14.064958919698585</v>
      </c>
      <c r="CO76" s="100">
        <v>10953.790006661256</v>
      </c>
      <c r="CP76" s="100">
        <v>5.8666093359262348</v>
      </c>
      <c r="CQ76" s="100">
        <v>4568.9153508193513</v>
      </c>
      <c r="CR76" s="100">
        <v>14</v>
      </c>
      <c r="CS76" s="100">
        <v>10903.199999999999</v>
      </c>
      <c r="CT76" s="100">
        <v>5.6156926009021229</v>
      </c>
      <c r="CU76" s="100">
        <v>4373.5013975825732</v>
      </c>
    </row>
    <row r="77" spans="2:99">
      <c r="C77" s="99" t="s">
        <v>243</v>
      </c>
      <c r="D77" s="100">
        <v>5.1677431545051347</v>
      </c>
      <c r="E77" s="100">
        <v>1438.6996942142293</v>
      </c>
      <c r="F77" s="100">
        <v>9</v>
      </c>
      <c r="G77" s="100">
        <v>2505.6</v>
      </c>
      <c r="H77" s="100">
        <v>10</v>
      </c>
      <c r="I77" s="100">
        <v>2784</v>
      </c>
      <c r="J77" s="100">
        <v>9</v>
      </c>
      <c r="K77" s="100">
        <v>2505.6</v>
      </c>
      <c r="L77" s="100">
        <v>2.5358868478250791</v>
      </c>
      <c r="M77" s="100">
        <v>705.99089843450201</v>
      </c>
      <c r="N77" s="100">
        <v>9.7007467789448114</v>
      </c>
      <c r="O77" s="100">
        <v>2700.6879032582351</v>
      </c>
      <c r="P77" s="100">
        <v>8.2865710250425693</v>
      </c>
      <c r="Q77" s="100">
        <v>2306.9813733718511</v>
      </c>
      <c r="R77" s="100">
        <v>8.4521280019660487</v>
      </c>
      <c r="S77" s="100">
        <v>2353.0724357473478</v>
      </c>
      <c r="T77" s="100">
        <v>9.6865318124857414</v>
      </c>
      <c r="U77" s="100">
        <v>2696.7304565960303</v>
      </c>
      <c r="V77" s="100">
        <v>9.2973408021626529</v>
      </c>
      <c r="W77" s="100">
        <v>2588.3796793220822</v>
      </c>
      <c r="X77" s="100">
        <v>10.927319659765212</v>
      </c>
      <c r="Y77" s="100">
        <v>3042.1657932786347</v>
      </c>
      <c r="Z77" s="100">
        <v>6.6439350729364586</v>
      </c>
      <c r="AA77" s="100">
        <v>1849.6715243055098</v>
      </c>
      <c r="AB77" s="100">
        <v>8</v>
      </c>
      <c r="AC77" s="100">
        <v>2227.1999999999998</v>
      </c>
      <c r="AD77" s="100">
        <v>11.404647651645581</v>
      </c>
      <c r="AE77" s="100">
        <v>3175.0539062181292</v>
      </c>
      <c r="AF77" s="100">
        <v>6.9487594662796575</v>
      </c>
      <c r="AG77" s="100">
        <v>1934.5346354122564</v>
      </c>
      <c r="AH77" s="100">
        <v>5.9708566831945307</v>
      </c>
      <c r="AI77" s="100">
        <v>1662.2865006013571</v>
      </c>
      <c r="AJ77" s="100">
        <v>8</v>
      </c>
      <c r="AK77" s="100">
        <v>2227.1999999999998</v>
      </c>
      <c r="AL77" s="100">
        <v>9</v>
      </c>
      <c r="AM77" s="100">
        <v>2505.6</v>
      </c>
      <c r="AN77" s="100">
        <v>9</v>
      </c>
      <c r="AO77" s="100">
        <v>2505.6</v>
      </c>
      <c r="AP77" s="100">
        <v>13</v>
      </c>
      <c r="AQ77" s="100">
        <v>3619.2</v>
      </c>
      <c r="AR77" s="100">
        <v>10</v>
      </c>
      <c r="AS77" s="100">
        <v>2784</v>
      </c>
      <c r="AT77" s="100">
        <v>11</v>
      </c>
      <c r="AU77" s="100">
        <v>3062.3999999999996</v>
      </c>
      <c r="AV77" s="100">
        <v>13.513393668754743</v>
      </c>
      <c r="AW77" s="100">
        <v>3762.1287973813201</v>
      </c>
      <c r="AX77" s="100">
        <v>12.893116370394669</v>
      </c>
      <c r="AY77" s="100">
        <v>3589.4435975178753</v>
      </c>
      <c r="AZ77" s="100">
        <v>7.2267098449308449</v>
      </c>
      <c r="BA77" s="100">
        <v>2011.9160208287472</v>
      </c>
      <c r="BB77" s="100">
        <v>2.8727706683294438</v>
      </c>
      <c r="BC77" s="100">
        <v>799.77935406291715</v>
      </c>
      <c r="BD77" s="100">
        <v>12</v>
      </c>
      <c r="BE77" s="100">
        <v>3340.7999999999997</v>
      </c>
      <c r="BF77" s="100">
        <v>14</v>
      </c>
      <c r="BG77" s="100">
        <v>3897.5999999999995</v>
      </c>
      <c r="BH77" s="100">
        <v>10.233456937736657</v>
      </c>
      <c r="BI77" s="100">
        <v>2848.9944114658852</v>
      </c>
      <c r="BJ77" s="100">
        <v>3.1393164004424858</v>
      </c>
      <c r="BK77" s="100">
        <v>873.98568588318801</v>
      </c>
      <c r="BL77" s="100">
        <v>6.3531515120271154</v>
      </c>
      <c r="BM77" s="100">
        <v>1768.7173809483488</v>
      </c>
      <c r="BN77" s="100">
        <v>11</v>
      </c>
      <c r="BO77" s="100">
        <v>3062.3999999999996</v>
      </c>
      <c r="BP77" s="100">
        <v>14</v>
      </c>
      <c r="BQ77" s="100">
        <v>3897.5999999999995</v>
      </c>
      <c r="BR77" s="100">
        <v>10</v>
      </c>
      <c r="BS77" s="100">
        <v>2784</v>
      </c>
      <c r="BT77" s="100">
        <v>12</v>
      </c>
      <c r="BU77" s="100">
        <v>3340.7999999999997</v>
      </c>
      <c r="BV77" s="100">
        <v>10</v>
      </c>
      <c r="BW77" s="100">
        <v>2784</v>
      </c>
      <c r="BX77" s="100">
        <v>11</v>
      </c>
      <c r="BY77" s="100">
        <v>3062.3999999999996</v>
      </c>
      <c r="BZ77" s="100">
        <v>5.9745878037087516</v>
      </c>
      <c r="CA77" s="100">
        <v>1663.3252445525163</v>
      </c>
      <c r="CB77" s="100">
        <v>10</v>
      </c>
      <c r="CC77" s="100">
        <v>2784</v>
      </c>
      <c r="CD77" s="100">
        <v>12</v>
      </c>
      <c r="CE77" s="100">
        <v>3340.7999999999997</v>
      </c>
      <c r="CF77" s="100">
        <v>12.307049309367168</v>
      </c>
      <c r="CG77" s="100">
        <v>3426.2825277278193</v>
      </c>
      <c r="CH77" s="100">
        <v>9.1789485142027782</v>
      </c>
      <c r="CI77" s="100">
        <v>2555.4192663540534</v>
      </c>
      <c r="CJ77" s="100">
        <v>10</v>
      </c>
      <c r="CK77" s="100">
        <v>2784</v>
      </c>
      <c r="CL77" s="100">
        <v>3.1623989739499314</v>
      </c>
      <c r="CM77" s="100">
        <v>880.41187434766084</v>
      </c>
      <c r="CN77" s="100">
        <v>13.127294991718678</v>
      </c>
      <c r="CO77" s="100">
        <v>3654.6389256944794</v>
      </c>
      <c r="CP77" s="100">
        <v>5.8666093359262348</v>
      </c>
      <c r="CQ77" s="100">
        <v>1633.2640391218636</v>
      </c>
      <c r="CR77" s="100">
        <v>15</v>
      </c>
      <c r="CS77" s="100">
        <v>4176</v>
      </c>
      <c r="CT77" s="100">
        <v>6.3644516143557395</v>
      </c>
      <c r="CU77" s="100">
        <v>1771.8633294366377</v>
      </c>
    </row>
    <row r="78" spans="2:99">
      <c r="C78" s="99" t="s">
        <v>244</v>
      </c>
      <c r="D78" s="100">
        <v>4.6979483222773952</v>
      </c>
      <c r="E78" s="100">
        <v>2593.2674738971223</v>
      </c>
      <c r="F78" s="100">
        <v>9</v>
      </c>
      <c r="G78" s="100">
        <v>4968</v>
      </c>
      <c r="H78" s="100">
        <v>9</v>
      </c>
      <c r="I78" s="100">
        <v>4968</v>
      </c>
      <c r="J78" s="100">
        <v>9</v>
      </c>
      <c r="K78" s="100">
        <v>4968</v>
      </c>
      <c r="L78" s="100">
        <v>2.7664220158091775</v>
      </c>
      <c r="M78" s="100">
        <v>1527.064952726666</v>
      </c>
      <c r="N78" s="100">
        <v>9.7007467789448114</v>
      </c>
      <c r="O78" s="100">
        <v>5354.812221977536</v>
      </c>
      <c r="P78" s="100">
        <v>7.6491424846546794</v>
      </c>
      <c r="Q78" s="100">
        <v>4222.3266515293826</v>
      </c>
      <c r="R78" s="100">
        <v>9.2973408021626547</v>
      </c>
      <c r="S78" s="100">
        <v>5132.1321227937851</v>
      </c>
      <c r="T78" s="100">
        <v>8.3027415535592066</v>
      </c>
      <c r="U78" s="100">
        <v>4583.1133375646823</v>
      </c>
      <c r="V78" s="100">
        <v>8.522562401982432</v>
      </c>
      <c r="W78" s="100">
        <v>4704.4544458943028</v>
      </c>
      <c r="X78" s="100">
        <v>9.1060997164710091</v>
      </c>
      <c r="Y78" s="100">
        <v>5026.5670434919966</v>
      </c>
      <c r="Z78" s="100">
        <v>5.758077063211597</v>
      </c>
      <c r="AA78" s="100">
        <v>3178.4585388928017</v>
      </c>
      <c r="AB78" s="100">
        <v>8</v>
      </c>
      <c r="AC78" s="100">
        <v>4416</v>
      </c>
      <c r="AD78" s="100">
        <v>12.219265341048837</v>
      </c>
      <c r="AE78" s="100">
        <v>6745.0344682589584</v>
      </c>
      <c r="AF78" s="100">
        <v>6.9487594662796575</v>
      </c>
      <c r="AG78" s="100">
        <v>3835.715225386371</v>
      </c>
      <c r="AH78" s="100">
        <v>6.513661836212215</v>
      </c>
      <c r="AI78" s="100">
        <v>3595.5413335891426</v>
      </c>
      <c r="AJ78" s="100">
        <v>8</v>
      </c>
      <c r="AK78" s="100">
        <v>4416</v>
      </c>
      <c r="AL78" s="100">
        <v>11</v>
      </c>
      <c r="AM78" s="100">
        <v>6072</v>
      </c>
      <c r="AN78" s="100">
        <v>8</v>
      </c>
      <c r="AO78" s="100">
        <v>4416</v>
      </c>
      <c r="AP78" s="100">
        <v>12</v>
      </c>
      <c r="AQ78" s="100">
        <v>6624</v>
      </c>
      <c r="AR78" s="100">
        <v>10</v>
      </c>
      <c r="AS78" s="100">
        <v>5520</v>
      </c>
      <c r="AT78" s="100">
        <v>10</v>
      </c>
      <c r="AU78" s="100">
        <v>5520</v>
      </c>
      <c r="AV78" s="100">
        <v>11.582908858932639</v>
      </c>
      <c r="AW78" s="100">
        <v>6393.7656901308164</v>
      </c>
      <c r="AX78" s="100">
        <v>14.734990137593906</v>
      </c>
      <c r="AY78" s="100">
        <v>8133.7145559518358</v>
      </c>
      <c r="AZ78" s="100">
        <v>7.2267098449308449</v>
      </c>
      <c r="BA78" s="100">
        <v>3989.1438344018266</v>
      </c>
      <c r="BB78" s="100">
        <v>2.8727706683294438</v>
      </c>
      <c r="BC78" s="100">
        <v>1585.7694089178531</v>
      </c>
      <c r="BD78" s="100">
        <v>13</v>
      </c>
      <c r="BE78" s="100">
        <v>7176</v>
      </c>
      <c r="BF78" s="100">
        <v>16</v>
      </c>
      <c r="BG78" s="100">
        <v>8832</v>
      </c>
      <c r="BH78" s="100">
        <v>11.086245015881376</v>
      </c>
      <c r="BI78" s="100">
        <v>6119.6072487665197</v>
      </c>
      <c r="BJ78" s="100">
        <v>3.4247088004827115</v>
      </c>
      <c r="BK78" s="100">
        <v>1890.4392578664567</v>
      </c>
      <c r="BL78" s="100">
        <v>7.1472954510305051</v>
      </c>
      <c r="BM78" s="100">
        <v>3945.3070889688388</v>
      </c>
      <c r="BN78" s="100">
        <v>10</v>
      </c>
      <c r="BO78" s="100">
        <v>5520</v>
      </c>
      <c r="BP78" s="100">
        <v>14</v>
      </c>
      <c r="BQ78" s="100">
        <v>7728</v>
      </c>
      <c r="BR78" s="100">
        <v>9</v>
      </c>
      <c r="BS78" s="100">
        <v>4968</v>
      </c>
      <c r="BT78" s="100">
        <v>13</v>
      </c>
      <c r="BU78" s="100">
        <v>7176</v>
      </c>
      <c r="BV78" s="100">
        <v>10</v>
      </c>
      <c r="BW78" s="100">
        <v>5520</v>
      </c>
      <c r="BX78" s="100">
        <v>11</v>
      </c>
      <c r="BY78" s="100">
        <v>6072</v>
      </c>
      <c r="BZ78" s="100">
        <v>6.4013440754022337</v>
      </c>
      <c r="CA78" s="100">
        <v>3533.541929622033</v>
      </c>
      <c r="CB78" s="100">
        <v>11</v>
      </c>
      <c r="CC78" s="100">
        <v>6072</v>
      </c>
      <c r="CD78" s="100">
        <v>10</v>
      </c>
      <c r="CE78" s="100">
        <v>5520</v>
      </c>
      <c r="CF78" s="100">
        <v>12.307049309367168</v>
      </c>
      <c r="CG78" s="100">
        <v>6793.4912187706768</v>
      </c>
      <c r="CH78" s="100">
        <v>10.708773266569908</v>
      </c>
      <c r="CI78" s="100">
        <v>5911.2428431465896</v>
      </c>
      <c r="CJ78" s="100">
        <v>9</v>
      </c>
      <c r="CK78" s="100">
        <v>4968</v>
      </c>
      <c r="CL78" s="100">
        <v>3.3882846149463548</v>
      </c>
      <c r="CM78" s="100">
        <v>1870.3331074503878</v>
      </c>
      <c r="CN78" s="100">
        <v>15.00262284767849</v>
      </c>
      <c r="CO78" s="100">
        <v>8281.447811918526</v>
      </c>
      <c r="CP78" s="100">
        <v>5.8666093359262348</v>
      </c>
      <c r="CQ78" s="100">
        <v>3238.3683534312818</v>
      </c>
      <c r="CR78" s="100">
        <v>15</v>
      </c>
      <c r="CS78" s="100">
        <v>8280</v>
      </c>
      <c r="CT78" s="100">
        <v>5.6156926009021229</v>
      </c>
      <c r="CU78" s="100">
        <v>3099.862315697972</v>
      </c>
    </row>
    <row r="79" spans="2:99">
      <c r="C79" s="99" t="s">
        <v>245</v>
      </c>
      <c r="D79" s="100">
        <v>5.1677431545051347</v>
      </c>
      <c r="E79" s="100">
        <v>3913.0151165912876</v>
      </c>
      <c r="F79" s="100">
        <v>8</v>
      </c>
      <c r="G79" s="100">
        <v>6057.5999999999995</v>
      </c>
      <c r="H79" s="100">
        <v>10</v>
      </c>
      <c r="I79" s="100">
        <v>7571.9999999999991</v>
      </c>
      <c r="J79" s="100">
        <v>9</v>
      </c>
      <c r="K79" s="100">
        <v>6814.7999999999993</v>
      </c>
      <c r="L79" s="100">
        <v>2.7664220158091775</v>
      </c>
      <c r="M79" s="100">
        <v>2094.7347503707092</v>
      </c>
      <c r="N79" s="100">
        <v>8.730672101050331</v>
      </c>
      <c r="O79" s="100">
        <v>6610.8649149153098</v>
      </c>
      <c r="P79" s="100">
        <v>7.6491424846546794</v>
      </c>
      <c r="Q79" s="100">
        <v>5791.9306893805224</v>
      </c>
      <c r="R79" s="100">
        <v>7.6069152017694455</v>
      </c>
      <c r="S79" s="100">
        <v>5759.9561907798234</v>
      </c>
      <c r="T79" s="100">
        <v>9.6865318124857414</v>
      </c>
      <c r="U79" s="100">
        <v>7334.6418884142031</v>
      </c>
      <c r="V79" s="100">
        <v>7.7477840018022111</v>
      </c>
      <c r="W79" s="100">
        <v>5866.6220461646335</v>
      </c>
      <c r="X79" s="100">
        <v>10.016709688118111</v>
      </c>
      <c r="Y79" s="100">
        <v>7584.6525758430325</v>
      </c>
      <c r="Z79" s="100">
        <v>6.6439350729364586</v>
      </c>
      <c r="AA79" s="100">
        <v>5030.7876372274859</v>
      </c>
      <c r="AB79" s="100">
        <v>8</v>
      </c>
      <c r="AC79" s="100">
        <v>6057.5999999999995</v>
      </c>
      <c r="AD79" s="100">
        <v>13.033883030452094</v>
      </c>
      <c r="AE79" s="100">
        <v>9869.2562306583241</v>
      </c>
      <c r="AF79" s="100">
        <v>6.2538835196516915</v>
      </c>
      <c r="AG79" s="100">
        <v>4735.4406010802604</v>
      </c>
      <c r="AH79" s="100">
        <v>6.513661836212215</v>
      </c>
      <c r="AI79" s="100">
        <v>4932.1447423798891</v>
      </c>
      <c r="AJ79" s="100">
        <v>7</v>
      </c>
      <c r="AK79" s="100">
        <v>5300.4</v>
      </c>
      <c r="AL79" s="100">
        <v>9</v>
      </c>
      <c r="AM79" s="100">
        <v>6814.7999999999993</v>
      </c>
      <c r="AN79" s="100">
        <v>8</v>
      </c>
      <c r="AO79" s="100">
        <v>6057.5999999999995</v>
      </c>
      <c r="AP79" s="100">
        <v>14</v>
      </c>
      <c r="AQ79" s="100">
        <v>10600.8</v>
      </c>
      <c r="AR79" s="100">
        <v>10</v>
      </c>
      <c r="AS79" s="100">
        <v>7571.9999999999991</v>
      </c>
      <c r="AT79" s="100">
        <v>11</v>
      </c>
      <c r="AU79" s="100">
        <v>8329.1999999999989</v>
      </c>
      <c r="AV79" s="100">
        <v>13.513393668754743</v>
      </c>
      <c r="AW79" s="100">
        <v>10232.34168598109</v>
      </c>
      <c r="AX79" s="100">
        <v>12.893116370394669</v>
      </c>
      <c r="AY79" s="100">
        <v>9762.667715662843</v>
      </c>
      <c r="AZ79" s="100">
        <v>6.1149083303260996</v>
      </c>
      <c r="BA79" s="100">
        <v>4630.2085877229219</v>
      </c>
      <c r="BB79" s="100">
        <v>3.3950926080257062</v>
      </c>
      <c r="BC79" s="100">
        <v>2570.7641227970644</v>
      </c>
      <c r="BD79" s="100">
        <v>11</v>
      </c>
      <c r="BE79" s="100">
        <v>8329.1999999999989</v>
      </c>
      <c r="BF79" s="100">
        <v>14</v>
      </c>
      <c r="BG79" s="100">
        <v>10600.8</v>
      </c>
      <c r="BH79" s="100">
        <v>10.233456937736657</v>
      </c>
      <c r="BI79" s="100">
        <v>7748.7735932541955</v>
      </c>
      <c r="BJ79" s="100">
        <v>3.4247088004827115</v>
      </c>
      <c r="BK79" s="100">
        <v>2593.189503725509</v>
      </c>
      <c r="BL79" s="100">
        <v>6.3531515120271154</v>
      </c>
      <c r="BM79" s="100">
        <v>4810.6063249069311</v>
      </c>
      <c r="BN79" s="100">
        <v>10</v>
      </c>
      <c r="BO79" s="100">
        <v>7571.9999999999991</v>
      </c>
      <c r="BP79" s="100">
        <v>13</v>
      </c>
      <c r="BQ79" s="100">
        <v>9843.5999999999985</v>
      </c>
      <c r="BR79" s="100">
        <v>9</v>
      </c>
      <c r="BS79" s="100">
        <v>6814.7999999999993</v>
      </c>
      <c r="BT79" s="100">
        <v>11</v>
      </c>
      <c r="BU79" s="100">
        <v>8329.1999999999989</v>
      </c>
      <c r="BV79" s="100">
        <v>10</v>
      </c>
      <c r="BW79" s="100">
        <v>7571.9999999999991</v>
      </c>
      <c r="BX79" s="100">
        <v>10</v>
      </c>
      <c r="BY79" s="100">
        <v>7571.9999999999991</v>
      </c>
      <c r="BZ79" s="100">
        <v>6.4013440754022337</v>
      </c>
      <c r="CA79" s="100">
        <v>4847.0977338945713</v>
      </c>
      <c r="CB79" s="100">
        <v>11</v>
      </c>
      <c r="CC79" s="100">
        <v>8329.1999999999989</v>
      </c>
      <c r="CD79" s="100">
        <v>11</v>
      </c>
      <c r="CE79" s="100">
        <v>8329.1999999999989</v>
      </c>
      <c r="CF79" s="100">
        <v>12.307049309367168</v>
      </c>
      <c r="CG79" s="100">
        <v>9318.8977370528191</v>
      </c>
      <c r="CH79" s="100">
        <v>9.1789485142027782</v>
      </c>
      <c r="CI79" s="100">
        <v>6950.2998149543428</v>
      </c>
      <c r="CJ79" s="100">
        <v>10</v>
      </c>
      <c r="CK79" s="100">
        <v>7571.9999999999991</v>
      </c>
      <c r="CL79" s="100">
        <v>3.3882846149463548</v>
      </c>
      <c r="CM79" s="100">
        <v>2565.6091104373795</v>
      </c>
      <c r="CN79" s="100">
        <v>14.064958919698585</v>
      </c>
      <c r="CO79" s="100">
        <v>10649.986893995767</v>
      </c>
      <c r="CP79" s="100">
        <v>5.8666093359262348</v>
      </c>
      <c r="CQ79" s="100">
        <v>4442.1965891633445</v>
      </c>
      <c r="CR79" s="100">
        <v>13</v>
      </c>
      <c r="CS79" s="100">
        <v>9843.5999999999985</v>
      </c>
      <c r="CT79" s="100">
        <v>5.6156926009021229</v>
      </c>
      <c r="CU79" s="100">
        <v>4252.2024374030871</v>
      </c>
    </row>
    <row r="80" spans="2:99">
      <c r="C80" s="99" t="s">
        <v>246</v>
      </c>
      <c r="D80" s="100">
        <v>4.2281534900496549</v>
      </c>
      <c r="E80" s="100">
        <v>3404.5091901879819</v>
      </c>
      <c r="F80" s="100">
        <v>9</v>
      </c>
      <c r="G80" s="100">
        <v>7246.7999999999993</v>
      </c>
      <c r="H80" s="100">
        <v>11</v>
      </c>
      <c r="I80" s="100">
        <v>8857.1999999999989</v>
      </c>
      <c r="J80" s="100">
        <v>8</v>
      </c>
      <c r="K80" s="100">
        <v>6441.5999999999995</v>
      </c>
      <c r="L80" s="100">
        <v>2.5358868478250791</v>
      </c>
      <c r="M80" s="100">
        <v>2041.8960898687535</v>
      </c>
      <c r="N80" s="100">
        <v>8.730672101050331</v>
      </c>
      <c r="O80" s="100">
        <v>7029.9371757657264</v>
      </c>
      <c r="P80" s="100">
        <v>7.6491424846546794</v>
      </c>
      <c r="Q80" s="100">
        <v>6159.0895286439472</v>
      </c>
      <c r="R80" s="100">
        <v>7.6069152017694455</v>
      </c>
      <c r="S80" s="100">
        <v>6125.0881204647567</v>
      </c>
      <c r="T80" s="100">
        <v>8.3027415535592066</v>
      </c>
      <c r="U80" s="100">
        <v>6685.3674989258725</v>
      </c>
      <c r="V80" s="100">
        <v>8.522562401982432</v>
      </c>
      <c r="W80" s="100">
        <v>6862.3672460762537</v>
      </c>
      <c r="X80" s="100">
        <v>9.1060997164710091</v>
      </c>
      <c r="Y80" s="100">
        <v>7332.231491702456</v>
      </c>
      <c r="Z80" s="100">
        <v>6.2010060680740287</v>
      </c>
      <c r="AA80" s="100">
        <v>4993.0500860132079</v>
      </c>
      <c r="AB80" s="100">
        <v>8</v>
      </c>
      <c r="AC80" s="100">
        <v>6441.5999999999995</v>
      </c>
      <c r="AD80" s="100">
        <v>12.219265341048837</v>
      </c>
      <c r="AE80" s="100">
        <v>9838.9524526125224</v>
      </c>
      <c r="AF80" s="100">
        <v>6.9487594662796575</v>
      </c>
      <c r="AG80" s="100">
        <v>5595.1411222483794</v>
      </c>
      <c r="AH80" s="100">
        <v>5.9708566831945307</v>
      </c>
      <c r="AI80" s="100">
        <v>4807.7338013082353</v>
      </c>
      <c r="AJ80" s="100">
        <v>7</v>
      </c>
      <c r="AK80" s="100">
        <v>5636.4</v>
      </c>
      <c r="AL80" s="100">
        <v>10</v>
      </c>
      <c r="AM80" s="100">
        <v>8051.9999999999991</v>
      </c>
      <c r="AN80" s="100">
        <v>9</v>
      </c>
      <c r="AO80" s="100">
        <v>7246.7999999999993</v>
      </c>
      <c r="AP80" s="100">
        <v>12</v>
      </c>
      <c r="AQ80" s="100">
        <v>9662.4</v>
      </c>
      <c r="AR80" s="100">
        <v>9</v>
      </c>
      <c r="AS80" s="100">
        <v>7246.7999999999993</v>
      </c>
      <c r="AT80" s="100">
        <v>10</v>
      </c>
      <c r="AU80" s="100">
        <v>8051.9999999999991</v>
      </c>
      <c r="AV80" s="100">
        <v>11.582908858932639</v>
      </c>
      <c r="AW80" s="100">
        <v>9326.5582132125601</v>
      </c>
      <c r="AX80" s="100">
        <v>11.972179486795048</v>
      </c>
      <c r="AY80" s="100">
        <v>9639.9989227673723</v>
      </c>
      <c r="AZ80" s="100">
        <v>7.2267098449308449</v>
      </c>
      <c r="BA80" s="100">
        <v>5818.9467671383154</v>
      </c>
      <c r="BB80" s="100">
        <v>3.3950926080257062</v>
      </c>
      <c r="BC80" s="100">
        <v>2733.7285679822985</v>
      </c>
      <c r="BD80" s="100">
        <v>11</v>
      </c>
      <c r="BE80" s="100">
        <v>8857.1999999999989</v>
      </c>
      <c r="BF80" s="100">
        <v>13</v>
      </c>
      <c r="BG80" s="100">
        <v>10467.599999999999</v>
      </c>
      <c r="BH80" s="100">
        <v>9.3806688595919354</v>
      </c>
      <c r="BI80" s="100">
        <v>7553.3145657434261</v>
      </c>
      <c r="BJ80" s="100">
        <v>3.4247088004827115</v>
      </c>
      <c r="BK80" s="100">
        <v>2757.5755261486793</v>
      </c>
      <c r="BL80" s="100">
        <v>5.5590075730237265</v>
      </c>
      <c r="BM80" s="100">
        <v>4476.1128977987046</v>
      </c>
      <c r="BN80" s="100">
        <v>10</v>
      </c>
      <c r="BO80" s="100">
        <v>8051.9999999999991</v>
      </c>
      <c r="BP80" s="100">
        <v>14</v>
      </c>
      <c r="BQ80" s="100">
        <v>11272.8</v>
      </c>
      <c r="BR80" s="100">
        <v>9</v>
      </c>
      <c r="BS80" s="100">
        <v>7246.7999999999993</v>
      </c>
      <c r="BT80" s="100">
        <v>11</v>
      </c>
      <c r="BU80" s="100">
        <v>8857.1999999999989</v>
      </c>
      <c r="BV80" s="100">
        <v>11</v>
      </c>
      <c r="BW80" s="100">
        <v>8857.1999999999989</v>
      </c>
      <c r="BX80" s="100">
        <v>11</v>
      </c>
      <c r="BY80" s="100">
        <v>8857.1999999999989</v>
      </c>
      <c r="BZ80" s="100">
        <v>5.9745878037087516</v>
      </c>
      <c r="CA80" s="100">
        <v>4810.7380995462863</v>
      </c>
      <c r="CB80" s="100">
        <v>9</v>
      </c>
      <c r="CC80" s="100">
        <v>7246.7999999999993</v>
      </c>
      <c r="CD80" s="100">
        <v>10</v>
      </c>
      <c r="CE80" s="100">
        <v>8051.9999999999991</v>
      </c>
      <c r="CF80" s="100">
        <v>12.307049309367168</v>
      </c>
      <c r="CG80" s="100">
        <v>9909.6361039024432</v>
      </c>
      <c r="CH80" s="100">
        <v>9.1789485142027782</v>
      </c>
      <c r="CI80" s="100">
        <v>7390.8893436360768</v>
      </c>
      <c r="CJ80" s="100">
        <v>9</v>
      </c>
      <c r="CK80" s="100">
        <v>7246.7999999999993</v>
      </c>
      <c r="CL80" s="100">
        <v>3.3882846149463548</v>
      </c>
      <c r="CM80" s="100">
        <v>2728.2467719548044</v>
      </c>
      <c r="CN80" s="100">
        <v>13.127294991718678</v>
      </c>
      <c r="CO80" s="100">
        <v>10570.097927331879</v>
      </c>
      <c r="CP80" s="100">
        <v>5.8666093359262348</v>
      </c>
      <c r="CQ80" s="100">
        <v>4723.7938372878043</v>
      </c>
      <c r="CR80" s="100">
        <v>14</v>
      </c>
      <c r="CS80" s="100">
        <v>11272.8</v>
      </c>
      <c r="CT80" s="100">
        <v>5.2413130941753145</v>
      </c>
      <c r="CU80" s="100">
        <v>4220.3053034299628</v>
      </c>
    </row>
    <row r="81" spans="2:99">
      <c r="C81" s="99" t="s">
        <v>247</v>
      </c>
      <c r="D81" s="100">
        <v>4.6979483222773952</v>
      </c>
      <c r="E81" s="100">
        <v>3540.3738556682451</v>
      </c>
      <c r="F81" s="100">
        <v>10</v>
      </c>
      <c r="G81" s="100">
        <v>7536</v>
      </c>
      <c r="H81" s="100">
        <v>11</v>
      </c>
      <c r="I81" s="100">
        <v>8289.6</v>
      </c>
      <c r="J81" s="100">
        <v>8</v>
      </c>
      <c r="K81" s="100">
        <v>6028.8</v>
      </c>
      <c r="L81" s="100">
        <v>2.3053516798409812</v>
      </c>
      <c r="M81" s="100">
        <v>1737.3130259281636</v>
      </c>
      <c r="N81" s="100">
        <v>9.7007467789448114</v>
      </c>
      <c r="O81" s="100">
        <v>7310.4827726128105</v>
      </c>
      <c r="P81" s="100">
        <v>7.6491424846546794</v>
      </c>
      <c r="Q81" s="100">
        <v>5764.393776435767</v>
      </c>
      <c r="R81" s="100">
        <v>7.6069152017694455</v>
      </c>
      <c r="S81" s="100">
        <v>5732.5712960534547</v>
      </c>
      <c r="T81" s="100">
        <v>8.3027415535592066</v>
      </c>
      <c r="U81" s="100">
        <v>6256.946034762218</v>
      </c>
      <c r="V81" s="100">
        <v>9.2973408021626529</v>
      </c>
      <c r="W81" s="100">
        <v>7006.4760285097755</v>
      </c>
      <c r="X81" s="100">
        <v>10.927319659765212</v>
      </c>
      <c r="Y81" s="100">
        <v>8234.8280955990649</v>
      </c>
      <c r="Z81" s="100">
        <v>6.6439350729364586</v>
      </c>
      <c r="AA81" s="100">
        <v>5006.8694709649153</v>
      </c>
      <c r="AB81" s="100">
        <v>9</v>
      </c>
      <c r="AC81" s="100">
        <v>6782.4000000000005</v>
      </c>
      <c r="AD81" s="100">
        <v>12.219265341048837</v>
      </c>
      <c r="AE81" s="100">
        <v>9208.4383610144032</v>
      </c>
      <c r="AF81" s="100">
        <v>6.2538835196516915</v>
      </c>
      <c r="AG81" s="100">
        <v>4712.9266204095147</v>
      </c>
      <c r="AH81" s="100">
        <v>5.9708566831945307</v>
      </c>
      <c r="AI81" s="100">
        <v>4499.6375964553981</v>
      </c>
      <c r="AJ81" s="100">
        <v>7</v>
      </c>
      <c r="AK81" s="100">
        <v>5275.2</v>
      </c>
      <c r="AL81" s="100">
        <v>9</v>
      </c>
      <c r="AM81" s="100">
        <v>6782.4000000000005</v>
      </c>
      <c r="AN81" s="100">
        <v>8</v>
      </c>
      <c r="AO81" s="100">
        <v>6028.8</v>
      </c>
      <c r="AP81" s="100">
        <v>13</v>
      </c>
      <c r="AQ81" s="100">
        <v>9796.8000000000011</v>
      </c>
      <c r="AR81" s="100">
        <v>10</v>
      </c>
      <c r="AS81" s="100">
        <v>7536</v>
      </c>
      <c r="AT81" s="100">
        <v>10</v>
      </c>
      <c r="AU81" s="100">
        <v>7536</v>
      </c>
      <c r="AV81" s="100">
        <v>13.513393668754743</v>
      </c>
      <c r="AW81" s="100">
        <v>10183.693468773574</v>
      </c>
      <c r="AX81" s="100">
        <v>13.814053253994286</v>
      </c>
      <c r="AY81" s="100">
        <v>10410.270532210094</v>
      </c>
      <c r="AZ81" s="100">
        <v>7.2267098449308449</v>
      </c>
      <c r="BA81" s="100">
        <v>5446.0485391398852</v>
      </c>
      <c r="BB81" s="100">
        <v>2.8727706683294438</v>
      </c>
      <c r="BC81" s="100">
        <v>2164.9199756530688</v>
      </c>
      <c r="BD81" s="100">
        <v>11</v>
      </c>
      <c r="BE81" s="100">
        <v>8289.6</v>
      </c>
      <c r="BF81" s="100">
        <v>13</v>
      </c>
      <c r="BG81" s="100">
        <v>9796.8000000000011</v>
      </c>
      <c r="BH81" s="100">
        <v>10.233456937736657</v>
      </c>
      <c r="BI81" s="100">
        <v>7711.9331482783446</v>
      </c>
      <c r="BJ81" s="100">
        <v>3.1393164004424858</v>
      </c>
      <c r="BK81" s="100">
        <v>2365.7888393734574</v>
      </c>
      <c r="BL81" s="100">
        <v>6.3531515120271154</v>
      </c>
      <c r="BM81" s="100">
        <v>4787.7349794636339</v>
      </c>
      <c r="BN81" s="100">
        <v>9</v>
      </c>
      <c r="BO81" s="100">
        <v>6782.4000000000005</v>
      </c>
      <c r="BP81" s="100">
        <v>14</v>
      </c>
      <c r="BQ81" s="100">
        <v>10550.4</v>
      </c>
      <c r="BR81" s="100">
        <v>9</v>
      </c>
      <c r="BS81" s="100">
        <v>6782.4000000000005</v>
      </c>
      <c r="BT81" s="100">
        <v>12</v>
      </c>
      <c r="BU81" s="100">
        <v>9043.2000000000007</v>
      </c>
      <c r="BV81" s="100">
        <v>11</v>
      </c>
      <c r="BW81" s="100">
        <v>8289.6</v>
      </c>
      <c r="BX81" s="100">
        <v>12</v>
      </c>
      <c r="BY81" s="100">
        <v>9043.2000000000007</v>
      </c>
      <c r="BZ81" s="100">
        <v>5.9745878037087516</v>
      </c>
      <c r="CA81" s="100">
        <v>4502.4493688749153</v>
      </c>
      <c r="CB81" s="100">
        <v>9</v>
      </c>
      <c r="CC81" s="100">
        <v>6782.4000000000005</v>
      </c>
      <c r="CD81" s="100">
        <v>11</v>
      </c>
      <c r="CE81" s="100">
        <v>8289.6</v>
      </c>
      <c r="CF81" s="100">
        <v>9.9994775638608235</v>
      </c>
      <c r="CG81" s="100">
        <v>7535.606292125517</v>
      </c>
      <c r="CH81" s="100">
        <v>9.1789485142027782</v>
      </c>
      <c r="CI81" s="100">
        <v>6917.2556003032141</v>
      </c>
      <c r="CJ81" s="100">
        <v>10</v>
      </c>
      <c r="CK81" s="100">
        <v>7536</v>
      </c>
      <c r="CL81" s="100">
        <v>3.1623989739499314</v>
      </c>
      <c r="CM81" s="100">
        <v>2383.1838667686684</v>
      </c>
      <c r="CN81" s="100">
        <v>12.189631063738773</v>
      </c>
      <c r="CO81" s="100">
        <v>9186.1059696335396</v>
      </c>
      <c r="CP81" s="100">
        <v>5.1332831689354554</v>
      </c>
      <c r="CQ81" s="100">
        <v>3868.4421961097592</v>
      </c>
      <c r="CR81" s="100">
        <v>15</v>
      </c>
      <c r="CS81" s="100">
        <v>11304</v>
      </c>
      <c r="CT81" s="100">
        <v>5.6156926009021229</v>
      </c>
      <c r="CU81" s="100">
        <v>4231.9859440398395</v>
      </c>
    </row>
    <row r="82" spans="2:99">
      <c r="C82" s="99" t="s">
        <v>248</v>
      </c>
      <c r="D82" s="100">
        <v>5.1677431545051347</v>
      </c>
      <c r="E82" s="100">
        <v>2629.3477170122119</v>
      </c>
      <c r="F82" s="100">
        <v>9</v>
      </c>
      <c r="G82" s="100">
        <v>4579.1999999999989</v>
      </c>
      <c r="H82" s="100">
        <v>11</v>
      </c>
      <c r="I82" s="100">
        <v>5596.7999999999993</v>
      </c>
      <c r="J82" s="100">
        <v>9</v>
      </c>
      <c r="K82" s="100">
        <v>4579.1999999999989</v>
      </c>
      <c r="L82" s="100">
        <v>2.7664220158091775</v>
      </c>
      <c r="M82" s="100">
        <v>1407.5555216437092</v>
      </c>
      <c r="N82" s="100">
        <v>9.7007467789448114</v>
      </c>
      <c r="O82" s="100">
        <v>4935.7399611271194</v>
      </c>
      <c r="P82" s="100">
        <v>7.6491424846546794</v>
      </c>
      <c r="Q82" s="100">
        <v>3891.8836961923002</v>
      </c>
      <c r="R82" s="100">
        <v>8.4521280019660487</v>
      </c>
      <c r="S82" s="100">
        <v>4300.4427274003247</v>
      </c>
      <c r="T82" s="100">
        <v>8.3027415535592066</v>
      </c>
      <c r="U82" s="100">
        <v>4224.4349024509238</v>
      </c>
      <c r="V82" s="100">
        <v>8.522562401982432</v>
      </c>
      <c r="W82" s="100">
        <v>4336.2797501286605</v>
      </c>
      <c r="X82" s="100">
        <v>9.1060997164710091</v>
      </c>
      <c r="Y82" s="100">
        <v>4633.1835357404489</v>
      </c>
      <c r="Z82" s="100">
        <v>5.758077063211597</v>
      </c>
      <c r="AA82" s="100">
        <v>2929.7096097620602</v>
      </c>
      <c r="AB82" s="100">
        <v>7</v>
      </c>
      <c r="AC82" s="100">
        <v>3561.5999999999995</v>
      </c>
      <c r="AD82" s="100">
        <v>10.590029962242324</v>
      </c>
      <c r="AE82" s="100">
        <v>5388.2072447888931</v>
      </c>
      <c r="AF82" s="100">
        <v>6.9487594662796575</v>
      </c>
      <c r="AG82" s="100">
        <v>3535.528816443089</v>
      </c>
      <c r="AH82" s="100">
        <v>6.513661836212215</v>
      </c>
      <c r="AI82" s="100">
        <v>3314.1511422647741</v>
      </c>
      <c r="AJ82" s="100">
        <v>8</v>
      </c>
      <c r="AK82" s="100">
        <v>4070.3999999999992</v>
      </c>
      <c r="AL82" s="100">
        <v>11</v>
      </c>
      <c r="AM82" s="100">
        <v>5596.7999999999993</v>
      </c>
      <c r="AN82" s="100">
        <v>9</v>
      </c>
      <c r="AO82" s="100">
        <v>4579.1999999999989</v>
      </c>
      <c r="AP82" s="100">
        <v>13</v>
      </c>
      <c r="AQ82" s="100">
        <v>6614.3999999999987</v>
      </c>
      <c r="AR82" s="100">
        <v>10</v>
      </c>
      <c r="AS82" s="100">
        <v>5087.9999999999991</v>
      </c>
      <c r="AT82" s="100">
        <v>11</v>
      </c>
      <c r="AU82" s="100">
        <v>5596.7999999999993</v>
      </c>
      <c r="AV82" s="100">
        <v>12.548151263843691</v>
      </c>
      <c r="AW82" s="100">
        <v>6384.4993630436684</v>
      </c>
      <c r="AX82" s="100">
        <v>14.734990137593906</v>
      </c>
      <c r="AY82" s="100">
        <v>7497.1629820077778</v>
      </c>
      <c r="AZ82" s="100">
        <v>6.6708090876284718</v>
      </c>
      <c r="BA82" s="100">
        <v>3394.1076637853657</v>
      </c>
      <c r="BB82" s="100">
        <v>3.3950926080257062</v>
      </c>
      <c r="BC82" s="100">
        <v>1727.4231189634791</v>
      </c>
      <c r="BD82" s="100">
        <v>12</v>
      </c>
      <c r="BE82" s="100">
        <v>6105.5999999999985</v>
      </c>
      <c r="BF82" s="100">
        <v>15</v>
      </c>
      <c r="BG82" s="100">
        <v>7631.9999999999982</v>
      </c>
      <c r="BH82" s="100">
        <v>11.086245015881376</v>
      </c>
      <c r="BI82" s="100">
        <v>5640.6814640804432</v>
      </c>
      <c r="BJ82" s="100">
        <v>3.1393164004424858</v>
      </c>
      <c r="BK82" s="100">
        <v>1597.2841845451364</v>
      </c>
      <c r="BL82" s="100">
        <v>6.3531515120271154</v>
      </c>
      <c r="BM82" s="100">
        <v>3232.4834893193956</v>
      </c>
      <c r="BN82" s="100">
        <v>10</v>
      </c>
      <c r="BO82" s="100">
        <v>5087.9999999999991</v>
      </c>
      <c r="BP82" s="100">
        <v>13</v>
      </c>
      <c r="BQ82" s="100">
        <v>6614.3999999999987</v>
      </c>
      <c r="BR82" s="100">
        <v>9</v>
      </c>
      <c r="BS82" s="100">
        <v>4579.1999999999989</v>
      </c>
      <c r="BT82" s="100">
        <v>12</v>
      </c>
      <c r="BU82" s="100">
        <v>6105.5999999999985</v>
      </c>
      <c r="BV82" s="100">
        <v>11</v>
      </c>
      <c r="BW82" s="100">
        <v>5596.7999999999993</v>
      </c>
      <c r="BX82" s="100">
        <v>13</v>
      </c>
      <c r="BY82" s="100">
        <v>6614.3999999999987</v>
      </c>
      <c r="BZ82" s="100">
        <v>6.8281003470957158</v>
      </c>
      <c r="CA82" s="100">
        <v>3474.1374566022996</v>
      </c>
      <c r="CB82" s="100">
        <v>10</v>
      </c>
      <c r="CC82" s="100">
        <v>5087.9999999999991</v>
      </c>
      <c r="CD82" s="100">
        <v>11</v>
      </c>
      <c r="CE82" s="100">
        <v>5596.7999999999993</v>
      </c>
      <c r="CF82" s="100">
        <v>11.537858727531718</v>
      </c>
      <c r="CG82" s="100">
        <v>5870.4625205681368</v>
      </c>
      <c r="CH82" s="100">
        <v>10.708773266569908</v>
      </c>
      <c r="CI82" s="100">
        <v>5448.6238380307686</v>
      </c>
      <c r="CJ82" s="100">
        <v>9</v>
      </c>
      <c r="CK82" s="100">
        <v>4579.1999999999989</v>
      </c>
      <c r="CL82" s="100">
        <v>3.3882846149463548</v>
      </c>
      <c r="CM82" s="100">
        <v>1723.9592120847051</v>
      </c>
      <c r="CN82" s="100">
        <v>12.189631063738773</v>
      </c>
      <c r="CO82" s="100">
        <v>6202.0842852302867</v>
      </c>
      <c r="CP82" s="100">
        <v>6.5999355029170133</v>
      </c>
      <c r="CQ82" s="100">
        <v>3358.0471838841759</v>
      </c>
      <c r="CR82" s="100">
        <v>14</v>
      </c>
      <c r="CS82" s="100">
        <v>7123.1999999999989</v>
      </c>
      <c r="CT82" s="100">
        <v>5.6156926009021229</v>
      </c>
      <c r="CU82" s="100">
        <v>2857.2643953389997</v>
      </c>
    </row>
    <row r="83" spans="2:99">
      <c r="C83" s="99" t="s">
        <v>249</v>
      </c>
      <c r="D83" s="100">
        <v>4.6979483222773952</v>
      </c>
      <c r="E83" s="100">
        <v>4042.114736487471</v>
      </c>
      <c r="F83" s="100">
        <v>9</v>
      </c>
      <c r="G83" s="100">
        <v>7743.5999999999995</v>
      </c>
      <c r="H83" s="100">
        <v>9</v>
      </c>
      <c r="I83" s="100">
        <v>7743.5999999999995</v>
      </c>
      <c r="J83" s="100">
        <v>9</v>
      </c>
      <c r="K83" s="100">
        <v>7743.5999999999995</v>
      </c>
      <c r="L83" s="100">
        <v>2.7664220158091775</v>
      </c>
      <c r="M83" s="100">
        <v>2380.2295024022164</v>
      </c>
      <c r="N83" s="100">
        <v>9.7007467789448114</v>
      </c>
      <c r="O83" s="100">
        <v>8346.522528604115</v>
      </c>
      <c r="P83" s="100">
        <v>8.2865710250425693</v>
      </c>
      <c r="Q83" s="100">
        <v>7129.765709946626</v>
      </c>
      <c r="R83" s="100">
        <v>9.2973408021626547</v>
      </c>
      <c r="S83" s="100">
        <v>7999.4320261807479</v>
      </c>
      <c r="T83" s="100">
        <v>8.994636683022474</v>
      </c>
      <c r="U83" s="100">
        <v>7738.9854020725361</v>
      </c>
      <c r="V83" s="100">
        <v>7.7477840018022111</v>
      </c>
      <c r="W83" s="100">
        <v>6666.1933551506227</v>
      </c>
      <c r="X83" s="100">
        <v>9.1060997164710091</v>
      </c>
      <c r="Y83" s="100">
        <v>7834.8881960516565</v>
      </c>
      <c r="Z83" s="100">
        <v>6.6439350729364586</v>
      </c>
      <c r="AA83" s="100">
        <v>5716.4417367545284</v>
      </c>
      <c r="AB83" s="100">
        <v>8</v>
      </c>
      <c r="AC83" s="100">
        <v>6883.2</v>
      </c>
      <c r="AD83" s="100">
        <v>10.590029962242324</v>
      </c>
      <c r="AE83" s="100">
        <v>9111.6617795132952</v>
      </c>
      <c r="AF83" s="100">
        <v>6.9487594662796575</v>
      </c>
      <c r="AG83" s="100">
        <v>5978.7126447870169</v>
      </c>
      <c r="AH83" s="100">
        <v>7.0564669892298992</v>
      </c>
      <c r="AI83" s="100">
        <v>6071.3841975334053</v>
      </c>
      <c r="AJ83" s="100">
        <v>8</v>
      </c>
      <c r="AK83" s="100">
        <v>6883.2</v>
      </c>
      <c r="AL83" s="100">
        <v>10</v>
      </c>
      <c r="AM83" s="100">
        <v>8604</v>
      </c>
      <c r="AN83" s="100">
        <v>9</v>
      </c>
      <c r="AO83" s="100">
        <v>7743.5999999999995</v>
      </c>
      <c r="AP83" s="100">
        <v>14</v>
      </c>
      <c r="AQ83" s="100">
        <v>12045.6</v>
      </c>
      <c r="AR83" s="100">
        <v>10</v>
      </c>
      <c r="AS83" s="100">
        <v>8604</v>
      </c>
      <c r="AT83" s="100">
        <v>10</v>
      </c>
      <c r="AU83" s="100">
        <v>8604</v>
      </c>
      <c r="AV83" s="100">
        <v>12.548151263843691</v>
      </c>
      <c r="AW83" s="100">
        <v>10796.429347411111</v>
      </c>
      <c r="AX83" s="100">
        <v>13.814053253994286</v>
      </c>
      <c r="AY83" s="100">
        <v>11885.611419736684</v>
      </c>
      <c r="AZ83" s="100">
        <v>7.2267098449308449</v>
      </c>
      <c r="BA83" s="100">
        <v>6217.8611505784984</v>
      </c>
      <c r="BB83" s="100">
        <v>3.1339316381775748</v>
      </c>
      <c r="BC83" s="100">
        <v>2696.4347814879852</v>
      </c>
      <c r="BD83" s="100">
        <v>11</v>
      </c>
      <c r="BE83" s="100">
        <v>9464.4</v>
      </c>
      <c r="BF83" s="100">
        <v>16</v>
      </c>
      <c r="BG83" s="100">
        <v>13766.4</v>
      </c>
      <c r="BH83" s="100">
        <v>11.086245015881376</v>
      </c>
      <c r="BI83" s="100">
        <v>9538.605211664335</v>
      </c>
      <c r="BJ83" s="100">
        <v>3.1393164004424858</v>
      </c>
      <c r="BK83" s="100">
        <v>2701.0678309407149</v>
      </c>
      <c r="BL83" s="100">
        <v>7.1472954510305051</v>
      </c>
      <c r="BM83" s="100">
        <v>6149.5330060666465</v>
      </c>
      <c r="BN83" s="100">
        <v>10</v>
      </c>
      <c r="BO83" s="100">
        <v>8604</v>
      </c>
      <c r="BP83" s="100">
        <v>13</v>
      </c>
      <c r="BQ83" s="100">
        <v>11185.199999999999</v>
      </c>
      <c r="BR83" s="100">
        <v>10</v>
      </c>
      <c r="BS83" s="100">
        <v>8604</v>
      </c>
      <c r="BT83" s="100">
        <v>11</v>
      </c>
      <c r="BU83" s="100">
        <v>9464.4</v>
      </c>
      <c r="BV83" s="100">
        <v>11</v>
      </c>
      <c r="BW83" s="100">
        <v>9464.4</v>
      </c>
      <c r="BX83" s="100">
        <v>12</v>
      </c>
      <c r="BY83" s="100">
        <v>10324.799999999999</v>
      </c>
      <c r="BZ83" s="100">
        <v>6.8281003470957158</v>
      </c>
      <c r="CA83" s="100">
        <v>5874.8975386411539</v>
      </c>
      <c r="CB83" s="100">
        <v>11</v>
      </c>
      <c r="CC83" s="100">
        <v>9464.4</v>
      </c>
      <c r="CD83" s="100">
        <v>9</v>
      </c>
      <c r="CE83" s="100">
        <v>7743.5999999999995</v>
      </c>
      <c r="CF83" s="100">
        <v>11.537858727531718</v>
      </c>
      <c r="CG83" s="100">
        <v>9927.1736491682896</v>
      </c>
      <c r="CH83" s="100">
        <v>9.9438608903863432</v>
      </c>
      <c r="CI83" s="100">
        <v>8555.6979100884091</v>
      </c>
      <c r="CJ83" s="100">
        <v>10</v>
      </c>
      <c r="CK83" s="100">
        <v>8604</v>
      </c>
      <c r="CL83" s="100">
        <v>3.3882846149463548</v>
      </c>
      <c r="CM83" s="100">
        <v>2915.2800826998437</v>
      </c>
      <c r="CN83" s="100">
        <v>13.127294991718678</v>
      </c>
      <c r="CO83" s="100">
        <v>11294.724610874749</v>
      </c>
      <c r="CP83" s="100">
        <v>5.8666093359262348</v>
      </c>
      <c r="CQ83" s="100">
        <v>5047.6306726309322</v>
      </c>
      <c r="CR83" s="100">
        <v>15</v>
      </c>
      <c r="CS83" s="100">
        <v>12906</v>
      </c>
      <c r="CT83" s="100">
        <v>5.6156926009021229</v>
      </c>
      <c r="CU83" s="100">
        <v>4831.7419138161868</v>
      </c>
    </row>
    <row r="84" spans="2:99">
      <c r="C84" s="99" t="s">
        <v>250</v>
      </c>
      <c r="D84" s="100">
        <v>4.6979483222773952</v>
      </c>
      <c r="E84" s="100">
        <v>3670.0372293631008</v>
      </c>
      <c r="F84" s="100">
        <v>9</v>
      </c>
      <c r="G84" s="100">
        <v>7030.7999999999993</v>
      </c>
      <c r="H84" s="100">
        <v>10</v>
      </c>
      <c r="I84" s="100">
        <v>7811.9999999999991</v>
      </c>
      <c r="J84" s="100">
        <v>8</v>
      </c>
      <c r="K84" s="100">
        <v>6249.5999999999995</v>
      </c>
      <c r="L84" s="100">
        <v>2.5358868478250791</v>
      </c>
      <c r="M84" s="100">
        <v>1981.0348055209515</v>
      </c>
      <c r="N84" s="100">
        <v>9.7007467789448114</v>
      </c>
      <c r="O84" s="100">
        <v>7578.2233837116864</v>
      </c>
      <c r="P84" s="100">
        <v>7.6491424846546794</v>
      </c>
      <c r="Q84" s="100">
        <v>5975.5101090122353</v>
      </c>
      <c r="R84" s="100">
        <v>9.2973408021626547</v>
      </c>
      <c r="S84" s="100">
        <v>7263.082634649465</v>
      </c>
      <c r="T84" s="100">
        <v>7.6108464240959393</v>
      </c>
      <c r="U84" s="100">
        <v>5945.5932265037472</v>
      </c>
      <c r="V84" s="100">
        <v>7.7477840018022111</v>
      </c>
      <c r="W84" s="100">
        <v>6052.5688622078869</v>
      </c>
      <c r="X84" s="100">
        <v>9.1060997164710091</v>
      </c>
      <c r="Y84" s="100">
        <v>7113.6850985071515</v>
      </c>
      <c r="Z84" s="100">
        <v>6.2010060680740287</v>
      </c>
      <c r="AA84" s="100">
        <v>4844.2259403794305</v>
      </c>
      <c r="AB84" s="100">
        <v>8</v>
      </c>
      <c r="AC84" s="100">
        <v>6249.5999999999995</v>
      </c>
      <c r="AD84" s="100">
        <v>12.219265341048837</v>
      </c>
      <c r="AE84" s="100">
        <v>9545.6900844273514</v>
      </c>
      <c r="AF84" s="100">
        <v>6.9487594662796575</v>
      </c>
      <c r="AG84" s="100">
        <v>5428.3708950576683</v>
      </c>
      <c r="AH84" s="100">
        <v>6.513661836212215</v>
      </c>
      <c r="AI84" s="100">
        <v>5088.4726264489818</v>
      </c>
      <c r="AJ84" s="100">
        <v>8</v>
      </c>
      <c r="AK84" s="100">
        <v>6249.5999999999995</v>
      </c>
      <c r="AL84" s="100">
        <v>9</v>
      </c>
      <c r="AM84" s="100">
        <v>7030.7999999999993</v>
      </c>
      <c r="AN84" s="100">
        <v>9</v>
      </c>
      <c r="AO84" s="100">
        <v>7030.7999999999993</v>
      </c>
      <c r="AP84" s="100">
        <v>14</v>
      </c>
      <c r="AQ84" s="100">
        <v>10936.8</v>
      </c>
      <c r="AR84" s="100">
        <v>9</v>
      </c>
      <c r="AS84" s="100">
        <v>7030.7999999999993</v>
      </c>
      <c r="AT84" s="100">
        <v>9</v>
      </c>
      <c r="AU84" s="100">
        <v>7030.7999999999993</v>
      </c>
      <c r="AV84" s="100">
        <v>12.548151263843691</v>
      </c>
      <c r="AW84" s="100">
        <v>9802.6157673146899</v>
      </c>
      <c r="AX84" s="100">
        <v>12.893116370394669</v>
      </c>
      <c r="AY84" s="100">
        <v>10072.102508552314</v>
      </c>
      <c r="AZ84" s="100">
        <v>6.6708090876284718</v>
      </c>
      <c r="BA84" s="100">
        <v>5211.2360592553614</v>
      </c>
      <c r="BB84" s="100">
        <v>3.1339316381775748</v>
      </c>
      <c r="BC84" s="100">
        <v>2448.2273957443213</v>
      </c>
      <c r="BD84" s="100">
        <v>10</v>
      </c>
      <c r="BE84" s="100">
        <v>7811.9999999999991</v>
      </c>
      <c r="BF84" s="100">
        <v>13</v>
      </c>
      <c r="BG84" s="100">
        <v>10155.599999999999</v>
      </c>
      <c r="BH84" s="100">
        <v>11.939033094026099</v>
      </c>
      <c r="BI84" s="100">
        <v>9326.7726530531872</v>
      </c>
      <c r="BJ84" s="100">
        <v>2.8539240004022597</v>
      </c>
      <c r="BK84" s="100">
        <v>2229.4854291142451</v>
      </c>
      <c r="BL84" s="100">
        <v>6.3531515120271154</v>
      </c>
      <c r="BM84" s="100">
        <v>4963.0819611955822</v>
      </c>
      <c r="BN84" s="100">
        <v>9</v>
      </c>
      <c r="BO84" s="100">
        <v>7030.7999999999993</v>
      </c>
      <c r="BP84" s="100">
        <v>13</v>
      </c>
      <c r="BQ84" s="100">
        <v>10155.599999999999</v>
      </c>
      <c r="BR84" s="100">
        <v>10</v>
      </c>
      <c r="BS84" s="100">
        <v>7811.9999999999991</v>
      </c>
      <c r="BT84" s="100">
        <v>12</v>
      </c>
      <c r="BU84" s="100">
        <v>9374.4</v>
      </c>
      <c r="BV84" s="100">
        <v>9</v>
      </c>
      <c r="BW84" s="100">
        <v>7030.7999999999993</v>
      </c>
      <c r="BX84" s="100">
        <v>12</v>
      </c>
      <c r="BY84" s="100">
        <v>9374.4</v>
      </c>
      <c r="BZ84" s="100">
        <v>6.8281003470957158</v>
      </c>
      <c r="CA84" s="100">
        <v>5334.1119911511723</v>
      </c>
      <c r="CB84" s="100">
        <v>10</v>
      </c>
      <c r="CC84" s="100">
        <v>7811.9999999999991</v>
      </c>
      <c r="CD84" s="100">
        <v>10</v>
      </c>
      <c r="CE84" s="100">
        <v>7811.9999999999991</v>
      </c>
      <c r="CF84" s="100">
        <v>10.768668145696271</v>
      </c>
      <c r="CG84" s="100">
        <v>8412.4835554179263</v>
      </c>
      <c r="CH84" s="100">
        <v>10.708773266569908</v>
      </c>
      <c r="CI84" s="100">
        <v>8365.6936758444117</v>
      </c>
      <c r="CJ84" s="100">
        <v>9</v>
      </c>
      <c r="CK84" s="100">
        <v>7030.7999999999993</v>
      </c>
      <c r="CL84" s="100">
        <v>3.1623989739499314</v>
      </c>
      <c r="CM84" s="100">
        <v>2470.4660784496864</v>
      </c>
      <c r="CN84" s="100">
        <v>14.064958919698585</v>
      </c>
      <c r="CO84" s="100">
        <v>10987.545908068534</v>
      </c>
      <c r="CP84" s="100">
        <v>5.8666093359262348</v>
      </c>
      <c r="CQ84" s="100">
        <v>4582.9952132255739</v>
      </c>
      <c r="CR84" s="100">
        <v>14</v>
      </c>
      <c r="CS84" s="100">
        <v>10936.8</v>
      </c>
      <c r="CT84" s="100">
        <v>5.6156926009021229</v>
      </c>
      <c r="CU84" s="100">
        <v>4386.9790598247382</v>
      </c>
    </row>
    <row r="85" spans="2:99">
      <c r="C85" s="99" t="s">
        <v>251</v>
      </c>
      <c r="D85" s="100">
        <v>5.6375379867328741</v>
      </c>
      <c r="E85" s="100">
        <v>845.63069800993117</v>
      </c>
      <c r="F85" s="100">
        <v>10</v>
      </c>
      <c r="G85" s="100">
        <v>1500</v>
      </c>
      <c r="H85" s="100">
        <v>10</v>
      </c>
      <c r="I85" s="100">
        <v>1500</v>
      </c>
      <c r="J85" s="100">
        <v>8</v>
      </c>
      <c r="K85" s="100">
        <v>1200</v>
      </c>
      <c r="L85" s="100">
        <v>2.7664220158091775</v>
      </c>
      <c r="M85" s="100">
        <v>414.96330237137664</v>
      </c>
      <c r="N85" s="100">
        <v>9.7007467789448114</v>
      </c>
      <c r="O85" s="100">
        <v>1455.1120168417217</v>
      </c>
      <c r="P85" s="100">
        <v>8.2865710250425693</v>
      </c>
      <c r="Q85" s="100">
        <v>1242.9856537563853</v>
      </c>
      <c r="R85" s="100">
        <v>8.4521280019660487</v>
      </c>
      <c r="S85" s="100">
        <v>1267.8192002949072</v>
      </c>
      <c r="T85" s="100">
        <v>8.3027415535592066</v>
      </c>
      <c r="U85" s="100">
        <v>1245.411233033881</v>
      </c>
      <c r="V85" s="100">
        <v>7.7477840018022111</v>
      </c>
      <c r="W85" s="100">
        <v>1162.1676002703316</v>
      </c>
      <c r="X85" s="100">
        <v>10.927319659765212</v>
      </c>
      <c r="Y85" s="100">
        <v>1639.0979489647818</v>
      </c>
      <c r="Z85" s="100">
        <v>7.0868640777988894</v>
      </c>
      <c r="AA85" s="100">
        <v>1063.0296116698335</v>
      </c>
      <c r="AB85" s="100">
        <v>8</v>
      </c>
      <c r="AC85" s="100">
        <v>1200</v>
      </c>
      <c r="AD85" s="100">
        <v>12.219265341048837</v>
      </c>
      <c r="AE85" s="100">
        <v>1832.8898011573256</v>
      </c>
      <c r="AF85" s="100">
        <v>6.9487594662796575</v>
      </c>
      <c r="AG85" s="100">
        <v>1042.3139199419486</v>
      </c>
      <c r="AH85" s="100">
        <v>7.0564669892298992</v>
      </c>
      <c r="AI85" s="100">
        <v>1058.4700483844849</v>
      </c>
      <c r="AJ85" s="100">
        <v>7</v>
      </c>
      <c r="AK85" s="100">
        <v>1050</v>
      </c>
      <c r="AL85" s="100">
        <v>10</v>
      </c>
      <c r="AM85" s="100">
        <v>1500</v>
      </c>
      <c r="AN85" s="100">
        <v>9</v>
      </c>
      <c r="AO85" s="100">
        <v>1350</v>
      </c>
      <c r="AP85" s="100">
        <v>14</v>
      </c>
      <c r="AQ85" s="100">
        <v>2100</v>
      </c>
      <c r="AR85" s="100">
        <v>9</v>
      </c>
      <c r="AS85" s="100">
        <v>1350</v>
      </c>
      <c r="AT85" s="100">
        <v>11</v>
      </c>
      <c r="AU85" s="100">
        <v>1650</v>
      </c>
      <c r="AV85" s="100">
        <v>13.513393668754743</v>
      </c>
      <c r="AW85" s="100">
        <v>2027.0090503132114</v>
      </c>
      <c r="AX85" s="100">
        <v>12.893116370394669</v>
      </c>
      <c r="AY85" s="100">
        <v>1933.9674555592003</v>
      </c>
      <c r="AZ85" s="100">
        <v>7.2267098449308449</v>
      </c>
      <c r="BA85" s="100">
        <v>1084.0064767396268</v>
      </c>
      <c r="BB85" s="100">
        <v>3.6562535778738372</v>
      </c>
      <c r="BC85" s="100">
        <v>548.43803668107557</v>
      </c>
      <c r="BD85" s="100">
        <v>11</v>
      </c>
      <c r="BE85" s="100">
        <v>1650</v>
      </c>
      <c r="BF85" s="100">
        <v>14</v>
      </c>
      <c r="BG85" s="100">
        <v>2100</v>
      </c>
      <c r="BH85" s="100">
        <v>11.939033094026099</v>
      </c>
      <c r="BI85" s="100">
        <v>1790.8549641039149</v>
      </c>
      <c r="BJ85" s="100">
        <v>3.4247088004827115</v>
      </c>
      <c r="BK85" s="100">
        <v>513.7063200724067</v>
      </c>
      <c r="BL85" s="100">
        <v>6.3531515120271154</v>
      </c>
      <c r="BM85" s="100">
        <v>952.97272680406729</v>
      </c>
      <c r="BN85" s="100">
        <v>10</v>
      </c>
      <c r="BO85" s="100">
        <v>1500</v>
      </c>
      <c r="BP85" s="100">
        <v>15</v>
      </c>
      <c r="BQ85" s="100">
        <v>2250</v>
      </c>
      <c r="BR85" s="100">
        <v>9</v>
      </c>
      <c r="BS85" s="100">
        <v>1350</v>
      </c>
      <c r="BT85" s="100">
        <v>12</v>
      </c>
      <c r="BU85" s="100">
        <v>1800</v>
      </c>
      <c r="BV85" s="100">
        <v>9</v>
      </c>
      <c r="BW85" s="100">
        <v>1350</v>
      </c>
      <c r="BX85" s="100">
        <v>11</v>
      </c>
      <c r="BY85" s="100">
        <v>1650</v>
      </c>
      <c r="BZ85" s="100">
        <v>6.4013440754022337</v>
      </c>
      <c r="CA85" s="100">
        <v>960.20161131033501</v>
      </c>
      <c r="CB85" s="100">
        <v>10</v>
      </c>
      <c r="CC85" s="100">
        <v>1500</v>
      </c>
      <c r="CD85" s="100">
        <v>12</v>
      </c>
      <c r="CE85" s="100">
        <v>1800</v>
      </c>
      <c r="CF85" s="100">
        <v>11.537858727531718</v>
      </c>
      <c r="CG85" s="100">
        <v>1730.6788091297578</v>
      </c>
      <c r="CH85" s="100">
        <v>11.473685642753473</v>
      </c>
      <c r="CI85" s="100">
        <v>1721.0528464130209</v>
      </c>
      <c r="CJ85" s="100">
        <v>9</v>
      </c>
      <c r="CK85" s="100">
        <v>1350</v>
      </c>
      <c r="CL85" s="100">
        <v>3.1623989739499314</v>
      </c>
      <c r="CM85" s="100">
        <v>474.3598460924897</v>
      </c>
      <c r="CN85" s="100">
        <v>13.127294991718678</v>
      </c>
      <c r="CO85" s="100">
        <v>1969.0942487578018</v>
      </c>
      <c r="CP85" s="100">
        <v>6.5999355029170133</v>
      </c>
      <c r="CQ85" s="100">
        <v>989.99032543755197</v>
      </c>
      <c r="CR85" s="100">
        <v>14</v>
      </c>
      <c r="CS85" s="100">
        <v>2100</v>
      </c>
      <c r="CT85" s="100">
        <v>5.9900721076289312</v>
      </c>
      <c r="CU85" s="100">
        <v>898.51081614433963</v>
      </c>
    </row>
    <row r="86" spans="2:99">
      <c r="C86" s="99" t="s">
        <v>252</v>
      </c>
      <c r="D86" s="100">
        <v>5.1677431545051347</v>
      </c>
      <c r="E86" s="100">
        <v>2790.5813034327725</v>
      </c>
      <c r="F86" s="100">
        <v>10</v>
      </c>
      <c r="G86" s="100">
        <v>5400</v>
      </c>
      <c r="H86" s="100">
        <v>9</v>
      </c>
      <c r="I86" s="100">
        <v>4860</v>
      </c>
      <c r="J86" s="100">
        <v>8</v>
      </c>
      <c r="K86" s="100">
        <v>4320</v>
      </c>
      <c r="L86" s="100">
        <v>2.7664220158091775</v>
      </c>
      <c r="M86" s="100">
        <v>1493.8678885369559</v>
      </c>
      <c r="N86" s="100">
        <v>8.730672101050331</v>
      </c>
      <c r="O86" s="100">
        <v>4714.5629345671787</v>
      </c>
      <c r="P86" s="100">
        <v>7.6491424846546794</v>
      </c>
      <c r="Q86" s="100">
        <v>4130.5369417135271</v>
      </c>
      <c r="R86" s="100">
        <v>9.2973408021626547</v>
      </c>
      <c r="S86" s="100">
        <v>5020.5640331678333</v>
      </c>
      <c r="T86" s="100">
        <v>8.994636683022474</v>
      </c>
      <c r="U86" s="100">
        <v>4857.1038088321357</v>
      </c>
      <c r="V86" s="100">
        <v>7.7477840018022111</v>
      </c>
      <c r="W86" s="100">
        <v>4183.8033609731938</v>
      </c>
      <c r="X86" s="100">
        <v>10.016709688118111</v>
      </c>
      <c r="Y86" s="100">
        <v>5409.0232315837793</v>
      </c>
      <c r="Z86" s="100">
        <v>7.0868640777988894</v>
      </c>
      <c r="AA86" s="100">
        <v>3826.9066020114001</v>
      </c>
      <c r="AB86" s="100">
        <v>9</v>
      </c>
      <c r="AC86" s="100">
        <v>4860</v>
      </c>
      <c r="AD86" s="100">
        <v>12.219265341048837</v>
      </c>
      <c r="AE86" s="100">
        <v>6598.403284166372</v>
      </c>
      <c r="AF86" s="100">
        <v>7.6436354129076243</v>
      </c>
      <c r="AG86" s="100">
        <v>4127.5631229701175</v>
      </c>
      <c r="AH86" s="100">
        <v>5.9708566831945307</v>
      </c>
      <c r="AI86" s="100">
        <v>3224.2626089250466</v>
      </c>
      <c r="AJ86" s="100">
        <v>8</v>
      </c>
      <c r="AK86" s="100">
        <v>4320</v>
      </c>
      <c r="AL86" s="100">
        <v>10</v>
      </c>
      <c r="AM86" s="100">
        <v>5400</v>
      </c>
      <c r="AN86" s="100">
        <v>9</v>
      </c>
      <c r="AO86" s="100">
        <v>4860</v>
      </c>
      <c r="AP86" s="100">
        <v>13</v>
      </c>
      <c r="AQ86" s="100">
        <v>7020</v>
      </c>
      <c r="AR86" s="100">
        <v>10</v>
      </c>
      <c r="AS86" s="100">
        <v>5400</v>
      </c>
      <c r="AT86" s="100">
        <v>9</v>
      </c>
      <c r="AU86" s="100">
        <v>4860</v>
      </c>
      <c r="AV86" s="100">
        <v>13.513393668754743</v>
      </c>
      <c r="AW86" s="100">
        <v>7297.2325811275614</v>
      </c>
      <c r="AX86" s="100">
        <v>14.734990137593906</v>
      </c>
      <c r="AY86" s="100">
        <v>7956.8946743007091</v>
      </c>
      <c r="AZ86" s="100">
        <v>7.2267098449308449</v>
      </c>
      <c r="BA86" s="100">
        <v>3902.423316262656</v>
      </c>
      <c r="BB86" s="100">
        <v>3.1339316381775748</v>
      </c>
      <c r="BC86" s="100">
        <v>1692.3230846158904</v>
      </c>
      <c r="BD86" s="100">
        <v>12</v>
      </c>
      <c r="BE86" s="100">
        <v>6480</v>
      </c>
      <c r="BF86" s="100">
        <v>16</v>
      </c>
      <c r="BG86" s="100">
        <v>8640</v>
      </c>
      <c r="BH86" s="100">
        <v>10.233456937736657</v>
      </c>
      <c r="BI86" s="100">
        <v>5526.0667463777945</v>
      </c>
      <c r="BJ86" s="100">
        <v>2.8539240004022597</v>
      </c>
      <c r="BK86" s="100">
        <v>1541.1189602172203</v>
      </c>
      <c r="BL86" s="100">
        <v>6.3531515120271154</v>
      </c>
      <c r="BM86" s="100">
        <v>3430.7018164946421</v>
      </c>
      <c r="BN86" s="100">
        <v>9</v>
      </c>
      <c r="BO86" s="100">
        <v>4860</v>
      </c>
      <c r="BP86" s="100">
        <v>14</v>
      </c>
      <c r="BQ86" s="100">
        <v>7560</v>
      </c>
      <c r="BR86" s="100">
        <v>10</v>
      </c>
      <c r="BS86" s="100">
        <v>5400</v>
      </c>
      <c r="BT86" s="100">
        <v>11</v>
      </c>
      <c r="BU86" s="100">
        <v>5940</v>
      </c>
      <c r="BV86" s="100">
        <v>10</v>
      </c>
      <c r="BW86" s="100">
        <v>5400</v>
      </c>
      <c r="BX86" s="100">
        <v>12</v>
      </c>
      <c r="BY86" s="100">
        <v>6480</v>
      </c>
      <c r="BZ86" s="100">
        <v>5.9745878037087516</v>
      </c>
      <c r="CA86" s="100">
        <v>3226.2774140027259</v>
      </c>
      <c r="CB86" s="100">
        <v>10</v>
      </c>
      <c r="CC86" s="100">
        <v>5400</v>
      </c>
      <c r="CD86" s="100">
        <v>11</v>
      </c>
      <c r="CE86" s="100">
        <v>5940</v>
      </c>
      <c r="CF86" s="100">
        <v>10.768668145696271</v>
      </c>
      <c r="CG86" s="100">
        <v>5815.0807986759864</v>
      </c>
      <c r="CH86" s="100">
        <v>9.1789485142027782</v>
      </c>
      <c r="CI86" s="100">
        <v>4956.6321976694999</v>
      </c>
      <c r="CJ86" s="100">
        <v>9</v>
      </c>
      <c r="CK86" s="100">
        <v>4860</v>
      </c>
      <c r="CL86" s="100">
        <v>3.1623989739499314</v>
      </c>
      <c r="CM86" s="100">
        <v>1707.6954459329629</v>
      </c>
      <c r="CN86" s="100">
        <v>15.00262284767849</v>
      </c>
      <c r="CO86" s="100">
        <v>8101.4163377463847</v>
      </c>
      <c r="CP86" s="100">
        <v>6.5999355029170133</v>
      </c>
      <c r="CQ86" s="100">
        <v>3563.965171575187</v>
      </c>
      <c r="CR86" s="100">
        <v>16</v>
      </c>
      <c r="CS86" s="100">
        <v>8640</v>
      </c>
      <c r="CT86" s="100">
        <v>5.2413130941753145</v>
      </c>
      <c r="CU86" s="100">
        <v>2830.3090708546697</v>
      </c>
    </row>
    <row r="87" spans="2:99">
      <c r="B87" s="99" t="s">
        <v>131</v>
      </c>
      <c r="C87" s="99" t="s">
        <v>253</v>
      </c>
      <c r="D87" s="100">
        <v>4.4644466843099897</v>
      </c>
      <c r="E87" s="100">
        <v>4794.8157389489288</v>
      </c>
      <c r="F87" s="100">
        <v>4.808547168363992</v>
      </c>
      <c r="G87" s="100">
        <v>5164.379658822927</v>
      </c>
      <c r="H87" s="100">
        <v>4.4762491933144455</v>
      </c>
      <c r="I87" s="100">
        <v>4807.4916336197148</v>
      </c>
      <c r="J87" s="100">
        <v>3.4377975123559161</v>
      </c>
      <c r="K87" s="100">
        <v>3692.1945282702541</v>
      </c>
      <c r="L87" s="100">
        <v>3.3540492853856825</v>
      </c>
      <c r="M87" s="100">
        <v>3602.2489325042229</v>
      </c>
      <c r="N87" s="100">
        <v>4.9871254599427237</v>
      </c>
      <c r="O87" s="100">
        <v>5356.1727439784854</v>
      </c>
      <c r="P87" s="100">
        <v>5.3196004906055734</v>
      </c>
      <c r="Q87" s="100">
        <v>5713.2509269103857</v>
      </c>
      <c r="R87" s="100">
        <v>4.7746658062020755</v>
      </c>
      <c r="S87" s="100">
        <v>5127.9910758610295</v>
      </c>
      <c r="T87" s="100">
        <v>5.6253246567323316</v>
      </c>
      <c r="U87" s="100">
        <v>6041.5986813305244</v>
      </c>
      <c r="V87" s="100">
        <v>6.2923274374591642</v>
      </c>
      <c r="W87" s="100">
        <v>6757.9596678311427</v>
      </c>
      <c r="X87" s="100">
        <v>3.2476888941611186</v>
      </c>
      <c r="Y87" s="100">
        <v>3488.0178723290414</v>
      </c>
      <c r="Z87" s="100">
        <v>3.2479473838338646</v>
      </c>
      <c r="AA87" s="100">
        <v>3488.2954902375704</v>
      </c>
      <c r="AB87" s="100">
        <v>7.4402520375361725</v>
      </c>
      <c r="AC87" s="100">
        <v>7990.8306883138494</v>
      </c>
      <c r="AD87" s="100">
        <v>9.143063343228329</v>
      </c>
      <c r="AE87" s="100">
        <v>9819.6500306272246</v>
      </c>
      <c r="AF87" s="100">
        <v>6.7757569540150095</v>
      </c>
      <c r="AG87" s="100">
        <v>7277.1629686121205</v>
      </c>
      <c r="AH87" s="100">
        <v>0.48715333412416784</v>
      </c>
      <c r="AI87" s="100">
        <v>523.20268084935628</v>
      </c>
      <c r="AJ87" s="100">
        <v>6</v>
      </c>
      <c r="AK87" s="100">
        <v>6444</v>
      </c>
      <c r="AL87" s="100">
        <v>7</v>
      </c>
      <c r="AM87" s="100">
        <v>7518</v>
      </c>
      <c r="AN87" s="100">
        <v>7</v>
      </c>
      <c r="AO87" s="100">
        <v>7518</v>
      </c>
      <c r="AP87" s="100">
        <v>5</v>
      </c>
      <c r="AQ87" s="100">
        <v>5370</v>
      </c>
      <c r="AR87" s="100">
        <v>8</v>
      </c>
      <c r="AS87" s="100">
        <v>8592</v>
      </c>
      <c r="AT87" s="100">
        <v>1.8148726841263005</v>
      </c>
      <c r="AU87" s="100">
        <v>1949.1732627516467</v>
      </c>
      <c r="AV87" s="100">
        <v>10</v>
      </c>
      <c r="AW87" s="100">
        <v>10740</v>
      </c>
      <c r="AX87" s="100">
        <v>3.2758699841796433</v>
      </c>
      <c r="AY87" s="100">
        <v>3518.2843630089369</v>
      </c>
      <c r="AZ87" s="100">
        <v>6.4020773346241482</v>
      </c>
      <c r="BA87" s="100">
        <v>6875.8310573863355</v>
      </c>
      <c r="BB87" s="100">
        <v>8</v>
      </c>
      <c r="BC87" s="100">
        <v>8592</v>
      </c>
      <c r="BD87" s="100">
        <v>10</v>
      </c>
      <c r="BE87" s="100">
        <v>10740</v>
      </c>
      <c r="BF87" s="100">
        <v>7</v>
      </c>
      <c r="BG87" s="100">
        <v>7518</v>
      </c>
      <c r="BH87" s="100">
        <v>5.6175962000878075</v>
      </c>
      <c r="BI87" s="100">
        <v>6033.2983188943053</v>
      </c>
      <c r="BJ87" s="100">
        <v>0.68025916026347766</v>
      </c>
      <c r="BK87" s="100">
        <v>730.59833812297495</v>
      </c>
      <c r="BL87" s="100">
        <v>8</v>
      </c>
      <c r="BM87" s="100">
        <v>8592</v>
      </c>
      <c r="BN87" s="100">
        <v>7</v>
      </c>
      <c r="BO87" s="100">
        <v>7518</v>
      </c>
      <c r="BP87" s="100">
        <v>12</v>
      </c>
      <c r="BQ87" s="100">
        <v>12888</v>
      </c>
      <c r="BR87" s="100">
        <v>11</v>
      </c>
      <c r="BS87" s="100">
        <v>11814</v>
      </c>
      <c r="BT87" s="100">
        <v>6.4072820336994711</v>
      </c>
      <c r="BU87" s="100">
        <v>6881.4209041932318</v>
      </c>
      <c r="BV87" s="100">
        <v>5.5112978055823501</v>
      </c>
      <c r="BW87" s="100">
        <v>5919.1338431954437</v>
      </c>
      <c r="BX87" s="100">
        <v>6.9517506411322829</v>
      </c>
      <c r="BY87" s="100">
        <v>7466.1801885760715</v>
      </c>
      <c r="BZ87" s="100">
        <v>5.5469927395563285</v>
      </c>
      <c r="CA87" s="100">
        <v>5957.4702022834972</v>
      </c>
      <c r="CB87" s="100">
        <v>5.8822505424965472</v>
      </c>
      <c r="CC87" s="100">
        <v>6317.5370826412918</v>
      </c>
      <c r="CD87" s="100">
        <v>0</v>
      </c>
      <c r="CE87" s="100">
        <v>0</v>
      </c>
      <c r="CF87" s="100">
        <v>7.604677496929237</v>
      </c>
      <c r="CG87" s="100">
        <v>8167.4236317020004</v>
      </c>
      <c r="CH87" s="100">
        <v>5.8262291087584845</v>
      </c>
      <c r="CI87" s="100">
        <v>6257.3700628066126</v>
      </c>
      <c r="CJ87" s="100">
        <v>7.0804867641162135</v>
      </c>
      <c r="CK87" s="100">
        <v>7604.4427846608132</v>
      </c>
      <c r="CL87" s="100">
        <v>0.77049762029842861</v>
      </c>
      <c r="CM87" s="100">
        <v>827.51444420051234</v>
      </c>
      <c r="CN87" s="100">
        <v>7</v>
      </c>
      <c r="CO87" s="100">
        <v>7518</v>
      </c>
      <c r="CP87" s="100">
        <v>9</v>
      </c>
      <c r="CQ87" s="100">
        <v>9666</v>
      </c>
      <c r="CR87" s="100">
        <v>7</v>
      </c>
      <c r="CS87" s="100">
        <v>7518</v>
      </c>
      <c r="CT87" s="100">
        <v>7.4718921725903868</v>
      </c>
      <c r="CU87" s="100">
        <v>8024.812193362075</v>
      </c>
    </row>
    <row r="88" spans="2:99">
      <c r="C88" s="99" t="s">
        <v>254</v>
      </c>
      <c r="D88" s="100">
        <v>5.2085211316949884</v>
      </c>
      <c r="E88" s="100">
        <v>5168.9363710941061</v>
      </c>
      <c r="F88" s="100">
        <v>5.3428301870711019</v>
      </c>
      <c r="G88" s="100">
        <v>5302.2246776493612</v>
      </c>
      <c r="H88" s="100">
        <v>4.4762491933144455</v>
      </c>
      <c r="I88" s="100">
        <v>4442.2296994452554</v>
      </c>
      <c r="J88" s="100">
        <v>3.4377975123559161</v>
      </c>
      <c r="K88" s="100">
        <v>3411.6702512620109</v>
      </c>
      <c r="L88" s="100">
        <v>3.3540492853856825</v>
      </c>
      <c r="M88" s="100">
        <v>3328.5585108167511</v>
      </c>
      <c r="N88" s="100">
        <v>4.9871254599427237</v>
      </c>
      <c r="O88" s="100">
        <v>4949.2233064471593</v>
      </c>
      <c r="P88" s="100">
        <v>5.3196004906055734</v>
      </c>
      <c r="Q88" s="100">
        <v>5279.1715268769713</v>
      </c>
      <c r="R88" s="100">
        <v>5.3714990319773355</v>
      </c>
      <c r="S88" s="100">
        <v>5330.6756393343076</v>
      </c>
      <c r="T88" s="100">
        <v>6.3284902388238731</v>
      </c>
      <c r="U88" s="100">
        <v>6280.3937130088116</v>
      </c>
      <c r="V88" s="100">
        <v>6.2923274374591642</v>
      </c>
      <c r="W88" s="100">
        <v>6244.5057489344745</v>
      </c>
      <c r="X88" s="100">
        <v>3.2476888941611186</v>
      </c>
      <c r="Y88" s="100">
        <v>3223.0064585654941</v>
      </c>
      <c r="Z88" s="100">
        <v>3.2479473838338646</v>
      </c>
      <c r="AA88" s="100">
        <v>3223.2629837167274</v>
      </c>
      <c r="AB88" s="100">
        <v>7.4402520375361725</v>
      </c>
      <c r="AC88" s="100">
        <v>7383.7061220508976</v>
      </c>
      <c r="AD88" s="100">
        <v>8.3118757665712071</v>
      </c>
      <c r="AE88" s="100">
        <v>8248.7055107452652</v>
      </c>
      <c r="AF88" s="100">
        <v>6.7757569540150095</v>
      </c>
      <c r="AG88" s="100">
        <v>6724.2612011644951</v>
      </c>
      <c r="AH88" s="100">
        <v>0.56834555647819573</v>
      </c>
      <c r="AI88" s="100">
        <v>564.02613024896141</v>
      </c>
      <c r="AJ88" s="100">
        <v>6</v>
      </c>
      <c r="AK88" s="100">
        <v>5954.4</v>
      </c>
      <c r="AL88" s="100">
        <v>7</v>
      </c>
      <c r="AM88" s="100">
        <v>6946.8</v>
      </c>
      <c r="AN88" s="100">
        <v>7</v>
      </c>
      <c r="AO88" s="100">
        <v>6946.8</v>
      </c>
      <c r="AP88" s="100">
        <v>5</v>
      </c>
      <c r="AQ88" s="100">
        <v>4962</v>
      </c>
      <c r="AR88" s="100">
        <v>8</v>
      </c>
      <c r="AS88" s="100">
        <v>7939.2</v>
      </c>
      <c r="AT88" s="100">
        <v>2.0741402104300577</v>
      </c>
      <c r="AU88" s="100">
        <v>2058.376744830789</v>
      </c>
      <c r="AV88" s="100">
        <v>9</v>
      </c>
      <c r="AW88" s="100">
        <v>8931.6</v>
      </c>
      <c r="AX88" s="100">
        <v>3.2758699841796433</v>
      </c>
      <c r="AY88" s="100">
        <v>3250.9733722998781</v>
      </c>
      <c r="AZ88" s="100">
        <v>7.1134192606934983</v>
      </c>
      <c r="BA88" s="100">
        <v>7059.3572743122277</v>
      </c>
      <c r="BB88" s="100">
        <v>7</v>
      </c>
      <c r="BC88" s="100">
        <v>6946.8</v>
      </c>
      <c r="BD88" s="100">
        <v>11</v>
      </c>
      <c r="BE88" s="100">
        <v>10916.4</v>
      </c>
      <c r="BF88" s="100">
        <v>7</v>
      </c>
      <c r="BG88" s="100">
        <v>6946.8</v>
      </c>
      <c r="BH88" s="100">
        <v>5.6175962000878075</v>
      </c>
      <c r="BI88" s="100">
        <v>5574.9024689671396</v>
      </c>
      <c r="BJ88" s="100">
        <v>0.62357089690818779</v>
      </c>
      <c r="BK88" s="100">
        <v>618.83175809168551</v>
      </c>
      <c r="BL88" s="100">
        <v>8</v>
      </c>
      <c r="BM88" s="100">
        <v>7939.2</v>
      </c>
      <c r="BN88" s="100">
        <v>7</v>
      </c>
      <c r="BO88" s="100">
        <v>6946.8</v>
      </c>
      <c r="BP88" s="100">
        <v>10</v>
      </c>
      <c r="BQ88" s="100">
        <v>9924</v>
      </c>
      <c r="BR88" s="100">
        <v>10</v>
      </c>
      <c r="BS88" s="100">
        <v>9924</v>
      </c>
      <c r="BT88" s="100">
        <v>7.1192022596660776</v>
      </c>
      <c r="BU88" s="100">
        <v>7065.0963224926154</v>
      </c>
      <c r="BV88" s="100">
        <v>4.8223855798845561</v>
      </c>
      <c r="BW88" s="100">
        <v>4785.7354494774336</v>
      </c>
      <c r="BX88" s="100">
        <v>6.9517506411322829</v>
      </c>
      <c r="BY88" s="100">
        <v>6898.9173362596775</v>
      </c>
      <c r="BZ88" s="100">
        <v>4.7545652053339964</v>
      </c>
      <c r="CA88" s="100">
        <v>4718.4305097734577</v>
      </c>
      <c r="CB88" s="100">
        <v>5.8822505424965472</v>
      </c>
      <c r="CC88" s="100">
        <v>5837.5454383735732</v>
      </c>
      <c r="CD88" s="100">
        <v>0</v>
      </c>
      <c r="CE88" s="100">
        <v>0</v>
      </c>
      <c r="CF88" s="100">
        <v>8.4496416632547078</v>
      </c>
      <c r="CG88" s="100">
        <v>8385.4243866139714</v>
      </c>
      <c r="CH88" s="100">
        <v>6.5545077473532949</v>
      </c>
      <c r="CI88" s="100">
        <v>6504.6934884734101</v>
      </c>
      <c r="CJ88" s="100">
        <v>7.0804867641162135</v>
      </c>
      <c r="CK88" s="100">
        <v>7026.6750647089302</v>
      </c>
      <c r="CL88" s="100">
        <v>0.83470575532329783</v>
      </c>
      <c r="CM88" s="100">
        <v>828.36199158284069</v>
      </c>
      <c r="CN88" s="100">
        <v>7</v>
      </c>
      <c r="CO88" s="100">
        <v>6946.8</v>
      </c>
      <c r="CP88" s="100">
        <v>10</v>
      </c>
      <c r="CQ88" s="100">
        <v>9924</v>
      </c>
      <c r="CR88" s="100">
        <v>7</v>
      </c>
      <c r="CS88" s="100">
        <v>6946.8</v>
      </c>
      <c r="CT88" s="100">
        <v>7.4718921725903868</v>
      </c>
      <c r="CU88" s="100">
        <v>7415.1057920786998</v>
      </c>
    </row>
    <row r="89" spans="2:99">
      <c r="C89" s="99" t="s">
        <v>255</v>
      </c>
      <c r="D89" s="100">
        <v>4.4644466843099897</v>
      </c>
      <c r="E89" s="100">
        <v>4741.242378737209</v>
      </c>
      <c r="F89" s="100">
        <v>5.3428301870711019</v>
      </c>
      <c r="G89" s="100">
        <v>5674.0856586695099</v>
      </c>
      <c r="H89" s="100">
        <v>4.4762491933144455</v>
      </c>
      <c r="I89" s="100">
        <v>4753.7766432999415</v>
      </c>
      <c r="J89" s="100">
        <v>3.4377975123559161</v>
      </c>
      <c r="K89" s="100">
        <v>3650.9409581219829</v>
      </c>
      <c r="L89" s="100">
        <v>3.3540492853856825</v>
      </c>
      <c r="M89" s="100">
        <v>3562.0003410795948</v>
      </c>
      <c r="N89" s="100">
        <v>4.9871254599427237</v>
      </c>
      <c r="O89" s="100">
        <v>5296.3272384591728</v>
      </c>
      <c r="P89" s="100">
        <v>6.079543417834941</v>
      </c>
      <c r="Q89" s="100">
        <v>6456.475109740707</v>
      </c>
      <c r="R89" s="100">
        <v>4.7746658062020755</v>
      </c>
      <c r="S89" s="100">
        <v>5070.6950861866044</v>
      </c>
      <c r="T89" s="100">
        <v>5.6253246567323316</v>
      </c>
      <c r="U89" s="100">
        <v>5974.0947854497363</v>
      </c>
      <c r="V89" s="100">
        <v>6.2923274374591642</v>
      </c>
      <c r="W89" s="100">
        <v>6682.4517385816325</v>
      </c>
      <c r="X89" s="100">
        <v>3.2476888941611186</v>
      </c>
      <c r="Y89" s="100">
        <v>3449.0456055991081</v>
      </c>
      <c r="Z89" s="100">
        <v>3.7119398672387023</v>
      </c>
      <c r="AA89" s="100">
        <v>3942.0801390075017</v>
      </c>
      <c r="AB89" s="100">
        <v>7.4402520375361725</v>
      </c>
      <c r="AC89" s="100">
        <v>7901.5476638634154</v>
      </c>
      <c r="AD89" s="100">
        <v>8.3118757665712071</v>
      </c>
      <c r="AE89" s="100">
        <v>8827.2120640986213</v>
      </c>
      <c r="AF89" s="100">
        <v>6.7757569540150095</v>
      </c>
      <c r="AG89" s="100">
        <v>7195.8538851639405</v>
      </c>
      <c r="AH89" s="100">
        <v>0.56834555647819573</v>
      </c>
      <c r="AI89" s="100">
        <v>603.58298097984391</v>
      </c>
      <c r="AJ89" s="100">
        <v>6</v>
      </c>
      <c r="AK89" s="100">
        <v>6372</v>
      </c>
      <c r="AL89" s="100">
        <v>7</v>
      </c>
      <c r="AM89" s="100">
        <v>7434</v>
      </c>
      <c r="AN89" s="100">
        <v>8</v>
      </c>
      <c r="AO89" s="100">
        <v>8496</v>
      </c>
      <c r="AP89" s="100">
        <v>5</v>
      </c>
      <c r="AQ89" s="100">
        <v>5310</v>
      </c>
      <c r="AR89" s="100">
        <v>8</v>
      </c>
      <c r="AS89" s="100">
        <v>8496</v>
      </c>
      <c r="AT89" s="100">
        <v>1.8148726841263005</v>
      </c>
      <c r="AU89" s="100">
        <v>1927.3947905421312</v>
      </c>
      <c r="AV89" s="100">
        <v>10</v>
      </c>
      <c r="AW89" s="100">
        <v>10620</v>
      </c>
      <c r="AX89" s="100">
        <v>3.2758699841796433</v>
      </c>
      <c r="AY89" s="100">
        <v>3478.973923198781</v>
      </c>
      <c r="AZ89" s="100">
        <v>6.4020773346241482</v>
      </c>
      <c r="BA89" s="100">
        <v>6799.006129370845</v>
      </c>
      <c r="BB89" s="100">
        <v>8</v>
      </c>
      <c r="BC89" s="100">
        <v>8496</v>
      </c>
      <c r="BD89" s="100">
        <v>10</v>
      </c>
      <c r="BE89" s="100">
        <v>10620</v>
      </c>
      <c r="BF89" s="100">
        <v>7</v>
      </c>
      <c r="BG89" s="100">
        <v>7434</v>
      </c>
      <c r="BH89" s="100">
        <v>6.4201099429574944</v>
      </c>
      <c r="BI89" s="100">
        <v>6818.1567594208591</v>
      </c>
      <c r="BJ89" s="100">
        <v>0.62357089690818779</v>
      </c>
      <c r="BK89" s="100">
        <v>662.23229251649548</v>
      </c>
      <c r="BL89" s="100">
        <v>8</v>
      </c>
      <c r="BM89" s="100">
        <v>8496</v>
      </c>
      <c r="BN89" s="100">
        <v>6</v>
      </c>
      <c r="BO89" s="100">
        <v>6372</v>
      </c>
      <c r="BP89" s="100">
        <v>12</v>
      </c>
      <c r="BQ89" s="100">
        <v>12744</v>
      </c>
      <c r="BR89" s="100">
        <v>11</v>
      </c>
      <c r="BS89" s="100">
        <v>11682</v>
      </c>
      <c r="BT89" s="100">
        <v>6.4072820336994711</v>
      </c>
      <c r="BU89" s="100">
        <v>6804.533519788838</v>
      </c>
      <c r="BV89" s="100">
        <v>5.5112978055823501</v>
      </c>
      <c r="BW89" s="100">
        <v>5852.9982695284561</v>
      </c>
      <c r="BX89" s="100">
        <v>6.9517506411322829</v>
      </c>
      <c r="BY89" s="100">
        <v>7382.7591808824845</v>
      </c>
      <c r="BZ89" s="100">
        <v>4.7545652053339964</v>
      </c>
      <c r="CA89" s="100">
        <v>5049.3482480647044</v>
      </c>
      <c r="CB89" s="100">
        <v>5.8822505424965472</v>
      </c>
      <c r="CC89" s="100">
        <v>6246.9500761313329</v>
      </c>
      <c r="CD89" s="100">
        <v>0</v>
      </c>
      <c r="CE89" s="100">
        <v>0</v>
      </c>
      <c r="CF89" s="100">
        <v>8.4496416632547078</v>
      </c>
      <c r="CG89" s="100">
        <v>8973.5194463765001</v>
      </c>
      <c r="CH89" s="100">
        <v>5.8262291087584845</v>
      </c>
      <c r="CI89" s="100">
        <v>6187.4553135015103</v>
      </c>
      <c r="CJ89" s="100">
        <v>7.7885354405278342</v>
      </c>
      <c r="CK89" s="100">
        <v>8271.4246378405605</v>
      </c>
      <c r="CL89" s="100">
        <v>0.83470575532329783</v>
      </c>
      <c r="CM89" s="100">
        <v>886.45751215334224</v>
      </c>
      <c r="CN89" s="100">
        <v>7</v>
      </c>
      <c r="CO89" s="100">
        <v>7434</v>
      </c>
      <c r="CP89" s="100">
        <v>8</v>
      </c>
      <c r="CQ89" s="100">
        <v>8496</v>
      </c>
      <c r="CR89" s="100">
        <v>7</v>
      </c>
      <c r="CS89" s="100">
        <v>7434</v>
      </c>
      <c r="CT89" s="100">
        <v>7.4718921725903868</v>
      </c>
      <c r="CU89" s="100">
        <v>7935.1494872909907</v>
      </c>
    </row>
    <row r="90" spans="2:99">
      <c r="C90" s="99" t="s">
        <v>256</v>
      </c>
      <c r="D90" s="100">
        <v>5.2085211316949884</v>
      </c>
      <c r="E90" s="100">
        <v>5775.208230823403</v>
      </c>
      <c r="F90" s="100">
        <v>5.3428301870711019</v>
      </c>
      <c r="G90" s="100">
        <v>5924.1301114244379</v>
      </c>
      <c r="H90" s="100">
        <v>4.4762491933144455</v>
      </c>
      <c r="I90" s="100">
        <v>4963.2651055470569</v>
      </c>
      <c r="J90" s="100">
        <v>3.4377975123559161</v>
      </c>
      <c r="K90" s="100">
        <v>3811.8298817002396</v>
      </c>
      <c r="L90" s="100">
        <v>3.3540492853856825</v>
      </c>
      <c r="M90" s="100">
        <v>3718.9698476356448</v>
      </c>
      <c r="N90" s="100">
        <v>5.8183130365998457</v>
      </c>
      <c r="O90" s="100">
        <v>6451.3454949819088</v>
      </c>
      <c r="P90" s="100">
        <v>5.3196004906055734</v>
      </c>
      <c r="Q90" s="100">
        <v>5898.3730239834595</v>
      </c>
      <c r="R90" s="100">
        <v>4.7746658062020755</v>
      </c>
      <c r="S90" s="100">
        <v>5294.1494459168607</v>
      </c>
      <c r="T90" s="100">
        <v>6.3284902388238731</v>
      </c>
      <c r="U90" s="100">
        <v>7017.0299768079103</v>
      </c>
      <c r="V90" s="100">
        <v>6.991474930510182</v>
      </c>
      <c r="W90" s="100">
        <v>7752.1474029496894</v>
      </c>
      <c r="X90" s="100">
        <v>2.8417277823909788</v>
      </c>
      <c r="Y90" s="100">
        <v>3150.9077651151169</v>
      </c>
      <c r="Z90" s="100">
        <v>3.2479473838338646</v>
      </c>
      <c r="AA90" s="100">
        <v>3601.3240591949889</v>
      </c>
      <c r="AB90" s="100">
        <v>7.4402520375361725</v>
      </c>
      <c r="AC90" s="100">
        <v>8249.7514592201078</v>
      </c>
      <c r="AD90" s="100">
        <v>8.3118757665712071</v>
      </c>
      <c r="AE90" s="100">
        <v>9216.2078499741547</v>
      </c>
      <c r="AF90" s="100">
        <v>6.7757569540150095</v>
      </c>
      <c r="AG90" s="100">
        <v>7512.9593106118418</v>
      </c>
      <c r="AH90" s="100">
        <v>0.48715333412416784</v>
      </c>
      <c r="AI90" s="100">
        <v>540.15561687687727</v>
      </c>
      <c r="AJ90" s="100">
        <v>5</v>
      </c>
      <c r="AK90" s="100">
        <v>5544</v>
      </c>
      <c r="AL90" s="100">
        <v>7</v>
      </c>
      <c r="AM90" s="100">
        <v>7761.5999999999995</v>
      </c>
      <c r="AN90" s="100">
        <v>8</v>
      </c>
      <c r="AO90" s="100">
        <v>8870.4</v>
      </c>
      <c r="AP90" s="100">
        <v>6</v>
      </c>
      <c r="AQ90" s="100">
        <v>6652.7999999999993</v>
      </c>
      <c r="AR90" s="100">
        <v>8</v>
      </c>
      <c r="AS90" s="100">
        <v>8870.4</v>
      </c>
      <c r="AT90" s="100">
        <v>1.8148726841263005</v>
      </c>
      <c r="AU90" s="100">
        <v>2012.3308321592419</v>
      </c>
      <c r="AV90" s="100">
        <v>10</v>
      </c>
      <c r="AW90" s="100">
        <v>11088</v>
      </c>
      <c r="AX90" s="100">
        <v>3.7438514104910214</v>
      </c>
      <c r="AY90" s="100">
        <v>4151.1824439524444</v>
      </c>
      <c r="AZ90" s="100">
        <v>6.4020773346241482</v>
      </c>
      <c r="BA90" s="100">
        <v>7098.6233486312549</v>
      </c>
      <c r="BB90" s="100">
        <v>8</v>
      </c>
      <c r="BC90" s="100">
        <v>8870.4</v>
      </c>
      <c r="BD90" s="100">
        <v>11</v>
      </c>
      <c r="BE90" s="100">
        <v>12196.8</v>
      </c>
      <c r="BF90" s="100">
        <v>8</v>
      </c>
      <c r="BG90" s="100">
        <v>8870.4</v>
      </c>
      <c r="BH90" s="100">
        <v>6.4201099429574944</v>
      </c>
      <c r="BI90" s="100">
        <v>7118.6179047512696</v>
      </c>
      <c r="BJ90" s="100">
        <v>0.68025916026347766</v>
      </c>
      <c r="BK90" s="100">
        <v>754.27135690014404</v>
      </c>
      <c r="BL90" s="100">
        <v>8</v>
      </c>
      <c r="BM90" s="100">
        <v>8870.4</v>
      </c>
      <c r="BN90" s="100">
        <v>6</v>
      </c>
      <c r="BO90" s="100">
        <v>6652.7999999999993</v>
      </c>
      <c r="BP90" s="100">
        <v>12</v>
      </c>
      <c r="BQ90" s="100">
        <v>13305.599999999999</v>
      </c>
      <c r="BR90" s="100">
        <v>9</v>
      </c>
      <c r="BS90" s="100">
        <v>9979.1999999999989</v>
      </c>
      <c r="BT90" s="100">
        <v>6.4072820336994711</v>
      </c>
      <c r="BU90" s="100">
        <v>7104.3943189659731</v>
      </c>
      <c r="BV90" s="100">
        <v>4.8223855798845561</v>
      </c>
      <c r="BW90" s="100">
        <v>5347.0611309759952</v>
      </c>
      <c r="BX90" s="100">
        <v>5.9586434066848133</v>
      </c>
      <c r="BY90" s="100">
        <v>6606.9438093321205</v>
      </c>
      <c r="BZ90" s="100">
        <v>5.5469927395563285</v>
      </c>
      <c r="CA90" s="100">
        <v>6150.5055496200566</v>
      </c>
      <c r="CB90" s="100">
        <v>5.0419290364256115</v>
      </c>
      <c r="CC90" s="100">
        <v>5590.4909155887181</v>
      </c>
      <c r="CD90" s="100">
        <v>0</v>
      </c>
      <c r="CE90" s="100">
        <v>0</v>
      </c>
      <c r="CF90" s="100">
        <v>8.4496416632547078</v>
      </c>
      <c r="CG90" s="100">
        <v>9368.9626762168191</v>
      </c>
      <c r="CH90" s="100">
        <v>6.5545077473532949</v>
      </c>
      <c r="CI90" s="100">
        <v>7267.6381902653329</v>
      </c>
      <c r="CJ90" s="100">
        <v>7.7885354405278342</v>
      </c>
      <c r="CK90" s="100">
        <v>8635.9280964572627</v>
      </c>
      <c r="CL90" s="100">
        <v>0.77049762029842861</v>
      </c>
      <c r="CM90" s="100">
        <v>854.32776138689758</v>
      </c>
      <c r="CN90" s="100">
        <v>7</v>
      </c>
      <c r="CO90" s="100">
        <v>7761.5999999999995</v>
      </c>
      <c r="CP90" s="100">
        <v>9</v>
      </c>
      <c r="CQ90" s="100">
        <v>9979.1999999999989</v>
      </c>
      <c r="CR90" s="100">
        <v>6</v>
      </c>
      <c r="CS90" s="100">
        <v>6652.7999999999993</v>
      </c>
      <c r="CT90" s="100">
        <v>7.4718921725903868</v>
      </c>
      <c r="CU90" s="100">
        <v>8284.8340409682205</v>
      </c>
    </row>
    <row r="91" spans="2:99">
      <c r="C91" s="99" t="s">
        <v>257</v>
      </c>
      <c r="D91" s="100">
        <v>4.4644466843099897</v>
      </c>
      <c r="E91" s="100">
        <v>5073.397212049872</v>
      </c>
      <c r="F91" s="100">
        <v>4.808547168363992</v>
      </c>
      <c r="G91" s="100">
        <v>5464.4330021288397</v>
      </c>
      <c r="H91" s="100">
        <v>4.4762491933144455</v>
      </c>
      <c r="I91" s="100">
        <v>5086.8095832825356</v>
      </c>
      <c r="J91" s="100">
        <v>3.0080728233114264</v>
      </c>
      <c r="K91" s="100">
        <v>3418.3739564111047</v>
      </c>
      <c r="L91" s="100">
        <v>3.3540492853856825</v>
      </c>
      <c r="M91" s="100">
        <v>3811.5416079122892</v>
      </c>
      <c r="N91" s="100">
        <v>5.8183130365998457</v>
      </c>
      <c r="O91" s="100">
        <v>6611.9309347920635</v>
      </c>
      <c r="P91" s="100">
        <v>4.5596575633762058</v>
      </c>
      <c r="Q91" s="100">
        <v>5181.5948550207195</v>
      </c>
      <c r="R91" s="100">
        <v>5.3714990319773355</v>
      </c>
      <c r="S91" s="100">
        <v>6104.1714999390433</v>
      </c>
      <c r="T91" s="100">
        <v>6.3284902388238731</v>
      </c>
      <c r="U91" s="100">
        <v>7191.6963073994484</v>
      </c>
      <c r="V91" s="100">
        <v>6.2923274374591642</v>
      </c>
      <c r="W91" s="100">
        <v>7150.6008999285932</v>
      </c>
      <c r="X91" s="100">
        <v>3.2476888941611186</v>
      </c>
      <c r="Y91" s="100">
        <v>3690.6736593246947</v>
      </c>
      <c r="Z91" s="100">
        <v>3.2479473838338646</v>
      </c>
      <c r="AA91" s="100">
        <v>3690.9674069888033</v>
      </c>
      <c r="AB91" s="100">
        <v>6.6135573666988208</v>
      </c>
      <c r="AC91" s="100">
        <v>7515.646591516539</v>
      </c>
      <c r="AD91" s="100">
        <v>9.143063343228329</v>
      </c>
      <c r="AE91" s="100">
        <v>10390.177183244672</v>
      </c>
      <c r="AF91" s="100">
        <v>5.8077916748700078</v>
      </c>
      <c r="AG91" s="100">
        <v>6599.9744593222758</v>
      </c>
      <c r="AH91" s="100">
        <v>0.48715333412416784</v>
      </c>
      <c r="AI91" s="100">
        <v>553.60104889870422</v>
      </c>
      <c r="AJ91" s="100">
        <v>6</v>
      </c>
      <c r="AK91" s="100">
        <v>6818.4</v>
      </c>
      <c r="AL91" s="100">
        <v>7</v>
      </c>
      <c r="AM91" s="100">
        <v>7954.7999999999993</v>
      </c>
      <c r="AN91" s="100">
        <v>8</v>
      </c>
      <c r="AO91" s="100">
        <v>9091.1999999999989</v>
      </c>
      <c r="AP91" s="100">
        <v>6</v>
      </c>
      <c r="AQ91" s="100">
        <v>6818.4</v>
      </c>
      <c r="AR91" s="100">
        <v>8</v>
      </c>
      <c r="AS91" s="100">
        <v>9091.1999999999989</v>
      </c>
      <c r="AT91" s="100">
        <v>1.8148726841263005</v>
      </c>
      <c r="AU91" s="100">
        <v>2062.4213182411277</v>
      </c>
      <c r="AV91" s="100">
        <v>9</v>
      </c>
      <c r="AW91" s="100">
        <v>10227.599999999999</v>
      </c>
      <c r="AX91" s="100">
        <v>3.2758699841796433</v>
      </c>
      <c r="AY91" s="100">
        <v>3722.6986500217463</v>
      </c>
      <c r="AZ91" s="100">
        <v>7.1134192606934983</v>
      </c>
      <c r="BA91" s="100">
        <v>8083.6896478520903</v>
      </c>
      <c r="BB91" s="100">
        <v>7</v>
      </c>
      <c r="BC91" s="100">
        <v>7954.7999999999993</v>
      </c>
      <c r="BD91" s="100">
        <v>11</v>
      </c>
      <c r="BE91" s="100">
        <v>12500.399999999998</v>
      </c>
      <c r="BF91" s="100">
        <v>7</v>
      </c>
      <c r="BG91" s="100">
        <v>7954.7999999999993</v>
      </c>
      <c r="BH91" s="100">
        <v>5.6175962000878075</v>
      </c>
      <c r="BI91" s="100">
        <v>6383.8363217797832</v>
      </c>
      <c r="BJ91" s="100">
        <v>0.68025916026347766</v>
      </c>
      <c r="BK91" s="100">
        <v>773.04650972341597</v>
      </c>
      <c r="BL91" s="100">
        <v>8</v>
      </c>
      <c r="BM91" s="100">
        <v>9091.1999999999989</v>
      </c>
      <c r="BN91" s="100">
        <v>6</v>
      </c>
      <c r="BO91" s="100">
        <v>6818.4</v>
      </c>
      <c r="BP91" s="100">
        <v>12</v>
      </c>
      <c r="BQ91" s="100">
        <v>13636.8</v>
      </c>
      <c r="BR91" s="100">
        <v>11</v>
      </c>
      <c r="BS91" s="100">
        <v>12500.399999999998</v>
      </c>
      <c r="BT91" s="100">
        <v>6.4072820336994711</v>
      </c>
      <c r="BU91" s="100">
        <v>7281.2353030960785</v>
      </c>
      <c r="BV91" s="100">
        <v>5.5112978055823501</v>
      </c>
      <c r="BW91" s="100">
        <v>6263.0388262637816</v>
      </c>
      <c r="BX91" s="100">
        <v>5.9586434066848133</v>
      </c>
      <c r="BY91" s="100">
        <v>6771.4023673566207</v>
      </c>
      <c r="BZ91" s="100">
        <v>5.5469927395563285</v>
      </c>
      <c r="CA91" s="100">
        <v>6303.6025492318113</v>
      </c>
      <c r="CB91" s="100">
        <v>5.0419290364256115</v>
      </c>
      <c r="CC91" s="100">
        <v>5729.6481569940643</v>
      </c>
      <c r="CD91" s="100">
        <v>0</v>
      </c>
      <c r="CE91" s="100">
        <v>0</v>
      </c>
      <c r="CF91" s="100">
        <v>8.4496416632547078</v>
      </c>
      <c r="CG91" s="100">
        <v>9602.1727861226482</v>
      </c>
      <c r="CH91" s="100">
        <v>5.8262291087584845</v>
      </c>
      <c r="CI91" s="100">
        <v>6620.9267591931412</v>
      </c>
      <c r="CJ91" s="100">
        <v>7.7885354405278342</v>
      </c>
      <c r="CK91" s="100">
        <v>8850.8916746158302</v>
      </c>
      <c r="CL91" s="100">
        <v>0.77049762029842861</v>
      </c>
      <c r="CM91" s="100">
        <v>875.59349570713414</v>
      </c>
      <c r="CN91" s="100">
        <v>6</v>
      </c>
      <c r="CO91" s="100">
        <v>6818.4</v>
      </c>
      <c r="CP91" s="100">
        <v>8</v>
      </c>
      <c r="CQ91" s="100">
        <v>9091.1999999999989</v>
      </c>
      <c r="CR91" s="100">
        <v>7</v>
      </c>
      <c r="CS91" s="100">
        <v>7954.7999999999993</v>
      </c>
      <c r="CT91" s="100">
        <v>7.4718921725903868</v>
      </c>
      <c r="CU91" s="100">
        <v>8491.0582649317148</v>
      </c>
    </row>
    <row r="92" spans="2:99">
      <c r="C92" s="99" t="s">
        <v>258</v>
      </c>
      <c r="D92" s="100">
        <v>4.4644466843099897</v>
      </c>
      <c r="E92" s="100">
        <v>3503.6977578464798</v>
      </c>
      <c r="F92" s="100">
        <v>5.8771132057782127</v>
      </c>
      <c r="G92" s="100">
        <v>4612.358443894741</v>
      </c>
      <c r="H92" s="100">
        <v>4.4762491933144455</v>
      </c>
      <c r="I92" s="100">
        <v>3512.9603669131766</v>
      </c>
      <c r="J92" s="100">
        <v>3.4377975123559161</v>
      </c>
      <c r="K92" s="100">
        <v>2697.983487696923</v>
      </c>
      <c r="L92" s="100">
        <v>2.9813771425650515</v>
      </c>
      <c r="M92" s="100">
        <v>2339.7847814850525</v>
      </c>
      <c r="N92" s="100">
        <v>5.8183130365998457</v>
      </c>
      <c r="O92" s="100">
        <v>4566.2120711235584</v>
      </c>
      <c r="P92" s="100">
        <v>6.079543417834941</v>
      </c>
      <c r="Q92" s="100">
        <v>4771.2256743168618</v>
      </c>
      <c r="R92" s="100">
        <v>5.3714990319773355</v>
      </c>
      <c r="S92" s="100">
        <v>4215.5524402958126</v>
      </c>
      <c r="T92" s="100">
        <v>6.3284902388238731</v>
      </c>
      <c r="U92" s="100">
        <v>4966.5991394289749</v>
      </c>
      <c r="V92" s="100">
        <v>6.991474930510182</v>
      </c>
      <c r="W92" s="100">
        <v>5486.9095254643908</v>
      </c>
      <c r="X92" s="100">
        <v>2.8417277823909788</v>
      </c>
      <c r="Y92" s="100">
        <v>2230.1879636204399</v>
      </c>
      <c r="Z92" s="100">
        <v>3.2479473838338646</v>
      </c>
      <c r="AA92" s="100">
        <v>2548.989106832817</v>
      </c>
      <c r="AB92" s="100">
        <v>7.4402520375361725</v>
      </c>
      <c r="AC92" s="100">
        <v>5839.1097990583876</v>
      </c>
      <c r="AD92" s="100">
        <v>8.3118757665712071</v>
      </c>
      <c r="AE92" s="100">
        <v>6523.1601016050827</v>
      </c>
      <c r="AF92" s="100">
        <v>5.8077916748700078</v>
      </c>
      <c r="AG92" s="100">
        <v>4557.9549064379817</v>
      </c>
      <c r="AH92" s="100">
        <v>0.56834555647819573</v>
      </c>
      <c r="AI92" s="100">
        <v>446.03759272408797</v>
      </c>
      <c r="AJ92" s="100">
        <v>5</v>
      </c>
      <c r="AK92" s="100">
        <v>3924</v>
      </c>
      <c r="AL92" s="100">
        <v>7</v>
      </c>
      <c r="AM92" s="100">
        <v>5493.5999999999995</v>
      </c>
      <c r="AN92" s="100">
        <v>8</v>
      </c>
      <c r="AO92" s="100">
        <v>6278.4</v>
      </c>
      <c r="AP92" s="100">
        <v>6</v>
      </c>
      <c r="AQ92" s="100">
        <v>4708.7999999999993</v>
      </c>
      <c r="AR92" s="100">
        <v>9</v>
      </c>
      <c r="AS92" s="100">
        <v>7063.2</v>
      </c>
      <c r="AT92" s="100">
        <v>1.8148726841263005</v>
      </c>
      <c r="AU92" s="100">
        <v>1424.3120825023207</v>
      </c>
      <c r="AV92" s="100">
        <v>10</v>
      </c>
      <c r="AW92" s="100">
        <v>7848</v>
      </c>
      <c r="AX92" s="100">
        <v>3.2758699841796433</v>
      </c>
      <c r="AY92" s="100">
        <v>2570.902763584184</v>
      </c>
      <c r="AZ92" s="100">
        <v>7.1134192606934983</v>
      </c>
      <c r="BA92" s="100">
        <v>5582.611435792257</v>
      </c>
      <c r="BB92" s="100">
        <v>7</v>
      </c>
      <c r="BC92" s="100">
        <v>5493.5999999999995</v>
      </c>
      <c r="BD92" s="100">
        <v>10</v>
      </c>
      <c r="BE92" s="100">
        <v>7848</v>
      </c>
      <c r="BF92" s="100">
        <v>7</v>
      </c>
      <c r="BG92" s="100">
        <v>5493.5999999999995</v>
      </c>
      <c r="BH92" s="100">
        <v>6.4201099429574944</v>
      </c>
      <c r="BI92" s="100">
        <v>5038.5022832330415</v>
      </c>
      <c r="BJ92" s="100">
        <v>0.62357089690818779</v>
      </c>
      <c r="BK92" s="100">
        <v>489.37843989354576</v>
      </c>
      <c r="BL92" s="100">
        <v>8</v>
      </c>
      <c r="BM92" s="100">
        <v>6278.4</v>
      </c>
      <c r="BN92" s="100">
        <v>6</v>
      </c>
      <c r="BO92" s="100">
        <v>4708.7999999999993</v>
      </c>
      <c r="BP92" s="100">
        <v>11</v>
      </c>
      <c r="BQ92" s="100">
        <v>8632.7999999999993</v>
      </c>
      <c r="BR92" s="100">
        <v>12</v>
      </c>
      <c r="BS92" s="100">
        <v>9417.5999999999985</v>
      </c>
      <c r="BT92" s="100">
        <v>7.1192022596660776</v>
      </c>
      <c r="BU92" s="100">
        <v>5587.1499333859374</v>
      </c>
      <c r="BV92" s="100">
        <v>4.8223855798845561</v>
      </c>
      <c r="BW92" s="100">
        <v>3784.6082030933994</v>
      </c>
      <c r="BX92" s="100">
        <v>5.9586434066848133</v>
      </c>
      <c r="BY92" s="100">
        <v>4676.3433455662416</v>
      </c>
      <c r="BZ92" s="100">
        <v>5.5469927395563285</v>
      </c>
      <c r="CA92" s="100">
        <v>4353.2799020038065</v>
      </c>
      <c r="CB92" s="100">
        <v>5.8822505424965472</v>
      </c>
      <c r="CC92" s="100">
        <v>4616.39022575129</v>
      </c>
      <c r="CD92" s="100">
        <v>0</v>
      </c>
      <c r="CE92" s="100">
        <v>0</v>
      </c>
      <c r="CF92" s="100">
        <v>8.4496416632547078</v>
      </c>
      <c r="CG92" s="100">
        <v>6631.2787773222944</v>
      </c>
      <c r="CH92" s="100">
        <v>6.5545077473532949</v>
      </c>
      <c r="CI92" s="100">
        <v>5143.9776801228654</v>
      </c>
      <c r="CJ92" s="100">
        <v>7.7885354405278342</v>
      </c>
      <c r="CK92" s="100">
        <v>6112.4426137262435</v>
      </c>
      <c r="CL92" s="100">
        <v>0.70628948527355961</v>
      </c>
      <c r="CM92" s="100">
        <v>554.2959880426896</v>
      </c>
      <c r="CN92" s="100">
        <v>7</v>
      </c>
      <c r="CO92" s="100">
        <v>5493.5999999999995</v>
      </c>
      <c r="CP92" s="100">
        <v>10</v>
      </c>
      <c r="CQ92" s="100">
        <v>7848</v>
      </c>
      <c r="CR92" s="100">
        <v>7</v>
      </c>
      <c r="CS92" s="100">
        <v>5493.5999999999995</v>
      </c>
      <c r="CT92" s="100">
        <v>7.4718921725903868</v>
      </c>
      <c r="CU92" s="100">
        <v>5863.9409770489356</v>
      </c>
    </row>
    <row r="93" spans="2:99">
      <c r="C93" s="99" t="s">
        <v>259</v>
      </c>
      <c r="D93" s="100">
        <v>4.4644466843099897</v>
      </c>
      <c r="E93" s="100">
        <v>3096.5402202374089</v>
      </c>
      <c r="F93" s="100">
        <v>4.808547168363992</v>
      </c>
      <c r="G93" s="100">
        <v>3335.2083159772651</v>
      </c>
      <c r="H93" s="100">
        <v>4.4762491933144455</v>
      </c>
      <c r="I93" s="100">
        <v>3104.7264404828993</v>
      </c>
      <c r="J93" s="100">
        <v>3.8675222014004054</v>
      </c>
      <c r="K93" s="100">
        <v>2682.5133988913212</v>
      </c>
      <c r="L93" s="100">
        <v>3.3540492853856825</v>
      </c>
      <c r="M93" s="100">
        <v>2326.3685843435096</v>
      </c>
      <c r="N93" s="100">
        <v>5.8183130365998457</v>
      </c>
      <c r="O93" s="100">
        <v>4035.5819221856532</v>
      </c>
      <c r="P93" s="100">
        <v>6.079543417834941</v>
      </c>
      <c r="Q93" s="100">
        <v>4216.7713146103151</v>
      </c>
      <c r="R93" s="100">
        <v>5.3714990319773355</v>
      </c>
      <c r="S93" s="100">
        <v>3725.6717285794798</v>
      </c>
      <c r="T93" s="100">
        <v>6.3284902388238731</v>
      </c>
      <c r="U93" s="100">
        <v>4389.4408296482388</v>
      </c>
      <c r="V93" s="100">
        <v>6.991474930510182</v>
      </c>
      <c r="W93" s="100">
        <v>4849.2870118018627</v>
      </c>
      <c r="X93" s="100">
        <v>3.2476888941611186</v>
      </c>
      <c r="Y93" s="100">
        <v>2252.597016990152</v>
      </c>
      <c r="Z93" s="100">
        <v>3.2479473838338646</v>
      </c>
      <c r="AA93" s="100">
        <v>2252.7763054271686</v>
      </c>
      <c r="AB93" s="100">
        <v>7.4402520375361725</v>
      </c>
      <c r="AC93" s="100">
        <v>5160.5588132350895</v>
      </c>
      <c r="AD93" s="100">
        <v>9.143063343228329</v>
      </c>
      <c r="AE93" s="100">
        <v>6341.6287348631695</v>
      </c>
      <c r="AF93" s="100">
        <v>6.7757569540150095</v>
      </c>
      <c r="AG93" s="100">
        <v>4699.6650233048103</v>
      </c>
      <c r="AH93" s="100">
        <v>0.56834555647819573</v>
      </c>
      <c r="AI93" s="100">
        <v>394.2044779732766</v>
      </c>
      <c r="AJ93" s="100">
        <v>6</v>
      </c>
      <c r="AK93" s="100">
        <v>4161.6000000000004</v>
      </c>
      <c r="AL93" s="100">
        <v>8</v>
      </c>
      <c r="AM93" s="100">
        <v>5548.8</v>
      </c>
      <c r="AN93" s="100">
        <v>8</v>
      </c>
      <c r="AO93" s="100">
        <v>5548.8</v>
      </c>
      <c r="AP93" s="100">
        <v>6</v>
      </c>
      <c r="AQ93" s="100">
        <v>4161.6000000000004</v>
      </c>
      <c r="AR93" s="100">
        <v>9</v>
      </c>
      <c r="AS93" s="100">
        <v>6242.4000000000005</v>
      </c>
      <c r="AT93" s="100">
        <v>2.0741402104300577</v>
      </c>
      <c r="AU93" s="100">
        <v>1438.6236499542881</v>
      </c>
      <c r="AV93" s="100">
        <v>10</v>
      </c>
      <c r="AW93" s="100">
        <v>6936</v>
      </c>
      <c r="AX93" s="100">
        <v>3.2758699841796433</v>
      </c>
      <c r="AY93" s="100">
        <v>2272.1434210270008</v>
      </c>
      <c r="AZ93" s="100">
        <v>5.6907354085547981</v>
      </c>
      <c r="BA93" s="100">
        <v>3947.0940793736081</v>
      </c>
      <c r="BB93" s="100">
        <v>8</v>
      </c>
      <c r="BC93" s="100">
        <v>5548.8</v>
      </c>
      <c r="BD93" s="100">
        <v>12</v>
      </c>
      <c r="BE93" s="100">
        <v>8323.2000000000007</v>
      </c>
      <c r="BF93" s="100">
        <v>7</v>
      </c>
      <c r="BG93" s="100">
        <v>4855.2</v>
      </c>
      <c r="BH93" s="100">
        <v>6.4201099429574944</v>
      </c>
      <c r="BI93" s="100">
        <v>4452.9882564353184</v>
      </c>
      <c r="BJ93" s="100">
        <v>0.56688263355289792</v>
      </c>
      <c r="BK93" s="100">
        <v>393.18979463228999</v>
      </c>
      <c r="BL93" s="100">
        <v>7</v>
      </c>
      <c r="BM93" s="100">
        <v>4855.2</v>
      </c>
      <c r="BN93" s="100">
        <v>7</v>
      </c>
      <c r="BO93" s="100">
        <v>4855.2</v>
      </c>
      <c r="BP93" s="100">
        <v>12</v>
      </c>
      <c r="BQ93" s="100">
        <v>8323.2000000000007</v>
      </c>
      <c r="BR93" s="100">
        <v>10</v>
      </c>
      <c r="BS93" s="100">
        <v>6936</v>
      </c>
      <c r="BT93" s="100">
        <v>7.1192022596660776</v>
      </c>
      <c r="BU93" s="100">
        <v>4937.8786873043919</v>
      </c>
      <c r="BV93" s="100">
        <v>4.8223855798845561</v>
      </c>
      <c r="BW93" s="100">
        <v>3344.8066382079282</v>
      </c>
      <c r="BX93" s="100">
        <v>6.9517506411322829</v>
      </c>
      <c r="BY93" s="100">
        <v>4821.7342446893517</v>
      </c>
      <c r="BZ93" s="100">
        <v>5.5469927395563285</v>
      </c>
      <c r="CA93" s="100">
        <v>3847.3941641562697</v>
      </c>
      <c r="CB93" s="100">
        <v>5.8822505424965472</v>
      </c>
      <c r="CC93" s="100">
        <v>4079.9289762756052</v>
      </c>
      <c r="CD93" s="100">
        <v>0</v>
      </c>
      <c r="CE93" s="100">
        <v>0</v>
      </c>
      <c r="CF93" s="100">
        <v>8.4496416632547078</v>
      </c>
      <c r="CG93" s="100">
        <v>5860.6714576334653</v>
      </c>
      <c r="CH93" s="100">
        <v>7.2827863859481052</v>
      </c>
      <c r="CI93" s="100">
        <v>5051.3406372936061</v>
      </c>
      <c r="CJ93" s="100">
        <v>7.0804867641162135</v>
      </c>
      <c r="CK93" s="100">
        <v>4911.025619591006</v>
      </c>
      <c r="CL93" s="100">
        <v>0.77049762029842861</v>
      </c>
      <c r="CM93" s="100">
        <v>534.41714943899012</v>
      </c>
      <c r="CN93" s="100">
        <v>7</v>
      </c>
      <c r="CO93" s="100">
        <v>4855.2</v>
      </c>
      <c r="CP93" s="100">
        <v>9</v>
      </c>
      <c r="CQ93" s="100">
        <v>6242.4000000000005</v>
      </c>
      <c r="CR93" s="100">
        <v>7</v>
      </c>
      <c r="CS93" s="100">
        <v>4855.2</v>
      </c>
      <c r="CT93" s="100">
        <v>7.4718921725903868</v>
      </c>
      <c r="CU93" s="100">
        <v>5182.5044109086921</v>
      </c>
    </row>
    <row r="94" spans="2:99">
      <c r="C94" s="99" t="s">
        <v>260</v>
      </c>
      <c r="D94" s="100">
        <v>5.2085211316949884</v>
      </c>
      <c r="E94" s="100">
        <v>6212.7240058857824</v>
      </c>
      <c r="F94" s="100">
        <v>5.3428301870711019</v>
      </c>
      <c r="G94" s="100">
        <v>6372.9278471384105</v>
      </c>
      <c r="H94" s="100">
        <v>4.4762491933144455</v>
      </c>
      <c r="I94" s="100">
        <v>5339.2700377854708</v>
      </c>
      <c r="J94" s="100">
        <v>3.4377975123559161</v>
      </c>
      <c r="K94" s="100">
        <v>4100.6048727381367</v>
      </c>
      <c r="L94" s="100">
        <v>3.3540492853856825</v>
      </c>
      <c r="M94" s="100">
        <v>4000.709987608042</v>
      </c>
      <c r="N94" s="100">
        <v>5.8183130365998457</v>
      </c>
      <c r="O94" s="100">
        <v>6940.0837900562956</v>
      </c>
      <c r="P94" s="100">
        <v>5.3196004906055734</v>
      </c>
      <c r="Q94" s="100">
        <v>6345.2194651943273</v>
      </c>
      <c r="R94" s="100">
        <v>4.7746658062020755</v>
      </c>
      <c r="S94" s="100">
        <v>5695.2213736378353</v>
      </c>
      <c r="T94" s="100">
        <v>6.3284902388238731</v>
      </c>
      <c r="U94" s="100">
        <v>7548.6231568691155</v>
      </c>
      <c r="V94" s="100">
        <v>6.991474930510182</v>
      </c>
      <c r="W94" s="100">
        <v>8339.4312971125455</v>
      </c>
      <c r="X94" s="100">
        <v>2.8417277823909788</v>
      </c>
      <c r="Y94" s="100">
        <v>3389.6128988359592</v>
      </c>
      <c r="Z94" s="100">
        <v>3.2479473838338646</v>
      </c>
      <c r="AA94" s="100">
        <v>3874.1516394370337</v>
      </c>
      <c r="AB94" s="100">
        <v>7.4402520375361725</v>
      </c>
      <c r="AC94" s="100">
        <v>8874.7326303731461</v>
      </c>
      <c r="AD94" s="100">
        <v>8.3118757665712071</v>
      </c>
      <c r="AE94" s="100">
        <v>9914.405414366136</v>
      </c>
      <c r="AF94" s="100">
        <v>6.7757569540150095</v>
      </c>
      <c r="AG94" s="100">
        <v>8082.1228947491027</v>
      </c>
      <c r="AH94" s="100">
        <v>0.48715333412416784</v>
      </c>
      <c r="AI94" s="100">
        <v>581.07649694330735</v>
      </c>
      <c r="AJ94" s="100">
        <v>6</v>
      </c>
      <c r="AK94" s="100">
        <v>7156.7999999999993</v>
      </c>
      <c r="AL94" s="100">
        <v>8</v>
      </c>
      <c r="AM94" s="100">
        <v>9542.4</v>
      </c>
      <c r="AN94" s="100">
        <v>8</v>
      </c>
      <c r="AO94" s="100">
        <v>9542.4</v>
      </c>
      <c r="AP94" s="100">
        <v>6</v>
      </c>
      <c r="AQ94" s="100">
        <v>7156.7999999999993</v>
      </c>
      <c r="AR94" s="100">
        <v>9</v>
      </c>
      <c r="AS94" s="100">
        <v>10735.199999999999</v>
      </c>
      <c r="AT94" s="100">
        <v>2.0741402104300577</v>
      </c>
      <c r="AU94" s="100">
        <v>2474.0344430009727</v>
      </c>
      <c r="AV94" s="100">
        <v>10</v>
      </c>
      <c r="AW94" s="100">
        <v>11928</v>
      </c>
      <c r="AX94" s="100">
        <v>3.7438514104910214</v>
      </c>
      <c r="AY94" s="100">
        <v>4465.6659624336899</v>
      </c>
      <c r="AZ94" s="100">
        <v>5.6907354085547981</v>
      </c>
      <c r="BA94" s="100">
        <v>6787.9091953241632</v>
      </c>
      <c r="BB94" s="100">
        <v>7</v>
      </c>
      <c r="BC94" s="100">
        <v>8349.6</v>
      </c>
      <c r="BD94" s="100">
        <v>10</v>
      </c>
      <c r="BE94" s="100">
        <v>11928</v>
      </c>
      <c r="BF94" s="100">
        <v>7</v>
      </c>
      <c r="BG94" s="100">
        <v>8349.6</v>
      </c>
      <c r="BH94" s="100">
        <v>6.4201099429574944</v>
      </c>
      <c r="BI94" s="100">
        <v>7657.9071399596987</v>
      </c>
      <c r="BJ94" s="100">
        <v>0.56688263355289792</v>
      </c>
      <c r="BK94" s="100">
        <v>676.17760530189662</v>
      </c>
      <c r="BL94" s="100">
        <v>7</v>
      </c>
      <c r="BM94" s="100">
        <v>8349.6</v>
      </c>
      <c r="BN94" s="100">
        <v>7</v>
      </c>
      <c r="BO94" s="100">
        <v>8349.6</v>
      </c>
      <c r="BP94" s="100">
        <v>12</v>
      </c>
      <c r="BQ94" s="100">
        <v>14313.599999999999</v>
      </c>
      <c r="BR94" s="100">
        <v>11</v>
      </c>
      <c r="BS94" s="100">
        <v>13120.8</v>
      </c>
      <c r="BT94" s="100">
        <v>7.1192022596660776</v>
      </c>
      <c r="BU94" s="100">
        <v>8491.7844553296964</v>
      </c>
      <c r="BV94" s="100">
        <v>4.8223855798845561</v>
      </c>
      <c r="BW94" s="100">
        <v>5752.1415196862981</v>
      </c>
      <c r="BX94" s="100">
        <v>6.9517506411322829</v>
      </c>
      <c r="BY94" s="100">
        <v>8292.0481647425859</v>
      </c>
      <c r="BZ94" s="100">
        <v>5.5469927395563285</v>
      </c>
      <c r="CA94" s="100">
        <v>6616.4529397427887</v>
      </c>
      <c r="CB94" s="100">
        <v>5.8822505424965472</v>
      </c>
      <c r="CC94" s="100">
        <v>7016.3484470898811</v>
      </c>
      <c r="CD94" s="100">
        <v>0</v>
      </c>
      <c r="CE94" s="100">
        <v>0</v>
      </c>
      <c r="CF94" s="100">
        <v>7.604677496929237</v>
      </c>
      <c r="CG94" s="100">
        <v>9070.8593183371941</v>
      </c>
      <c r="CH94" s="100">
        <v>5.8262291087584845</v>
      </c>
      <c r="CI94" s="100">
        <v>6949.5260809271203</v>
      </c>
      <c r="CJ94" s="100">
        <v>6.3724380877045919</v>
      </c>
      <c r="CK94" s="100">
        <v>7601.0441510140372</v>
      </c>
      <c r="CL94" s="100">
        <v>0.77049762029842861</v>
      </c>
      <c r="CM94" s="100">
        <v>919.04956149196562</v>
      </c>
      <c r="CN94" s="100">
        <v>7</v>
      </c>
      <c r="CO94" s="100">
        <v>8349.6</v>
      </c>
      <c r="CP94" s="100">
        <v>9</v>
      </c>
      <c r="CQ94" s="100">
        <v>10735.199999999999</v>
      </c>
      <c r="CR94" s="100">
        <v>6</v>
      </c>
      <c r="CS94" s="100">
        <v>7156.7999999999993</v>
      </c>
      <c r="CT94" s="100">
        <v>6.5379056510165885</v>
      </c>
      <c r="CU94" s="100">
        <v>7798.4138605325861</v>
      </c>
    </row>
    <row r="95" spans="2:99">
      <c r="B95" s="99" t="s">
        <v>132</v>
      </c>
      <c r="C95" s="99" t="s">
        <v>261</v>
      </c>
      <c r="D95" s="100">
        <v>6.6966700264649859</v>
      </c>
      <c r="E95" s="100">
        <v>2201.8651047016874</v>
      </c>
      <c r="F95" s="100">
        <v>6.9456792431924326</v>
      </c>
      <c r="G95" s="100">
        <v>2283.739335161672</v>
      </c>
      <c r="H95" s="100">
        <v>9.6985399188479651</v>
      </c>
      <c r="I95" s="100">
        <v>3188.879925317211</v>
      </c>
      <c r="J95" s="100">
        <v>4.7269715794893843</v>
      </c>
      <c r="K95" s="100">
        <v>1554.2282553361097</v>
      </c>
      <c r="L95" s="100">
        <v>2.60870499974442</v>
      </c>
      <c r="M95" s="100">
        <v>857.74220391596532</v>
      </c>
      <c r="N95" s="100">
        <v>9.9742509198854474</v>
      </c>
      <c r="O95" s="100">
        <v>3279.533702458335</v>
      </c>
      <c r="P95" s="100">
        <v>6.8394863450643095</v>
      </c>
      <c r="Q95" s="100">
        <v>2248.8231102571449</v>
      </c>
      <c r="R95" s="100">
        <v>7.1619987093031146</v>
      </c>
      <c r="S95" s="100">
        <v>2354.8651756188642</v>
      </c>
      <c r="T95" s="100">
        <v>6.3284902388238731</v>
      </c>
      <c r="U95" s="100">
        <v>2080.8075905252895</v>
      </c>
      <c r="V95" s="100">
        <v>5.5931799444081465</v>
      </c>
      <c r="W95" s="100">
        <v>1839.0375657213986</v>
      </c>
      <c r="X95" s="100">
        <v>2.8417277823909788</v>
      </c>
      <c r="Y95" s="100">
        <v>934.36009485015381</v>
      </c>
      <c r="Z95" s="100">
        <v>5.1039173174532158</v>
      </c>
      <c r="AA95" s="100">
        <v>1678.1680139786174</v>
      </c>
      <c r="AB95" s="100">
        <v>7.4402520375361725</v>
      </c>
      <c r="AC95" s="100">
        <v>2446.3548699418934</v>
      </c>
      <c r="AD95" s="100">
        <v>7.4806881899140869</v>
      </c>
      <c r="AE95" s="100">
        <v>2459.6502768437517</v>
      </c>
      <c r="AF95" s="100">
        <v>8.7116875123050121</v>
      </c>
      <c r="AG95" s="100">
        <v>2864.402854045888</v>
      </c>
      <c r="AH95" s="100">
        <v>0.64953777883222374</v>
      </c>
      <c r="AI95" s="100">
        <v>213.56802168003517</v>
      </c>
      <c r="AJ95" s="100">
        <v>8</v>
      </c>
      <c r="AK95" s="100">
        <v>2630.4</v>
      </c>
      <c r="AL95" s="100">
        <v>11</v>
      </c>
      <c r="AM95" s="100">
        <v>3616.8</v>
      </c>
      <c r="AN95" s="100">
        <v>12</v>
      </c>
      <c r="AO95" s="100">
        <v>3945.6000000000004</v>
      </c>
      <c r="AP95" s="100">
        <v>8</v>
      </c>
      <c r="AQ95" s="100">
        <v>2630.4</v>
      </c>
      <c r="AR95" s="100">
        <v>8</v>
      </c>
      <c r="AS95" s="100">
        <v>2630.4</v>
      </c>
      <c r="AT95" s="100">
        <v>2.3334077367338151</v>
      </c>
      <c r="AU95" s="100">
        <v>767.22446383807846</v>
      </c>
      <c r="AV95" s="100">
        <v>12</v>
      </c>
      <c r="AW95" s="100">
        <v>3945.6000000000004</v>
      </c>
      <c r="AX95" s="100">
        <v>3.7438514104910214</v>
      </c>
      <c r="AY95" s="100">
        <v>1230.978343769448</v>
      </c>
      <c r="AZ95" s="100">
        <v>8.5361031128321976</v>
      </c>
      <c r="BA95" s="100">
        <v>2806.6707034992269</v>
      </c>
      <c r="BB95" s="100">
        <v>11</v>
      </c>
      <c r="BC95" s="100">
        <v>3616.8</v>
      </c>
      <c r="BD95" s="100">
        <v>12</v>
      </c>
      <c r="BE95" s="100">
        <v>3945.6000000000004</v>
      </c>
      <c r="BF95" s="100">
        <v>9</v>
      </c>
      <c r="BG95" s="100">
        <v>2959.2000000000003</v>
      </c>
      <c r="BH95" s="100">
        <v>8.8276511715665542</v>
      </c>
      <c r="BI95" s="100">
        <v>2902.5317052110831</v>
      </c>
      <c r="BJ95" s="100">
        <v>0.68025916026347766</v>
      </c>
      <c r="BK95" s="100">
        <v>223.66921189463147</v>
      </c>
      <c r="BL95" s="100">
        <v>7</v>
      </c>
      <c r="BM95" s="100">
        <v>2301.6</v>
      </c>
      <c r="BN95" s="100">
        <v>7</v>
      </c>
      <c r="BO95" s="100">
        <v>2301.6</v>
      </c>
      <c r="BP95" s="100">
        <v>13</v>
      </c>
      <c r="BQ95" s="100">
        <v>4274.4000000000005</v>
      </c>
      <c r="BR95" s="100">
        <v>8</v>
      </c>
      <c r="BS95" s="100">
        <v>2630.4</v>
      </c>
      <c r="BT95" s="100">
        <v>8.5430427115992948</v>
      </c>
      <c r="BU95" s="100">
        <v>2808.9524435738481</v>
      </c>
      <c r="BV95" s="100">
        <v>9.6447711597691121</v>
      </c>
      <c r="BW95" s="100">
        <v>3171.2007573320843</v>
      </c>
      <c r="BX95" s="100">
        <v>7.9448578755797516</v>
      </c>
      <c r="BY95" s="100">
        <v>2612.2692694906223</v>
      </c>
      <c r="BZ95" s="100">
        <v>8.7167028764456607</v>
      </c>
      <c r="CA95" s="100">
        <v>2866.0519057753331</v>
      </c>
      <c r="CB95" s="100">
        <v>8.4032150607093516</v>
      </c>
      <c r="CC95" s="100">
        <v>2762.9771119612351</v>
      </c>
      <c r="CD95" s="100">
        <v>0</v>
      </c>
      <c r="CE95" s="100">
        <v>0</v>
      </c>
      <c r="CF95" s="100">
        <v>6.7597133306037662</v>
      </c>
      <c r="CG95" s="100">
        <v>2222.5937431025186</v>
      </c>
      <c r="CH95" s="100">
        <v>8.7393436631377259</v>
      </c>
      <c r="CI95" s="100">
        <v>2873.4961964396844</v>
      </c>
      <c r="CJ95" s="100">
        <v>7.7885354405278342</v>
      </c>
      <c r="CK95" s="100">
        <v>2560.8704528455519</v>
      </c>
      <c r="CL95" s="100">
        <v>0.51366508019895241</v>
      </c>
      <c r="CM95" s="100">
        <v>168.89307836941555</v>
      </c>
      <c r="CN95" s="100">
        <v>13</v>
      </c>
      <c r="CO95" s="100">
        <v>4274.4000000000005</v>
      </c>
      <c r="CP95" s="100">
        <v>8</v>
      </c>
      <c r="CQ95" s="100">
        <v>2630.4</v>
      </c>
      <c r="CR95" s="100">
        <v>13</v>
      </c>
      <c r="CS95" s="100">
        <v>4274.4000000000005</v>
      </c>
      <c r="CT95" s="100">
        <v>6.5379056510165885</v>
      </c>
      <c r="CU95" s="100">
        <v>2149.6633780542543</v>
      </c>
    </row>
    <row r="96" spans="2:99">
      <c r="C96" s="99" t="s">
        <v>262</v>
      </c>
      <c r="D96" s="100">
        <v>6.6966700264649859</v>
      </c>
      <c r="E96" s="100">
        <v>4652.846334387872</v>
      </c>
      <c r="F96" s="100">
        <v>6.9456792431924326</v>
      </c>
      <c r="G96" s="100">
        <v>4825.857938170102</v>
      </c>
      <c r="H96" s="100">
        <v>10.444581451067039</v>
      </c>
      <c r="I96" s="100">
        <v>7256.8951922013784</v>
      </c>
      <c r="J96" s="100">
        <v>4.7269715794893843</v>
      </c>
      <c r="K96" s="100">
        <v>3284.2998534292242</v>
      </c>
      <c r="L96" s="100">
        <v>2.9813771425650515</v>
      </c>
      <c r="M96" s="100">
        <v>2071.4608386541977</v>
      </c>
      <c r="N96" s="100">
        <v>9.143063343228329</v>
      </c>
      <c r="O96" s="100">
        <v>6352.6004108750421</v>
      </c>
      <c r="P96" s="100">
        <v>6.079543417834941</v>
      </c>
      <c r="Q96" s="100">
        <v>4224.0667667117168</v>
      </c>
      <c r="R96" s="100">
        <v>6.5651654835278546</v>
      </c>
      <c r="S96" s="100">
        <v>4561.4769779551534</v>
      </c>
      <c r="T96" s="100">
        <v>6.3284902388238731</v>
      </c>
      <c r="U96" s="100">
        <v>4397.035017934827</v>
      </c>
      <c r="V96" s="100">
        <v>5.5931799444081465</v>
      </c>
      <c r="W96" s="100">
        <v>3886.1414253747798</v>
      </c>
      <c r="X96" s="100">
        <v>2.8417277823909788</v>
      </c>
      <c r="Y96" s="100">
        <v>1974.4324632052519</v>
      </c>
      <c r="Z96" s="100">
        <v>5.1039173174532158</v>
      </c>
      <c r="AA96" s="100">
        <v>3546.2017521664939</v>
      </c>
      <c r="AB96" s="100">
        <v>8.266946708373526</v>
      </c>
      <c r="AC96" s="100">
        <v>5743.8745729779257</v>
      </c>
      <c r="AD96" s="100">
        <v>6.6495006132569658</v>
      </c>
      <c r="AE96" s="100">
        <v>4620.0730260909395</v>
      </c>
      <c r="AF96" s="100">
        <v>8.7116875123050121</v>
      </c>
      <c r="AG96" s="100">
        <v>6052.8804835495221</v>
      </c>
      <c r="AH96" s="100">
        <v>0.64953777883222374</v>
      </c>
      <c r="AI96" s="100">
        <v>451.29884873262904</v>
      </c>
      <c r="AJ96" s="100">
        <v>8</v>
      </c>
      <c r="AK96" s="100">
        <v>5558.4</v>
      </c>
      <c r="AL96" s="100">
        <v>10</v>
      </c>
      <c r="AM96" s="100">
        <v>6948</v>
      </c>
      <c r="AN96" s="100">
        <v>12</v>
      </c>
      <c r="AO96" s="100">
        <v>8337.5999999999985</v>
      </c>
      <c r="AP96" s="100">
        <v>8</v>
      </c>
      <c r="AQ96" s="100">
        <v>5558.4</v>
      </c>
      <c r="AR96" s="100">
        <v>8</v>
      </c>
      <c r="AS96" s="100">
        <v>5558.4</v>
      </c>
      <c r="AT96" s="100">
        <v>2.592675263037572</v>
      </c>
      <c r="AU96" s="100">
        <v>1801.3907727585049</v>
      </c>
      <c r="AV96" s="100">
        <v>13</v>
      </c>
      <c r="AW96" s="100">
        <v>9032.4</v>
      </c>
      <c r="AX96" s="100">
        <v>3.7438514104910214</v>
      </c>
      <c r="AY96" s="100">
        <v>2601.2279600091615</v>
      </c>
      <c r="AZ96" s="100">
        <v>8.5361031128321976</v>
      </c>
      <c r="BA96" s="100">
        <v>5930.8844427958102</v>
      </c>
      <c r="BB96" s="100">
        <v>10</v>
      </c>
      <c r="BC96" s="100">
        <v>6948</v>
      </c>
      <c r="BD96" s="100">
        <v>11</v>
      </c>
      <c r="BE96" s="100">
        <v>7642.7999999999993</v>
      </c>
      <c r="BF96" s="100">
        <v>9</v>
      </c>
      <c r="BG96" s="100">
        <v>6253.2</v>
      </c>
      <c r="BH96" s="100">
        <v>9.6301649144362411</v>
      </c>
      <c r="BI96" s="100">
        <v>6691.0385825502999</v>
      </c>
      <c r="BJ96" s="100">
        <v>0.62357089690818779</v>
      </c>
      <c r="BK96" s="100">
        <v>433.25705917180886</v>
      </c>
      <c r="BL96" s="100">
        <v>7</v>
      </c>
      <c r="BM96" s="100">
        <v>4863.5999999999995</v>
      </c>
      <c r="BN96" s="100">
        <v>7</v>
      </c>
      <c r="BO96" s="100">
        <v>4863.5999999999995</v>
      </c>
      <c r="BP96" s="100">
        <v>12</v>
      </c>
      <c r="BQ96" s="100">
        <v>8337.5999999999985</v>
      </c>
      <c r="BR96" s="100">
        <v>7</v>
      </c>
      <c r="BS96" s="100">
        <v>4863.5999999999995</v>
      </c>
      <c r="BT96" s="100">
        <v>7.8311224856326858</v>
      </c>
      <c r="BU96" s="100">
        <v>5441.0639030175898</v>
      </c>
      <c r="BV96" s="100">
        <v>10.333683385466907</v>
      </c>
      <c r="BW96" s="100">
        <v>7179.8432162224062</v>
      </c>
      <c r="BX96" s="100">
        <v>7.9448578755797516</v>
      </c>
      <c r="BY96" s="100">
        <v>5520.0872519528111</v>
      </c>
      <c r="BZ96" s="100">
        <v>9.5091304106679928</v>
      </c>
      <c r="CA96" s="100">
        <v>6606.9438093321214</v>
      </c>
      <c r="CB96" s="100">
        <v>9.2435365667802873</v>
      </c>
      <c r="CC96" s="100">
        <v>6422.4092065989435</v>
      </c>
      <c r="CD96" s="100">
        <v>0</v>
      </c>
      <c r="CE96" s="100">
        <v>0</v>
      </c>
      <c r="CF96" s="100">
        <v>7.604677496929237</v>
      </c>
      <c r="CG96" s="100">
        <v>5283.729924866434</v>
      </c>
      <c r="CH96" s="100">
        <v>7.2827863859481052</v>
      </c>
      <c r="CI96" s="100">
        <v>5060.0799809567434</v>
      </c>
      <c r="CJ96" s="100">
        <v>7.7885354405278342</v>
      </c>
      <c r="CK96" s="100">
        <v>5411.4744240787386</v>
      </c>
      <c r="CL96" s="100">
        <v>0.44945694517408336</v>
      </c>
      <c r="CM96" s="100">
        <v>312.2826855069531</v>
      </c>
      <c r="CN96" s="100">
        <v>13</v>
      </c>
      <c r="CO96" s="100">
        <v>9032.4</v>
      </c>
      <c r="CP96" s="100">
        <v>8</v>
      </c>
      <c r="CQ96" s="100">
        <v>5558.4</v>
      </c>
      <c r="CR96" s="100">
        <v>13</v>
      </c>
      <c r="CS96" s="100">
        <v>9032.4</v>
      </c>
      <c r="CT96" s="100">
        <v>7.4718921725903868</v>
      </c>
      <c r="CU96" s="100">
        <v>5191.4706815158006</v>
      </c>
    </row>
    <row r="97" spans="2:99">
      <c r="C97" s="99" t="s">
        <v>263</v>
      </c>
      <c r="D97" s="100">
        <v>6.6966700264649859</v>
      </c>
      <c r="E97" s="100">
        <v>2627.7733183848604</v>
      </c>
      <c r="F97" s="100">
        <v>6.9456792431924326</v>
      </c>
      <c r="G97" s="100">
        <v>2725.4845350287105</v>
      </c>
      <c r="H97" s="100">
        <v>8.952498386628891</v>
      </c>
      <c r="I97" s="100">
        <v>3512.9603669131766</v>
      </c>
      <c r="J97" s="100">
        <v>4.7269715794893843</v>
      </c>
      <c r="K97" s="100">
        <v>1854.8636477916343</v>
      </c>
      <c r="L97" s="100">
        <v>2.9813771425650515</v>
      </c>
      <c r="M97" s="100">
        <v>1169.8923907425262</v>
      </c>
      <c r="N97" s="100">
        <v>9.143063343228329</v>
      </c>
      <c r="O97" s="100">
        <v>3587.7380558827963</v>
      </c>
      <c r="P97" s="100">
        <v>6.8394863450643095</v>
      </c>
      <c r="Q97" s="100">
        <v>2683.8144418032348</v>
      </c>
      <c r="R97" s="100">
        <v>7.1619987093031146</v>
      </c>
      <c r="S97" s="100">
        <v>2810.3682935305419</v>
      </c>
      <c r="T97" s="100">
        <v>6.3284902388238731</v>
      </c>
      <c r="U97" s="100">
        <v>2483.2995697144875</v>
      </c>
      <c r="V97" s="100">
        <v>4.8940324513571278</v>
      </c>
      <c r="W97" s="100">
        <v>1920.4183339125368</v>
      </c>
      <c r="X97" s="100">
        <v>2.8417277823909788</v>
      </c>
      <c r="Y97" s="100">
        <v>1115.0939818102199</v>
      </c>
      <c r="Z97" s="100">
        <v>4.6399248340483776</v>
      </c>
      <c r="AA97" s="100">
        <v>1820.7065048805832</v>
      </c>
      <c r="AB97" s="100">
        <v>7.4402520375361725</v>
      </c>
      <c r="AC97" s="100">
        <v>2919.5548995291938</v>
      </c>
      <c r="AD97" s="100">
        <v>5.8183130365998457</v>
      </c>
      <c r="AE97" s="100">
        <v>2283.1060355617792</v>
      </c>
      <c r="AF97" s="100">
        <v>9.6796527914500139</v>
      </c>
      <c r="AG97" s="100">
        <v>3798.2957553649853</v>
      </c>
      <c r="AH97" s="100">
        <v>0.64953777883222374</v>
      </c>
      <c r="AI97" s="100">
        <v>254.87862441376458</v>
      </c>
      <c r="AJ97" s="100">
        <v>9</v>
      </c>
      <c r="AK97" s="100">
        <v>3531.6</v>
      </c>
      <c r="AL97" s="100">
        <v>11</v>
      </c>
      <c r="AM97" s="100">
        <v>4316.3999999999996</v>
      </c>
      <c r="AN97" s="100">
        <v>11</v>
      </c>
      <c r="AO97" s="100">
        <v>4316.3999999999996</v>
      </c>
      <c r="AP97" s="100">
        <v>8</v>
      </c>
      <c r="AQ97" s="100">
        <v>3139.2</v>
      </c>
      <c r="AR97" s="100">
        <v>9</v>
      </c>
      <c r="AS97" s="100">
        <v>3531.6</v>
      </c>
      <c r="AT97" s="100">
        <v>2.592675263037572</v>
      </c>
      <c r="AU97" s="100">
        <v>1017.3657732159432</v>
      </c>
      <c r="AV97" s="100">
        <v>14</v>
      </c>
      <c r="AW97" s="100">
        <v>5493.5999999999995</v>
      </c>
      <c r="AX97" s="100">
        <v>3.7438514104910214</v>
      </c>
      <c r="AY97" s="100">
        <v>1469.0872934766767</v>
      </c>
      <c r="AZ97" s="100">
        <v>7.8247611867628484</v>
      </c>
      <c r="BA97" s="100">
        <v>3070.4362896857415</v>
      </c>
      <c r="BB97" s="100">
        <v>11</v>
      </c>
      <c r="BC97" s="100">
        <v>4316.3999999999996</v>
      </c>
      <c r="BD97" s="100">
        <v>11</v>
      </c>
      <c r="BE97" s="100">
        <v>4316.3999999999996</v>
      </c>
      <c r="BF97" s="100">
        <v>9</v>
      </c>
      <c r="BG97" s="100">
        <v>3531.6</v>
      </c>
      <c r="BH97" s="100">
        <v>8.8276511715665542</v>
      </c>
      <c r="BI97" s="100">
        <v>3463.9703197227159</v>
      </c>
      <c r="BJ97" s="100">
        <v>0.56688263355289792</v>
      </c>
      <c r="BK97" s="100">
        <v>222.44474540615712</v>
      </c>
      <c r="BL97" s="100">
        <v>7</v>
      </c>
      <c r="BM97" s="100">
        <v>2746.7999999999997</v>
      </c>
      <c r="BN97" s="100">
        <v>7</v>
      </c>
      <c r="BO97" s="100">
        <v>2746.7999999999997</v>
      </c>
      <c r="BP97" s="100">
        <v>15</v>
      </c>
      <c r="BQ97" s="100">
        <v>5886</v>
      </c>
      <c r="BR97" s="100">
        <v>8</v>
      </c>
      <c r="BS97" s="100">
        <v>3139.2</v>
      </c>
      <c r="BT97" s="100">
        <v>7.8311224856326858</v>
      </c>
      <c r="BU97" s="100">
        <v>3072.9324633622659</v>
      </c>
      <c r="BV97" s="100">
        <v>10.333683385466907</v>
      </c>
      <c r="BW97" s="100">
        <v>4054.9373604572143</v>
      </c>
      <c r="BX97" s="100">
        <v>7.9448578755797516</v>
      </c>
      <c r="BY97" s="100">
        <v>3117.5622303774944</v>
      </c>
      <c r="BZ97" s="100">
        <v>8.7167028764456607</v>
      </c>
      <c r="CA97" s="100">
        <v>3420.4342087172772</v>
      </c>
      <c r="CB97" s="100">
        <v>8.4032150607093516</v>
      </c>
      <c r="CC97" s="100">
        <v>3297.4215898223492</v>
      </c>
      <c r="CD97" s="100">
        <v>0</v>
      </c>
      <c r="CE97" s="100">
        <v>0</v>
      </c>
      <c r="CF97" s="100">
        <v>6.7597133306037662</v>
      </c>
      <c r="CG97" s="100">
        <v>2652.5115109289177</v>
      </c>
      <c r="CH97" s="100">
        <v>9.467622301732538</v>
      </c>
      <c r="CI97" s="100">
        <v>3715.0949911998478</v>
      </c>
      <c r="CJ97" s="100">
        <v>7.7885354405278342</v>
      </c>
      <c r="CK97" s="100">
        <v>3056.2213068631218</v>
      </c>
      <c r="CL97" s="100">
        <v>0.3852488101492143</v>
      </c>
      <c r="CM97" s="100">
        <v>151.17163310255168</v>
      </c>
      <c r="CN97" s="100">
        <v>12</v>
      </c>
      <c r="CO97" s="100">
        <v>4708.7999999999993</v>
      </c>
      <c r="CP97" s="100">
        <v>8</v>
      </c>
      <c r="CQ97" s="100">
        <v>3139.2</v>
      </c>
      <c r="CR97" s="100">
        <v>13</v>
      </c>
      <c r="CS97" s="100">
        <v>5101.2</v>
      </c>
      <c r="CT97" s="100">
        <v>7.4718921725903868</v>
      </c>
      <c r="CU97" s="100">
        <v>2931.9704885244678</v>
      </c>
    </row>
    <row r="98" spans="2:99">
      <c r="C98" s="99" t="s">
        <v>264</v>
      </c>
      <c r="D98" s="100">
        <v>7.4407444738499837</v>
      </c>
      <c r="E98" s="100">
        <v>3910.8552954555516</v>
      </c>
      <c r="F98" s="100">
        <v>6.9456792431924326</v>
      </c>
      <c r="G98" s="100">
        <v>3650.6490102219427</v>
      </c>
      <c r="H98" s="100">
        <v>9.6985399188479651</v>
      </c>
      <c r="I98" s="100">
        <v>5097.552581346491</v>
      </c>
      <c r="J98" s="100">
        <v>5.5864209575783637</v>
      </c>
      <c r="K98" s="100">
        <v>2936.2228553031882</v>
      </c>
      <c r="L98" s="100">
        <v>2.9813771425650515</v>
      </c>
      <c r="M98" s="100">
        <v>1567.0118261321911</v>
      </c>
      <c r="N98" s="100">
        <v>9.143063343228329</v>
      </c>
      <c r="O98" s="100">
        <v>4805.5940932008098</v>
      </c>
      <c r="P98" s="100">
        <v>6.079543417834941</v>
      </c>
      <c r="Q98" s="100">
        <v>3195.408020414045</v>
      </c>
      <c r="R98" s="100">
        <v>5.9683322577525955</v>
      </c>
      <c r="S98" s="100">
        <v>3136.9554346747641</v>
      </c>
      <c r="T98" s="100">
        <v>6.3284902388238731</v>
      </c>
      <c r="U98" s="100">
        <v>3326.254469525828</v>
      </c>
      <c r="V98" s="100">
        <v>5.5931799444081465</v>
      </c>
      <c r="W98" s="100">
        <v>2939.775378780922</v>
      </c>
      <c r="X98" s="100">
        <v>2.8417277823909788</v>
      </c>
      <c r="Y98" s="100">
        <v>1493.6121224246986</v>
      </c>
      <c r="Z98" s="100">
        <v>4.6399248340483776</v>
      </c>
      <c r="AA98" s="100">
        <v>2438.7444927758274</v>
      </c>
      <c r="AB98" s="100">
        <v>8.266946708373526</v>
      </c>
      <c r="AC98" s="100">
        <v>4345.1071899211256</v>
      </c>
      <c r="AD98" s="100">
        <v>5.8183130365998457</v>
      </c>
      <c r="AE98" s="100">
        <v>3058.1053320368792</v>
      </c>
      <c r="AF98" s="100">
        <v>7.7437222331600104</v>
      </c>
      <c r="AG98" s="100">
        <v>4070.1004057489017</v>
      </c>
      <c r="AH98" s="100">
        <v>0.64953777883222374</v>
      </c>
      <c r="AI98" s="100">
        <v>341.39705655421682</v>
      </c>
      <c r="AJ98" s="100">
        <v>8</v>
      </c>
      <c r="AK98" s="100">
        <v>4204.8</v>
      </c>
      <c r="AL98" s="100">
        <v>11</v>
      </c>
      <c r="AM98" s="100">
        <v>5781.6</v>
      </c>
      <c r="AN98" s="100">
        <v>11</v>
      </c>
      <c r="AO98" s="100">
        <v>5781.6</v>
      </c>
      <c r="AP98" s="100">
        <v>8</v>
      </c>
      <c r="AQ98" s="100">
        <v>4204.8</v>
      </c>
      <c r="AR98" s="100">
        <v>9</v>
      </c>
      <c r="AS98" s="100">
        <v>4730.4000000000005</v>
      </c>
      <c r="AT98" s="100">
        <v>2.3334077367338151</v>
      </c>
      <c r="AU98" s="100">
        <v>1226.4391064272932</v>
      </c>
      <c r="AV98" s="100">
        <v>13</v>
      </c>
      <c r="AW98" s="100">
        <v>6832.8</v>
      </c>
      <c r="AX98" s="100">
        <v>4.2118328368023992</v>
      </c>
      <c r="AY98" s="100">
        <v>2213.739339023341</v>
      </c>
      <c r="AZ98" s="100">
        <v>7.8247611867628484</v>
      </c>
      <c r="BA98" s="100">
        <v>4112.6944797625529</v>
      </c>
      <c r="BB98" s="100">
        <v>11</v>
      </c>
      <c r="BC98" s="100">
        <v>5781.6</v>
      </c>
      <c r="BD98" s="100">
        <v>12</v>
      </c>
      <c r="BE98" s="100">
        <v>6307.2000000000007</v>
      </c>
      <c r="BF98" s="100">
        <v>8</v>
      </c>
      <c r="BG98" s="100">
        <v>4204.8</v>
      </c>
      <c r="BH98" s="100">
        <v>9.6301649144362411</v>
      </c>
      <c r="BI98" s="100">
        <v>5061.6146790276889</v>
      </c>
      <c r="BJ98" s="100">
        <v>0.56688263355289792</v>
      </c>
      <c r="BK98" s="100">
        <v>297.95351219540316</v>
      </c>
      <c r="BL98" s="100">
        <v>7</v>
      </c>
      <c r="BM98" s="100">
        <v>3679.2000000000003</v>
      </c>
      <c r="BN98" s="100">
        <v>8</v>
      </c>
      <c r="BO98" s="100">
        <v>4204.8</v>
      </c>
      <c r="BP98" s="100">
        <v>13</v>
      </c>
      <c r="BQ98" s="100">
        <v>6832.8</v>
      </c>
      <c r="BR98" s="100">
        <v>8</v>
      </c>
      <c r="BS98" s="100">
        <v>4204.8</v>
      </c>
      <c r="BT98" s="100">
        <v>8.5430427115992948</v>
      </c>
      <c r="BU98" s="100">
        <v>4490.2232492165895</v>
      </c>
      <c r="BV98" s="100">
        <v>9.6447711597691121</v>
      </c>
      <c r="BW98" s="100">
        <v>5069.2917215746456</v>
      </c>
      <c r="BX98" s="100">
        <v>8.9379651100272195</v>
      </c>
      <c r="BY98" s="100">
        <v>4697.7944618303063</v>
      </c>
      <c r="BZ98" s="100">
        <v>9.5091304106679928</v>
      </c>
      <c r="CA98" s="100">
        <v>4997.9989438470975</v>
      </c>
      <c r="CB98" s="100">
        <v>8.4032150607093516</v>
      </c>
      <c r="CC98" s="100">
        <v>4416.7298359088354</v>
      </c>
      <c r="CD98" s="100">
        <v>0</v>
      </c>
      <c r="CE98" s="100">
        <v>0</v>
      </c>
      <c r="CF98" s="100">
        <v>6.7597133306037662</v>
      </c>
      <c r="CG98" s="100">
        <v>3552.9053265653397</v>
      </c>
      <c r="CH98" s="100">
        <v>7.2827863859481052</v>
      </c>
      <c r="CI98" s="100">
        <v>3827.8325244543244</v>
      </c>
      <c r="CJ98" s="100">
        <v>7.7885354405278342</v>
      </c>
      <c r="CK98" s="100">
        <v>4093.6542275414299</v>
      </c>
      <c r="CL98" s="100">
        <v>0.44945694517408336</v>
      </c>
      <c r="CM98" s="100">
        <v>236.23457038349821</v>
      </c>
      <c r="CN98" s="100">
        <v>14</v>
      </c>
      <c r="CO98" s="100">
        <v>7358.4000000000005</v>
      </c>
      <c r="CP98" s="100">
        <v>8</v>
      </c>
      <c r="CQ98" s="100">
        <v>4204.8</v>
      </c>
      <c r="CR98" s="100">
        <v>13</v>
      </c>
      <c r="CS98" s="100">
        <v>6832.8</v>
      </c>
      <c r="CT98" s="100">
        <v>6.5379056510165885</v>
      </c>
      <c r="CU98" s="100">
        <v>3436.3232101743192</v>
      </c>
    </row>
    <row r="99" spans="2:99">
      <c r="C99" s="99" t="s">
        <v>265</v>
      </c>
      <c r="D99" s="100">
        <v>5.9525955790799872</v>
      </c>
      <c r="E99" s="100">
        <v>25050.903235000216</v>
      </c>
      <c r="F99" s="100">
        <v>5.3428301870711019</v>
      </c>
      <c r="G99" s="100">
        <v>22484.766559270025</v>
      </c>
      <c r="H99" s="100">
        <v>7.4604153221907419</v>
      </c>
      <c r="I99" s="100">
        <v>31396.411841907517</v>
      </c>
      <c r="J99" s="100">
        <v>4.2972468904448951</v>
      </c>
      <c r="K99" s="100">
        <v>18084.533813748294</v>
      </c>
      <c r="L99" s="100">
        <v>2.2360328569237886</v>
      </c>
      <c r="M99" s="100">
        <v>9410.1206750780711</v>
      </c>
      <c r="N99" s="100">
        <v>7.4806881899140869</v>
      </c>
      <c r="O99" s="100">
        <v>31481.728178434441</v>
      </c>
      <c r="P99" s="100">
        <v>4.5596575633762058</v>
      </c>
      <c r="Q99" s="100">
        <v>19188.862889712422</v>
      </c>
      <c r="R99" s="100">
        <v>4.7746658062020755</v>
      </c>
      <c r="S99" s="100">
        <v>20093.703578820812</v>
      </c>
      <c r="T99" s="100">
        <v>4.9221590746407902</v>
      </c>
      <c r="U99" s="100">
        <v>20714.414249718298</v>
      </c>
      <c r="V99" s="100">
        <v>4.8940324513571278</v>
      </c>
      <c r="W99" s="100">
        <v>20596.046168291334</v>
      </c>
      <c r="X99" s="100">
        <v>2.435766670620839</v>
      </c>
      <c r="Y99" s="100">
        <v>10250.680456640737</v>
      </c>
      <c r="Z99" s="100">
        <v>3.7119398672387023</v>
      </c>
      <c r="AA99" s="100">
        <v>15621.327737287353</v>
      </c>
      <c r="AB99" s="100">
        <v>6.6135573666988208</v>
      </c>
      <c r="AC99" s="100">
        <v>27832.494822015316</v>
      </c>
      <c r="AD99" s="100">
        <v>4.9871254599427237</v>
      </c>
      <c r="AE99" s="100">
        <v>20987.818785622956</v>
      </c>
      <c r="AF99" s="100">
        <v>7.7437222331600104</v>
      </c>
      <c r="AG99" s="100">
        <v>32588.680646030585</v>
      </c>
      <c r="AH99" s="100">
        <v>0.56834555647819573</v>
      </c>
      <c r="AI99" s="100">
        <v>2391.8254398828385</v>
      </c>
      <c r="AJ99" s="100">
        <v>7</v>
      </c>
      <c r="AK99" s="100">
        <v>29458.799999999996</v>
      </c>
      <c r="AL99" s="100">
        <v>9</v>
      </c>
      <c r="AM99" s="100">
        <v>37875.599999999999</v>
      </c>
      <c r="AN99" s="100">
        <v>9</v>
      </c>
      <c r="AO99" s="100">
        <v>37875.599999999999</v>
      </c>
      <c r="AP99" s="100">
        <v>7</v>
      </c>
      <c r="AQ99" s="100">
        <v>29458.799999999996</v>
      </c>
      <c r="AR99" s="100">
        <v>7</v>
      </c>
      <c r="AS99" s="100">
        <v>29458.799999999996</v>
      </c>
      <c r="AT99" s="100">
        <v>2.0741402104300577</v>
      </c>
      <c r="AU99" s="100">
        <v>8728.8116615738545</v>
      </c>
      <c r="AV99" s="100">
        <v>11</v>
      </c>
      <c r="AW99" s="100">
        <v>46292.399999999994</v>
      </c>
      <c r="AX99" s="100">
        <v>3.2758699841796433</v>
      </c>
      <c r="AY99" s="100">
        <v>13786.171241421609</v>
      </c>
      <c r="AZ99" s="100">
        <v>7.1134192606934983</v>
      </c>
      <c r="BA99" s="100">
        <v>29936.113616702514</v>
      </c>
      <c r="BB99" s="100">
        <v>8</v>
      </c>
      <c r="BC99" s="100">
        <v>33667.199999999997</v>
      </c>
      <c r="BD99" s="100">
        <v>9</v>
      </c>
      <c r="BE99" s="100">
        <v>37875.599999999999</v>
      </c>
      <c r="BF99" s="100">
        <v>8</v>
      </c>
      <c r="BG99" s="100">
        <v>33667.199999999997</v>
      </c>
      <c r="BH99" s="100">
        <v>7.2226236858271804</v>
      </c>
      <c r="BI99" s="100">
        <v>30395.689519435102</v>
      </c>
      <c r="BJ99" s="100">
        <v>0.56688263355289792</v>
      </c>
      <c r="BK99" s="100">
        <v>2385.6688750440153</v>
      </c>
      <c r="BL99" s="100">
        <v>6</v>
      </c>
      <c r="BM99" s="100">
        <v>25250.399999999998</v>
      </c>
      <c r="BN99" s="100">
        <v>6</v>
      </c>
      <c r="BO99" s="100">
        <v>25250.399999999998</v>
      </c>
      <c r="BP99" s="100">
        <v>12</v>
      </c>
      <c r="BQ99" s="100">
        <v>50500.799999999996</v>
      </c>
      <c r="BR99" s="100">
        <v>6</v>
      </c>
      <c r="BS99" s="100">
        <v>25250.399999999998</v>
      </c>
      <c r="BT99" s="100">
        <v>7.1192022596660776</v>
      </c>
      <c r="BU99" s="100">
        <v>29960.450789578717</v>
      </c>
      <c r="BV99" s="100">
        <v>7.5780344826757311</v>
      </c>
      <c r="BW99" s="100">
        <v>31891.400316892545</v>
      </c>
      <c r="BX99" s="100">
        <v>6.9517506411322829</v>
      </c>
      <c r="BY99" s="100">
        <v>29255.747398141099</v>
      </c>
      <c r="BZ99" s="100">
        <v>7.1318478080009946</v>
      </c>
      <c r="CA99" s="100">
        <v>30013.668315191382</v>
      </c>
      <c r="CB99" s="100">
        <v>6.722572048567482</v>
      </c>
      <c r="CC99" s="100">
        <v>28291.272209191389</v>
      </c>
      <c r="CD99" s="100">
        <v>0</v>
      </c>
      <c r="CE99" s="100">
        <v>0</v>
      </c>
      <c r="CF99" s="100">
        <v>5.0697849979528247</v>
      </c>
      <c r="CG99" s="100">
        <v>21335.683185384667</v>
      </c>
      <c r="CH99" s="100">
        <v>6.5545077473532949</v>
      </c>
      <c r="CI99" s="100">
        <v>27583.990403961605</v>
      </c>
      <c r="CJ99" s="100">
        <v>6.3724380877045919</v>
      </c>
      <c r="CK99" s="100">
        <v>26817.768448296003</v>
      </c>
      <c r="CL99" s="100">
        <v>0.3852488101492143</v>
      </c>
      <c r="CM99" s="100">
        <v>1621.2810926319532</v>
      </c>
      <c r="CN99" s="100">
        <v>10</v>
      </c>
      <c r="CO99" s="100">
        <v>42084</v>
      </c>
      <c r="CP99" s="100">
        <v>7</v>
      </c>
      <c r="CQ99" s="100">
        <v>29458.799999999996</v>
      </c>
      <c r="CR99" s="100">
        <v>11</v>
      </c>
      <c r="CS99" s="100">
        <v>46292.399999999994</v>
      </c>
      <c r="CT99" s="100">
        <v>5.6039191294427892</v>
      </c>
      <c r="CU99" s="100">
        <v>23583.533264347032</v>
      </c>
    </row>
    <row r="100" spans="2:99">
      <c r="C100" s="99" t="s">
        <v>266</v>
      </c>
      <c r="D100" s="100">
        <v>7.4407444738499837</v>
      </c>
      <c r="E100" s="100">
        <v>2410.8012095273948</v>
      </c>
      <c r="F100" s="100">
        <v>6.4113962244853218</v>
      </c>
      <c r="G100" s="100">
        <v>2077.2923767332441</v>
      </c>
      <c r="H100" s="100">
        <v>9.6985399188479651</v>
      </c>
      <c r="I100" s="100">
        <v>3142.3269337067409</v>
      </c>
      <c r="J100" s="100">
        <v>4.7269715794893843</v>
      </c>
      <c r="K100" s="100">
        <v>1531.5387917545604</v>
      </c>
      <c r="L100" s="100">
        <v>2.9813771425650515</v>
      </c>
      <c r="M100" s="100">
        <v>965.96619419107674</v>
      </c>
      <c r="N100" s="100">
        <v>9.9742509198854474</v>
      </c>
      <c r="O100" s="100">
        <v>3231.657298042885</v>
      </c>
      <c r="P100" s="100">
        <v>6.079543417834941</v>
      </c>
      <c r="Q100" s="100">
        <v>1969.7720673785209</v>
      </c>
      <c r="R100" s="100">
        <v>7.1619987093031146</v>
      </c>
      <c r="S100" s="100">
        <v>2320.4875818142091</v>
      </c>
      <c r="T100" s="100">
        <v>5.6253246567323316</v>
      </c>
      <c r="U100" s="100">
        <v>1822.6051887812755</v>
      </c>
      <c r="V100" s="100">
        <v>5.5931799444081465</v>
      </c>
      <c r="W100" s="100">
        <v>1812.1903019882395</v>
      </c>
      <c r="X100" s="100">
        <v>2.8417277823909788</v>
      </c>
      <c r="Y100" s="100">
        <v>920.71980149467709</v>
      </c>
      <c r="Z100" s="100">
        <v>5.1039173174532158</v>
      </c>
      <c r="AA100" s="100">
        <v>1653.6692108548418</v>
      </c>
      <c r="AB100" s="100">
        <v>7.4402520375361725</v>
      </c>
      <c r="AC100" s="100">
        <v>2410.6416601617198</v>
      </c>
      <c r="AD100" s="100">
        <v>5.8183130365998457</v>
      </c>
      <c r="AE100" s="100">
        <v>1885.1334238583499</v>
      </c>
      <c r="AF100" s="100">
        <v>8.7116875123050121</v>
      </c>
      <c r="AG100" s="100">
        <v>2822.5867539868241</v>
      </c>
      <c r="AH100" s="100">
        <v>0.64953777883222374</v>
      </c>
      <c r="AI100" s="100">
        <v>210.45024034164049</v>
      </c>
      <c r="AJ100" s="100">
        <v>9</v>
      </c>
      <c r="AK100" s="100">
        <v>2916</v>
      </c>
      <c r="AL100" s="100">
        <v>12</v>
      </c>
      <c r="AM100" s="100">
        <v>3888</v>
      </c>
      <c r="AN100" s="100">
        <v>13</v>
      </c>
      <c r="AO100" s="100">
        <v>4212</v>
      </c>
      <c r="AP100" s="100">
        <v>8</v>
      </c>
      <c r="AQ100" s="100">
        <v>2592</v>
      </c>
      <c r="AR100" s="100">
        <v>9</v>
      </c>
      <c r="AS100" s="100">
        <v>2916</v>
      </c>
      <c r="AT100" s="100">
        <v>2.3334077367338151</v>
      </c>
      <c r="AU100" s="100">
        <v>756.02410670175607</v>
      </c>
      <c r="AV100" s="100">
        <v>13</v>
      </c>
      <c r="AW100" s="100">
        <v>4212</v>
      </c>
      <c r="AX100" s="100">
        <v>3.7438514104910214</v>
      </c>
      <c r="AY100" s="100">
        <v>1213.007856999091</v>
      </c>
      <c r="AZ100" s="100">
        <v>9.9587869649708978</v>
      </c>
      <c r="BA100" s="100">
        <v>3226.6469766505707</v>
      </c>
      <c r="BB100" s="100">
        <v>11</v>
      </c>
      <c r="BC100" s="100">
        <v>3564</v>
      </c>
      <c r="BD100" s="100">
        <v>12</v>
      </c>
      <c r="BE100" s="100">
        <v>3888</v>
      </c>
      <c r="BF100" s="100">
        <v>8</v>
      </c>
      <c r="BG100" s="100">
        <v>2592</v>
      </c>
      <c r="BH100" s="100">
        <v>8.8276511715665542</v>
      </c>
      <c r="BI100" s="100">
        <v>2860.1589795875634</v>
      </c>
      <c r="BJ100" s="100">
        <v>0.62357089690818779</v>
      </c>
      <c r="BK100" s="100">
        <v>202.03697059825285</v>
      </c>
      <c r="BL100" s="100">
        <v>7</v>
      </c>
      <c r="BM100" s="100">
        <v>2268</v>
      </c>
      <c r="BN100" s="100">
        <v>7</v>
      </c>
      <c r="BO100" s="100">
        <v>2268</v>
      </c>
      <c r="BP100" s="100">
        <v>15</v>
      </c>
      <c r="BQ100" s="100">
        <v>4860</v>
      </c>
      <c r="BR100" s="100">
        <v>8</v>
      </c>
      <c r="BS100" s="100">
        <v>2592</v>
      </c>
      <c r="BT100" s="100">
        <v>7.8311224856326858</v>
      </c>
      <c r="BU100" s="100">
        <v>2537.2836853449903</v>
      </c>
      <c r="BV100" s="100">
        <v>9.6447711597691121</v>
      </c>
      <c r="BW100" s="100">
        <v>3124.9058557651924</v>
      </c>
      <c r="BX100" s="100">
        <v>8.9379651100272195</v>
      </c>
      <c r="BY100" s="100">
        <v>2895.9006956488192</v>
      </c>
      <c r="BZ100" s="100">
        <v>8.7167028764456607</v>
      </c>
      <c r="CA100" s="100">
        <v>2824.2117319683939</v>
      </c>
      <c r="CB100" s="100">
        <v>8.4032150607093516</v>
      </c>
      <c r="CC100" s="100">
        <v>2722.64167966983</v>
      </c>
      <c r="CD100" s="100">
        <v>0</v>
      </c>
      <c r="CE100" s="100">
        <v>0</v>
      </c>
      <c r="CF100" s="100">
        <v>7.604677496929237</v>
      </c>
      <c r="CG100" s="100">
        <v>2463.9155090050726</v>
      </c>
      <c r="CH100" s="100">
        <v>8.7393436631377259</v>
      </c>
      <c r="CI100" s="100">
        <v>2831.5473468566233</v>
      </c>
      <c r="CJ100" s="100">
        <v>8.4965841169394558</v>
      </c>
      <c r="CK100" s="100">
        <v>2752.8932538883837</v>
      </c>
      <c r="CL100" s="100">
        <v>0.51366508019895241</v>
      </c>
      <c r="CM100" s="100">
        <v>166.42748598446059</v>
      </c>
      <c r="CN100" s="100">
        <v>13</v>
      </c>
      <c r="CO100" s="100">
        <v>4212</v>
      </c>
      <c r="CP100" s="100">
        <v>8</v>
      </c>
      <c r="CQ100" s="100">
        <v>2592</v>
      </c>
      <c r="CR100" s="100">
        <v>14</v>
      </c>
      <c r="CS100" s="100">
        <v>4536</v>
      </c>
      <c r="CT100" s="100">
        <v>6.5379056510165885</v>
      </c>
      <c r="CU100" s="100">
        <v>2118.2814309293749</v>
      </c>
    </row>
    <row r="101" spans="2:99">
      <c r="C101" s="99" t="s">
        <v>267</v>
      </c>
      <c r="D101" s="100">
        <v>7.4407444738499837</v>
      </c>
      <c r="E101" s="100">
        <v>5384.1227012778481</v>
      </c>
      <c r="F101" s="100">
        <v>6.4113962244853218</v>
      </c>
      <c r="G101" s="100">
        <v>4639.2863080375791</v>
      </c>
      <c r="H101" s="100">
        <v>10.444581451067039</v>
      </c>
      <c r="I101" s="100">
        <v>7557.6991379921101</v>
      </c>
      <c r="J101" s="100">
        <v>4.2972468904448951</v>
      </c>
      <c r="K101" s="100">
        <v>3109.4878499259262</v>
      </c>
      <c r="L101" s="100">
        <v>2.9813771425650515</v>
      </c>
      <c r="M101" s="100">
        <v>2157.3245003600714</v>
      </c>
      <c r="N101" s="100">
        <v>8.3118757665712071</v>
      </c>
      <c r="O101" s="100">
        <v>6014.4733046909259</v>
      </c>
      <c r="P101" s="100">
        <v>6.8394863450643095</v>
      </c>
      <c r="Q101" s="100">
        <v>4949.0523192885348</v>
      </c>
      <c r="R101" s="100">
        <v>7.1619987093031146</v>
      </c>
      <c r="S101" s="100">
        <v>5182.4222660517335</v>
      </c>
      <c r="T101" s="100">
        <v>5.6253246567323316</v>
      </c>
      <c r="U101" s="100">
        <v>4070.4849216115153</v>
      </c>
      <c r="V101" s="100">
        <v>4.8940324513571278</v>
      </c>
      <c r="W101" s="100">
        <v>3541.3218818020177</v>
      </c>
      <c r="X101" s="100">
        <v>3.2476888941611186</v>
      </c>
      <c r="Y101" s="100">
        <v>2350.0276838149857</v>
      </c>
      <c r="Z101" s="100">
        <v>5.1039173174532158</v>
      </c>
      <c r="AA101" s="100">
        <v>3693.1945709091469</v>
      </c>
      <c r="AB101" s="100">
        <v>7.4402520375361725</v>
      </c>
      <c r="AC101" s="100">
        <v>5383.7663743611747</v>
      </c>
      <c r="AD101" s="100">
        <v>6.6495006132569658</v>
      </c>
      <c r="AE101" s="100">
        <v>4811.5786437527404</v>
      </c>
      <c r="AF101" s="100">
        <v>7.7437222331600104</v>
      </c>
      <c r="AG101" s="100">
        <v>5603.3574079145837</v>
      </c>
      <c r="AH101" s="100">
        <v>0.56834555647819573</v>
      </c>
      <c r="AI101" s="100">
        <v>411.25484466762242</v>
      </c>
      <c r="AJ101" s="100">
        <v>8</v>
      </c>
      <c r="AK101" s="100">
        <v>5788.8</v>
      </c>
      <c r="AL101" s="100">
        <v>10</v>
      </c>
      <c r="AM101" s="100">
        <v>7236</v>
      </c>
      <c r="AN101" s="100">
        <v>13</v>
      </c>
      <c r="AO101" s="100">
        <v>9406.8000000000011</v>
      </c>
      <c r="AP101" s="100">
        <v>8</v>
      </c>
      <c r="AQ101" s="100">
        <v>5788.8</v>
      </c>
      <c r="AR101" s="100">
        <v>9</v>
      </c>
      <c r="AS101" s="100">
        <v>6512.4000000000005</v>
      </c>
      <c r="AT101" s="100">
        <v>2.592675263037572</v>
      </c>
      <c r="AU101" s="100">
        <v>1876.0598203339871</v>
      </c>
      <c r="AV101" s="100">
        <v>11</v>
      </c>
      <c r="AW101" s="100">
        <v>7959.6</v>
      </c>
      <c r="AX101" s="100">
        <v>3.7438514104910214</v>
      </c>
      <c r="AY101" s="100">
        <v>2709.0508806313032</v>
      </c>
      <c r="AZ101" s="100">
        <v>8.5361031128321976</v>
      </c>
      <c r="BA101" s="100">
        <v>6176.7242124453787</v>
      </c>
      <c r="BB101" s="100">
        <v>11</v>
      </c>
      <c r="BC101" s="100">
        <v>7959.6</v>
      </c>
      <c r="BD101" s="100">
        <v>12</v>
      </c>
      <c r="BE101" s="100">
        <v>8683.2000000000007</v>
      </c>
      <c r="BF101" s="100">
        <v>9</v>
      </c>
      <c r="BG101" s="100">
        <v>6512.4000000000005</v>
      </c>
      <c r="BH101" s="100">
        <v>9.6301649144362411</v>
      </c>
      <c r="BI101" s="100">
        <v>6968.3873320860639</v>
      </c>
      <c r="BJ101" s="100">
        <v>0.56688263355289792</v>
      </c>
      <c r="BK101" s="100">
        <v>410.19627363887696</v>
      </c>
      <c r="BL101" s="100">
        <v>7</v>
      </c>
      <c r="BM101" s="100">
        <v>5065.2</v>
      </c>
      <c r="BN101" s="100">
        <v>7</v>
      </c>
      <c r="BO101" s="100">
        <v>5065.2</v>
      </c>
      <c r="BP101" s="100">
        <v>12</v>
      </c>
      <c r="BQ101" s="100">
        <v>8683.2000000000007</v>
      </c>
      <c r="BR101" s="100">
        <v>7</v>
      </c>
      <c r="BS101" s="100">
        <v>5065.2</v>
      </c>
      <c r="BT101" s="100">
        <v>7.8311224856326858</v>
      </c>
      <c r="BU101" s="100">
        <v>5666.6002306038117</v>
      </c>
      <c r="BV101" s="100">
        <v>8.9558589340713191</v>
      </c>
      <c r="BW101" s="100">
        <v>6480.4595246940071</v>
      </c>
      <c r="BX101" s="100">
        <v>7.9448578755797516</v>
      </c>
      <c r="BY101" s="100">
        <v>5748.8991587695082</v>
      </c>
      <c r="BZ101" s="100">
        <v>7.9242753422233267</v>
      </c>
      <c r="CA101" s="100">
        <v>5734.0056376327993</v>
      </c>
      <c r="CB101" s="100">
        <v>8.4032150607093516</v>
      </c>
      <c r="CC101" s="100">
        <v>6080.5664179292871</v>
      </c>
      <c r="CD101" s="100">
        <v>0</v>
      </c>
      <c r="CE101" s="100">
        <v>0</v>
      </c>
      <c r="CF101" s="100">
        <v>5.9147491642782954</v>
      </c>
      <c r="CG101" s="100">
        <v>4279.9124952717748</v>
      </c>
      <c r="CH101" s="100">
        <v>8.0110650245429156</v>
      </c>
      <c r="CI101" s="100">
        <v>5796.8066517592542</v>
      </c>
      <c r="CJ101" s="100">
        <v>7.0804867641162135</v>
      </c>
      <c r="CK101" s="100">
        <v>5123.4402225144922</v>
      </c>
      <c r="CL101" s="100">
        <v>0.44945694517408336</v>
      </c>
      <c r="CM101" s="100">
        <v>325.22704552796671</v>
      </c>
      <c r="CN101" s="100">
        <v>12</v>
      </c>
      <c r="CO101" s="100">
        <v>8683.2000000000007</v>
      </c>
      <c r="CP101" s="100">
        <v>9</v>
      </c>
      <c r="CQ101" s="100">
        <v>6512.4000000000005</v>
      </c>
      <c r="CR101" s="100">
        <v>12</v>
      </c>
      <c r="CS101" s="100">
        <v>8683.2000000000007</v>
      </c>
      <c r="CT101" s="100">
        <v>6.5379056510165885</v>
      </c>
      <c r="CU101" s="100">
        <v>4730.8285290756039</v>
      </c>
    </row>
    <row r="102" spans="2:99">
      <c r="C102" s="99" t="s">
        <v>268</v>
      </c>
      <c r="D102" s="100">
        <v>6.6966700264649859</v>
      </c>
      <c r="E102" s="100">
        <v>3559.9497860687866</v>
      </c>
      <c r="F102" s="100">
        <v>6.9456792431924326</v>
      </c>
      <c r="G102" s="100">
        <v>3692.3230856810974</v>
      </c>
      <c r="H102" s="100">
        <v>9.6985399188479651</v>
      </c>
      <c r="I102" s="100">
        <v>5155.7438208595786</v>
      </c>
      <c r="J102" s="100">
        <v>5.1566962685338744</v>
      </c>
      <c r="K102" s="100">
        <v>2741.2997363526079</v>
      </c>
      <c r="L102" s="100">
        <v>2.9813771425650515</v>
      </c>
      <c r="M102" s="100">
        <v>1584.9000889875815</v>
      </c>
      <c r="N102" s="100">
        <v>9.143063343228329</v>
      </c>
      <c r="O102" s="100">
        <v>4860.4524732601803</v>
      </c>
      <c r="P102" s="100">
        <v>6.079543417834941</v>
      </c>
      <c r="Q102" s="100">
        <v>3231.8852809210548</v>
      </c>
      <c r="R102" s="100">
        <v>7.1619987093031146</v>
      </c>
      <c r="S102" s="100">
        <v>3807.3185138655358</v>
      </c>
      <c r="T102" s="100">
        <v>5.6253246567323316</v>
      </c>
      <c r="U102" s="100">
        <v>2990.4225875189077</v>
      </c>
      <c r="V102" s="100">
        <v>4.8940324513571278</v>
      </c>
      <c r="W102" s="100">
        <v>2601.6676511414494</v>
      </c>
      <c r="X102" s="100">
        <v>2.8417277823909788</v>
      </c>
      <c r="Y102" s="100">
        <v>1510.6624891190445</v>
      </c>
      <c r="Z102" s="100">
        <v>5.1039173174532158</v>
      </c>
      <c r="AA102" s="100">
        <v>2713.2424459581298</v>
      </c>
      <c r="AB102" s="100">
        <v>6.6135573666988208</v>
      </c>
      <c r="AC102" s="100">
        <v>3515.7670961370932</v>
      </c>
      <c r="AD102" s="100">
        <v>6.6495006132569658</v>
      </c>
      <c r="AE102" s="100">
        <v>3534.8745260074033</v>
      </c>
      <c r="AF102" s="100">
        <v>8.7116875123050121</v>
      </c>
      <c r="AG102" s="100">
        <v>4631.1330815413448</v>
      </c>
      <c r="AH102" s="100">
        <v>0.64953777883222374</v>
      </c>
      <c r="AI102" s="100">
        <v>345.29428322721014</v>
      </c>
      <c r="AJ102" s="100">
        <v>8</v>
      </c>
      <c r="AK102" s="100">
        <v>4252.8</v>
      </c>
      <c r="AL102" s="100">
        <v>11</v>
      </c>
      <c r="AM102" s="100">
        <v>5847.6</v>
      </c>
      <c r="AN102" s="100">
        <v>12</v>
      </c>
      <c r="AO102" s="100">
        <v>6379.2000000000007</v>
      </c>
      <c r="AP102" s="100">
        <v>7</v>
      </c>
      <c r="AQ102" s="100">
        <v>3721.2000000000003</v>
      </c>
      <c r="AR102" s="100">
        <v>8</v>
      </c>
      <c r="AS102" s="100">
        <v>4252.8</v>
      </c>
      <c r="AT102" s="100">
        <v>2.592675263037572</v>
      </c>
      <c r="AU102" s="100">
        <v>1378.2661698307734</v>
      </c>
      <c r="AV102" s="100">
        <v>13</v>
      </c>
      <c r="AW102" s="100">
        <v>6910.8</v>
      </c>
      <c r="AX102" s="100">
        <v>4.2118328368023992</v>
      </c>
      <c r="AY102" s="100">
        <v>2239.0103360441553</v>
      </c>
      <c r="AZ102" s="100">
        <v>8.5361031128321976</v>
      </c>
      <c r="BA102" s="100">
        <v>4537.7924147815966</v>
      </c>
      <c r="BB102" s="100">
        <v>11</v>
      </c>
      <c r="BC102" s="100">
        <v>5847.6</v>
      </c>
      <c r="BD102" s="100">
        <v>12</v>
      </c>
      <c r="BE102" s="100">
        <v>6379.2000000000007</v>
      </c>
      <c r="BF102" s="100">
        <v>9</v>
      </c>
      <c r="BG102" s="100">
        <v>4784.4000000000005</v>
      </c>
      <c r="BH102" s="100">
        <v>8.8276511715665542</v>
      </c>
      <c r="BI102" s="100">
        <v>4692.7793628047802</v>
      </c>
      <c r="BJ102" s="100">
        <v>0.62357089690818779</v>
      </c>
      <c r="BK102" s="100">
        <v>331.49028879639263</v>
      </c>
      <c r="BL102" s="100">
        <v>7</v>
      </c>
      <c r="BM102" s="100">
        <v>3721.2000000000003</v>
      </c>
      <c r="BN102" s="100">
        <v>7</v>
      </c>
      <c r="BO102" s="100">
        <v>3721.2000000000003</v>
      </c>
      <c r="BP102" s="100">
        <v>13</v>
      </c>
      <c r="BQ102" s="100">
        <v>6910.8</v>
      </c>
      <c r="BR102" s="100">
        <v>8</v>
      </c>
      <c r="BS102" s="100">
        <v>4252.8</v>
      </c>
      <c r="BT102" s="100">
        <v>9.2549629375659013</v>
      </c>
      <c r="BU102" s="100">
        <v>4919.9382976100333</v>
      </c>
      <c r="BV102" s="100">
        <v>9.6447711597691121</v>
      </c>
      <c r="BW102" s="100">
        <v>5127.1603485332598</v>
      </c>
      <c r="BX102" s="100">
        <v>8.9379651100272195</v>
      </c>
      <c r="BY102" s="100">
        <v>4751.4222524904699</v>
      </c>
      <c r="BZ102" s="100">
        <v>9.5091304106679928</v>
      </c>
      <c r="CA102" s="100">
        <v>5055.0537263111055</v>
      </c>
      <c r="CB102" s="100">
        <v>8.4032150607093516</v>
      </c>
      <c r="CC102" s="100">
        <v>4467.1491262730915</v>
      </c>
      <c r="CD102" s="100">
        <v>0</v>
      </c>
      <c r="CE102" s="100">
        <v>0</v>
      </c>
      <c r="CF102" s="100">
        <v>7.604677496929237</v>
      </c>
      <c r="CG102" s="100">
        <v>4042.6465573675828</v>
      </c>
      <c r="CH102" s="100">
        <v>9.467622301732538</v>
      </c>
      <c r="CI102" s="100">
        <v>5032.9880156010177</v>
      </c>
      <c r="CJ102" s="100">
        <v>7.0804867641162135</v>
      </c>
      <c r="CK102" s="100">
        <v>3763.9867638041792</v>
      </c>
      <c r="CL102" s="100">
        <v>0.51366508019895241</v>
      </c>
      <c r="CM102" s="100">
        <v>273.06435663376311</v>
      </c>
      <c r="CN102" s="100">
        <v>12</v>
      </c>
      <c r="CO102" s="100">
        <v>6379.2000000000007</v>
      </c>
      <c r="CP102" s="100">
        <v>8</v>
      </c>
      <c r="CQ102" s="100">
        <v>4252.8</v>
      </c>
      <c r="CR102" s="100">
        <v>13</v>
      </c>
      <c r="CS102" s="100">
        <v>6910.8</v>
      </c>
      <c r="CT102" s="100">
        <v>6.5379056510165885</v>
      </c>
      <c r="CU102" s="100">
        <v>3475.5506440804188</v>
      </c>
    </row>
    <row r="103" spans="2:99">
      <c r="C103" s="99" t="s">
        <v>269</v>
      </c>
      <c r="D103" s="100">
        <v>6.6966700264649859</v>
      </c>
      <c r="E103" s="100">
        <v>3945.6779795931693</v>
      </c>
      <c r="F103" s="100">
        <v>6.9456792431924326</v>
      </c>
      <c r="G103" s="100">
        <v>4092.3942100889808</v>
      </c>
      <c r="H103" s="100">
        <v>9.6985399188479651</v>
      </c>
      <c r="I103" s="100">
        <v>5714.3797201852203</v>
      </c>
      <c r="J103" s="100">
        <v>4.7269715794893843</v>
      </c>
      <c r="K103" s="100">
        <v>2785.131654635145</v>
      </c>
      <c r="L103" s="100">
        <v>2.9813771425650515</v>
      </c>
      <c r="M103" s="100">
        <v>1756.627412399328</v>
      </c>
      <c r="N103" s="100">
        <v>9.143063343228329</v>
      </c>
      <c r="O103" s="100">
        <v>5387.0929218301308</v>
      </c>
      <c r="P103" s="100">
        <v>6.079543417834941</v>
      </c>
      <c r="Q103" s="100">
        <v>3582.0669817883468</v>
      </c>
      <c r="R103" s="100">
        <v>6.5651654835278546</v>
      </c>
      <c r="S103" s="100">
        <v>3868.1955028946113</v>
      </c>
      <c r="T103" s="100">
        <v>5.6253246567323316</v>
      </c>
      <c r="U103" s="100">
        <v>3314.4412877466893</v>
      </c>
      <c r="V103" s="100">
        <v>4.8940324513571278</v>
      </c>
      <c r="W103" s="100">
        <v>2883.5639203396195</v>
      </c>
      <c r="X103" s="100">
        <v>2.8417277823909788</v>
      </c>
      <c r="Y103" s="100">
        <v>1674.3460093847646</v>
      </c>
      <c r="Z103" s="100">
        <v>5.1039173174532158</v>
      </c>
      <c r="AA103" s="100">
        <v>3007.2280834434346</v>
      </c>
      <c r="AB103" s="100">
        <v>8.266946708373526</v>
      </c>
      <c r="AC103" s="100">
        <v>4870.8850005736813</v>
      </c>
      <c r="AD103" s="100">
        <v>6.6495006132569658</v>
      </c>
      <c r="AE103" s="100">
        <v>3917.8857613310038</v>
      </c>
      <c r="AF103" s="100">
        <v>7.7437222331600104</v>
      </c>
      <c r="AG103" s="100">
        <v>4562.6011397778775</v>
      </c>
      <c r="AH103" s="100">
        <v>0.64953777883222374</v>
      </c>
      <c r="AI103" s="100">
        <v>382.70765928794617</v>
      </c>
      <c r="AJ103" s="100">
        <v>8</v>
      </c>
      <c r="AK103" s="100">
        <v>4713.5999999999995</v>
      </c>
      <c r="AL103" s="100">
        <v>11</v>
      </c>
      <c r="AM103" s="100">
        <v>6481.1999999999989</v>
      </c>
      <c r="AN103" s="100">
        <v>13</v>
      </c>
      <c r="AO103" s="100">
        <v>7659.5999999999995</v>
      </c>
      <c r="AP103" s="100">
        <v>8</v>
      </c>
      <c r="AQ103" s="100">
        <v>4713.5999999999995</v>
      </c>
      <c r="AR103" s="100">
        <v>8</v>
      </c>
      <c r="AS103" s="100">
        <v>4713.5999999999995</v>
      </c>
      <c r="AT103" s="100">
        <v>2.3334077367338151</v>
      </c>
      <c r="AU103" s="100">
        <v>1374.8438384835638</v>
      </c>
      <c r="AV103" s="100">
        <v>14</v>
      </c>
      <c r="AW103" s="100">
        <v>8248.7999999999993</v>
      </c>
      <c r="AX103" s="100">
        <v>3.7438514104910214</v>
      </c>
      <c r="AY103" s="100">
        <v>2205.8772510613094</v>
      </c>
      <c r="AZ103" s="100">
        <v>9.2474450389015477</v>
      </c>
      <c r="BA103" s="100">
        <v>5448.5946169207909</v>
      </c>
      <c r="BB103" s="100">
        <v>11</v>
      </c>
      <c r="BC103" s="100">
        <v>6481.1999999999989</v>
      </c>
      <c r="BD103" s="100">
        <v>12</v>
      </c>
      <c r="BE103" s="100">
        <v>7070.4</v>
      </c>
      <c r="BF103" s="100">
        <v>8</v>
      </c>
      <c r="BG103" s="100">
        <v>4713.5999999999995</v>
      </c>
      <c r="BH103" s="100">
        <v>8.8276511715665542</v>
      </c>
      <c r="BI103" s="100">
        <v>5201.2520702870133</v>
      </c>
      <c r="BJ103" s="100">
        <v>0.56688263355289792</v>
      </c>
      <c r="BK103" s="100">
        <v>334.00724768936743</v>
      </c>
      <c r="BL103" s="100">
        <v>8</v>
      </c>
      <c r="BM103" s="100">
        <v>4713.5999999999995</v>
      </c>
      <c r="BN103" s="100">
        <v>8</v>
      </c>
      <c r="BO103" s="100">
        <v>4713.5999999999995</v>
      </c>
      <c r="BP103" s="100">
        <v>13</v>
      </c>
      <c r="BQ103" s="100">
        <v>7659.5999999999995</v>
      </c>
      <c r="BR103" s="100">
        <v>8</v>
      </c>
      <c r="BS103" s="100">
        <v>4713.5999999999995</v>
      </c>
      <c r="BT103" s="100">
        <v>8.5430427115992948</v>
      </c>
      <c r="BU103" s="100">
        <v>5033.5607656743041</v>
      </c>
      <c r="BV103" s="100">
        <v>9.6447711597691121</v>
      </c>
      <c r="BW103" s="100">
        <v>5682.6991673359598</v>
      </c>
      <c r="BX103" s="100">
        <v>7.9448578755797516</v>
      </c>
      <c r="BY103" s="100">
        <v>4681.1102602915889</v>
      </c>
      <c r="BZ103" s="100">
        <v>7.9242753422233267</v>
      </c>
      <c r="CA103" s="100">
        <v>4668.9830316379839</v>
      </c>
      <c r="CB103" s="100">
        <v>8.4032150607093516</v>
      </c>
      <c r="CC103" s="100">
        <v>4951.1743137699495</v>
      </c>
      <c r="CD103" s="100">
        <v>0</v>
      </c>
      <c r="CE103" s="100">
        <v>0</v>
      </c>
      <c r="CF103" s="100">
        <v>7.604677496929237</v>
      </c>
      <c r="CG103" s="100">
        <v>4480.6759811907059</v>
      </c>
      <c r="CH103" s="100">
        <v>8.7393436631377259</v>
      </c>
      <c r="CI103" s="100">
        <v>5149.2212863207478</v>
      </c>
      <c r="CJ103" s="100">
        <v>7.7885354405278342</v>
      </c>
      <c r="CK103" s="100">
        <v>4589.0050815589993</v>
      </c>
      <c r="CL103" s="100">
        <v>0.44945694517408336</v>
      </c>
      <c r="CM103" s="100">
        <v>264.82003209656989</v>
      </c>
      <c r="CN103" s="100">
        <v>13</v>
      </c>
      <c r="CO103" s="100">
        <v>7659.5999999999995</v>
      </c>
      <c r="CP103" s="100">
        <v>8</v>
      </c>
      <c r="CQ103" s="100">
        <v>4713.5999999999995</v>
      </c>
      <c r="CR103" s="100">
        <v>14</v>
      </c>
      <c r="CS103" s="100">
        <v>8248.7999999999993</v>
      </c>
      <c r="CT103" s="100">
        <v>6.5379056510165885</v>
      </c>
      <c r="CU103" s="100">
        <v>3852.1340095789733</v>
      </c>
    </row>
    <row r="104" spans="2:99">
      <c r="C104" s="99" t="s">
        <v>270</v>
      </c>
      <c r="D104" s="100">
        <v>6.6966700264649859</v>
      </c>
      <c r="E104" s="100">
        <v>4234.9741247364573</v>
      </c>
      <c r="F104" s="100">
        <v>5.8771132057782127</v>
      </c>
      <c r="G104" s="100">
        <v>3716.6863913341417</v>
      </c>
      <c r="H104" s="100">
        <v>8.952498386628891</v>
      </c>
      <c r="I104" s="100">
        <v>5661.5599797041104</v>
      </c>
      <c r="J104" s="100">
        <v>4.2972468904448951</v>
      </c>
      <c r="K104" s="100">
        <v>2717.5789335173517</v>
      </c>
      <c r="L104" s="100">
        <v>2.9813771425650515</v>
      </c>
      <c r="M104" s="100">
        <v>1885.4229049581386</v>
      </c>
      <c r="N104" s="100">
        <v>9.9742509198854474</v>
      </c>
      <c r="O104" s="100">
        <v>6307.7162817355565</v>
      </c>
      <c r="P104" s="100">
        <v>6.079543417834941</v>
      </c>
      <c r="Q104" s="100">
        <v>3844.7032574388168</v>
      </c>
      <c r="R104" s="100">
        <v>6.5651654835278546</v>
      </c>
      <c r="S104" s="100">
        <v>4151.8106517830147</v>
      </c>
      <c r="T104" s="100">
        <v>5.6253246567323316</v>
      </c>
      <c r="U104" s="100">
        <v>3557.4553129175265</v>
      </c>
      <c r="V104" s="100">
        <v>4.8940324513571278</v>
      </c>
      <c r="W104" s="100">
        <v>3094.9861222382474</v>
      </c>
      <c r="X104" s="100">
        <v>2.8417277823909788</v>
      </c>
      <c r="Y104" s="100">
        <v>1797.108649584055</v>
      </c>
      <c r="Z104" s="100">
        <v>5.1039173174532158</v>
      </c>
      <c r="AA104" s="100">
        <v>3227.7173115574137</v>
      </c>
      <c r="AB104" s="100">
        <v>7.4402520375361725</v>
      </c>
      <c r="AC104" s="100">
        <v>4705.2153885378757</v>
      </c>
      <c r="AD104" s="100">
        <v>6.6495006132569658</v>
      </c>
      <c r="AE104" s="100">
        <v>4205.1441878237047</v>
      </c>
      <c r="AF104" s="100">
        <v>7.7437222331600104</v>
      </c>
      <c r="AG104" s="100">
        <v>4897.1299402503901</v>
      </c>
      <c r="AH104" s="100">
        <v>0.56834555647819573</v>
      </c>
      <c r="AI104" s="100">
        <v>359.42172991681099</v>
      </c>
      <c r="AJ104" s="100">
        <v>8</v>
      </c>
      <c r="AK104" s="100">
        <v>5059.2</v>
      </c>
      <c r="AL104" s="100">
        <v>11</v>
      </c>
      <c r="AM104" s="100">
        <v>6956.4</v>
      </c>
      <c r="AN104" s="100">
        <v>11</v>
      </c>
      <c r="AO104" s="100">
        <v>6956.4</v>
      </c>
      <c r="AP104" s="100">
        <v>8</v>
      </c>
      <c r="AQ104" s="100">
        <v>5059.2</v>
      </c>
      <c r="AR104" s="100">
        <v>8</v>
      </c>
      <c r="AS104" s="100">
        <v>5059.2</v>
      </c>
      <c r="AT104" s="100">
        <v>2.592675263037572</v>
      </c>
      <c r="AU104" s="100">
        <v>1639.6078363449606</v>
      </c>
      <c r="AV104" s="100">
        <v>12</v>
      </c>
      <c r="AW104" s="100">
        <v>7588.7999999999993</v>
      </c>
      <c r="AX104" s="100">
        <v>3.7438514104910214</v>
      </c>
      <c r="AY104" s="100">
        <v>2367.6116319945218</v>
      </c>
      <c r="AZ104" s="100">
        <v>8.5361031128321976</v>
      </c>
      <c r="BA104" s="100">
        <v>5398.2316085550819</v>
      </c>
      <c r="BB104" s="100">
        <v>11</v>
      </c>
      <c r="BC104" s="100">
        <v>6956.4</v>
      </c>
      <c r="BD104" s="100">
        <v>11</v>
      </c>
      <c r="BE104" s="100">
        <v>6956.4</v>
      </c>
      <c r="BF104" s="100">
        <v>9</v>
      </c>
      <c r="BG104" s="100">
        <v>5691.5999999999995</v>
      </c>
      <c r="BH104" s="100">
        <v>9.6301649144362411</v>
      </c>
      <c r="BI104" s="100">
        <v>6090.1162918894788</v>
      </c>
      <c r="BJ104" s="100">
        <v>0.68025916026347766</v>
      </c>
      <c r="BK104" s="100">
        <v>430.19589295062326</v>
      </c>
      <c r="BL104" s="100">
        <v>7</v>
      </c>
      <c r="BM104" s="100">
        <v>4426.8</v>
      </c>
      <c r="BN104" s="100">
        <v>8</v>
      </c>
      <c r="BO104" s="100">
        <v>5059.2</v>
      </c>
      <c r="BP104" s="100">
        <v>14</v>
      </c>
      <c r="BQ104" s="100">
        <v>8853.6</v>
      </c>
      <c r="BR104" s="100">
        <v>8</v>
      </c>
      <c r="BS104" s="100">
        <v>5059.2</v>
      </c>
      <c r="BT104" s="100">
        <v>7.8311224856326858</v>
      </c>
      <c r="BU104" s="100">
        <v>4952.40185991411</v>
      </c>
      <c r="BV104" s="100">
        <v>8.9558589340713191</v>
      </c>
      <c r="BW104" s="100">
        <v>5663.6851899067024</v>
      </c>
      <c r="BX104" s="100">
        <v>7.9448578755797516</v>
      </c>
      <c r="BY104" s="100">
        <v>5024.328120516635</v>
      </c>
      <c r="BZ104" s="100">
        <v>8.7167028764456607</v>
      </c>
      <c r="CA104" s="100">
        <v>5512.4428990642355</v>
      </c>
      <c r="CB104" s="100">
        <v>7.5628935546384168</v>
      </c>
      <c r="CC104" s="100">
        <v>4782.7738839533349</v>
      </c>
      <c r="CD104" s="100">
        <v>0</v>
      </c>
      <c r="CE104" s="100">
        <v>0</v>
      </c>
      <c r="CF104" s="100">
        <v>6.7597133306037662</v>
      </c>
      <c r="CG104" s="100">
        <v>4274.8427102738215</v>
      </c>
      <c r="CH104" s="100">
        <v>8.0110650245429156</v>
      </c>
      <c r="CI104" s="100">
        <v>5066.1975215209395</v>
      </c>
      <c r="CJ104" s="100">
        <v>7.0804867641162135</v>
      </c>
      <c r="CK104" s="100">
        <v>4477.6998296270931</v>
      </c>
      <c r="CL104" s="100">
        <v>0.44945694517408336</v>
      </c>
      <c r="CM104" s="100">
        <v>284.2365721280903</v>
      </c>
      <c r="CN104" s="100">
        <v>12</v>
      </c>
      <c r="CO104" s="100">
        <v>7588.7999999999993</v>
      </c>
      <c r="CP104" s="100">
        <v>8</v>
      </c>
      <c r="CQ104" s="100">
        <v>5059.2</v>
      </c>
      <c r="CR104" s="100">
        <v>12</v>
      </c>
      <c r="CS104" s="100">
        <v>7588.7999999999993</v>
      </c>
      <c r="CT104" s="100">
        <v>7.4718921725903868</v>
      </c>
      <c r="CU104" s="100">
        <v>4725.2246099461609</v>
      </c>
    </row>
    <row r="105" spans="2:99">
      <c r="C105" s="99" t="s">
        <v>271</v>
      </c>
      <c r="D105" s="100">
        <v>6.6966700264649859</v>
      </c>
      <c r="E105" s="100">
        <v>3728.7058707357037</v>
      </c>
      <c r="F105" s="100">
        <v>7.4799622618995425</v>
      </c>
      <c r="G105" s="100">
        <v>4164.8429874256653</v>
      </c>
      <c r="H105" s="100">
        <v>8.952498386628891</v>
      </c>
      <c r="I105" s="100">
        <v>4984.7511016749659</v>
      </c>
      <c r="J105" s="100">
        <v>4.2972468904448951</v>
      </c>
      <c r="K105" s="100">
        <v>2392.7070685997173</v>
      </c>
      <c r="L105" s="100">
        <v>2.9813771425650515</v>
      </c>
      <c r="M105" s="100">
        <v>1660.0307929802204</v>
      </c>
      <c r="N105" s="100">
        <v>8.3118757665712071</v>
      </c>
      <c r="O105" s="100">
        <v>4628.0524268268473</v>
      </c>
      <c r="P105" s="100">
        <v>6.079543417834941</v>
      </c>
      <c r="Q105" s="100">
        <v>3385.0897750504951</v>
      </c>
      <c r="R105" s="100">
        <v>7.1619987093031146</v>
      </c>
      <c r="S105" s="100">
        <v>3987.8008813399738</v>
      </c>
      <c r="T105" s="100">
        <v>5.6253246567323316</v>
      </c>
      <c r="U105" s="100">
        <v>3132.1807688685622</v>
      </c>
      <c r="V105" s="100">
        <v>5.5931799444081465</v>
      </c>
      <c r="W105" s="100">
        <v>3114.2825930464555</v>
      </c>
      <c r="X105" s="100">
        <v>2.8417277823909788</v>
      </c>
      <c r="Y105" s="100">
        <v>1582.2740292352969</v>
      </c>
      <c r="Z105" s="100">
        <v>5.1039173174532158</v>
      </c>
      <c r="AA105" s="100">
        <v>2841.8611623579504</v>
      </c>
      <c r="AB105" s="100">
        <v>8.266946708373526</v>
      </c>
      <c r="AC105" s="100">
        <v>4603.0359272223786</v>
      </c>
      <c r="AD105" s="100">
        <v>6.6495006132569658</v>
      </c>
      <c r="AE105" s="100">
        <v>3702.4419414614781</v>
      </c>
      <c r="AF105" s="100">
        <v>7.7437222331600104</v>
      </c>
      <c r="AG105" s="100">
        <v>4311.7045394234938</v>
      </c>
      <c r="AH105" s="100">
        <v>0.73073000118625175</v>
      </c>
      <c r="AI105" s="100">
        <v>406.87046466050492</v>
      </c>
      <c r="AJ105" s="100">
        <v>9</v>
      </c>
      <c r="AK105" s="100">
        <v>5011.2</v>
      </c>
      <c r="AL105" s="100">
        <v>11</v>
      </c>
      <c r="AM105" s="100">
        <v>6124.7999999999993</v>
      </c>
      <c r="AN105" s="100">
        <v>13</v>
      </c>
      <c r="AO105" s="100">
        <v>7238.4</v>
      </c>
      <c r="AP105" s="100">
        <v>9</v>
      </c>
      <c r="AQ105" s="100">
        <v>5011.2</v>
      </c>
      <c r="AR105" s="100">
        <v>9</v>
      </c>
      <c r="AS105" s="100">
        <v>5011.2</v>
      </c>
      <c r="AT105" s="100">
        <v>2.3334077367338151</v>
      </c>
      <c r="AU105" s="100">
        <v>1299.2414278133881</v>
      </c>
      <c r="AV105" s="100">
        <v>12</v>
      </c>
      <c r="AW105" s="100">
        <v>6681.5999999999995</v>
      </c>
      <c r="AX105" s="100">
        <v>3.2758699841796433</v>
      </c>
      <c r="AY105" s="100">
        <v>1824.0044071912253</v>
      </c>
      <c r="AZ105" s="100">
        <v>7.8247611867628484</v>
      </c>
      <c r="BA105" s="100">
        <v>4356.8270287895539</v>
      </c>
      <c r="BB105" s="100">
        <v>11</v>
      </c>
      <c r="BC105" s="100">
        <v>6124.7999999999993</v>
      </c>
      <c r="BD105" s="100">
        <v>11</v>
      </c>
      <c r="BE105" s="100">
        <v>6124.7999999999993</v>
      </c>
      <c r="BF105" s="100">
        <v>9</v>
      </c>
      <c r="BG105" s="100">
        <v>5011.2</v>
      </c>
      <c r="BH105" s="100">
        <v>8.8276511715665542</v>
      </c>
      <c r="BI105" s="100">
        <v>4915.2361723282565</v>
      </c>
      <c r="BJ105" s="100">
        <v>0.62357089690818779</v>
      </c>
      <c r="BK105" s="100">
        <v>347.20427539847896</v>
      </c>
      <c r="BL105" s="100">
        <v>7</v>
      </c>
      <c r="BM105" s="100">
        <v>3897.5999999999995</v>
      </c>
      <c r="BN105" s="100">
        <v>8</v>
      </c>
      <c r="BO105" s="100">
        <v>4454.3999999999996</v>
      </c>
      <c r="BP105" s="100">
        <v>14</v>
      </c>
      <c r="BQ105" s="100">
        <v>7795.1999999999989</v>
      </c>
      <c r="BR105" s="100">
        <v>8</v>
      </c>
      <c r="BS105" s="100">
        <v>4454.3999999999996</v>
      </c>
      <c r="BT105" s="100">
        <v>7.8311224856326858</v>
      </c>
      <c r="BU105" s="100">
        <v>4360.3690000002789</v>
      </c>
      <c r="BV105" s="100">
        <v>9.6447711597691121</v>
      </c>
      <c r="BW105" s="100">
        <v>5370.2085817594416</v>
      </c>
      <c r="BX105" s="100">
        <v>7.9448578755797516</v>
      </c>
      <c r="BY105" s="100">
        <v>4423.6968651228053</v>
      </c>
      <c r="BZ105" s="100">
        <v>7.9242753422233267</v>
      </c>
      <c r="CA105" s="100">
        <v>4412.2365105499475</v>
      </c>
      <c r="CB105" s="100">
        <v>8.4032150607093516</v>
      </c>
      <c r="CC105" s="100">
        <v>4678.9101458029663</v>
      </c>
      <c r="CD105" s="100">
        <v>0</v>
      </c>
      <c r="CE105" s="100">
        <v>0</v>
      </c>
      <c r="CF105" s="100">
        <v>5.9147491642782954</v>
      </c>
      <c r="CG105" s="100">
        <v>3293.3323346701545</v>
      </c>
      <c r="CH105" s="100">
        <v>8.0110650245429156</v>
      </c>
      <c r="CI105" s="100">
        <v>4460.561005665495</v>
      </c>
      <c r="CJ105" s="100">
        <v>7.0804867641162135</v>
      </c>
      <c r="CK105" s="100">
        <v>3942.4150302599073</v>
      </c>
      <c r="CL105" s="100">
        <v>0.44945694517408336</v>
      </c>
      <c r="CM105" s="100">
        <v>250.25762707292958</v>
      </c>
      <c r="CN105" s="100">
        <v>13</v>
      </c>
      <c r="CO105" s="100">
        <v>7238.4</v>
      </c>
      <c r="CP105" s="100">
        <v>8</v>
      </c>
      <c r="CQ105" s="100">
        <v>4454.3999999999996</v>
      </c>
      <c r="CR105" s="100">
        <v>14</v>
      </c>
      <c r="CS105" s="100">
        <v>7795.1999999999989</v>
      </c>
      <c r="CT105" s="100">
        <v>6.5379056510165885</v>
      </c>
      <c r="CU105" s="100">
        <v>3640.3058664860364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312.34697316212447</v>
      </c>
      <c r="E109" s="100">
        <f>SUM(L$6:L$19)+SUM(N$6:N$19)+SUM(P$6:P$19)+SUM(R$6:R$19)</f>
        <v>362.61942438178244</v>
      </c>
      <c r="F109" s="100">
        <f>SUM(T$6:T$19)+SUM(V$6:V$19)+SUM(X$6:X$19)+SUM(Z$6:Z$19)</f>
        <v>345.82355300419772</v>
      </c>
      <c r="G109" s="100">
        <f>SUM(AB$6:AB$19)+SUM(AD$6:AD$19)+SUM(AF$6:AF$19)+SUM(AH$6:AH$19)</f>
        <v>392</v>
      </c>
      <c r="H109" s="100">
        <f>SUM(AJ$6:AJ$19)+SUM(AL$6:AL$19)+SUM(AN$6:AN$19)+SUM(AP$6:AP$19)</f>
        <v>537.0909963757299</v>
      </c>
      <c r="I109" s="100">
        <f>SUM(AR$6:AR$19)+SUM(AT$6:AT$19)+SUM(AV$6:AV$19)+SUM(AX$6:AX$19)</f>
        <v>454.60855073482287</v>
      </c>
      <c r="J109" s="100">
        <f>SUM(AZ$6:AZ$19)+SUM(BB$6:BB$19)+SUM(BD$6:BD$19)+SUM(BF$6:BF$19)</f>
        <v>523.22285823736092</v>
      </c>
      <c r="K109" s="100">
        <f>SUM(BH$6:BH$19)+SUM(BJ$6:BJ$19)+SUM(BL$6:BL$19)+SUM(BN$6:BN$19)</f>
        <v>414.85142804828206</v>
      </c>
      <c r="L109" s="100">
        <f>SUM(BP$6:BP$19)+SUM(BR$6:BR$19)+SUM(BT$6:BT$19)+SUM(BV$6:BV$19)</f>
        <v>364.94576938725601</v>
      </c>
      <c r="M109" s="100">
        <f>SUM(BX$6:BX$19)+SUM(BZ$6:BZ$19)+SUM(CB$6:CB$19)+SUM(CD$6:CD$19)</f>
        <v>521.8849781281267</v>
      </c>
      <c r="N109" s="100">
        <f>SUM(CF$6:CF$19)+SUM(CH$6:CH$19)+SUM(CJ$6:CJ$19)+SUM(CL$6:CL$19)</f>
        <v>394.5454102644141</v>
      </c>
      <c r="O109" s="100">
        <f>SUM(CN$6:CN$19)+SUM(CP$6:CP$19)+SUM(CR$6:CR$19)+SUM(CT$6:CT$19)</f>
        <v>369.60307662439959</v>
      </c>
    </row>
    <row r="110" spans="2:99">
      <c r="C110" s="99" t="s">
        <v>127</v>
      </c>
      <c r="D110" s="100">
        <f>SUM(D$20:D$36)+SUM(F$20:F$36)+SUM(H$20:H$36)+SUM(J$20:J$36)</f>
        <v>809.13344734183306</v>
      </c>
      <c r="E110" s="100">
        <f>SUM(L$20:L$36)+SUM(N$20:N$36)+SUM(P$20:P$36)+SUM(R$20:R$36)</f>
        <v>844.85646348144883</v>
      </c>
      <c r="F110" s="100">
        <f>SUM(T$20:T$36)+SUM(V$20:V$36)+SUM(X$20:X$36)+SUM(Z$20:Z$36)</f>
        <v>824.02297751723768</v>
      </c>
      <c r="G110" s="100">
        <f>SUM(AB$20:AB$36)+SUM(AD$20:AD$36)+SUM(AF$20:AF$36)+SUM(AH$20:AH$36)</f>
        <v>1039</v>
      </c>
      <c r="H110" s="100">
        <f>SUM(AJ$20:AJ$36)+SUM(AL$20:AL$36)+SUM(AN$20:AN$36)+SUM(AP$20:AP$36)</f>
        <v>814.53158271832774</v>
      </c>
      <c r="I110" s="100">
        <f>SUM(AR$20:AR$36)+SUM(AT$20:AT$36)+SUM(AV$20:AV$36)+SUM(AX$20:AX$36)</f>
        <v>943.47092101411613</v>
      </c>
      <c r="J110" s="100">
        <f>SUM(AZ$20:AZ$36)+SUM(BB$20:BB$36)+SUM(BD$20:BD$36)+SUM(BF$20:BF$36)</f>
        <v>1155.2653596738974</v>
      </c>
      <c r="K110" s="100">
        <f>SUM(BH$20:BH$36)+SUM(BJ$20:BJ$36)+SUM(BL$20:BL$36)+SUM(BN$20:BN$36)</f>
        <v>1069.7160108825246</v>
      </c>
      <c r="L110" s="100">
        <f>SUM(BP$20:BP$36)+SUM(BR$20:BR$36)+SUM(BT$20:BT$36)+SUM(BV$20:BV$36)</f>
        <v>762.59144860433878</v>
      </c>
      <c r="M110" s="100">
        <f>SUM(BX$20:BX$36)+SUM(BZ$20:BZ$36)+SUM(CB$20:CB$36)+SUM(CD$20:CD$36)</f>
        <v>983.79369375637032</v>
      </c>
      <c r="N110" s="100">
        <f>SUM(CF$20:CF$36)+SUM(CH$20:CH$36)+SUM(CJ$20:CJ$36)+SUM(CL$20:CL$36)</f>
        <v>852.31124334744936</v>
      </c>
      <c r="O110" s="100">
        <f>SUM(CN$20:CN$36)+SUM(CP$20:CP$36)+SUM(CR$20:CR$36)+SUM(CT$20:CT$36)</f>
        <v>1100.3730621644361</v>
      </c>
    </row>
    <row r="111" spans="2:99">
      <c r="C111" s="99" t="s">
        <v>128</v>
      </c>
      <c r="D111" s="100">
        <f>SUM(D$37:D$48)+SUM(F$37:F$48)+SUM(H$37:H$48)+SUM(J$37:J$48)</f>
        <v>425.80782676173772</v>
      </c>
      <c r="E111" s="100">
        <f>SUM(L$37:L$48)+SUM(N$37:N$48)+SUM(P$37:P$48)+SUM(R$37:R$48)</f>
        <v>344.96745108235774</v>
      </c>
      <c r="F111" s="100">
        <f>SUM(T$37:T$48)+SUM(V$37:V$48)+SUM(X$37:X$48)+SUM(Z$37:Z$48)</f>
        <v>410.09971225651998</v>
      </c>
      <c r="G111" s="100">
        <f>SUM(AB$37:AB$48)+SUM(AD$37:AD$48)+SUM(AF$37:AF$48)+SUM(AH$37:AH$48)</f>
        <v>435</v>
      </c>
      <c r="H111" s="100">
        <f>SUM(AJ$37:AJ$48)+SUM(AL$37:AL$48)+SUM(AN$37:AN$48)+SUM(AP$37:AP$48)</f>
        <v>400.69852559118817</v>
      </c>
      <c r="I111" s="100">
        <f>SUM(AR$37:AR$48)+SUM(AT$37:AT$48)+SUM(AV$37:AV$48)+SUM(AX$37:AX$48)</f>
        <v>531.35473119035237</v>
      </c>
      <c r="J111" s="100">
        <f>SUM(AZ$37:AZ$48)+SUM(BB$37:BB$48)+SUM(BD$37:BD$48)+SUM(BF$37:BF$48)</f>
        <v>532.83234221993143</v>
      </c>
      <c r="K111" s="100">
        <f>SUM(BH$37:BH$48)+SUM(BJ$37:BJ$48)+SUM(BL$37:BL$48)+SUM(BN$37:BN$48)</f>
        <v>502.58174234971148</v>
      </c>
      <c r="L111" s="100">
        <f>SUM(BP$37:BP$48)+SUM(BR$37:BR$48)+SUM(BT$37:BT$48)+SUM(BV$37:BV$48)</f>
        <v>508.26516322614265</v>
      </c>
      <c r="M111" s="100">
        <f>SUM(BX$37:BX$48)+SUM(BZ$37:BZ$48)+SUM(CB$37:CB$48)+SUM(CD$37:CD$48)</f>
        <v>546.82412188028911</v>
      </c>
      <c r="N111" s="100">
        <f>SUM(CF$37:CF$48)+SUM(CH$37:CH$48)+SUM(CJ$37:CJ$48)+SUM(CL$37:CL$48)</f>
        <v>407.88193482020745</v>
      </c>
      <c r="O111" s="100">
        <f>SUM(CN$37:CN$48)+SUM(CP$37:CP$48)+SUM(CR$37:CR$48)+SUM(CT$37:CT$48)</f>
        <v>325.34835276948189</v>
      </c>
    </row>
    <row r="112" spans="2:99">
      <c r="C112" s="99" t="s">
        <v>129</v>
      </c>
      <c r="D112" s="100">
        <f>SUM(D$49:D$70)+SUM(F$49:F$70)+SUM(H$49:H$70)+SUM(J$49:J$70)</f>
        <v>545.9383655460324</v>
      </c>
      <c r="E112" s="100">
        <f>SUM(L$49:L$70)+SUM(N$49:N$70)+SUM(P$49:P$70)+SUM(R$49:R$70)</f>
        <v>451.24039426920484</v>
      </c>
      <c r="F112" s="100">
        <f>SUM(T$49:T$70)+SUM(V$49:V$70)+SUM(X$49:X$70)+SUM(Z$49:Z$70)</f>
        <v>539.66262171091671</v>
      </c>
      <c r="G112" s="100">
        <f>SUM(AB$49:AB$70)+SUM(AD$49:AD$70)+SUM(AF$49:AF$70)+SUM(AH$49:AH$70)</f>
        <v>624.01438667200966</v>
      </c>
      <c r="H112" s="100">
        <f>SUM(AJ$49:AJ$70)+SUM(AL$49:AL$70)+SUM(AN$49:AN$70)+SUM(AP$49:AP$70)</f>
        <v>621.48150413262817</v>
      </c>
      <c r="I112" s="100">
        <f>SUM(AR$49:AR$70)+SUM(AT$49:AT$70)+SUM(AV$49:AV$70)+SUM(AX$49:AX$70)</f>
        <v>602.31914148493092</v>
      </c>
      <c r="J112" s="100">
        <f>SUM(AZ$49:AZ$70)+SUM(BB$49:BB$70)+SUM(BD$49:BD$70)+SUM(BF$49:BF$70)</f>
        <v>670.88661032026403</v>
      </c>
      <c r="K112" s="100">
        <f>SUM(BH$49:BH$70)+SUM(BJ$49:BJ$70)+SUM(BL$49:BL$70)+SUM(BN$49:BN$70)</f>
        <v>599.78444990839739</v>
      </c>
      <c r="L112" s="100">
        <f>SUM(BP$49:BP$70)+SUM(BR$49:BR$70)+SUM(BT$49:BT$70)+SUM(BV$49:BV$70)</f>
        <v>654.72324289463279</v>
      </c>
      <c r="M112" s="100">
        <f>SUM(BX$49:BX$70)+SUM(BZ$49:BZ$70)+SUM(CB$49:CB$70)+SUM(CD$49:CD$70)</f>
        <v>744.97198272116577</v>
      </c>
      <c r="N112" s="100">
        <f>SUM(CF$49:CF$70)+SUM(CH$49:CH$70)+SUM(CJ$49:CJ$70)+SUM(CL$49:CL$70)</f>
        <v>596.06618839468513</v>
      </c>
      <c r="O112" s="100">
        <f>SUM(CN$49:CN$70)+SUM(CP$49:CP$70)+SUM(CR$49:CR$70)+SUM(CT$49:CT$70)</f>
        <v>601.21527065808652</v>
      </c>
    </row>
    <row r="113" spans="2:15">
      <c r="C113" s="99" t="s">
        <v>130</v>
      </c>
      <c r="D113" s="100">
        <f>SUM(D$71:D$86)+SUM(F$71:F$86)+SUM(H$71:H$86)+SUM(J$71:J$86)</f>
        <v>527.92553181426024</v>
      </c>
      <c r="E113" s="100">
        <f>SUM(L$71:L$86)+SUM(N$71:N$86)+SUM(P$71:P$86)+SUM(R$71:R$86)</f>
        <v>457.42076286013071</v>
      </c>
      <c r="F113" s="100">
        <f>SUM(T$71:T$86)+SUM(V$71:V$86)+SUM(X$71:X$86)+SUM(Z$71:Z$86)</f>
        <v>535.97593980146883</v>
      </c>
      <c r="G113" s="100">
        <f>SUM(AB$71:AB$86)+SUM(AD$71:AD$86)+SUM(AF$71:AF$86)+SUM(AH$71:AH$86)</f>
        <v>526.60473295522547</v>
      </c>
      <c r="H113" s="100">
        <f>SUM(AJ$71:AJ$86)+SUM(AL$71:AL$86)+SUM(AN$71:AN$86)+SUM(AP$71:AP$86)</f>
        <v>633</v>
      </c>
      <c r="I113" s="100">
        <f>SUM(AR$71:AR$86)+SUM(AT$71:AT$86)+SUM(AV$71:AV$86)+SUM(AX$71:AX$86)</f>
        <v>739.13062060345408</v>
      </c>
      <c r="J113" s="100">
        <f>SUM(AZ$71:AZ$86)+SUM(BB$71:BB$86)+SUM(BD$71:BD$86)+SUM(BF$71:BF$86)</f>
        <v>573.99473906625531</v>
      </c>
      <c r="K113" s="100">
        <f>SUM(BH$71:BH$86)+SUM(BJ$71:BJ$86)+SUM(BL$71:BL$86)+SUM(BN$71:BN$86)</f>
        <v>479.67571124558873</v>
      </c>
      <c r="L113" s="100">
        <f>SUM(BP$71:BP$86)+SUM(BR$71:BR$86)+SUM(BT$71:BT$86)+SUM(BV$71:BV$86)</f>
        <v>715</v>
      </c>
      <c r="M113" s="100">
        <f>SUM(BX$71:BX$86)+SUM(BZ$71:BZ$86)+SUM(CB$71:CB$86)+SUM(CD$71:CD$86)</f>
        <v>620.14123639135528</v>
      </c>
      <c r="N113" s="100">
        <f>SUM(CF$71:CF$86)+SUM(CH$71:CH$86)+SUM(CJ$71:CJ$86)+SUM(CL$71:CL$86)</f>
        <v>550.98290882136098</v>
      </c>
      <c r="O113" s="100">
        <f>SUM(CN$71:CN$86)+SUM(CP$71:CP$86)+SUM(CR$71:CR$86)+SUM(CT$71:CT$86)</f>
        <v>635.04463163572609</v>
      </c>
    </row>
    <row r="114" spans="2:15">
      <c r="C114" s="99" t="s">
        <v>131</v>
      </c>
      <c r="D114" s="100">
        <f>SUM(D$87:D$94)+SUM(F$87:F$94)+SUM(H$87:H$94)+SUM(J$87:J$94)</f>
        <v>142.93424592115241</v>
      </c>
      <c r="E114" s="100">
        <f>SUM(L$87:L$94)+SUM(N$87:N$94)+SUM(P$87:P$94)+SUM(R$87:R$94)</f>
        <v>155.17401283511319</v>
      </c>
      <c r="F114" s="100">
        <f>SUM(T$87:T$94)+SUM(V$87:V$94)+SUM(X$87:X$94)+SUM(Z$87:Z$94)</f>
        <v>153.56799959033958</v>
      </c>
      <c r="G114" s="100">
        <f>SUM(AB$87:AB$94)+SUM(AD$87:AD$94)+SUM(AF$87:AF$94)+SUM(AH$87:AH$94)</f>
        <v>184.17601112823257</v>
      </c>
      <c r="H114" s="100">
        <f>SUM(AJ$87:AJ$94)+SUM(AL$87:AL$94)+SUM(AN$87:AN$94)+SUM(AP$87:AP$94)</f>
        <v>211</v>
      </c>
      <c r="I114" s="100">
        <f>SUM(AR$87:AR$94)+SUM(AT$87:AT$94)+SUM(AV$87:AV$94)+SUM(AX$87:AX$94)</f>
        <v>187.4397067779816</v>
      </c>
      <c r="J114" s="100">
        <f>SUM(AZ$87:AZ$94)+SUM(BB$87:BB$94)+SUM(BD$87:BD$94)+SUM(BF$87:BF$94)</f>
        <v>253.92796060306256</v>
      </c>
      <c r="K114" s="100">
        <f>SUM(BH$87:BH$94)+SUM(BJ$87:BJ$94)+SUM(BL$87:BL$94)+SUM(BN$87:BN$94)</f>
        <v>167.99859375367168</v>
      </c>
      <c r="L114" s="100">
        <f>SUM(BP$87:BP$94)+SUM(BR$87:BR$94)+SUM(BT$87:BT$94)+SUM(BV$87:BV$94)</f>
        <v>272.75175848963204</v>
      </c>
      <c r="M114" s="100">
        <f>SUM(BX$87:BX$94)+SUM(BZ$87:BZ$94)+SUM(CB$87:CB$94)+SUM(CD$87:CD$94)</f>
        <v>140.80313160155237</v>
      </c>
      <c r="N114" s="100">
        <f>SUM(CF$87:CF$94)+SUM(CH$87:CH$94)+SUM(CJ$87:CJ$94)+SUM(CL$87:CL$94)</f>
        <v>181.15466027600553</v>
      </c>
      <c r="O114" s="100">
        <f>SUM(CN$87:CN$94)+SUM(CP$87:CP$94)+SUM(CR$87:CR$94)+SUM(CT$87:CT$94)</f>
        <v>239.84115085914931</v>
      </c>
    </row>
    <row r="115" spans="2:15">
      <c r="C115" s="99" t="s">
        <v>132</v>
      </c>
      <c r="D115" s="100">
        <f>SUM(D$95:D$105)+SUM(F$95:F$105)+SUM(H$95:H$105)+SUM(J$95:J$105)</f>
        <v>303.61502841254901</v>
      </c>
      <c r="E115" s="100">
        <f>SUM(L$95:L$105)+SUM(N$95:N$105)+SUM(P$95:P$105)+SUM(R$95:R$105)</f>
        <v>272.4650486323788</v>
      </c>
      <c r="F115" s="100">
        <f>SUM(T$95:T$105)+SUM(V$95:V$105)+SUM(X$95:X$105)+SUM(Z$95:Z$105)</f>
        <v>206.40029608177571</v>
      </c>
      <c r="G115" s="100">
        <f>SUM(AB$95:AB$105)+SUM(AD$95:AD$105)+SUM(AF$95:AF$105)+SUM(AH$95:AH$105)</f>
        <v>251.28718555584729</v>
      </c>
      <c r="H115" s="100">
        <f>SUM(AJ$95:AJ$105)+SUM(AL$95:AL$105)+SUM(AN$95:AN$105)+SUM(AP$95:AP$105)</f>
        <v>425</v>
      </c>
      <c r="I115" s="100">
        <f>SUM(AR$95:AR$105)+SUM(AT$95:AT$105)+SUM(AV$95:AV$105)+SUM(AX$95:AX$105)</f>
        <v>297.8869207246882</v>
      </c>
      <c r="J115" s="100">
        <f>SUM(AZ$95:AZ$105)+SUM(BB$95:BB$105)+SUM(BD$95:BD$105)+SUM(BF$95:BF$105)</f>
        <v>429.47445038901549</v>
      </c>
      <c r="K115" s="100">
        <f>SUM(BH$95:BH$105)+SUM(BJ$95:BJ$105)+SUM(BL$95:BL$105)+SUM(BN$95:BN$105)</f>
        <v>262.39840544889569</v>
      </c>
      <c r="L115" s="100">
        <f>SUM(BP$95:BP$105)+SUM(BR$95:BR$105)+SUM(BT$95:BT$105)+SUM(BV$95:BV$105)</f>
        <v>423.01577432619285</v>
      </c>
      <c r="M115" s="100">
        <f>SUM(BX$95:BX$105)+SUM(BZ$95:BZ$105)+SUM(CB$95:CB$105)+SUM(CD$95:CD$105)</f>
        <v>274.43325032839084</v>
      </c>
      <c r="N115" s="100">
        <f>SUM(CF$95:CF$105)+SUM(CH$95:CH$105)+SUM(CJ$95:CJ$105)+SUM(CL$95:CL$105)</f>
        <v>251.80527881808584</v>
      </c>
      <c r="O115" s="100">
        <f>SUM(CN$95:CN$105)+SUM(CP$95:CP$105)+SUM(CR$95:CR$105)+SUM(CT$95:CT$105)</f>
        <v>440.78493520433005</v>
      </c>
    </row>
    <row r="116" spans="2:15">
      <c r="C116" s="99" t="s">
        <v>278</v>
      </c>
      <c r="D116" s="100">
        <f t="shared" ref="D116:O116" si="0">SUM(D$109:D$115)</f>
        <v>3067.7014189596894</v>
      </c>
      <c r="E116" s="100">
        <f t="shared" si="0"/>
        <v>2888.7435575424165</v>
      </c>
      <c r="F116" s="100">
        <f t="shared" si="0"/>
        <v>3015.5530999624566</v>
      </c>
      <c r="G116" s="100">
        <f t="shared" si="0"/>
        <v>3452.0823163113146</v>
      </c>
      <c r="H116" s="100">
        <f t="shared" si="0"/>
        <v>3642.802608817874</v>
      </c>
      <c r="I116" s="100">
        <f t="shared" si="0"/>
        <v>3756.2105925303458</v>
      </c>
      <c r="J116" s="100">
        <f t="shared" si="0"/>
        <v>4139.6043205097876</v>
      </c>
      <c r="K116" s="100">
        <f t="shared" si="0"/>
        <v>3497.0063416370717</v>
      </c>
      <c r="L116" s="100">
        <f t="shared" si="0"/>
        <v>3701.293156928195</v>
      </c>
      <c r="M116" s="100">
        <f t="shared" si="0"/>
        <v>3832.8523948072502</v>
      </c>
      <c r="N116" s="100">
        <f t="shared" si="0"/>
        <v>3234.7476247422082</v>
      </c>
      <c r="O116" s="100">
        <f t="shared" si="0"/>
        <v>3712.2104799156095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2186428.8121348713</v>
      </c>
      <c r="E120" s="100">
        <f>E109*pricing!E15*2000</f>
        <v>2538335.970672477</v>
      </c>
      <c r="F120" s="100">
        <f>F109*pricing!F15*2000</f>
        <v>2420764.8710293844</v>
      </c>
      <c r="G120" s="100">
        <f>G109*pricing!G15*2000</f>
        <v>2744000</v>
      </c>
      <c r="H120" s="100">
        <f>H109*pricing!H15*2000</f>
        <v>3759636.9746301095</v>
      </c>
      <c r="I120" s="100">
        <f>I109*pricing!I15*2000</f>
        <v>3182259.8551437599</v>
      </c>
      <c r="J120" s="100">
        <f>J109*pricing!J15*2000</f>
        <v>3662560.0076615266</v>
      </c>
      <c r="K120" s="100">
        <f>K109*pricing!K15*2000</f>
        <v>2903959.996337974</v>
      </c>
      <c r="L120" s="100">
        <f>L109*pricing!L15*2000</f>
        <v>2554620.3857107922</v>
      </c>
      <c r="M120" s="100">
        <f>M109*pricing!M15*2000</f>
        <v>3653194.8468968868</v>
      </c>
      <c r="N120" s="100">
        <f>N109*pricing!N15*2000</f>
        <v>2761817.871850899</v>
      </c>
      <c r="O120" s="100">
        <f>O109*pricing!O15*2000</f>
        <v>2587221.5363707975</v>
      </c>
    </row>
    <row r="121" spans="2:15">
      <c r="C121" s="99" t="s">
        <v>127</v>
      </c>
      <c r="D121" s="100">
        <f>D110*pricing!D16*2000</f>
        <v>5663934.1313928319</v>
      </c>
      <c r="E121" s="100">
        <f>E110*pricing!E16*2000</f>
        <v>5913995.244370142</v>
      </c>
      <c r="F121" s="100">
        <f>F110*pricing!F16*2000</f>
        <v>5768160.8426206643</v>
      </c>
      <c r="G121" s="100">
        <f>G110*pricing!G16*2000</f>
        <v>7273000</v>
      </c>
      <c r="H121" s="100">
        <f>H110*pricing!H16*2000</f>
        <v>5701721.0790282944</v>
      </c>
      <c r="I121" s="100">
        <f>I110*pricing!I16*2000</f>
        <v>6604296.447098813</v>
      </c>
      <c r="J121" s="100">
        <f>J110*pricing!J16*2000</f>
        <v>8086857.5177172814</v>
      </c>
      <c r="K121" s="100">
        <f>K110*pricing!K16*2000</f>
        <v>7488012.0761776725</v>
      </c>
      <c r="L121" s="100">
        <f>L110*pricing!L16*2000</f>
        <v>5338140.1402303716</v>
      </c>
      <c r="M121" s="100">
        <f>M110*pricing!M16*2000</f>
        <v>6886555.8562945928</v>
      </c>
      <c r="N121" s="100">
        <f>N110*pricing!N16*2000</f>
        <v>5966178.7034321465</v>
      </c>
      <c r="O121" s="100">
        <f>O110*pricing!O16*2000</f>
        <v>7702611.4351510527</v>
      </c>
    </row>
    <row r="122" spans="2:15">
      <c r="C122" s="99" t="s">
        <v>128</v>
      </c>
      <c r="D122" s="100">
        <f>D111*pricing!D17*2000</f>
        <v>2980654.7873321641</v>
      </c>
      <c r="E122" s="100">
        <f>E111*pricing!E17*2000</f>
        <v>2414772.1575765042</v>
      </c>
      <c r="F122" s="100">
        <f>F111*pricing!F17*2000</f>
        <v>2870697.9857956399</v>
      </c>
      <c r="G122" s="100">
        <f>G111*pricing!G17*2000</f>
        <v>3045000</v>
      </c>
      <c r="H122" s="100">
        <f>H111*pricing!H17*2000</f>
        <v>2804889.6791383172</v>
      </c>
      <c r="I122" s="100">
        <f>I111*pricing!I17*2000</f>
        <v>3719483.1183324666</v>
      </c>
      <c r="J122" s="100">
        <f>J111*pricing!J17*2000</f>
        <v>3729826.3955395198</v>
      </c>
      <c r="K122" s="100">
        <f>K111*pricing!K17*2000</f>
        <v>3518072.1964479801</v>
      </c>
      <c r="L122" s="100">
        <f>L111*pricing!L17*2000</f>
        <v>3557856.1425829986</v>
      </c>
      <c r="M122" s="100">
        <f>M111*pricing!M17*2000</f>
        <v>3827768.8531620237</v>
      </c>
      <c r="N122" s="100">
        <f>N111*pricing!N17*2000</f>
        <v>2855173.543741452</v>
      </c>
      <c r="O122" s="100">
        <f>O111*pricing!O17*2000</f>
        <v>2277438.4693863732</v>
      </c>
    </row>
    <row r="123" spans="2:15">
      <c r="C123" s="99" t="s">
        <v>129</v>
      </c>
      <c r="D123" s="100">
        <f>D112*pricing!D18*2000</f>
        <v>3821568.5588222267</v>
      </c>
      <c r="E123" s="100">
        <f>E112*pricing!E18*2000</f>
        <v>3158682.7598844338</v>
      </c>
      <c r="F123" s="100">
        <f>F112*pricing!F18*2000</f>
        <v>3777638.3519764165</v>
      </c>
      <c r="G123" s="100">
        <f>G112*pricing!G18*2000</f>
        <v>4368100.7067040671</v>
      </c>
      <c r="H123" s="100">
        <f>H112*pricing!H18*2000</f>
        <v>4350370.5289283972</v>
      </c>
      <c r="I123" s="100">
        <f>I112*pricing!I18*2000</f>
        <v>4216233.9903945168</v>
      </c>
      <c r="J123" s="100">
        <f>J112*pricing!J18*2000</f>
        <v>4696206.2722418485</v>
      </c>
      <c r="K123" s="100">
        <f>K112*pricing!K18*2000</f>
        <v>4198491.1493587811</v>
      </c>
      <c r="L123" s="100">
        <f>L112*pricing!L18*2000</f>
        <v>4583062.7002624292</v>
      </c>
      <c r="M123" s="100">
        <f>M112*pricing!M18*2000</f>
        <v>5214803.8790481603</v>
      </c>
      <c r="N123" s="100">
        <f>N112*pricing!N18*2000</f>
        <v>4172463.318762796</v>
      </c>
      <c r="O123" s="100">
        <f>O112*pricing!O18*2000</f>
        <v>4208506.8946066061</v>
      </c>
    </row>
    <row r="124" spans="2:15">
      <c r="C124" s="99" t="s">
        <v>130</v>
      </c>
      <c r="D124" s="100">
        <f>D113*pricing!D19*2000</f>
        <v>3695478.7226998215</v>
      </c>
      <c r="E124" s="100">
        <f>E113*pricing!E19*2000</f>
        <v>3201945.340020915</v>
      </c>
      <c r="F124" s="100">
        <f>F113*pricing!F19*2000</f>
        <v>3751831.5786102815</v>
      </c>
      <c r="G124" s="100">
        <f>G113*pricing!G19*2000</f>
        <v>3686233.1306865779</v>
      </c>
      <c r="H124" s="100">
        <f>H113*pricing!H19*2000</f>
        <v>4431000</v>
      </c>
      <c r="I124" s="100">
        <f>I113*pricing!I19*2000</f>
        <v>5173914.3442241782</v>
      </c>
      <c r="J124" s="100">
        <f>J113*pricing!J19*2000</f>
        <v>4017963.173463787</v>
      </c>
      <c r="K124" s="100">
        <f>K113*pricing!K19*2000</f>
        <v>3357729.9787191208</v>
      </c>
      <c r="L124" s="100">
        <f>L113*pricing!L19*2000</f>
        <v>5005000</v>
      </c>
      <c r="M124" s="100">
        <f>M113*pricing!M19*2000</f>
        <v>4340988.654739487</v>
      </c>
      <c r="N124" s="100">
        <f>N113*pricing!N19*2000</f>
        <v>3856880.361749527</v>
      </c>
      <c r="O124" s="100">
        <f>O113*pricing!O19*2000</f>
        <v>4445312.4214500822</v>
      </c>
    </row>
    <row r="125" spans="2:15">
      <c r="C125" s="99" t="s">
        <v>131</v>
      </c>
      <c r="D125" s="100">
        <f>D114*pricing!D20*2000</f>
        <v>1000539.7214480669</v>
      </c>
      <c r="E125" s="100">
        <f>E114*pricing!E20*2000</f>
        <v>1086218.0898457924</v>
      </c>
      <c r="F125" s="100">
        <f>F114*pricing!F20*2000</f>
        <v>1074975.997132377</v>
      </c>
      <c r="G125" s="100">
        <f>G114*pricing!G20*2000</f>
        <v>1289232.0778976281</v>
      </c>
      <c r="H125" s="100">
        <f>H114*pricing!H20*2000</f>
        <v>1477000</v>
      </c>
      <c r="I125" s="100">
        <f>I114*pricing!I20*2000</f>
        <v>1312077.9474458711</v>
      </c>
      <c r="J125" s="100">
        <f>J114*pricing!J20*2000</f>
        <v>1777495.7242214379</v>
      </c>
      <c r="K125" s="100">
        <f>K114*pricing!K20*2000</f>
        <v>1175990.1562757017</v>
      </c>
      <c r="L125" s="100">
        <f>L114*pricing!L20*2000</f>
        <v>1909262.3094274243</v>
      </c>
      <c r="M125" s="100">
        <f>M114*pricing!M20*2000</f>
        <v>985621.92121086654</v>
      </c>
      <c r="N125" s="100">
        <f>N114*pricing!N20*2000</f>
        <v>1268082.6219320388</v>
      </c>
      <c r="O125" s="100">
        <f>O114*pricing!O20*2000</f>
        <v>1678888.0560140451</v>
      </c>
    </row>
    <row r="126" spans="2:15">
      <c r="C126" s="99" t="s">
        <v>132</v>
      </c>
      <c r="D126" s="100">
        <f>D115*pricing!D21*2000</f>
        <v>2125305.1988878432</v>
      </c>
      <c r="E126" s="100">
        <f>E115*pricing!E21*2000</f>
        <v>1907255.3404266515</v>
      </c>
      <c r="F126" s="100">
        <f>F115*pricing!F21*2000</f>
        <v>1444802.0725724299</v>
      </c>
      <c r="G126" s="100">
        <f>G115*pricing!G21*2000</f>
        <v>1759010.2988909308</v>
      </c>
      <c r="H126" s="100">
        <f>H115*pricing!H21*2000</f>
        <v>2975000</v>
      </c>
      <c r="I126" s="100">
        <f>I115*pricing!I21*2000</f>
        <v>2085208.4450728176</v>
      </c>
      <c r="J126" s="100">
        <f>J115*pricing!J21*2000</f>
        <v>3006321.1527231084</v>
      </c>
      <c r="K126" s="100">
        <f>K115*pricing!K21*2000</f>
        <v>1836788.83814227</v>
      </c>
      <c r="L126" s="100">
        <f>L115*pricing!L21*2000</f>
        <v>2961110.4202833497</v>
      </c>
      <c r="M126" s="100">
        <f>M115*pricing!M21*2000</f>
        <v>1921032.7522987358</v>
      </c>
      <c r="N126" s="100">
        <f>N115*pricing!N21*2000</f>
        <v>1762636.951726601</v>
      </c>
      <c r="O126" s="100">
        <f>O115*pricing!O21*2000</f>
        <v>3085494.5464303107</v>
      </c>
    </row>
    <row r="127" spans="2:15">
      <c r="C127" s="99" t="s">
        <v>278</v>
      </c>
      <c r="D127" s="100">
        <f t="shared" ref="D127:O127" si="1">SUM(D$120:D$126)</f>
        <v>21473909.932717826</v>
      </c>
      <c r="E127" s="100">
        <f t="shared" si="1"/>
        <v>20221204.902796913</v>
      </c>
      <c r="F127" s="100">
        <f t="shared" si="1"/>
        <v>21108871.699737191</v>
      </c>
      <c r="G127" s="100">
        <f t="shared" si="1"/>
        <v>24164576.214179199</v>
      </c>
      <c r="H127" s="100">
        <f t="shared" si="1"/>
        <v>25499618.26172512</v>
      </c>
      <c r="I127" s="100">
        <f t="shared" si="1"/>
        <v>26293474.147712421</v>
      </c>
      <c r="J127" s="100">
        <f t="shared" si="1"/>
        <v>28977230.24356851</v>
      </c>
      <c r="K127" s="100">
        <f t="shared" si="1"/>
        <v>24479044.391459499</v>
      </c>
      <c r="L127" s="100">
        <f t="shared" si="1"/>
        <v>25909052.098497365</v>
      </c>
      <c r="M127" s="100">
        <f t="shared" si="1"/>
        <v>26829966.763650753</v>
      </c>
      <c r="N127" s="100">
        <f t="shared" si="1"/>
        <v>22643233.373195458</v>
      </c>
      <c r="O127" s="100">
        <f t="shared" si="1"/>
        <v>25985473.359409269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157788.915760406</v>
      </c>
      <c r="E131" s="106">
        <f>SUM(M$6:M$19)+SUM(O$6:O$19)+SUM(Q$6:Q$19)+SUM(S$6:S$19)</f>
        <v>182821.52897069999</v>
      </c>
      <c r="F131" s="106">
        <f>SUM(U$6:U$19)+SUM(W$6:W$19)+SUM(Y$6:Y$19)+SUM(AA$6:AA$19)</f>
        <v>174884.30764976141</v>
      </c>
      <c r="G131" s="106">
        <f>SUM(AC$6:AC$19)+SUM(AE$6:AE$19)+SUM(AG$6:AG$19)+SUM(AI$6:AI$19)</f>
        <v>199075.20000000001</v>
      </c>
      <c r="H131" s="106">
        <f>SUM(AK$6:AK$19)+SUM(AM$6:AM$19)+SUM(AO$6:AO$19)+SUM(AQ$6:AQ$19)</f>
        <v>272395.85849194496</v>
      </c>
      <c r="I131" s="106">
        <f>SUM(AS$6:AS$19)+SUM(AU$6:AU$19)+SUM(AW$6:AW$19)+SUM(AY$6:AY$19)</f>
        <v>229172.47908173664</v>
      </c>
      <c r="J131" s="106">
        <f>SUM(BA$6:BA$19)+SUM(BC$6:BC$19)+SUM(BE$6:BE$19)+SUM(BG$6:BG$19)</f>
        <v>264122.26135808002</v>
      </c>
      <c r="K131" s="106">
        <f>SUM(BI$6:BI$19)+SUM(BK$6:BK$19)+SUM(BM$6:BM$19)+SUM(BO$6:BO$19)</f>
        <v>209191.25481938451</v>
      </c>
      <c r="L131" s="106">
        <f>SUM(BQ$6:BQ$19)+SUM(BS$6:BS$19)+SUM(BU$6:BU$19)+SUM(BW$6:BW$19)</f>
        <v>184859.88999708451</v>
      </c>
      <c r="M131" s="106">
        <f>SUM(BY$6:BY$19)+SUM(CA$6:CA$19)+SUM(CC$6:CC$19)+SUM(CE$6:CE$19)</f>
        <v>264387.58036284678</v>
      </c>
      <c r="N131" s="106">
        <f>SUM(CG$6:CG$19)+SUM(CI$6:CI$19)+SUM(CK$6:CK$19)+SUM(CM$6:CM$19)</f>
        <v>199519.0688039955</v>
      </c>
      <c r="O131" s="106">
        <f>SUM(CO$6:CO$19)+SUM(CQ$6:CQ$19)+SUM(CS$6:CS$19)+SUM(CU$6:CU$19)</f>
        <v>187043.31181078724</v>
      </c>
    </row>
    <row r="132" spans="2:15">
      <c r="C132" s="105" t="s">
        <v>127</v>
      </c>
      <c r="D132" s="106">
        <f>SUM(E$20:E$36)+SUM(G$20:G$36)+SUM(I$20:I$36)+SUM(K$20:K$36)</f>
        <v>347504.50264068192</v>
      </c>
      <c r="E132" s="106">
        <f>SUM(M$20:M$36)+SUM(O$20:O$36)+SUM(Q$20:Q$36)+SUM(S$20:S$36)</f>
        <v>362101.48518400581</v>
      </c>
      <c r="F132" s="106">
        <f>SUM(U$20:U$36)+SUM(W$20:W$36)+SUM(Y$20:Y$36)+SUM(AA$20:AA$36)</f>
        <v>352364.19006579241</v>
      </c>
      <c r="G132" s="106">
        <f>SUM(AC$20:AC$36)+SUM(AE$20:AE$36)+SUM(AG$20:AG$36)+SUM(AI$20:AI$36)</f>
        <v>445592.4</v>
      </c>
      <c r="H132" s="106">
        <f>SUM(AK$20:AK$36)+SUM(AM$20:AM$36)+SUM(AO$20:AO$36)+SUM(AQ$20:AQ$36)</f>
        <v>351017.07679999701</v>
      </c>
      <c r="I132" s="106">
        <f>SUM(AS$20:AS$36)+SUM(AU$20:AU$36)+SUM(AW$20:AW$36)+SUM(AY$20:AY$36)</f>
        <v>405013.3007795139</v>
      </c>
      <c r="J132" s="106">
        <f>SUM(BA$20:BA$36)+SUM(BC$20:BC$36)+SUM(BE$20:BE$36)+SUM(BG$20:BG$36)</f>
        <v>494132.55363889819</v>
      </c>
      <c r="K132" s="106">
        <f>SUM(BI$20:BI$36)+SUM(BK$20:BK$36)+SUM(BM$20:BM$36)+SUM(BO$20:BO$36)</f>
        <v>456068.82007659849</v>
      </c>
      <c r="L132" s="106">
        <f>SUM(BQ$20:BQ$36)+SUM(BS$20:BS$36)+SUM(BU$20:BU$36)+SUM(BW$20:BW$36)</f>
        <v>325388.88927945594</v>
      </c>
      <c r="M132" s="106">
        <f>SUM(BY$20:BY$36)+SUM(CA$20:CA$36)+SUM(CC$20:CC$36)+SUM(CE$20:CE$36)</f>
        <v>418800.88010150642</v>
      </c>
      <c r="N132" s="106">
        <f>SUM(CG$20:CG$36)+SUM(CI$20:CI$36)+SUM(CK$20:CK$36)+SUM(CM$20:CM$36)</f>
        <v>365098.32840358833</v>
      </c>
      <c r="O132" s="106">
        <f>SUM(CO$20:CO$36)+SUM(CQ$20:CQ$36)+SUM(CS$20:CS$36)+SUM(CU$20:CU$36)</f>
        <v>473608.34948289319</v>
      </c>
    </row>
    <row r="133" spans="2:15">
      <c r="C133" s="105" t="s">
        <v>128</v>
      </c>
      <c r="D133" s="106">
        <f>SUM(E$37:E$48)+SUM(G$37:G$48)+SUM(I$37:I$48)+SUM(K$37:K$48)</f>
        <v>449086.36899140431</v>
      </c>
      <c r="E133" s="106">
        <f>SUM(M$37:M$48)+SUM(O$37:O$48)+SUM(Q$37:Q$48)+SUM(S$37:S$48)</f>
        <v>361019.40047923604</v>
      </c>
      <c r="F133" s="106">
        <f>SUM(U$37:U$48)+SUM(W$37:W$48)+SUM(Y$37:Y$48)+SUM(AA$37:AA$48)</f>
        <v>432685.96762362227</v>
      </c>
      <c r="G133" s="106">
        <f>SUM(AC$37:AC$48)+SUM(AE$37:AE$48)+SUM(AG$37:AG$48)+SUM(AI$37:AI$48)</f>
        <v>456207.6</v>
      </c>
      <c r="H133" s="106">
        <f>SUM(AK$37:AK$48)+SUM(AM$37:AM$48)+SUM(AO$37:AO$48)+SUM(AQ$37:AQ$48)</f>
        <v>420715.90791667887</v>
      </c>
      <c r="I133" s="106">
        <f>SUM(AS$37:AS$48)+SUM(AU$37:AU$48)+SUM(AW$37:AW$48)+SUM(AY$37:AY$48)</f>
        <v>558838.55653193931</v>
      </c>
      <c r="J133" s="106">
        <f>SUM(BA$37:BA$48)+SUM(BC$37:BC$48)+SUM(BE$37:BE$48)+SUM(BG$37:BG$48)</f>
        <v>560614.33528335451</v>
      </c>
      <c r="K133" s="106">
        <f>SUM(BI$37:BI$48)+SUM(BK$37:BK$48)+SUM(BM$37:BM$48)+SUM(BO$37:BO$48)</f>
        <v>526286.08081357437</v>
      </c>
      <c r="L133" s="106">
        <f>SUM(BQ$37:BQ$48)+SUM(BS$37:BS$48)+SUM(BU$37:BU$48)+SUM(BW$37:BW$48)</f>
        <v>534491.05298732244</v>
      </c>
      <c r="M133" s="106">
        <f>SUM(BY$37:BY$48)+SUM(CA$37:CA$48)+SUM(CC$37:CC$48)+SUM(CE$37:CE$48)</f>
        <v>575242.86660554889</v>
      </c>
      <c r="N133" s="106">
        <f>SUM(CG$37:CG$48)+SUM(CI$37:CI$48)+SUM(CK$37:CK$48)+SUM(CM$37:CM$48)</f>
        <v>427465.18236868782</v>
      </c>
      <c r="O133" s="106">
        <f>SUM(CO$37:CO$48)+SUM(CQ$37:CQ$48)+SUM(CS$37:CS$48)+SUM(CU$37:CU$48)</f>
        <v>340313.02505932364</v>
      </c>
    </row>
    <row r="134" spans="2:15">
      <c r="C134" s="105" t="s">
        <v>129</v>
      </c>
      <c r="D134" s="106">
        <f>SUM(E$49:E$70)+SUM(G$49:G$70)+SUM(I$49:I$70)+SUM(K$49:K$70)</f>
        <v>459141.99777456222</v>
      </c>
      <c r="E134" s="106">
        <f>SUM(M$49:M$70)+SUM(O$49:O$70)+SUM(Q$49:Q$70)+SUM(S$49:S$70)</f>
        <v>376024.94551152084</v>
      </c>
      <c r="F134" s="106">
        <f>SUM(U$49:U$70)+SUM(W$49:W$70)+SUM(Y$49:Y$70)+SUM(AA$49:AA$70)</f>
        <v>445263.38471592881</v>
      </c>
      <c r="G134" s="106">
        <f>SUM(AC$49:AC$70)+SUM(AE$49:AE$70)+SUM(AG$49:AG$70)+SUM(AI$49:AI$70)</f>
        <v>509629.823763219</v>
      </c>
      <c r="H134" s="106">
        <f>SUM(AK$49:AK$70)+SUM(AM$49:AM$70)+SUM(AO$49:AO$70)+SUM(AQ$49:AQ$70)</f>
        <v>528024.27453148912</v>
      </c>
      <c r="I134" s="106">
        <f>SUM(AS$49:AS$70)+SUM(AU$49:AU$70)+SUM(AW$49:AW$70)+SUM(AY$49:AY$70)</f>
        <v>502633.88810148468</v>
      </c>
      <c r="J134" s="106">
        <f>SUM(BA$49:BA$70)+SUM(BC$49:BC$70)+SUM(BE$49:BE$70)+SUM(BG$49:BG$70)</f>
        <v>563619.28664778778</v>
      </c>
      <c r="K134" s="106">
        <f>SUM(BI$49:BI$70)+SUM(BK$49:BK$70)+SUM(BM$49:BM$70)+SUM(BO$49:BO$70)</f>
        <v>500956.68019777787</v>
      </c>
      <c r="L134" s="106">
        <f>SUM(BQ$49:BQ$70)+SUM(BS$49:BS$70)+SUM(BU$49:BU$70)+SUM(BW$49:BW$70)</f>
        <v>555652.2363183467</v>
      </c>
      <c r="M134" s="106">
        <f>SUM(BY$49:BY$70)+SUM(CA$49:CA$70)+SUM(CC$49:CC$70)+SUM(CE$49:CE$70)</f>
        <v>611889.84079738241</v>
      </c>
      <c r="N134" s="106">
        <f>SUM(CG$49:CG$70)+SUM(CI$49:CI$70)+SUM(CK$49:CK$70)+SUM(CM$49:CM$70)</f>
        <v>492294.32397006964</v>
      </c>
      <c r="O134" s="106">
        <f>SUM(CO$49:CO$70)+SUM(CQ$49:CQ$70)+SUM(CS$49:CS$70)+SUM(CU$49:CU$70)</f>
        <v>515652.26844823587</v>
      </c>
    </row>
    <row r="135" spans="2:15">
      <c r="C135" s="105" t="s">
        <v>130</v>
      </c>
      <c r="D135" s="106">
        <f>SUM(E$71:E$86)+SUM(G$71:G$86)+SUM(I$71:I$86)+SUM(K$71:K$86)</f>
        <v>294598.01848549815</v>
      </c>
      <c r="E135" s="106">
        <f>SUM(M$71:M$86)+SUM(O$71:O$86)+SUM(Q$71:Q$86)+SUM(S$71:S$86)</f>
        <v>256062.06057410658</v>
      </c>
      <c r="F135" s="106">
        <f>SUM(U$71:U$86)+SUM(W$71:W$86)+SUM(Y$71:Y$86)+SUM(AA$71:AA$86)</f>
        <v>298954.45089589001</v>
      </c>
      <c r="G135" s="106">
        <f>SUM(AC$71:AC$86)+SUM(AE$71:AE$86)+SUM(AG$71:AG$86)+SUM(AI$71:AI$86)</f>
        <v>297990.57030405942</v>
      </c>
      <c r="H135" s="106">
        <f>SUM(AK$71:AK$86)+SUM(AM$71:AM$86)+SUM(AO$71:AO$86)+SUM(AQ$71:AQ$86)</f>
        <v>353027.99999999994</v>
      </c>
      <c r="I135" s="106">
        <f>SUM(AS$71:AS$86)+SUM(AU$71:AU$86)+SUM(AW$71:AW$86)+SUM(AY$71:AY$86)</f>
        <v>414003.06701371941</v>
      </c>
      <c r="J135" s="106">
        <f>SUM(BA$71:BA$86)+SUM(BC$71:BC$86)+SUM(BE$71:BE$86)+SUM(BG$71:BG$86)</f>
        <v>321930.72030487203</v>
      </c>
      <c r="K135" s="106">
        <f>SUM(BI$71:BI$86)+SUM(BK$71:BK$86)+SUM(BM$71:BM$86)+SUM(BO$71:BO$86)</f>
        <v>267787.174813169</v>
      </c>
      <c r="L135" s="106">
        <f>SUM(BQ$71:BQ$86)+SUM(BS$71:BS$86)+SUM(BU$71:BU$86)+SUM(BW$71:BW$86)</f>
        <v>400862.39999999991</v>
      </c>
      <c r="M135" s="106">
        <f>SUM(BY$71:BY$86)+SUM(CA$71:CA$86)+SUM(CC$71:CC$86)+SUM(CE$71:CE$86)</f>
        <v>347002.93977581226</v>
      </c>
      <c r="N135" s="106">
        <f>SUM(CG$71:CG$86)+SUM(CI$71:CI$86)+SUM(CK$71:CK$86)+SUM(CM$71:CM$86)</f>
        <v>309244.58850529179</v>
      </c>
      <c r="O135" s="106">
        <f>SUM(CO$71:CO$86)+SUM(CQ$71:CQ$86)+SUM(CS$71:CS$86)+SUM(CU$71:CU$86)</f>
        <v>356071.30633372953</v>
      </c>
    </row>
    <row r="136" spans="2:15">
      <c r="C136" s="105" t="s">
        <v>131</v>
      </c>
      <c r="D136" s="106">
        <f>SUM(E$87:E$94)+SUM(G$87:G$94)+SUM(I$87:I$94)+SUM(K$87:K$94)</f>
        <v>143692.95047679669</v>
      </c>
      <c r="E136" s="106">
        <f>SUM(M$87:M$94)+SUM(O$87:O$94)+SUM(Q$87:Q$94)+SUM(S$87:S$94)</f>
        <v>155323.27028181413</v>
      </c>
      <c r="F136" s="106">
        <f>SUM(U$87:U$94)+SUM(W$87:W$94)+SUM(Y$87:Y$94)+SUM(AA$87:AA$94)</f>
        <v>154168.66625376971</v>
      </c>
      <c r="G136" s="106">
        <f>SUM(AC$87:AC$94)+SUM(AE$87:AE$94)+SUM(AG$87:AG$94)+SUM(AI$87:AI$94)</f>
        <v>185052.87233201676</v>
      </c>
      <c r="H136" s="106">
        <f>SUM(AK$87:AK$94)+SUM(AM$87:AM$94)+SUM(AO$87:AO$94)+SUM(AQ$87:AQ$94)</f>
        <v>212007.6</v>
      </c>
      <c r="I136" s="106">
        <f>SUM(AS$87:AS$94)+SUM(AU$87:AU$94)+SUM(AW$87:AW$94)+SUM(AY$87:AY$94)</f>
        <v>188126.29202350916</v>
      </c>
      <c r="J136" s="106">
        <f>SUM(BA$87:BA$94)+SUM(BC$87:BC$94)+SUM(BE$87:BE$94)+SUM(BG$87:BG$94)</f>
        <v>254981.32216804277</v>
      </c>
      <c r="K136" s="106">
        <f>SUM(BI$87:BI$94)+SUM(BK$87:BK$94)+SUM(BM$87:BM$94)+SUM(BO$87:BO$94)</f>
        <v>168869.53554862385</v>
      </c>
      <c r="L136" s="106">
        <f>SUM(BQ$87:BQ$94)+SUM(BS$87:BS$94)+SUM(BU$87:BU$94)+SUM(BW$87:BW$94)</f>
        <v>274345.01732498553</v>
      </c>
      <c r="M136" s="106">
        <f>SUM(BY$87:BY$94)+SUM(CA$87:CA$94)+SUM(CC$87:CC$94)+SUM(CE$87:CE$94)</f>
        <v>141347.65202112729</v>
      </c>
      <c r="N136" s="106">
        <f>SUM(CG$87:CG$94)+SUM(CI$87:CI$94)+SUM(CK$87:CK$94)+SUM(CM$87:CM$94)</f>
        <v>181337.13323952755</v>
      </c>
      <c r="O136" s="106">
        <f>SUM(CO$87:CO$94)+SUM(CQ$87:CQ$94)+SUM(CS$87:CS$94)+SUM(CU$87:CU$94)</f>
        <v>240167.01902712189</v>
      </c>
    </row>
    <row r="137" spans="2:15">
      <c r="C137" s="105" t="s">
        <v>132</v>
      </c>
      <c r="D137" s="106">
        <f>SUM(E$95:E$105)+SUM(G$95:G$105)+SUM(I$95:I$105)+SUM(K$95:K$105)</f>
        <v>245722.85075922497</v>
      </c>
      <c r="E137" s="106">
        <f>SUM(M$95:M$105)+SUM(O$95:O$105)+SUM(Q$95:Q$105)+SUM(S$95:S$105)</f>
        <v>213802.08874475086</v>
      </c>
      <c r="F137" s="106">
        <f>SUM(U$95:U$105)+SUM(W$95:W$105)+SUM(Y$95:Y$105)+SUM(AA$95:AA$105)</f>
        <v>167964.21137523389</v>
      </c>
      <c r="G137" s="106">
        <f>SUM(AC$95:AC$105)+SUM(AE$95:AE$105)+SUM(AG$95:AG$105)+SUM(AI$95:AI$105)</f>
        <v>206214.34996276998</v>
      </c>
      <c r="H137" s="106">
        <f>SUM(AK$95:AK$105)+SUM(AM$95:AM$105)+SUM(AO$95:AO$105)+SUM(AQ$95:AQ$105)</f>
        <v>342184.79999999993</v>
      </c>
      <c r="I137" s="106">
        <f>SUM(AS$95:AS$105)+SUM(AU$95:AU$105)+SUM(AW$95:AW$105)+SUM(AY$95:AY$105)</f>
        <v>243298.24151894395</v>
      </c>
      <c r="J137" s="106">
        <f>SUM(BA$95:BA$105)+SUM(BC$95:BC$105)+SUM(BE$95:BE$105)+SUM(BG$95:BG$105)</f>
        <v>345376.01639058883</v>
      </c>
      <c r="K137" s="106">
        <f>SUM(BI$95:BI$105)+SUM(BK$95:BK$105)+SUM(BM$95:BM$105)+SUM(BO$95:BO$105)</f>
        <v>212443.69936771406</v>
      </c>
      <c r="L137" s="106">
        <f>SUM(BQ$95:BQ$105)+SUM(BS$95:BS$105)+SUM(BU$95:BU$105)+SUM(BW$95:BW$105)</f>
        <v>342879.16872836999</v>
      </c>
      <c r="M137" s="106">
        <f>SUM(BY$95:BY$105)+SUM(CA$95:CA$105)+SUM(CC$95:CC$105)+SUM(CE$95:CE$105)</f>
        <v>221714.87420554104</v>
      </c>
      <c r="N137" s="106">
        <f>SUM(CG$95:CG$105)+SUM(CI$95:CI$105)+SUM(CK$95:CK$105)+SUM(CM$95:CM$105)</f>
        <v>199923.89042407932</v>
      </c>
      <c r="O137" s="106">
        <f>SUM(CO$95:CO$105)+SUM(CQ$95:CQ$105)+SUM(CS$95:CS$105)+SUM(CU$95:CU$105)</f>
        <v>356926.48611271242</v>
      </c>
    </row>
    <row r="138" spans="2:15">
      <c r="C138" s="105" t="s">
        <v>278</v>
      </c>
      <c r="D138" s="100">
        <f t="shared" ref="D138:O138" si="2">SUM(D$131:D$137)</f>
        <v>2097535.6048885742</v>
      </c>
      <c r="E138" s="100">
        <f t="shared" si="2"/>
        <v>1907154.7797461343</v>
      </c>
      <c r="F138" s="100">
        <f t="shared" si="2"/>
        <v>2026285.1785799989</v>
      </c>
      <c r="G138" s="100">
        <f t="shared" si="2"/>
        <v>2299762.8163620653</v>
      </c>
      <c r="H138" s="100">
        <f t="shared" si="2"/>
        <v>2479373.5177401099</v>
      </c>
      <c r="I138" s="100">
        <f t="shared" si="2"/>
        <v>2541085.8250508471</v>
      </c>
      <c r="J138" s="100">
        <f t="shared" si="2"/>
        <v>2804776.4957916243</v>
      </c>
      <c r="K138" s="100">
        <f t="shared" si="2"/>
        <v>2341603.2456368422</v>
      </c>
      <c r="L138" s="100">
        <f t="shared" si="2"/>
        <v>2618478.6546355654</v>
      </c>
      <c r="M138" s="100">
        <f t="shared" si="2"/>
        <v>2580386.6338697649</v>
      </c>
      <c r="N138" s="100">
        <f t="shared" si="2"/>
        <v>2174882.51571524</v>
      </c>
      <c r="O138" s="100">
        <f t="shared" si="2"/>
        <v>2469781.7662748038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7.2793566361209283</v>
      </c>
      <c r="E6" s="100">
        <v>4210.3798783323446</v>
      </c>
      <c r="F6" s="100">
        <v>7.4749650894747512</v>
      </c>
      <c r="G6" s="100">
        <v>4323.5198077521964</v>
      </c>
      <c r="H6" s="100">
        <v>5.5786697562479402E-4</v>
      </c>
      <c r="I6" s="100">
        <v>0.32267025870138083</v>
      </c>
      <c r="J6" s="100">
        <v>6</v>
      </c>
      <c r="K6" s="100">
        <v>3470.3999999999996</v>
      </c>
      <c r="L6" s="100">
        <v>4.2473090556418081</v>
      </c>
      <c r="M6" s="100">
        <v>2456.6435577832217</v>
      </c>
      <c r="N6" s="100">
        <v>6.2979938002650613</v>
      </c>
      <c r="O6" s="100">
        <v>3642.7596140733112</v>
      </c>
      <c r="P6" s="100">
        <v>5.7111863430366254</v>
      </c>
      <c r="Q6" s="100">
        <v>3303.3501808123842</v>
      </c>
      <c r="R6" s="100">
        <v>1.5831440683253912</v>
      </c>
      <c r="S6" s="100">
        <v>915.69052911940628</v>
      </c>
      <c r="T6" s="100">
        <v>6</v>
      </c>
      <c r="U6" s="100">
        <v>3470.3999999999996</v>
      </c>
      <c r="V6" s="100">
        <v>5.2125741423254333</v>
      </c>
      <c r="W6" s="100">
        <v>3014.9528839210307</v>
      </c>
      <c r="X6" s="100">
        <v>5.7104734922472052E-4</v>
      </c>
      <c r="Y6" s="100">
        <v>0.33029378679157834</v>
      </c>
      <c r="Z6" s="100">
        <v>6</v>
      </c>
      <c r="AA6" s="100">
        <v>3470.3999999999996</v>
      </c>
      <c r="AB6" s="100">
        <v>6</v>
      </c>
      <c r="AC6" s="100">
        <v>3470.3999999999996</v>
      </c>
      <c r="AD6" s="100">
        <v>6</v>
      </c>
      <c r="AE6" s="100">
        <v>3470.3999999999996</v>
      </c>
      <c r="AF6" s="100">
        <v>5</v>
      </c>
      <c r="AG6" s="100">
        <v>2892</v>
      </c>
      <c r="AH6" s="100">
        <v>7</v>
      </c>
      <c r="AI6" s="100">
        <v>4048.7999999999997</v>
      </c>
      <c r="AJ6" s="100">
        <v>9</v>
      </c>
      <c r="AK6" s="100">
        <v>5205.5999999999995</v>
      </c>
      <c r="AL6" s="100">
        <v>9</v>
      </c>
      <c r="AM6" s="100">
        <v>5205.5999999999995</v>
      </c>
      <c r="AN6" s="100">
        <v>6</v>
      </c>
      <c r="AO6" s="100">
        <v>3470.3999999999996</v>
      </c>
      <c r="AP6" s="100">
        <v>8.5489575794034671</v>
      </c>
      <c r="AQ6" s="100">
        <v>4944.7170639269652</v>
      </c>
      <c r="AR6" s="100">
        <v>0.14471664596773054</v>
      </c>
      <c r="AS6" s="100">
        <v>83.704108027735344</v>
      </c>
      <c r="AT6" s="100">
        <v>5</v>
      </c>
      <c r="AU6" s="100">
        <v>2892</v>
      </c>
      <c r="AV6" s="100">
        <v>9</v>
      </c>
      <c r="AW6" s="100">
        <v>5205.5999999999995</v>
      </c>
      <c r="AX6" s="100">
        <v>8.5492344202507056</v>
      </c>
      <c r="AY6" s="100">
        <v>4944.8771886730083</v>
      </c>
      <c r="AZ6" s="100">
        <v>7.9107067442280741</v>
      </c>
      <c r="BA6" s="100">
        <v>4575.5527808615179</v>
      </c>
      <c r="BB6" s="100">
        <v>4.3457532013977058</v>
      </c>
      <c r="BC6" s="100">
        <v>2513.5836516884328</v>
      </c>
      <c r="BD6" s="100">
        <v>6.763421601776586</v>
      </c>
      <c r="BE6" s="100">
        <v>3911.9630544675774</v>
      </c>
      <c r="BF6" s="100">
        <v>9</v>
      </c>
      <c r="BG6" s="100">
        <v>5205.5999999999995</v>
      </c>
      <c r="BH6" s="100">
        <v>7</v>
      </c>
      <c r="BI6" s="100">
        <v>4048.7999999999997</v>
      </c>
      <c r="BJ6" s="100">
        <v>7</v>
      </c>
      <c r="BK6" s="100">
        <v>4048.7999999999997</v>
      </c>
      <c r="BL6" s="100">
        <v>8.3246882419920922</v>
      </c>
      <c r="BM6" s="100">
        <v>4814.9996791682261</v>
      </c>
      <c r="BN6" s="100">
        <v>4.1558191838670719</v>
      </c>
      <c r="BO6" s="100">
        <v>2403.7258159487142</v>
      </c>
      <c r="BP6" s="100">
        <v>3.5374496726641258</v>
      </c>
      <c r="BQ6" s="100">
        <v>2046.0608906689304</v>
      </c>
      <c r="BR6" s="100">
        <v>1.7767073714024979</v>
      </c>
      <c r="BS6" s="100">
        <v>1027.6475436192047</v>
      </c>
      <c r="BT6" s="100">
        <v>8</v>
      </c>
      <c r="BU6" s="100">
        <v>4627.2</v>
      </c>
      <c r="BV6" s="100">
        <v>7</v>
      </c>
      <c r="BW6" s="100">
        <v>4048.7999999999997</v>
      </c>
      <c r="BX6" s="100">
        <v>11</v>
      </c>
      <c r="BY6" s="100">
        <v>6362.4</v>
      </c>
      <c r="BZ6" s="100">
        <v>6</v>
      </c>
      <c r="CA6" s="100">
        <v>3470.3999999999996</v>
      </c>
      <c r="CB6" s="100">
        <v>6</v>
      </c>
      <c r="CC6" s="100">
        <v>3470.3999999999996</v>
      </c>
      <c r="CD6" s="100">
        <v>7.2951961530854428</v>
      </c>
      <c r="CE6" s="100">
        <v>4219.5414549446195</v>
      </c>
      <c r="CF6" s="100">
        <v>1.361856208081031</v>
      </c>
      <c r="CG6" s="100">
        <v>787.69763075406831</v>
      </c>
      <c r="CH6" s="100">
        <v>8.3165208933092067</v>
      </c>
      <c r="CI6" s="100">
        <v>4810.2756846900447</v>
      </c>
      <c r="CJ6" s="100">
        <v>5.5173656929924679E-4</v>
      </c>
      <c r="CK6" s="100">
        <v>0.31912443168268434</v>
      </c>
      <c r="CL6" s="100">
        <v>9</v>
      </c>
      <c r="CM6" s="100">
        <v>5205.5999999999995</v>
      </c>
      <c r="CN6" s="100">
        <v>10</v>
      </c>
      <c r="CO6" s="100">
        <v>5784</v>
      </c>
      <c r="CP6" s="100">
        <v>7</v>
      </c>
      <c r="CQ6" s="100">
        <v>4048.7999999999997</v>
      </c>
      <c r="CR6" s="100">
        <v>6.6417557043909126</v>
      </c>
      <c r="CS6" s="100">
        <v>3841.5914994197037</v>
      </c>
      <c r="CT6" s="100">
        <v>7.1108950999399765</v>
      </c>
      <c r="CU6" s="100">
        <v>4112.9417258052827</v>
      </c>
    </row>
    <row r="7" spans="1:99">
      <c r="C7" s="99" t="s">
        <v>173</v>
      </c>
      <c r="D7" s="100">
        <v>6.2514209725088357</v>
      </c>
      <c r="E7" s="100">
        <v>4928.6202947259662</v>
      </c>
      <c r="F7" s="100">
        <v>6.5405944532904075</v>
      </c>
      <c r="G7" s="100">
        <v>5156.6046669741572</v>
      </c>
      <c r="H7" s="100">
        <v>4.7817169339268062E-4</v>
      </c>
      <c r="I7" s="100">
        <v>0.37699056307078938</v>
      </c>
      <c r="J7" s="100">
        <v>5</v>
      </c>
      <c r="K7" s="100">
        <v>3942</v>
      </c>
      <c r="L7" s="100">
        <v>4.2248264142198257</v>
      </c>
      <c r="M7" s="100">
        <v>3330.8531449709103</v>
      </c>
      <c r="N7" s="100">
        <v>5.3311042225167347</v>
      </c>
      <c r="O7" s="100">
        <v>4203.0425690321936</v>
      </c>
      <c r="P7" s="100">
        <v>5.025553863989499</v>
      </c>
      <c r="Q7" s="100">
        <v>3962.1466663693209</v>
      </c>
      <c r="R7" s="100">
        <v>1.5831440683253912</v>
      </c>
      <c r="S7" s="100">
        <v>1248.1507834677384</v>
      </c>
      <c r="T7" s="100">
        <v>5</v>
      </c>
      <c r="U7" s="100">
        <v>3942</v>
      </c>
      <c r="V7" s="100">
        <v>5.199017694697047</v>
      </c>
      <c r="W7" s="100">
        <v>4098.905550499152</v>
      </c>
      <c r="X7" s="100">
        <v>5.0759764375530713E-4</v>
      </c>
      <c r="Y7" s="100">
        <v>0.40018998233668412</v>
      </c>
      <c r="Z7" s="100">
        <v>6</v>
      </c>
      <c r="AA7" s="100">
        <v>4730.3999999999996</v>
      </c>
      <c r="AB7" s="100">
        <v>6</v>
      </c>
      <c r="AC7" s="100">
        <v>4730.3999999999996</v>
      </c>
      <c r="AD7" s="100">
        <v>6</v>
      </c>
      <c r="AE7" s="100">
        <v>4730.3999999999996</v>
      </c>
      <c r="AF7" s="100">
        <v>5</v>
      </c>
      <c r="AG7" s="100">
        <v>3942</v>
      </c>
      <c r="AH7" s="100">
        <v>6</v>
      </c>
      <c r="AI7" s="100">
        <v>4730.3999999999996</v>
      </c>
      <c r="AJ7" s="100">
        <v>9</v>
      </c>
      <c r="AK7" s="100">
        <v>7095.5999999999995</v>
      </c>
      <c r="AL7" s="100">
        <v>9</v>
      </c>
      <c r="AM7" s="100">
        <v>7095.5999999999995</v>
      </c>
      <c r="AN7" s="100">
        <v>6</v>
      </c>
      <c r="AO7" s="100">
        <v>4730.3999999999996</v>
      </c>
      <c r="AP7" s="100">
        <v>8.4990523449122417</v>
      </c>
      <c r="AQ7" s="100">
        <v>6700.652868728811</v>
      </c>
      <c r="AR7" s="100">
        <v>0.14471664596773054</v>
      </c>
      <c r="AS7" s="100">
        <v>114.09460368095876</v>
      </c>
      <c r="AT7" s="100">
        <v>6</v>
      </c>
      <c r="AU7" s="100">
        <v>4730.3999999999996</v>
      </c>
      <c r="AV7" s="100">
        <v>9</v>
      </c>
      <c r="AW7" s="100">
        <v>7095.5999999999995</v>
      </c>
      <c r="AX7" s="100">
        <v>7.5492344202507056</v>
      </c>
      <c r="AY7" s="100">
        <v>5951.8164169256561</v>
      </c>
      <c r="AZ7" s="100">
        <v>7.9107067442280741</v>
      </c>
      <c r="BA7" s="100">
        <v>6236.8011971494134</v>
      </c>
      <c r="BB7" s="100">
        <v>3.6351677430470613</v>
      </c>
      <c r="BC7" s="100">
        <v>2865.9662486183029</v>
      </c>
      <c r="BD7" s="100">
        <v>6.763421601776586</v>
      </c>
      <c r="BE7" s="100">
        <v>5332.2815908406601</v>
      </c>
      <c r="BF7" s="100">
        <v>10</v>
      </c>
      <c r="BG7" s="100">
        <v>7884</v>
      </c>
      <c r="BH7" s="100">
        <v>6</v>
      </c>
      <c r="BI7" s="100">
        <v>4730.3999999999996</v>
      </c>
      <c r="BJ7" s="100">
        <v>7</v>
      </c>
      <c r="BK7" s="100">
        <v>5518.8</v>
      </c>
      <c r="BL7" s="100">
        <v>7.3246882419920922</v>
      </c>
      <c r="BM7" s="100">
        <v>5774.7842099865657</v>
      </c>
      <c r="BN7" s="100">
        <v>4.1558191838670719</v>
      </c>
      <c r="BO7" s="100">
        <v>3276.4478445607992</v>
      </c>
      <c r="BP7" s="100">
        <v>3.5717079861283212</v>
      </c>
      <c r="BQ7" s="100">
        <v>2815.9345762635685</v>
      </c>
      <c r="BR7" s="100">
        <v>1.9987957928278102</v>
      </c>
      <c r="BS7" s="100">
        <v>1575.8506030654455</v>
      </c>
      <c r="BT7" s="100">
        <v>8</v>
      </c>
      <c r="BU7" s="100">
        <v>6307.2</v>
      </c>
      <c r="BV7" s="100">
        <v>7</v>
      </c>
      <c r="BW7" s="100">
        <v>5518.8</v>
      </c>
      <c r="BX7" s="100">
        <v>9</v>
      </c>
      <c r="BY7" s="100">
        <v>7095.5999999999995</v>
      </c>
      <c r="BZ7" s="100">
        <v>6</v>
      </c>
      <c r="CA7" s="100">
        <v>4730.3999999999996</v>
      </c>
      <c r="CB7" s="100">
        <v>6</v>
      </c>
      <c r="CC7" s="100">
        <v>4730.3999999999996</v>
      </c>
      <c r="CD7" s="100">
        <v>7.2951961530854428</v>
      </c>
      <c r="CE7" s="100">
        <v>5751.5326470925629</v>
      </c>
      <c r="CF7" s="100">
        <v>1.361856208081031</v>
      </c>
      <c r="CG7" s="100">
        <v>1073.6874344510848</v>
      </c>
      <c r="CH7" s="100">
        <v>8.3080768301428929</v>
      </c>
      <c r="CI7" s="100">
        <v>6550.0877728846563</v>
      </c>
      <c r="CJ7" s="100">
        <v>5.5173656929924679E-4</v>
      </c>
      <c r="CK7" s="100">
        <v>0.43498911123552614</v>
      </c>
      <c r="CL7" s="100">
        <v>9</v>
      </c>
      <c r="CM7" s="100">
        <v>7095.5999999999995</v>
      </c>
      <c r="CN7" s="100">
        <v>10</v>
      </c>
      <c r="CO7" s="100">
        <v>7884</v>
      </c>
      <c r="CP7" s="100">
        <v>7</v>
      </c>
      <c r="CQ7" s="100">
        <v>5518.8</v>
      </c>
      <c r="CR7" s="100">
        <v>7.5905779478753281</v>
      </c>
      <c r="CS7" s="100">
        <v>5984.4116541049088</v>
      </c>
      <c r="CT7" s="100">
        <v>6.241972333965613</v>
      </c>
      <c r="CU7" s="100">
        <v>4921.170988098489</v>
      </c>
    </row>
    <row r="8" spans="1:99">
      <c r="C8" s="99" t="s">
        <v>174</v>
      </c>
      <c r="D8" s="100">
        <v>7.2514209725088357</v>
      </c>
      <c r="E8" s="100">
        <v>2245.0399330887353</v>
      </c>
      <c r="F8" s="100">
        <v>6.5405944532904075</v>
      </c>
      <c r="G8" s="100">
        <v>2024.96804273871</v>
      </c>
      <c r="H8" s="100">
        <v>4.7817169339268062E-4</v>
      </c>
      <c r="I8" s="100">
        <v>0.14804195627437391</v>
      </c>
      <c r="J8" s="100">
        <v>5</v>
      </c>
      <c r="K8" s="100">
        <v>1547.9999999999998</v>
      </c>
      <c r="L8" s="100">
        <v>4.2473090556418081</v>
      </c>
      <c r="M8" s="100">
        <v>1314.9668836267035</v>
      </c>
      <c r="N8" s="100">
        <v>5.3311042225167347</v>
      </c>
      <c r="O8" s="100">
        <v>1650.5098672911809</v>
      </c>
      <c r="P8" s="100">
        <v>5.7394521568690777</v>
      </c>
      <c r="Q8" s="100">
        <v>1776.9343877666663</v>
      </c>
      <c r="R8" s="100">
        <v>1.8470014130462897</v>
      </c>
      <c r="S8" s="100">
        <v>571.83163747913125</v>
      </c>
      <c r="T8" s="100">
        <v>5</v>
      </c>
      <c r="U8" s="100">
        <v>1547.9999999999998</v>
      </c>
      <c r="V8" s="100">
        <v>4.4814771410501848</v>
      </c>
      <c r="W8" s="100">
        <v>1387.465322869137</v>
      </c>
      <c r="X8" s="100">
        <v>5.7104734922472052E-4</v>
      </c>
      <c r="Y8" s="100">
        <v>0.17679625931997345</v>
      </c>
      <c r="Z8" s="100">
        <v>6</v>
      </c>
      <c r="AA8" s="100">
        <v>1857.6</v>
      </c>
      <c r="AB8" s="100">
        <v>6</v>
      </c>
      <c r="AC8" s="100">
        <v>1857.6</v>
      </c>
      <c r="AD8" s="100">
        <v>6</v>
      </c>
      <c r="AE8" s="100">
        <v>1857.6</v>
      </c>
      <c r="AF8" s="100">
        <v>5</v>
      </c>
      <c r="AG8" s="100">
        <v>1547.9999999999998</v>
      </c>
      <c r="AH8" s="100">
        <v>6</v>
      </c>
      <c r="AI8" s="100">
        <v>1857.6</v>
      </c>
      <c r="AJ8" s="100">
        <v>9</v>
      </c>
      <c r="AK8" s="100">
        <v>2786.3999999999996</v>
      </c>
      <c r="AL8" s="100">
        <v>8</v>
      </c>
      <c r="AM8" s="100">
        <v>2476.7999999999997</v>
      </c>
      <c r="AN8" s="100">
        <v>7</v>
      </c>
      <c r="AO8" s="100">
        <v>2167.1999999999998</v>
      </c>
      <c r="AP8" s="100">
        <v>8.4990523449122417</v>
      </c>
      <c r="AQ8" s="100">
        <v>2631.3066059848297</v>
      </c>
      <c r="AR8" s="100">
        <v>0.12404283940091192</v>
      </c>
      <c r="AS8" s="100">
        <v>38.403663078522328</v>
      </c>
      <c r="AT8" s="100">
        <v>5</v>
      </c>
      <c r="AU8" s="100">
        <v>1547.9999999999998</v>
      </c>
      <c r="AV8" s="100">
        <v>10</v>
      </c>
      <c r="AW8" s="100">
        <v>3095.9999999999995</v>
      </c>
      <c r="AX8" s="100">
        <v>8.5492344202507056</v>
      </c>
      <c r="AY8" s="100">
        <v>2646.842976509618</v>
      </c>
      <c r="AZ8" s="100">
        <v>7.9107067442280741</v>
      </c>
      <c r="BA8" s="100">
        <v>2449.1548080130115</v>
      </c>
      <c r="BB8" s="100">
        <v>4.3457532013977058</v>
      </c>
      <c r="BC8" s="100">
        <v>1345.4451911527296</v>
      </c>
      <c r="BD8" s="100">
        <v>6.011930312690299</v>
      </c>
      <c r="BE8" s="100">
        <v>1861.2936248089163</v>
      </c>
      <c r="BF8" s="100">
        <v>10</v>
      </c>
      <c r="BG8" s="100">
        <v>3095.9999999999995</v>
      </c>
      <c r="BH8" s="100">
        <v>8</v>
      </c>
      <c r="BI8" s="100">
        <v>2476.7999999999997</v>
      </c>
      <c r="BJ8" s="100">
        <v>7</v>
      </c>
      <c r="BK8" s="100">
        <v>2167.1999999999998</v>
      </c>
      <c r="BL8" s="100">
        <v>8.3607647133245457</v>
      </c>
      <c r="BM8" s="100">
        <v>2588.4927552452791</v>
      </c>
      <c r="BN8" s="100">
        <v>4.1261987149685</v>
      </c>
      <c r="BO8" s="100">
        <v>1277.4711221542475</v>
      </c>
      <c r="BP8" s="100">
        <v>3.9753485925641172</v>
      </c>
      <c r="BQ8" s="100">
        <v>1230.7679242578506</v>
      </c>
      <c r="BR8" s="100">
        <v>1.7767073714024979</v>
      </c>
      <c r="BS8" s="100">
        <v>550.0686021862133</v>
      </c>
      <c r="BT8" s="100">
        <v>8</v>
      </c>
      <c r="BU8" s="100">
        <v>2476.7999999999997</v>
      </c>
      <c r="BV8" s="100">
        <v>7</v>
      </c>
      <c r="BW8" s="100">
        <v>2167.1999999999998</v>
      </c>
      <c r="BX8" s="100">
        <v>11</v>
      </c>
      <c r="BY8" s="100">
        <v>3405.5999999999995</v>
      </c>
      <c r="BZ8" s="100">
        <v>5</v>
      </c>
      <c r="CA8" s="100">
        <v>1547.9999999999998</v>
      </c>
      <c r="CB8" s="100">
        <v>7</v>
      </c>
      <c r="CC8" s="100">
        <v>2167.1999999999998</v>
      </c>
      <c r="CD8" s="100">
        <v>7.2582966339497625</v>
      </c>
      <c r="CE8" s="100">
        <v>2247.1686378708464</v>
      </c>
      <c r="CF8" s="100">
        <v>1.361856208081031</v>
      </c>
      <c r="CG8" s="100">
        <v>421.63068202188714</v>
      </c>
      <c r="CH8" s="100">
        <v>9.2340111656586519</v>
      </c>
      <c r="CI8" s="100">
        <v>2858.8498568879181</v>
      </c>
      <c r="CJ8" s="100">
        <v>4.9656291236932222E-4</v>
      </c>
      <c r="CK8" s="100">
        <v>0.15373587766954214</v>
      </c>
      <c r="CL8" s="100">
        <v>10</v>
      </c>
      <c r="CM8" s="100">
        <v>3095.9999999999995</v>
      </c>
      <c r="CN8" s="100">
        <v>9</v>
      </c>
      <c r="CO8" s="100">
        <v>2786.3999999999996</v>
      </c>
      <c r="CP8" s="100">
        <v>7</v>
      </c>
      <c r="CQ8" s="100">
        <v>2167.1999999999998</v>
      </c>
      <c r="CR8" s="100">
        <v>6.6417557043909126</v>
      </c>
      <c r="CS8" s="100">
        <v>2056.2875660794261</v>
      </c>
      <c r="CT8" s="100">
        <v>6.2286795862868578</v>
      </c>
      <c r="CU8" s="100">
        <v>1928.3991999144109</v>
      </c>
    </row>
    <row r="9" spans="1:99">
      <c r="C9" s="99" t="s">
        <v>175</v>
      </c>
      <c r="D9" s="100">
        <v>7.2514209725088357</v>
      </c>
      <c r="E9" s="100">
        <v>5090.4975227012028</v>
      </c>
      <c r="F9" s="100">
        <v>6.5405944532904075</v>
      </c>
      <c r="G9" s="100">
        <v>4591.4973062098661</v>
      </c>
      <c r="H9" s="100">
        <v>4.7817169339268062E-4</v>
      </c>
      <c r="I9" s="100">
        <v>0.33567652876166182</v>
      </c>
      <c r="J9" s="100">
        <v>5</v>
      </c>
      <c r="K9" s="100">
        <v>3510</v>
      </c>
      <c r="L9" s="100">
        <v>5.2248264142198257</v>
      </c>
      <c r="M9" s="100">
        <v>3667.8281427823176</v>
      </c>
      <c r="N9" s="100">
        <v>6.2979938002650613</v>
      </c>
      <c r="O9" s="100">
        <v>4421.1916477860732</v>
      </c>
      <c r="P9" s="100">
        <v>6.396818822083751</v>
      </c>
      <c r="Q9" s="100">
        <v>4490.5668131027933</v>
      </c>
      <c r="R9" s="100">
        <v>1.5831440683253912</v>
      </c>
      <c r="S9" s="100">
        <v>1111.3671359644247</v>
      </c>
      <c r="T9" s="100">
        <v>5</v>
      </c>
      <c r="U9" s="100">
        <v>3510</v>
      </c>
      <c r="V9" s="100">
        <v>4.4679206934217994</v>
      </c>
      <c r="W9" s="100">
        <v>3136.480326782103</v>
      </c>
      <c r="X9" s="100">
        <v>5.7104734922472052E-4</v>
      </c>
      <c r="Y9" s="100">
        <v>0.40087523915575379</v>
      </c>
      <c r="Z9" s="100">
        <v>6</v>
      </c>
      <c r="AA9" s="100">
        <v>4212</v>
      </c>
      <c r="AB9" s="100">
        <v>7</v>
      </c>
      <c r="AC9" s="100">
        <v>4914</v>
      </c>
      <c r="AD9" s="100">
        <v>6</v>
      </c>
      <c r="AE9" s="100">
        <v>4212</v>
      </c>
      <c r="AF9" s="100">
        <v>4</v>
      </c>
      <c r="AG9" s="100">
        <v>2808</v>
      </c>
      <c r="AH9" s="100">
        <v>7</v>
      </c>
      <c r="AI9" s="100">
        <v>4914</v>
      </c>
      <c r="AJ9" s="100">
        <v>8</v>
      </c>
      <c r="AK9" s="100">
        <v>5616</v>
      </c>
      <c r="AL9" s="100">
        <v>8</v>
      </c>
      <c r="AM9" s="100">
        <v>5616</v>
      </c>
      <c r="AN9" s="100">
        <v>7</v>
      </c>
      <c r="AO9" s="100">
        <v>4914</v>
      </c>
      <c r="AP9" s="100">
        <v>9.5489575794034671</v>
      </c>
      <c r="AQ9" s="100">
        <v>6703.3682207412339</v>
      </c>
      <c r="AR9" s="100">
        <v>0.14471664596773054</v>
      </c>
      <c r="AS9" s="100">
        <v>101.59108546934684</v>
      </c>
      <c r="AT9" s="100">
        <v>6</v>
      </c>
      <c r="AU9" s="100">
        <v>4212</v>
      </c>
      <c r="AV9" s="100">
        <v>9</v>
      </c>
      <c r="AW9" s="100">
        <v>6318</v>
      </c>
      <c r="AX9" s="100">
        <v>7.5492344202507056</v>
      </c>
      <c r="AY9" s="100">
        <v>5299.5625630159957</v>
      </c>
      <c r="AZ9" s="100">
        <v>7.9107067442280741</v>
      </c>
      <c r="BA9" s="100">
        <v>5553.3161344481077</v>
      </c>
      <c r="BB9" s="100">
        <v>3.6351677430470613</v>
      </c>
      <c r="BC9" s="100">
        <v>2551.8877556190369</v>
      </c>
      <c r="BD9" s="100">
        <v>6.011930312690299</v>
      </c>
      <c r="BE9" s="100">
        <v>4220.3750795085898</v>
      </c>
      <c r="BF9" s="100">
        <v>9</v>
      </c>
      <c r="BG9" s="100">
        <v>6318</v>
      </c>
      <c r="BH9" s="100">
        <v>7</v>
      </c>
      <c r="BI9" s="100">
        <v>4914</v>
      </c>
      <c r="BJ9" s="100">
        <v>7</v>
      </c>
      <c r="BK9" s="100">
        <v>4914</v>
      </c>
      <c r="BL9" s="100">
        <v>7.3246882419920922</v>
      </c>
      <c r="BM9" s="100">
        <v>5141.9311458784487</v>
      </c>
      <c r="BN9" s="100">
        <v>4.1558191838670719</v>
      </c>
      <c r="BO9" s="100">
        <v>2917.3850670746847</v>
      </c>
      <c r="BP9" s="100">
        <v>3.9924777492962145</v>
      </c>
      <c r="BQ9" s="100">
        <v>2802.7193800059426</v>
      </c>
      <c r="BR9" s="100">
        <v>1.9987957928278102</v>
      </c>
      <c r="BS9" s="100">
        <v>1403.1546465651227</v>
      </c>
      <c r="BT9" s="100">
        <v>8</v>
      </c>
      <c r="BU9" s="100">
        <v>5616</v>
      </c>
      <c r="BV9" s="100">
        <v>7</v>
      </c>
      <c r="BW9" s="100">
        <v>4914</v>
      </c>
      <c r="BX9" s="100">
        <v>10</v>
      </c>
      <c r="BY9" s="100">
        <v>7020</v>
      </c>
      <c r="BZ9" s="100">
        <v>6</v>
      </c>
      <c r="CA9" s="100">
        <v>4212</v>
      </c>
      <c r="CB9" s="100">
        <v>7</v>
      </c>
      <c r="CC9" s="100">
        <v>4914</v>
      </c>
      <c r="CD9" s="100">
        <v>6.2951961530854428</v>
      </c>
      <c r="CE9" s="100">
        <v>4419.2276994659805</v>
      </c>
      <c r="CF9" s="100">
        <v>1.5564070949497497</v>
      </c>
      <c r="CG9" s="100">
        <v>1092.5977806547244</v>
      </c>
      <c r="CH9" s="100">
        <v>8.3080768301428929</v>
      </c>
      <c r="CI9" s="100">
        <v>5832.2699347603111</v>
      </c>
      <c r="CJ9" s="100">
        <v>4.9656291236932222E-4</v>
      </c>
      <c r="CK9" s="100">
        <v>0.34858716448326421</v>
      </c>
      <c r="CL9" s="100">
        <v>10</v>
      </c>
      <c r="CM9" s="100">
        <v>7020</v>
      </c>
      <c r="CN9" s="100">
        <v>9</v>
      </c>
      <c r="CO9" s="100">
        <v>6318</v>
      </c>
      <c r="CP9" s="100">
        <v>8</v>
      </c>
      <c r="CQ9" s="100">
        <v>5616</v>
      </c>
      <c r="CR9" s="100">
        <v>6.6417557043909126</v>
      </c>
      <c r="CS9" s="100">
        <v>4662.5125044824208</v>
      </c>
      <c r="CT9" s="100">
        <v>6.241972333965613</v>
      </c>
      <c r="CU9" s="100">
        <v>4381.8645784438604</v>
      </c>
    </row>
    <row r="10" spans="1:99">
      <c r="C10" s="99" t="s">
        <v>176</v>
      </c>
      <c r="D10" s="100">
        <v>7.2514209725088357</v>
      </c>
      <c r="E10" s="100">
        <v>3950.5741458228135</v>
      </c>
      <c r="F10" s="100">
        <v>6.5405944532904075</v>
      </c>
      <c r="G10" s="100">
        <v>3563.3158581526136</v>
      </c>
      <c r="H10" s="100">
        <v>5.5786697562479402E-4</v>
      </c>
      <c r="I10" s="100">
        <v>0.30392592832038778</v>
      </c>
      <c r="J10" s="100">
        <v>5</v>
      </c>
      <c r="K10" s="100">
        <v>2724</v>
      </c>
      <c r="L10" s="100">
        <v>4.2248264142198257</v>
      </c>
      <c r="M10" s="100">
        <v>2301.685430466961</v>
      </c>
      <c r="N10" s="100">
        <v>6.2648833780133879</v>
      </c>
      <c r="O10" s="100">
        <v>3413.1084643416934</v>
      </c>
      <c r="P10" s="100">
        <v>5.7394521568690777</v>
      </c>
      <c r="Q10" s="100">
        <v>3126.8535350622733</v>
      </c>
      <c r="R10" s="100">
        <v>1.5831440683253912</v>
      </c>
      <c r="S10" s="100">
        <v>862.49688842367311</v>
      </c>
      <c r="T10" s="100">
        <v>5</v>
      </c>
      <c r="U10" s="100">
        <v>2724</v>
      </c>
      <c r="V10" s="100">
        <v>5.2125741423254333</v>
      </c>
      <c r="W10" s="100">
        <v>2839.8103927388956</v>
      </c>
      <c r="X10" s="100">
        <v>5.0759764375530713E-4</v>
      </c>
      <c r="Y10" s="100">
        <v>0.27653919631789131</v>
      </c>
      <c r="Z10" s="100">
        <v>7</v>
      </c>
      <c r="AA10" s="100">
        <v>3813.5999999999995</v>
      </c>
      <c r="AB10" s="100">
        <v>6</v>
      </c>
      <c r="AC10" s="100">
        <v>3268.7999999999997</v>
      </c>
      <c r="AD10" s="100">
        <v>6</v>
      </c>
      <c r="AE10" s="100">
        <v>3268.7999999999997</v>
      </c>
      <c r="AF10" s="100">
        <v>5</v>
      </c>
      <c r="AG10" s="100">
        <v>2724</v>
      </c>
      <c r="AH10" s="100">
        <v>7</v>
      </c>
      <c r="AI10" s="100">
        <v>3813.5999999999995</v>
      </c>
      <c r="AJ10" s="100">
        <v>9</v>
      </c>
      <c r="AK10" s="100">
        <v>4903.2</v>
      </c>
      <c r="AL10" s="100">
        <v>9</v>
      </c>
      <c r="AM10" s="100">
        <v>4903.2</v>
      </c>
      <c r="AN10" s="100">
        <v>7</v>
      </c>
      <c r="AO10" s="100">
        <v>3813.5999999999995</v>
      </c>
      <c r="AP10" s="100">
        <v>9.4990523449122417</v>
      </c>
      <c r="AQ10" s="100">
        <v>5175.0837175081888</v>
      </c>
      <c r="AR10" s="100">
        <v>0.14471664596773054</v>
      </c>
      <c r="AS10" s="100">
        <v>78.841628723219586</v>
      </c>
      <c r="AT10" s="100">
        <v>5</v>
      </c>
      <c r="AU10" s="100">
        <v>2724</v>
      </c>
      <c r="AV10" s="100">
        <v>10</v>
      </c>
      <c r="AW10" s="100">
        <v>5448</v>
      </c>
      <c r="AX10" s="100">
        <v>8.5991648220916783</v>
      </c>
      <c r="AY10" s="100">
        <v>4684.8249950755462</v>
      </c>
      <c r="AZ10" s="100">
        <v>7.0317393282027325</v>
      </c>
      <c r="BA10" s="100">
        <v>3830.8915860048483</v>
      </c>
      <c r="BB10" s="100">
        <v>4.3293051111389378</v>
      </c>
      <c r="BC10" s="100">
        <v>2358.6054245484929</v>
      </c>
      <c r="BD10" s="100">
        <v>6.763421601776586</v>
      </c>
      <c r="BE10" s="100">
        <v>3684.7120886478838</v>
      </c>
      <c r="BF10" s="100">
        <v>10</v>
      </c>
      <c r="BG10" s="100">
        <v>5448</v>
      </c>
      <c r="BH10" s="100">
        <v>6</v>
      </c>
      <c r="BI10" s="100">
        <v>3268.7999999999997</v>
      </c>
      <c r="BJ10" s="100">
        <v>7</v>
      </c>
      <c r="BK10" s="100">
        <v>3813.5999999999995</v>
      </c>
      <c r="BL10" s="100">
        <v>7.3246882419920922</v>
      </c>
      <c r="BM10" s="100">
        <v>3990.4901542372913</v>
      </c>
      <c r="BN10" s="100">
        <v>4.1261987149685</v>
      </c>
      <c r="BO10" s="100">
        <v>2247.9530599148388</v>
      </c>
      <c r="BP10" s="100">
        <v>3.5545788293962239</v>
      </c>
      <c r="BQ10" s="100">
        <v>1936.5345462550627</v>
      </c>
      <c r="BR10" s="100">
        <v>1.9987957928278102</v>
      </c>
      <c r="BS10" s="100">
        <v>1088.9439479325908</v>
      </c>
      <c r="BT10" s="100">
        <v>8</v>
      </c>
      <c r="BU10" s="100">
        <v>4358.3999999999996</v>
      </c>
      <c r="BV10" s="100">
        <v>6</v>
      </c>
      <c r="BW10" s="100">
        <v>3268.7999999999997</v>
      </c>
      <c r="BX10" s="100">
        <v>11</v>
      </c>
      <c r="BY10" s="100">
        <v>5992.7999999999993</v>
      </c>
      <c r="BZ10" s="100">
        <v>5</v>
      </c>
      <c r="CA10" s="100">
        <v>2724</v>
      </c>
      <c r="CB10" s="100">
        <v>7</v>
      </c>
      <c r="CC10" s="100">
        <v>3813.5999999999995</v>
      </c>
      <c r="CD10" s="100">
        <v>7.2951961530854428</v>
      </c>
      <c r="CE10" s="100">
        <v>3974.4228642009489</v>
      </c>
      <c r="CF10" s="100">
        <v>1.5564070949497497</v>
      </c>
      <c r="CG10" s="100">
        <v>847.93058532862358</v>
      </c>
      <c r="CH10" s="100">
        <v>7.3990306209597625</v>
      </c>
      <c r="CI10" s="100">
        <v>4030.9918822988784</v>
      </c>
      <c r="CJ10" s="100">
        <v>6.0691022622917157E-4</v>
      </c>
      <c r="CK10" s="100">
        <v>0.33064469124965262</v>
      </c>
      <c r="CL10" s="100">
        <v>9</v>
      </c>
      <c r="CM10" s="100">
        <v>4903.2</v>
      </c>
      <c r="CN10" s="100">
        <v>9</v>
      </c>
      <c r="CO10" s="100">
        <v>4903.2</v>
      </c>
      <c r="CP10" s="100">
        <v>8</v>
      </c>
      <c r="CQ10" s="100">
        <v>4358.3999999999996</v>
      </c>
      <c r="CR10" s="100">
        <v>6.6417557043909126</v>
      </c>
      <c r="CS10" s="100">
        <v>3618.428507752169</v>
      </c>
      <c r="CT10" s="100">
        <v>6.241972333965613</v>
      </c>
      <c r="CU10" s="100">
        <v>3400.6265275444657</v>
      </c>
    </row>
    <row r="11" spans="1:99">
      <c r="C11" s="99" t="s">
        <v>177</v>
      </c>
      <c r="D11" s="100">
        <v>7.2514209725088357</v>
      </c>
      <c r="E11" s="100">
        <v>3863.5570941527071</v>
      </c>
      <c r="F11" s="100">
        <v>7.4749650894747512</v>
      </c>
      <c r="G11" s="100">
        <v>3982.6613996721471</v>
      </c>
      <c r="H11" s="100">
        <v>5.5786697562479402E-4</v>
      </c>
      <c r="I11" s="100">
        <v>0.29723152461289021</v>
      </c>
      <c r="J11" s="100">
        <v>5</v>
      </c>
      <c r="K11" s="100">
        <v>2664</v>
      </c>
      <c r="L11" s="100">
        <v>4.2697916970637912</v>
      </c>
      <c r="M11" s="100">
        <v>2274.9450161955879</v>
      </c>
      <c r="N11" s="100">
        <v>5.2979938002650613</v>
      </c>
      <c r="O11" s="100">
        <v>2822.7710967812245</v>
      </c>
      <c r="P11" s="100">
        <v>5.7111863430366254</v>
      </c>
      <c r="Q11" s="100">
        <v>3042.9200835699139</v>
      </c>
      <c r="R11" s="100">
        <v>1.5831440683253912</v>
      </c>
      <c r="S11" s="100">
        <v>843.49915960376836</v>
      </c>
      <c r="T11" s="100">
        <v>5</v>
      </c>
      <c r="U11" s="100">
        <v>2664</v>
      </c>
      <c r="V11" s="100">
        <v>4.4679206934217994</v>
      </c>
      <c r="W11" s="100">
        <v>2380.5081454551346</v>
      </c>
      <c r="X11" s="100">
        <v>5.0759764375530713E-4</v>
      </c>
      <c r="Y11" s="100">
        <v>0.27044802459282763</v>
      </c>
      <c r="Z11" s="100">
        <v>7</v>
      </c>
      <c r="AA11" s="100">
        <v>3729.5999999999995</v>
      </c>
      <c r="AB11" s="100">
        <v>6</v>
      </c>
      <c r="AC11" s="100">
        <v>3196.7999999999997</v>
      </c>
      <c r="AD11" s="100">
        <v>6</v>
      </c>
      <c r="AE11" s="100">
        <v>3196.7999999999997</v>
      </c>
      <c r="AF11" s="100">
        <v>5</v>
      </c>
      <c r="AG11" s="100">
        <v>2664</v>
      </c>
      <c r="AH11" s="100">
        <v>7</v>
      </c>
      <c r="AI11" s="100">
        <v>3729.5999999999995</v>
      </c>
      <c r="AJ11" s="100">
        <v>8</v>
      </c>
      <c r="AK11" s="100">
        <v>4262.3999999999996</v>
      </c>
      <c r="AL11" s="100">
        <v>8</v>
      </c>
      <c r="AM11" s="100">
        <v>4262.3999999999996</v>
      </c>
      <c r="AN11" s="100">
        <v>8</v>
      </c>
      <c r="AO11" s="100">
        <v>4262.3999999999996</v>
      </c>
      <c r="AP11" s="100">
        <v>9.4990523449122417</v>
      </c>
      <c r="AQ11" s="100">
        <v>5061.0950893692416</v>
      </c>
      <c r="AR11" s="100">
        <v>0.14471664596773054</v>
      </c>
      <c r="AS11" s="100">
        <v>77.105028971606828</v>
      </c>
      <c r="AT11" s="100">
        <v>6</v>
      </c>
      <c r="AU11" s="100">
        <v>3196.7999999999997</v>
      </c>
      <c r="AV11" s="100">
        <v>9</v>
      </c>
      <c r="AW11" s="100">
        <v>4795.2</v>
      </c>
      <c r="AX11" s="100">
        <v>7.5492344202507056</v>
      </c>
      <c r="AY11" s="100">
        <v>4022.2320991095758</v>
      </c>
      <c r="AZ11" s="100">
        <v>7.9107067442280741</v>
      </c>
      <c r="BA11" s="100">
        <v>4214.8245533247173</v>
      </c>
      <c r="BB11" s="100">
        <v>4.3128570208801698</v>
      </c>
      <c r="BC11" s="100">
        <v>2297.8902207249544</v>
      </c>
      <c r="BD11" s="100">
        <v>6.763421601776586</v>
      </c>
      <c r="BE11" s="100">
        <v>3603.5510294265646</v>
      </c>
      <c r="BF11" s="100">
        <v>9</v>
      </c>
      <c r="BG11" s="100">
        <v>4795.2</v>
      </c>
      <c r="BH11" s="100">
        <v>8</v>
      </c>
      <c r="BI11" s="100">
        <v>4262.3999999999996</v>
      </c>
      <c r="BJ11" s="100">
        <v>7</v>
      </c>
      <c r="BK11" s="100">
        <v>3729.5999999999995</v>
      </c>
      <c r="BL11" s="100">
        <v>6.3246882419920922</v>
      </c>
      <c r="BM11" s="100">
        <v>3369.7938953333864</v>
      </c>
      <c r="BN11" s="100">
        <v>4.1261987149685</v>
      </c>
      <c r="BO11" s="100">
        <v>2198.4386753352164</v>
      </c>
      <c r="BP11" s="100">
        <v>3.5717079861283212</v>
      </c>
      <c r="BQ11" s="100">
        <v>1903.0060150091695</v>
      </c>
      <c r="BR11" s="100">
        <v>1.7767073714024979</v>
      </c>
      <c r="BS11" s="100">
        <v>946.62968748325079</v>
      </c>
      <c r="BT11" s="100">
        <v>8</v>
      </c>
      <c r="BU11" s="100">
        <v>4262.3999999999996</v>
      </c>
      <c r="BV11" s="100">
        <v>7</v>
      </c>
      <c r="BW11" s="100">
        <v>3729.5999999999995</v>
      </c>
      <c r="BX11" s="100">
        <v>11</v>
      </c>
      <c r="BY11" s="100">
        <v>5860.7999999999993</v>
      </c>
      <c r="BZ11" s="100">
        <v>6</v>
      </c>
      <c r="CA11" s="100">
        <v>3196.7999999999997</v>
      </c>
      <c r="CB11" s="100">
        <v>6</v>
      </c>
      <c r="CC11" s="100">
        <v>3196.7999999999997</v>
      </c>
      <c r="CD11" s="100">
        <v>6.2582966339497625</v>
      </c>
      <c r="CE11" s="100">
        <v>3334.4204465684334</v>
      </c>
      <c r="CF11" s="100">
        <v>1.361856208081031</v>
      </c>
      <c r="CG11" s="100">
        <v>725.59698766557324</v>
      </c>
      <c r="CH11" s="100">
        <v>8.3080768301428929</v>
      </c>
      <c r="CI11" s="100">
        <v>4426.5433351001329</v>
      </c>
      <c r="CJ11" s="100">
        <v>6.0691022622917157E-4</v>
      </c>
      <c r="CK11" s="100">
        <v>0.32336176853490256</v>
      </c>
      <c r="CL11" s="100">
        <v>9</v>
      </c>
      <c r="CM11" s="100">
        <v>4795.2</v>
      </c>
      <c r="CN11" s="100">
        <v>10</v>
      </c>
      <c r="CO11" s="100">
        <v>5328</v>
      </c>
      <c r="CP11" s="100">
        <v>7</v>
      </c>
      <c r="CQ11" s="100">
        <v>3729.5999999999995</v>
      </c>
      <c r="CR11" s="100">
        <v>6.6417557043909126</v>
      </c>
      <c r="CS11" s="100">
        <v>3538.7274392994777</v>
      </c>
      <c r="CT11" s="100">
        <v>7.1108950999399765</v>
      </c>
      <c r="CU11" s="100">
        <v>3788.6849092480193</v>
      </c>
    </row>
    <row r="12" spans="1:99">
      <c r="C12" s="99" t="s">
        <v>178</v>
      </c>
      <c r="D12" s="100">
        <v>7.2514209725088357</v>
      </c>
      <c r="E12" s="100">
        <v>4081.0997233279722</v>
      </c>
      <c r="F12" s="100">
        <v>7.4749650894747512</v>
      </c>
      <c r="G12" s="100">
        <v>4206.9103523563899</v>
      </c>
      <c r="H12" s="100">
        <v>4.7817169339268062E-4</v>
      </c>
      <c r="I12" s="100">
        <v>0.26911502904140061</v>
      </c>
      <c r="J12" s="100">
        <v>5</v>
      </c>
      <c r="K12" s="100">
        <v>2814</v>
      </c>
      <c r="L12" s="100">
        <v>5.2473090556418081</v>
      </c>
      <c r="M12" s="100">
        <v>2953.1855365152092</v>
      </c>
      <c r="N12" s="100">
        <v>5.2979938002650613</v>
      </c>
      <c r="O12" s="100">
        <v>2981.7109107891761</v>
      </c>
      <c r="P12" s="100">
        <v>5.025553863989499</v>
      </c>
      <c r="Q12" s="100">
        <v>2828.3817146532897</v>
      </c>
      <c r="R12" s="100">
        <v>1.8470014130462897</v>
      </c>
      <c r="S12" s="100">
        <v>1039.4923952624517</v>
      </c>
      <c r="T12" s="100">
        <v>5</v>
      </c>
      <c r="U12" s="100">
        <v>2814</v>
      </c>
      <c r="V12" s="100">
        <v>4.4814771410501848</v>
      </c>
      <c r="W12" s="100">
        <v>2522.1753349830437</v>
      </c>
      <c r="X12" s="100">
        <v>5.7104734922472052E-4</v>
      </c>
      <c r="Y12" s="100">
        <v>0.3213854481436727</v>
      </c>
      <c r="Z12" s="100">
        <v>7</v>
      </c>
      <c r="AA12" s="100">
        <v>3939.5999999999995</v>
      </c>
      <c r="AB12" s="100">
        <v>6</v>
      </c>
      <c r="AC12" s="100">
        <v>3376.7999999999997</v>
      </c>
      <c r="AD12" s="100">
        <v>6</v>
      </c>
      <c r="AE12" s="100">
        <v>3376.7999999999997</v>
      </c>
      <c r="AF12" s="100">
        <v>4</v>
      </c>
      <c r="AG12" s="100">
        <v>2251.1999999999998</v>
      </c>
      <c r="AH12" s="100">
        <v>7</v>
      </c>
      <c r="AI12" s="100">
        <v>3939.5999999999995</v>
      </c>
      <c r="AJ12" s="100">
        <v>8</v>
      </c>
      <c r="AK12" s="100">
        <v>4502.3999999999996</v>
      </c>
      <c r="AL12" s="100">
        <v>8</v>
      </c>
      <c r="AM12" s="100">
        <v>4502.3999999999996</v>
      </c>
      <c r="AN12" s="100">
        <v>7</v>
      </c>
      <c r="AO12" s="100">
        <v>3939.5999999999995</v>
      </c>
      <c r="AP12" s="100">
        <v>9.4491471104210181</v>
      </c>
      <c r="AQ12" s="100">
        <v>5317.9799937449488</v>
      </c>
      <c r="AR12" s="100">
        <v>0.12404283940091192</v>
      </c>
      <c r="AS12" s="100">
        <v>69.811310014833225</v>
      </c>
      <c r="AT12" s="100">
        <v>5</v>
      </c>
      <c r="AU12" s="100">
        <v>2814</v>
      </c>
      <c r="AV12" s="100">
        <v>10</v>
      </c>
      <c r="AW12" s="100">
        <v>5628</v>
      </c>
      <c r="AX12" s="100">
        <v>7.4993040184097319</v>
      </c>
      <c r="AY12" s="100">
        <v>4220.6083015609966</v>
      </c>
      <c r="AZ12" s="100">
        <v>7.0317393282027325</v>
      </c>
      <c r="BA12" s="100">
        <v>3957.4628939124977</v>
      </c>
      <c r="BB12" s="100">
        <v>3.6351677430470613</v>
      </c>
      <c r="BC12" s="100">
        <v>2045.872405786886</v>
      </c>
      <c r="BD12" s="100">
        <v>6.011930312690299</v>
      </c>
      <c r="BE12" s="100">
        <v>3383.5143799820999</v>
      </c>
      <c r="BF12" s="100">
        <v>9</v>
      </c>
      <c r="BG12" s="100">
        <v>5065.2</v>
      </c>
      <c r="BH12" s="100">
        <v>7</v>
      </c>
      <c r="BI12" s="100">
        <v>3939.5999999999995</v>
      </c>
      <c r="BJ12" s="100">
        <v>6</v>
      </c>
      <c r="BK12" s="100">
        <v>3376.7999999999997</v>
      </c>
      <c r="BL12" s="100">
        <v>7.3246882419920922</v>
      </c>
      <c r="BM12" s="100">
        <v>4122.3345425931493</v>
      </c>
      <c r="BN12" s="100">
        <v>4.7744045422651551</v>
      </c>
      <c r="BO12" s="100">
        <v>2687.0348763868292</v>
      </c>
      <c r="BP12" s="100">
        <v>3.1338090662283302</v>
      </c>
      <c r="BQ12" s="100">
        <v>1763.7077424733041</v>
      </c>
      <c r="BR12" s="100">
        <v>1.9987957928278102</v>
      </c>
      <c r="BS12" s="100">
        <v>1124.9222722034915</v>
      </c>
      <c r="BT12" s="100">
        <v>8</v>
      </c>
      <c r="BU12" s="100">
        <v>4502.3999999999996</v>
      </c>
      <c r="BV12" s="100">
        <v>7</v>
      </c>
      <c r="BW12" s="100">
        <v>3939.5999999999995</v>
      </c>
      <c r="BX12" s="100">
        <v>10</v>
      </c>
      <c r="BY12" s="100">
        <v>5628</v>
      </c>
      <c r="BZ12" s="100">
        <v>5</v>
      </c>
      <c r="CA12" s="100">
        <v>2814</v>
      </c>
      <c r="CB12" s="100">
        <v>6</v>
      </c>
      <c r="CC12" s="100">
        <v>3376.7999999999997</v>
      </c>
      <c r="CD12" s="100">
        <v>6.2582966339497625</v>
      </c>
      <c r="CE12" s="100">
        <v>3522.1693455869263</v>
      </c>
      <c r="CF12" s="100">
        <v>1.361856208081031</v>
      </c>
      <c r="CG12" s="100">
        <v>766.45267390800416</v>
      </c>
      <c r="CH12" s="100">
        <v>8.3165208933092067</v>
      </c>
      <c r="CI12" s="100">
        <v>4680.5379587544212</v>
      </c>
      <c r="CJ12" s="100">
        <v>5.5173656929924679E-4</v>
      </c>
      <c r="CK12" s="100">
        <v>0.31051734120161606</v>
      </c>
      <c r="CL12" s="100">
        <v>10</v>
      </c>
      <c r="CM12" s="100">
        <v>5628</v>
      </c>
      <c r="CN12" s="100">
        <v>10</v>
      </c>
      <c r="CO12" s="100">
        <v>5628</v>
      </c>
      <c r="CP12" s="100">
        <v>7</v>
      </c>
      <c r="CQ12" s="100">
        <v>3939.5999999999995</v>
      </c>
      <c r="CR12" s="100">
        <v>6.6417557043909126</v>
      </c>
      <c r="CS12" s="100">
        <v>3737.9801104312055</v>
      </c>
      <c r="CT12" s="100">
        <v>7.0976023522612195</v>
      </c>
      <c r="CU12" s="100">
        <v>3994.5306038526141</v>
      </c>
    </row>
    <row r="13" spans="1:99">
      <c r="C13" s="99" t="s">
        <v>179</v>
      </c>
      <c r="D13" s="100">
        <v>7.2793566361209283</v>
      </c>
      <c r="E13" s="100">
        <v>620.20118539750308</v>
      </c>
      <c r="F13" s="100">
        <v>6.5405944532904075</v>
      </c>
      <c r="G13" s="100">
        <v>557.25864742034275</v>
      </c>
      <c r="H13" s="100">
        <v>5.5786697562479402E-4</v>
      </c>
      <c r="I13" s="100">
        <v>4.7530266323232449E-2</v>
      </c>
      <c r="J13" s="100">
        <v>5</v>
      </c>
      <c r="K13" s="100">
        <v>426</v>
      </c>
      <c r="L13" s="100">
        <v>4.2473090556418081</v>
      </c>
      <c r="M13" s="100">
        <v>361.87073154068207</v>
      </c>
      <c r="N13" s="100">
        <v>5.2979938002650613</v>
      </c>
      <c r="O13" s="100">
        <v>451.38907178258324</v>
      </c>
      <c r="P13" s="100">
        <v>6.396818822083751</v>
      </c>
      <c r="Q13" s="100">
        <v>545.00896364153562</v>
      </c>
      <c r="R13" s="100">
        <v>1.8470014130462897</v>
      </c>
      <c r="S13" s="100">
        <v>157.36452039154389</v>
      </c>
      <c r="T13" s="100">
        <v>5</v>
      </c>
      <c r="U13" s="100">
        <v>426</v>
      </c>
      <c r="V13" s="100">
        <v>5.2261305899538177</v>
      </c>
      <c r="W13" s="100">
        <v>445.2663262640653</v>
      </c>
      <c r="X13" s="100">
        <v>5.7104734922472052E-4</v>
      </c>
      <c r="Y13" s="100">
        <v>4.8653234153946193E-2</v>
      </c>
      <c r="Z13" s="100">
        <v>7</v>
      </c>
      <c r="AA13" s="100">
        <v>596.4</v>
      </c>
      <c r="AB13" s="100">
        <v>6</v>
      </c>
      <c r="AC13" s="100">
        <v>511.20000000000005</v>
      </c>
      <c r="AD13" s="100">
        <v>6</v>
      </c>
      <c r="AE13" s="100">
        <v>511.20000000000005</v>
      </c>
      <c r="AF13" s="100">
        <v>5</v>
      </c>
      <c r="AG13" s="100">
        <v>426</v>
      </c>
      <c r="AH13" s="100">
        <v>7</v>
      </c>
      <c r="AI13" s="100">
        <v>596.4</v>
      </c>
      <c r="AJ13" s="100">
        <v>8</v>
      </c>
      <c r="AK13" s="100">
        <v>681.6</v>
      </c>
      <c r="AL13" s="100">
        <v>9</v>
      </c>
      <c r="AM13" s="100">
        <v>766.80000000000007</v>
      </c>
      <c r="AN13" s="100">
        <v>7</v>
      </c>
      <c r="AO13" s="100">
        <v>596.4</v>
      </c>
      <c r="AP13" s="100">
        <v>8.4990523449122417</v>
      </c>
      <c r="AQ13" s="100">
        <v>724.119259786523</v>
      </c>
      <c r="AR13" s="100">
        <v>0.12404283940091192</v>
      </c>
      <c r="AS13" s="100">
        <v>10.568449916957695</v>
      </c>
      <c r="AT13" s="100">
        <v>6</v>
      </c>
      <c r="AU13" s="100">
        <v>511.20000000000005</v>
      </c>
      <c r="AV13" s="100">
        <v>11</v>
      </c>
      <c r="AW13" s="100">
        <v>937.2</v>
      </c>
      <c r="AX13" s="100">
        <v>8.5991648220916783</v>
      </c>
      <c r="AY13" s="100">
        <v>732.64884284221102</v>
      </c>
      <c r="AZ13" s="100">
        <v>8.7896741602534156</v>
      </c>
      <c r="BA13" s="100">
        <v>748.88023845359101</v>
      </c>
      <c r="BB13" s="100">
        <v>4.3457532013977058</v>
      </c>
      <c r="BC13" s="100">
        <v>370.25817275908457</v>
      </c>
      <c r="BD13" s="100">
        <v>6.763421601776586</v>
      </c>
      <c r="BE13" s="100">
        <v>576.24352047136517</v>
      </c>
      <c r="BF13" s="100">
        <v>9</v>
      </c>
      <c r="BG13" s="100">
        <v>766.80000000000007</v>
      </c>
      <c r="BH13" s="100">
        <v>7</v>
      </c>
      <c r="BI13" s="100">
        <v>596.4</v>
      </c>
      <c r="BJ13" s="100">
        <v>8</v>
      </c>
      <c r="BK13" s="100">
        <v>681.6</v>
      </c>
      <c r="BL13" s="100">
        <v>7.3246882419920922</v>
      </c>
      <c r="BM13" s="100">
        <v>624.06343821772623</v>
      </c>
      <c r="BN13" s="100">
        <v>4.1261987149685</v>
      </c>
      <c r="BO13" s="100">
        <v>351.55213051531621</v>
      </c>
      <c r="BP13" s="100">
        <v>3.5545788293962239</v>
      </c>
      <c r="BQ13" s="100">
        <v>302.85011626455827</v>
      </c>
      <c r="BR13" s="100">
        <v>1.7767073714024979</v>
      </c>
      <c r="BS13" s="100">
        <v>151.37546804349282</v>
      </c>
      <c r="BT13" s="100">
        <v>8</v>
      </c>
      <c r="BU13" s="100">
        <v>681.6</v>
      </c>
      <c r="BV13" s="100">
        <v>7</v>
      </c>
      <c r="BW13" s="100">
        <v>596.4</v>
      </c>
      <c r="BX13" s="100">
        <v>11</v>
      </c>
      <c r="BY13" s="100">
        <v>937.2</v>
      </c>
      <c r="BZ13" s="100">
        <v>6</v>
      </c>
      <c r="CA13" s="100">
        <v>511.20000000000005</v>
      </c>
      <c r="CB13" s="100">
        <v>7</v>
      </c>
      <c r="CC13" s="100">
        <v>596.4</v>
      </c>
      <c r="CD13" s="100">
        <v>7.2951961530854428</v>
      </c>
      <c r="CE13" s="100">
        <v>621.55071224287974</v>
      </c>
      <c r="CF13" s="100">
        <v>1.5564070949497497</v>
      </c>
      <c r="CG13" s="100">
        <v>132.60588448971868</v>
      </c>
      <c r="CH13" s="100">
        <v>9.2340111656586519</v>
      </c>
      <c r="CI13" s="100">
        <v>786.73775131411719</v>
      </c>
      <c r="CJ13" s="100">
        <v>5.5173656929924679E-4</v>
      </c>
      <c r="CK13" s="100">
        <v>4.7007955704295827E-2</v>
      </c>
      <c r="CL13" s="100">
        <v>9</v>
      </c>
      <c r="CM13" s="100">
        <v>766.80000000000007</v>
      </c>
      <c r="CN13" s="100">
        <v>9</v>
      </c>
      <c r="CO13" s="100">
        <v>766.80000000000007</v>
      </c>
      <c r="CP13" s="100">
        <v>8</v>
      </c>
      <c r="CQ13" s="100">
        <v>681.6</v>
      </c>
      <c r="CR13" s="100">
        <v>6.6417557043909126</v>
      </c>
      <c r="CS13" s="100">
        <v>565.87758601410576</v>
      </c>
      <c r="CT13" s="100">
        <v>7.1241878476187326</v>
      </c>
      <c r="CU13" s="100">
        <v>606.98080461711606</v>
      </c>
    </row>
    <row r="14" spans="1:99">
      <c r="C14" s="99" t="s">
        <v>180</v>
      </c>
      <c r="D14" s="100">
        <v>7.2793566361209283</v>
      </c>
      <c r="E14" s="100">
        <v>3555.2377810814614</v>
      </c>
      <c r="F14" s="100">
        <v>7.4749650894747512</v>
      </c>
      <c r="G14" s="100">
        <v>3650.7729496994684</v>
      </c>
      <c r="H14" s="100">
        <v>5.5786697562479402E-4</v>
      </c>
      <c r="I14" s="100">
        <v>0.27246223089514937</v>
      </c>
      <c r="J14" s="100">
        <v>5</v>
      </c>
      <c r="K14" s="100">
        <v>2442</v>
      </c>
      <c r="L14" s="100">
        <v>5.2248264142198257</v>
      </c>
      <c r="M14" s="100">
        <v>2551.8052207049627</v>
      </c>
      <c r="N14" s="100">
        <v>5.2648833780133879</v>
      </c>
      <c r="O14" s="100">
        <v>2571.3690418217384</v>
      </c>
      <c r="P14" s="100">
        <v>6.4250846359162024</v>
      </c>
      <c r="Q14" s="100">
        <v>3138.0113361814729</v>
      </c>
      <c r="R14" s="100">
        <v>1.5831440683253912</v>
      </c>
      <c r="S14" s="100">
        <v>773.20756297012099</v>
      </c>
      <c r="T14" s="100">
        <v>5</v>
      </c>
      <c r="U14" s="100">
        <v>2442</v>
      </c>
      <c r="V14" s="100">
        <v>4.4814771410501848</v>
      </c>
      <c r="W14" s="100">
        <v>2188.75343568891</v>
      </c>
      <c r="X14" s="100">
        <v>5.0759764375530713E-4</v>
      </c>
      <c r="Y14" s="100">
        <v>0.24791068921009199</v>
      </c>
      <c r="Z14" s="100">
        <v>6</v>
      </c>
      <c r="AA14" s="100">
        <v>2930.3999999999996</v>
      </c>
      <c r="AB14" s="100">
        <v>6</v>
      </c>
      <c r="AC14" s="100">
        <v>2930.3999999999996</v>
      </c>
      <c r="AD14" s="100">
        <v>7</v>
      </c>
      <c r="AE14" s="100">
        <v>3418.7999999999997</v>
      </c>
      <c r="AF14" s="100">
        <v>5</v>
      </c>
      <c r="AG14" s="100">
        <v>2442</v>
      </c>
      <c r="AH14" s="100">
        <v>6</v>
      </c>
      <c r="AI14" s="100">
        <v>2930.3999999999996</v>
      </c>
      <c r="AJ14" s="100">
        <v>8</v>
      </c>
      <c r="AK14" s="100">
        <v>3907.2</v>
      </c>
      <c r="AL14" s="100">
        <v>9</v>
      </c>
      <c r="AM14" s="100">
        <v>4395.5999999999995</v>
      </c>
      <c r="AN14" s="100">
        <v>7</v>
      </c>
      <c r="AO14" s="100">
        <v>3418.7999999999997</v>
      </c>
      <c r="AP14" s="100">
        <v>9.4491471104210181</v>
      </c>
      <c r="AQ14" s="100">
        <v>4614.9634487296253</v>
      </c>
      <c r="AR14" s="100">
        <v>0.14471664596773054</v>
      </c>
      <c r="AS14" s="100">
        <v>70.679609890639597</v>
      </c>
      <c r="AT14" s="100">
        <v>5</v>
      </c>
      <c r="AU14" s="100">
        <v>2442</v>
      </c>
      <c r="AV14" s="100">
        <v>10</v>
      </c>
      <c r="AW14" s="100">
        <v>4884</v>
      </c>
      <c r="AX14" s="100">
        <v>7.5492344202507056</v>
      </c>
      <c r="AY14" s="100">
        <v>3687.0460908504442</v>
      </c>
      <c r="AZ14" s="100">
        <v>7.9107067442280741</v>
      </c>
      <c r="BA14" s="100">
        <v>3863.589173880991</v>
      </c>
      <c r="BB14" s="100">
        <v>3.6187196527882932</v>
      </c>
      <c r="BC14" s="100">
        <v>1767.3826784218024</v>
      </c>
      <c r="BD14" s="100">
        <v>6.011930312690299</v>
      </c>
      <c r="BE14" s="100">
        <v>2936.2267647179419</v>
      </c>
      <c r="BF14" s="100">
        <v>9</v>
      </c>
      <c r="BG14" s="100">
        <v>4395.5999999999995</v>
      </c>
      <c r="BH14" s="100">
        <v>7</v>
      </c>
      <c r="BI14" s="100">
        <v>3418.7999999999997</v>
      </c>
      <c r="BJ14" s="100">
        <v>7</v>
      </c>
      <c r="BK14" s="100">
        <v>3418.7999999999997</v>
      </c>
      <c r="BL14" s="100">
        <v>7.3246882419920922</v>
      </c>
      <c r="BM14" s="100">
        <v>3577.3777373889375</v>
      </c>
      <c r="BN14" s="100">
        <v>4.7744045422651551</v>
      </c>
      <c r="BO14" s="100">
        <v>2331.8191784423016</v>
      </c>
      <c r="BP14" s="100">
        <v>3.1509382229604284</v>
      </c>
      <c r="BQ14" s="100">
        <v>1538.918228093873</v>
      </c>
      <c r="BR14" s="100">
        <v>1.7767073714024979</v>
      </c>
      <c r="BS14" s="100">
        <v>867.74388019297999</v>
      </c>
      <c r="BT14" s="100">
        <v>8</v>
      </c>
      <c r="BU14" s="100">
        <v>3907.2</v>
      </c>
      <c r="BV14" s="100">
        <v>7</v>
      </c>
      <c r="BW14" s="100">
        <v>3418.7999999999997</v>
      </c>
      <c r="BX14" s="100">
        <v>10</v>
      </c>
      <c r="BY14" s="100">
        <v>4884</v>
      </c>
      <c r="BZ14" s="100">
        <v>6</v>
      </c>
      <c r="CA14" s="100">
        <v>2930.3999999999996</v>
      </c>
      <c r="CB14" s="100">
        <v>6</v>
      </c>
      <c r="CC14" s="100">
        <v>2930.3999999999996</v>
      </c>
      <c r="CD14" s="100">
        <v>6.2951961530854428</v>
      </c>
      <c r="CE14" s="100">
        <v>3074.57380116693</v>
      </c>
      <c r="CF14" s="100">
        <v>1.5564070949497497</v>
      </c>
      <c r="CG14" s="100">
        <v>760.14922517345769</v>
      </c>
      <c r="CH14" s="100">
        <v>8.3165208933092067</v>
      </c>
      <c r="CI14" s="100">
        <v>4061.7888042922164</v>
      </c>
      <c r="CJ14" s="100">
        <v>6.0691022622917157E-4</v>
      </c>
      <c r="CK14" s="100">
        <v>0.2964149544903274</v>
      </c>
      <c r="CL14" s="100">
        <v>9</v>
      </c>
      <c r="CM14" s="100">
        <v>4395.5999999999995</v>
      </c>
      <c r="CN14" s="100">
        <v>9</v>
      </c>
      <c r="CO14" s="100">
        <v>4395.5999999999995</v>
      </c>
      <c r="CP14" s="100">
        <v>7</v>
      </c>
      <c r="CQ14" s="100">
        <v>3418.7999999999997</v>
      </c>
      <c r="CR14" s="100">
        <v>6.6417557043909126</v>
      </c>
      <c r="CS14" s="100">
        <v>3243.8334860245213</v>
      </c>
      <c r="CT14" s="100">
        <v>6.241972333965613</v>
      </c>
      <c r="CU14" s="100">
        <v>3048.5792879088053</v>
      </c>
    </row>
    <row r="15" spans="1:99">
      <c r="C15" s="99" t="s">
        <v>181</v>
      </c>
      <c r="D15" s="100">
        <v>6.223485308896743</v>
      </c>
      <c r="E15" s="100">
        <v>4749.7639877499942</v>
      </c>
      <c r="F15" s="100">
        <v>7.4749650894747512</v>
      </c>
      <c r="G15" s="100">
        <v>5704.8933562871298</v>
      </c>
      <c r="H15" s="100">
        <v>5.5786697562479402E-4</v>
      </c>
      <c r="I15" s="100">
        <v>0.42576407579684278</v>
      </c>
      <c r="J15" s="100">
        <v>6</v>
      </c>
      <c r="K15" s="100">
        <v>4579.2</v>
      </c>
      <c r="L15" s="100">
        <v>4.2473090556418081</v>
      </c>
      <c r="M15" s="100">
        <v>3241.5462712658277</v>
      </c>
      <c r="N15" s="100">
        <v>6.2979938002650613</v>
      </c>
      <c r="O15" s="100">
        <v>4806.6288683622943</v>
      </c>
      <c r="P15" s="100">
        <v>6.396818822083751</v>
      </c>
      <c r="Q15" s="100">
        <v>4882.0521250143183</v>
      </c>
      <c r="R15" s="100">
        <v>1.5831440683253912</v>
      </c>
      <c r="S15" s="100">
        <v>1208.2555529459385</v>
      </c>
      <c r="T15" s="100">
        <v>5</v>
      </c>
      <c r="U15" s="100">
        <v>3815.9999999999995</v>
      </c>
      <c r="V15" s="100">
        <v>4.4679206934217994</v>
      </c>
      <c r="W15" s="100">
        <v>3409.9170732195171</v>
      </c>
      <c r="X15" s="100">
        <v>5.0759764375530713E-4</v>
      </c>
      <c r="Y15" s="100">
        <v>0.38739852171405037</v>
      </c>
      <c r="Z15" s="100">
        <v>7</v>
      </c>
      <c r="AA15" s="100">
        <v>5342.4</v>
      </c>
      <c r="AB15" s="100">
        <v>7</v>
      </c>
      <c r="AC15" s="100">
        <v>5342.4</v>
      </c>
      <c r="AD15" s="100">
        <v>6</v>
      </c>
      <c r="AE15" s="100">
        <v>4579.2</v>
      </c>
      <c r="AF15" s="100">
        <v>5</v>
      </c>
      <c r="AG15" s="100">
        <v>3815.9999999999995</v>
      </c>
      <c r="AH15" s="100">
        <v>7</v>
      </c>
      <c r="AI15" s="100">
        <v>5342.4</v>
      </c>
      <c r="AJ15" s="100">
        <v>8</v>
      </c>
      <c r="AK15" s="100">
        <v>6105.5999999999995</v>
      </c>
      <c r="AL15" s="100">
        <v>9</v>
      </c>
      <c r="AM15" s="100">
        <v>6868.7999999999993</v>
      </c>
      <c r="AN15" s="100">
        <v>8</v>
      </c>
      <c r="AO15" s="100">
        <v>6105.5999999999995</v>
      </c>
      <c r="AP15" s="100">
        <v>9.5489575794034671</v>
      </c>
      <c r="AQ15" s="100">
        <v>7287.7644246007258</v>
      </c>
      <c r="AR15" s="100">
        <v>0.12404283940091192</v>
      </c>
      <c r="AS15" s="100">
        <v>94.669495030775963</v>
      </c>
      <c r="AT15" s="100">
        <v>5</v>
      </c>
      <c r="AU15" s="100">
        <v>3815.9999999999995</v>
      </c>
      <c r="AV15" s="100">
        <v>10</v>
      </c>
      <c r="AW15" s="100">
        <v>7631.9999999999991</v>
      </c>
      <c r="AX15" s="100">
        <v>7.5492344202507056</v>
      </c>
      <c r="AY15" s="100">
        <v>5761.5757095353383</v>
      </c>
      <c r="AZ15" s="100">
        <v>7.9107067442280741</v>
      </c>
      <c r="BA15" s="100">
        <v>6037.4513871948657</v>
      </c>
      <c r="BB15" s="100">
        <v>3.6516158333058288</v>
      </c>
      <c r="BC15" s="100">
        <v>2786.9132039790084</v>
      </c>
      <c r="BD15" s="100">
        <v>6.011930312690299</v>
      </c>
      <c r="BE15" s="100">
        <v>4588.3052146452355</v>
      </c>
      <c r="BF15" s="100">
        <v>10</v>
      </c>
      <c r="BG15" s="100">
        <v>7631.9999999999991</v>
      </c>
      <c r="BH15" s="100">
        <v>7</v>
      </c>
      <c r="BI15" s="100">
        <v>5342.4</v>
      </c>
      <c r="BJ15" s="100">
        <v>7</v>
      </c>
      <c r="BK15" s="100">
        <v>5342.4</v>
      </c>
      <c r="BL15" s="100">
        <v>7.2886117706596369</v>
      </c>
      <c r="BM15" s="100">
        <v>5562.6685033674348</v>
      </c>
      <c r="BN15" s="100">
        <v>4.1261987149685</v>
      </c>
      <c r="BO15" s="100">
        <v>3149.1148592639588</v>
      </c>
      <c r="BP15" s="100">
        <v>3.9753485925641172</v>
      </c>
      <c r="BQ15" s="100">
        <v>3033.9860458449339</v>
      </c>
      <c r="BR15" s="100">
        <v>1.7767073714024979</v>
      </c>
      <c r="BS15" s="100">
        <v>1355.9830658543863</v>
      </c>
      <c r="BT15" s="100">
        <v>8</v>
      </c>
      <c r="BU15" s="100">
        <v>6105.5999999999995</v>
      </c>
      <c r="BV15" s="100">
        <v>7</v>
      </c>
      <c r="BW15" s="100">
        <v>5342.4</v>
      </c>
      <c r="BX15" s="100">
        <v>11</v>
      </c>
      <c r="BY15" s="100">
        <v>8395.1999999999989</v>
      </c>
      <c r="BZ15" s="100">
        <v>5</v>
      </c>
      <c r="CA15" s="100">
        <v>3815.9999999999995</v>
      </c>
      <c r="CB15" s="100">
        <v>6</v>
      </c>
      <c r="CC15" s="100">
        <v>4579.2</v>
      </c>
      <c r="CD15" s="100">
        <v>7.2951961530854428</v>
      </c>
      <c r="CE15" s="100">
        <v>5567.6937040348093</v>
      </c>
      <c r="CF15" s="100">
        <v>1.5564070949497497</v>
      </c>
      <c r="CG15" s="100">
        <v>1187.8498948656488</v>
      </c>
      <c r="CH15" s="100">
        <v>8.3080768301428929</v>
      </c>
      <c r="CI15" s="100">
        <v>6340.7242367650551</v>
      </c>
      <c r="CJ15" s="100">
        <v>4.9656291236932222E-4</v>
      </c>
      <c r="CK15" s="100">
        <v>0.37897681472026667</v>
      </c>
      <c r="CL15" s="100">
        <v>9</v>
      </c>
      <c r="CM15" s="100">
        <v>6868.7999999999993</v>
      </c>
      <c r="CN15" s="100">
        <v>10</v>
      </c>
      <c r="CO15" s="100">
        <v>7631.9999999999991</v>
      </c>
      <c r="CP15" s="100">
        <v>7</v>
      </c>
      <c r="CQ15" s="100">
        <v>5342.4</v>
      </c>
      <c r="CR15" s="100">
        <v>6.6417557043909126</v>
      </c>
      <c r="CS15" s="100">
        <v>5068.9879535911441</v>
      </c>
      <c r="CT15" s="100">
        <v>6.2286795862868578</v>
      </c>
      <c r="CU15" s="100">
        <v>4753.7282602541291</v>
      </c>
    </row>
    <row r="16" spans="1:99">
      <c r="C16" s="99" t="s">
        <v>182</v>
      </c>
      <c r="D16" s="100">
        <v>7.2793566361209283</v>
      </c>
      <c r="E16" s="100">
        <v>2480.8047415900123</v>
      </c>
      <c r="F16" s="100">
        <v>6.5405944532904075</v>
      </c>
      <c r="G16" s="100">
        <v>2229.034589681371</v>
      </c>
      <c r="H16" s="100">
        <v>5.5786697562479402E-4</v>
      </c>
      <c r="I16" s="100">
        <v>0.1901210652929298</v>
      </c>
      <c r="J16" s="100">
        <v>6</v>
      </c>
      <c r="K16" s="100">
        <v>2044.8000000000002</v>
      </c>
      <c r="L16" s="100">
        <v>5.2473090556418081</v>
      </c>
      <c r="M16" s="100">
        <v>1788.2829261627282</v>
      </c>
      <c r="N16" s="100">
        <v>6.2979938002650613</v>
      </c>
      <c r="O16" s="100">
        <v>2146.3562871303329</v>
      </c>
      <c r="P16" s="100">
        <v>5.7394521568690777</v>
      </c>
      <c r="Q16" s="100">
        <v>1956.0052950609818</v>
      </c>
      <c r="R16" s="100">
        <v>1.5831440683253912</v>
      </c>
      <c r="S16" s="100">
        <v>539.53549848529337</v>
      </c>
      <c r="T16" s="100">
        <v>6</v>
      </c>
      <c r="U16" s="100">
        <v>2044.8000000000002</v>
      </c>
      <c r="V16" s="100">
        <v>4.4814771410501848</v>
      </c>
      <c r="W16" s="100">
        <v>1527.2874096699031</v>
      </c>
      <c r="X16" s="100">
        <v>6.3449705469413391E-4</v>
      </c>
      <c r="Y16" s="100">
        <v>0.21623659623976085</v>
      </c>
      <c r="Z16" s="100">
        <v>7</v>
      </c>
      <c r="AA16" s="100">
        <v>2385.6</v>
      </c>
      <c r="AB16" s="100">
        <v>7</v>
      </c>
      <c r="AC16" s="100">
        <v>2385.6</v>
      </c>
      <c r="AD16" s="100">
        <v>7</v>
      </c>
      <c r="AE16" s="100">
        <v>2385.6</v>
      </c>
      <c r="AF16" s="100">
        <v>5</v>
      </c>
      <c r="AG16" s="100">
        <v>1704</v>
      </c>
      <c r="AH16" s="100">
        <v>6</v>
      </c>
      <c r="AI16" s="100">
        <v>2044.8000000000002</v>
      </c>
      <c r="AJ16" s="100">
        <v>8</v>
      </c>
      <c r="AK16" s="100">
        <v>2726.4</v>
      </c>
      <c r="AL16" s="100">
        <v>9</v>
      </c>
      <c r="AM16" s="100">
        <v>3067.2000000000003</v>
      </c>
      <c r="AN16" s="100">
        <v>7</v>
      </c>
      <c r="AO16" s="100">
        <v>2385.6</v>
      </c>
      <c r="AP16" s="100">
        <v>8.4990523449122417</v>
      </c>
      <c r="AQ16" s="100">
        <v>2896.477039146092</v>
      </c>
      <c r="AR16" s="100">
        <v>0.12404283940091192</v>
      </c>
      <c r="AS16" s="100">
        <v>42.273799667830779</v>
      </c>
      <c r="AT16" s="100">
        <v>6</v>
      </c>
      <c r="AU16" s="100">
        <v>2044.8000000000002</v>
      </c>
      <c r="AV16" s="100">
        <v>11</v>
      </c>
      <c r="AW16" s="100">
        <v>3748.8</v>
      </c>
      <c r="AX16" s="100">
        <v>8.5492344202507056</v>
      </c>
      <c r="AY16" s="100">
        <v>2913.5790904214405</v>
      </c>
      <c r="AZ16" s="100">
        <v>7.0317393282027325</v>
      </c>
      <c r="BA16" s="100">
        <v>2396.4167630514912</v>
      </c>
      <c r="BB16" s="100">
        <v>3.6516158333058288</v>
      </c>
      <c r="BC16" s="100">
        <v>1244.4706759906264</v>
      </c>
      <c r="BD16" s="100">
        <v>6.763421601776586</v>
      </c>
      <c r="BE16" s="100">
        <v>2304.9740818854607</v>
      </c>
      <c r="BF16" s="100">
        <v>9</v>
      </c>
      <c r="BG16" s="100">
        <v>3067.2000000000003</v>
      </c>
      <c r="BH16" s="100">
        <v>7</v>
      </c>
      <c r="BI16" s="100">
        <v>2385.6</v>
      </c>
      <c r="BJ16" s="100">
        <v>7</v>
      </c>
      <c r="BK16" s="100">
        <v>2385.6</v>
      </c>
      <c r="BL16" s="100">
        <v>7.3246882419920922</v>
      </c>
      <c r="BM16" s="100">
        <v>2496.2537528709049</v>
      </c>
      <c r="BN16" s="100">
        <v>4.1261987149685</v>
      </c>
      <c r="BO16" s="100">
        <v>1406.2085220612648</v>
      </c>
      <c r="BP16" s="100">
        <v>3.5717079861283212</v>
      </c>
      <c r="BQ16" s="100">
        <v>1217.238081672532</v>
      </c>
      <c r="BR16" s="100">
        <v>1.9987957928278102</v>
      </c>
      <c r="BS16" s="100">
        <v>681.18960619571772</v>
      </c>
      <c r="BT16" s="100">
        <v>7</v>
      </c>
      <c r="BU16" s="100">
        <v>2385.6</v>
      </c>
      <c r="BV16" s="100">
        <v>7</v>
      </c>
      <c r="BW16" s="100">
        <v>2385.6</v>
      </c>
      <c r="BX16" s="100">
        <v>11</v>
      </c>
      <c r="BY16" s="100">
        <v>3748.8</v>
      </c>
      <c r="BZ16" s="100">
        <v>6</v>
      </c>
      <c r="CA16" s="100">
        <v>2044.8000000000002</v>
      </c>
      <c r="CB16" s="100">
        <v>6</v>
      </c>
      <c r="CC16" s="100">
        <v>2044.8000000000002</v>
      </c>
      <c r="CD16" s="100">
        <v>7.2582966339497625</v>
      </c>
      <c r="CE16" s="100">
        <v>2473.6274928500793</v>
      </c>
      <c r="CF16" s="100">
        <v>1.5564070949497497</v>
      </c>
      <c r="CG16" s="100">
        <v>530.4235379588747</v>
      </c>
      <c r="CH16" s="100">
        <v>8.3165208933092067</v>
      </c>
      <c r="CI16" s="100">
        <v>2834.2703204397776</v>
      </c>
      <c r="CJ16" s="100">
        <v>4.9656291236932222E-4</v>
      </c>
      <c r="CK16" s="100">
        <v>0.16922864053546502</v>
      </c>
      <c r="CL16" s="100">
        <v>9</v>
      </c>
      <c r="CM16" s="100">
        <v>3067.2000000000003</v>
      </c>
      <c r="CN16" s="100">
        <v>9</v>
      </c>
      <c r="CO16" s="100">
        <v>3067.2000000000003</v>
      </c>
      <c r="CP16" s="100">
        <v>8</v>
      </c>
      <c r="CQ16" s="100">
        <v>2726.4</v>
      </c>
      <c r="CR16" s="100">
        <v>6.6417557043909126</v>
      </c>
      <c r="CS16" s="100">
        <v>2263.510344056423</v>
      </c>
      <c r="CT16" s="100">
        <v>6.2153868386081008</v>
      </c>
      <c r="CU16" s="100">
        <v>2118.2038345976407</v>
      </c>
    </row>
    <row r="17" spans="2:99">
      <c r="C17" s="99" t="s">
        <v>183</v>
      </c>
      <c r="D17" s="100">
        <v>7.2514209725088357</v>
      </c>
      <c r="E17" s="100">
        <v>3063.0002187877321</v>
      </c>
      <c r="F17" s="100">
        <v>7.4749650894747512</v>
      </c>
      <c r="G17" s="100">
        <v>3157.4252537941347</v>
      </c>
      <c r="H17" s="100">
        <v>5.5786697562479402E-4</v>
      </c>
      <c r="I17" s="100">
        <v>0.23564301050391298</v>
      </c>
      <c r="J17" s="100">
        <v>5</v>
      </c>
      <c r="K17" s="100">
        <v>2112</v>
      </c>
      <c r="L17" s="100">
        <v>5.2697916970637912</v>
      </c>
      <c r="M17" s="100">
        <v>2225.9600128397451</v>
      </c>
      <c r="N17" s="100">
        <v>6.2979938002650613</v>
      </c>
      <c r="O17" s="100">
        <v>2660.2725812319618</v>
      </c>
      <c r="P17" s="100">
        <v>6.396818822083751</v>
      </c>
      <c r="Q17" s="100">
        <v>2702.0162704481763</v>
      </c>
      <c r="R17" s="100">
        <v>1.5831440683253912</v>
      </c>
      <c r="S17" s="100">
        <v>668.7200544606452</v>
      </c>
      <c r="T17" s="100">
        <v>5</v>
      </c>
      <c r="U17" s="100">
        <v>2112</v>
      </c>
      <c r="V17" s="100">
        <v>4.4814771410501848</v>
      </c>
      <c r="W17" s="100">
        <v>1892.9759443795979</v>
      </c>
      <c r="X17" s="100">
        <v>5.7104734922472052E-4</v>
      </c>
      <c r="Y17" s="100">
        <v>0.24121040031252194</v>
      </c>
      <c r="Z17" s="100">
        <v>7</v>
      </c>
      <c r="AA17" s="100">
        <v>2956.7999999999997</v>
      </c>
      <c r="AB17" s="100">
        <v>6</v>
      </c>
      <c r="AC17" s="100">
        <v>2534.3999999999996</v>
      </c>
      <c r="AD17" s="100">
        <v>6</v>
      </c>
      <c r="AE17" s="100">
        <v>2534.3999999999996</v>
      </c>
      <c r="AF17" s="100">
        <v>5</v>
      </c>
      <c r="AG17" s="100">
        <v>2112</v>
      </c>
      <c r="AH17" s="100">
        <v>6</v>
      </c>
      <c r="AI17" s="100">
        <v>2534.3999999999996</v>
      </c>
      <c r="AJ17" s="100">
        <v>9</v>
      </c>
      <c r="AK17" s="100">
        <v>3801.6</v>
      </c>
      <c r="AL17" s="100">
        <v>9</v>
      </c>
      <c r="AM17" s="100">
        <v>3801.6</v>
      </c>
      <c r="AN17" s="100">
        <v>7</v>
      </c>
      <c r="AO17" s="100">
        <v>2956.7999999999997</v>
      </c>
      <c r="AP17" s="100">
        <v>9.4990523449122417</v>
      </c>
      <c r="AQ17" s="100">
        <v>4012.3997104909308</v>
      </c>
      <c r="AR17" s="100">
        <v>0.12404283940091192</v>
      </c>
      <c r="AS17" s="100">
        <v>52.39569536294519</v>
      </c>
      <c r="AT17" s="100">
        <v>5</v>
      </c>
      <c r="AU17" s="100">
        <v>2112</v>
      </c>
      <c r="AV17" s="100">
        <v>9</v>
      </c>
      <c r="AW17" s="100">
        <v>3801.6</v>
      </c>
      <c r="AX17" s="100">
        <v>7.5492344202507056</v>
      </c>
      <c r="AY17" s="100">
        <v>3188.796619113898</v>
      </c>
      <c r="AZ17" s="100">
        <v>7.9107067442280741</v>
      </c>
      <c r="BA17" s="100">
        <v>3341.4825287619383</v>
      </c>
      <c r="BB17" s="100">
        <v>3.6516158333058288</v>
      </c>
      <c r="BC17" s="100">
        <v>1542.4425279883819</v>
      </c>
      <c r="BD17" s="100">
        <v>6.763421601776586</v>
      </c>
      <c r="BE17" s="100">
        <v>2856.8692845904297</v>
      </c>
      <c r="BF17" s="100">
        <v>9</v>
      </c>
      <c r="BG17" s="100">
        <v>3801.6</v>
      </c>
      <c r="BH17" s="100">
        <v>6</v>
      </c>
      <c r="BI17" s="100">
        <v>2534.3999999999996</v>
      </c>
      <c r="BJ17" s="100">
        <v>7</v>
      </c>
      <c r="BK17" s="100">
        <v>2956.7999999999997</v>
      </c>
      <c r="BL17" s="100">
        <v>7.3246882419920922</v>
      </c>
      <c r="BM17" s="100">
        <v>3093.9483134174598</v>
      </c>
      <c r="BN17" s="100">
        <v>4.1261987149685</v>
      </c>
      <c r="BO17" s="100">
        <v>1742.9063372026942</v>
      </c>
      <c r="BP17" s="100">
        <v>3.5374496726641258</v>
      </c>
      <c r="BQ17" s="100">
        <v>1494.2187417333266</v>
      </c>
      <c r="BR17" s="100">
        <v>2.2208842142531222</v>
      </c>
      <c r="BS17" s="100">
        <v>938.10149210051873</v>
      </c>
      <c r="BT17" s="100">
        <v>8</v>
      </c>
      <c r="BU17" s="100">
        <v>3379.2</v>
      </c>
      <c r="BV17" s="100">
        <v>7</v>
      </c>
      <c r="BW17" s="100">
        <v>2956.7999999999997</v>
      </c>
      <c r="BX17" s="100">
        <v>10</v>
      </c>
      <c r="BY17" s="100">
        <v>4224</v>
      </c>
      <c r="BZ17" s="100">
        <v>6</v>
      </c>
      <c r="CA17" s="100">
        <v>2534.3999999999996</v>
      </c>
      <c r="CB17" s="100">
        <v>7</v>
      </c>
      <c r="CC17" s="100">
        <v>2956.7999999999997</v>
      </c>
      <c r="CD17" s="100">
        <v>7.2582966339497625</v>
      </c>
      <c r="CE17" s="100">
        <v>3065.9044981803795</v>
      </c>
      <c r="CF17" s="100">
        <v>1.361856208081031</v>
      </c>
      <c r="CG17" s="100">
        <v>575.24806229342744</v>
      </c>
      <c r="CH17" s="100">
        <v>8.3165208933092067</v>
      </c>
      <c r="CI17" s="100">
        <v>3512.8984253338085</v>
      </c>
      <c r="CJ17" s="100">
        <v>5.5173656929924679E-4</v>
      </c>
      <c r="CK17" s="100">
        <v>0.23305352687200184</v>
      </c>
      <c r="CL17" s="100">
        <v>9</v>
      </c>
      <c r="CM17" s="100">
        <v>3801.6</v>
      </c>
      <c r="CN17" s="100">
        <v>10</v>
      </c>
      <c r="CO17" s="100">
        <v>4224</v>
      </c>
      <c r="CP17" s="100">
        <v>8</v>
      </c>
      <c r="CQ17" s="100">
        <v>3379.2</v>
      </c>
      <c r="CR17" s="100">
        <v>6.6417557043909126</v>
      </c>
      <c r="CS17" s="100">
        <v>2805.4776095347215</v>
      </c>
      <c r="CT17" s="100">
        <v>7.1108950999399765</v>
      </c>
      <c r="CU17" s="100">
        <v>3003.642090214646</v>
      </c>
    </row>
    <row r="18" spans="2:99">
      <c r="C18" s="99" t="s">
        <v>184</v>
      </c>
      <c r="D18" s="100">
        <v>6.2514209725088357</v>
      </c>
      <c r="E18" s="100">
        <v>4080.9276108537674</v>
      </c>
      <c r="F18" s="100">
        <v>6.5405944532904075</v>
      </c>
      <c r="G18" s="100">
        <v>4269.7000591079777</v>
      </c>
      <c r="H18" s="100">
        <v>4.7817169339268062E-4</v>
      </c>
      <c r="I18" s="100">
        <v>0.3121504814467419</v>
      </c>
      <c r="J18" s="100">
        <v>5</v>
      </c>
      <c r="K18" s="100">
        <v>3264</v>
      </c>
      <c r="L18" s="100">
        <v>5.2248264142198257</v>
      </c>
      <c r="M18" s="100">
        <v>3410.7666832027021</v>
      </c>
      <c r="N18" s="100">
        <v>5.2648833780133879</v>
      </c>
      <c r="O18" s="100">
        <v>3436.9158691671396</v>
      </c>
      <c r="P18" s="100">
        <v>5.7394521568690777</v>
      </c>
      <c r="Q18" s="100">
        <v>3746.7143680041336</v>
      </c>
      <c r="R18" s="100">
        <v>1.5831440683253912</v>
      </c>
      <c r="S18" s="100">
        <v>1033.4764478028153</v>
      </c>
      <c r="T18" s="100">
        <v>5</v>
      </c>
      <c r="U18" s="100">
        <v>3264</v>
      </c>
      <c r="V18" s="100">
        <v>4.4814771410501848</v>
      </c>
      <c r="W18" s="100">
        <v>2925.5082776775603</v>
      </c>
      <c r="X18" s="100">
        <v>5.7104734922472052E-4</v>
      </c>
      <c r="Y18" s="100">
        <v>0.37277970957389756</v>
      </c>
      <c r="Z18" s="100">
        <v>7</v>
      </c>
      <c r="AA18" s="100">
        <v>4569.5999999999995</v>
      </c>
      <c r="AB18" s="100">
        <v>6</v>
      </c>
      <c r="AC18" s="100">
        <v>3916.7999999999997</v>
      </c>
      <c r="AD18" s="100">
        <v>6</v>
      </c>
      <c r="AE18" s="100">
        <v>3916.7999999999997</v>
      </c>
      <c r="AF18" s="100">
        <v>5</v>
      </c>
      <c r="AG18" s="100">
        <v>3264</v>
      </c>
      <c r="AH18" s="100">
        <v>6</v>
      </c>
      <c r="AI18" s="100">
        <v>3916.7999999999997</v>
      </c>
      <c r="AJ18" s="100">
        <v>9</v>
      </c>
      <c r="AK18" s="100">
        <v>5875.2</v>
      </c>
      <c r="AL18" s="100">
        <v>8</v>
      </c>
      <c r="AM18" s="100">
        <v>5222.3999999999996</v>
      </c>
      <c r="AN18" s="100">
        <v>8</v>
      </c>
      <c r="AO18" s="100">
        <v>5222.3999999999996</v>
      </c>
      <c r="AP18" s="100">
        <v>9.5489575794034671</v>
      </c>
      <c r="AQ18" s="100">
        <v>6233.5595078345832</v>
      </c>
      <c r="AR18" s="100">
        <v>0.12404283940091192</v>
      </c>
      <c r="AS18" s="100">
        <v>80.9751655609153</v>
      </c>
      <c r="AT18" s="100">
        <v>5</v>
      </c>
      <c r="AU18" s="100">
        <v>3264</v>
      </c>
      <c r="AV18" s="100">
        <v>10</v>
      </c>
      <c r="AW18" s="100">
        <v>6528</v>
      </c>
      <c r="AX18" s="100">
        <v>8.5991648220916783</v>
      </c>
      <c r="AY18" s="100">
        <v>5613.5347958614475</v>
      </c>
      <c r="AZ18" s="100">
        <v>7.9107067442280741</v>
      </c>
      <c r="BA18" s="100">
        <v>5164.1093626320862</v>
      </c>
      <c r="BB18" s="100">
        <v>3.6187196527882932</v>
      </c>
      <c r="BC18" s="100">
        <v>2362.3001893401974</v>
      </c>
      <c r="BD18" s="100">
        <v>6.763421601776586</v>
      </c>
      <c r="BE18" s="100">
        <v>4415.1616216397551</v>
      </c>
      <c r="BF18" s="100">
        <v>9</v>
      </c>
      <c r="BG18" s="100">
        <v>5875.2</v>
      </c>
      <c r="BH18" s="100">
        <v>7</v>
      </c>
      <c r="BI18" s="100">
        <v>4569.5999999999995</v>
      </c>
      <c r="BJ18" s="100">
        <v>6</v>
      </c>
      <c r="BK18" s="100">
        <v>3916.7999999999997</v>
      </c>
      <c r="BL18" s="100">
        <v>7.2886117706596369</v>
      </c>
      <c r="BM18" s="100">
        <v>4758.005763886611</v>
      </c>
      <c r="BN18" s="100">
        <v>4.1261987149685</v>
      </c>
      <c r="BO18" s="100">
        <v>2693.5825211314368</v>
      </c>
      <c r="BP18" s="100">
        <v>3.1509382229604284</v>
      </c>
      <c r="BQ18" s="100">
        <v>2056.9324719485676</v>
      </c>
      <c r="BR18" s="100">
        <v>1.9987957928278102</v>
      </c>
      <c r="BS18" s="100">
        <v>1304.8138935579943</v>
      </c>
      <c r="BT18" s="100">
        <v>8</v>
      </c>
      <c r="BU18" s="100">
        <v>5222.3999999999996</v>
      </c>
      <c r="BV18" s="100">
        <v>8</v>
      </c>
      <c r="BW18" s="100">
        <v>5222.3999999999996</v>
      </c>
      <c r="BX18" s="100">
        <v>11</v>
      </c>
      <c r="BY18" s="100">
        <v>7180.7999999999993</v>
      </c>
      <c r="BZ18" s="100">
        <v>6</v>
      </c>
      <c r="CA18" s="100">
        <v>3916.7999999999997</v>
      </c>
      <c r="CB18" s="100">
        <v>7</v>
      </c>
      <c r="CC18" s="100">
        <v>4569.5999999999995</v>
      </c>
      <c r="CD18" s="100">
        <v>7.2951961530854428</v>
      </c>
      <c r="CE18" s="100">
        <v>4762.3040487341768</v>
      </c>
      <c r="CF18" s="100">
        <v>1.5564070949497497</v>
      </c>
      <c r="CG18" s="100">
        <v>1016.0225515831966</v>
      </c>
      <c r="CH18" s="100">
        <v>9.2340111656586519</v>
      </c>
      <c r="CI18" s="100">
        <v>6027.9624889419674</v>
      </c>
      <c r="CJ18" s="100">
        <v>5.5173656929924679E-4</v>
      </c>
      <c r="CK18" s="100">
        <v>0.36017363243854827</v>
      </c>
      <c r="CL18" s="100">
        <v>9</v>
      </c>
      <c r="CM18" s="100">
        <v>5875.2</v>
      </c>
      <c r="CN18" s="100">
        <v>9</v>
      </c>
      <c r="CO18" s="100">
        <v>5875.2</v>
      </c>
      <c r="CP18" s="100">
        <v>8</v>
      </c>
      <c r="CQ18" s="100">
        <v>5222.3999999999996</v>
      </c>
      <c r="CR18" s="100">
        <v>6.6417557043909126</v>
      </c>
      <c r="CS18" s="100">
        <v>4335.738123826387</v>
      </c>
      <c r="CT18" s="100">
        <v>7.1108950999399765</v>
      </c>
      <c r="CU18" s="100">
        <v>4641.9923212408166</v>
      </c>
    </row>
    <row r="19" spans="2:99">
      <c r="C19" s="99" t="s">
        <v>185</v>
      </c>
      <c r="D19" s="100">
        <v>7.2514209725088357</v>
      </c>
      <c r="E19" s="100">
        <v>2392.9689209279159</v>
      </c>
      <c r="F19" s="100">
        <v>7.4749650894747512</v>
      </c>
      <c r="G19" s="100">
        <v>2466.738479526668</v>
      </c>
      <c r="H19" s="100">
        <v>5.5786697562479402E-4</v>
      </c>
      <c r="I19" s="100">
        <v>0.18409610195618203</v>
      </c>
      <c r="J19" s="100">
        <v>5</v>
      </c>
      <c r="K19" s="100">
        <v>1650</v>
      </c>
      <c r="L19" s="100">
        <v>4.2473090556418081</v>
      </c>
      <c r="M19" s="100">
        <v>1401.6119883617966</v>
      </c>
      <c r="N19" s="100">
        <v>6.2979938002650613</v>
      </c>
      <c r="O19" s="100">
        <v>2078.3379540874703</v>
      </c>
      <c r="P19" s="100">
        <v>5.7394521568690777</v>
      </c>
      <c r="Q19" s="100">
        <v>1894.0192117667957</v>
      </c>
      <c r="R19" s="100">
        <v>1.5831440683253912</v>
      </c>
      <c r="S19" s="100">
        <v>522.43754254737905</v>
      </c>
      <c r="T19" s="100">
        <v>6</v>
      </c>
      <c r="U19" s="100">
        <v>1980</v>
      </c>
      <c r="V19" s="100">
        <v>4.4814771410501848</v>
      </c>
      <c r="W19" s="100">
        <v>1478.887456546561</v>
      </c>
      <c r="X19" s="100">
        <v>5.0759764375530713E-4</v>
      </c>
      <c r="Y19" s="100">
        <v>0.16750722243925134</v>
      </c>
      <c r="Z19" s="100">
        <v>6</v>
      </c>
      <c r="AA19" s="100">
        <v>1980</v>
      </c>
      <c r="AB19" s="100">
        <v>7</v>
      </c>
      <c r="AC19" s="100">
        <v>2310</v>
      </c>
      <c r="AD19" s="100">
        <v>6</v>
      </c>
      <c r="AE19" s="100">
        <v>1980</v>
      </c>
      <c r="AF19" s="100">
        <v>5</v>
      </c>
      <c r="AG19" s="100">
        <v>1650</v>
      </c>
      <c r="AH19" s="100">
        <v>7</v>
      </c>
      <c r="AI19" s="100">
        <v>2310</v>
      </c>
      <c r="AJ19" s="100">
        <v>8</v>
      </c>
      <c r="AK19" s="100">
        <v>2640</v>
      </c>
      <c r="AL19" s="100">
        <v>8</v>
      </c>
      <c r="AM19" s="100">
        <v>2640</v>
      </c>
      <c r="AN19" s="100">
        <v>7</v>
      </c>
      <c r="AO19" s="100">
        <v>2310</v>
      </c>
      <c r="AP19" s="100">
        <v>9.4990523449122417</v>
      </c>
      <c r="AQ19" s="100">
        <v>3134.68727382104</v>
      </c>
      <c r="AR19" s="100">
        <v>0.12404283940091192</v>
      </c>
      <c r="AS19" s="100">
        <v>40.934137002300929</v>
      </c>
      <c r="AT19" s="100">
        <v>6</v>
      </c>
      <c r="AU19" s="100">
        <v>1980</v>
      </c>
      <c r="AV19" s="100">
        <v>9</v>
      </c>
      <c r="AW19" s="100">
        <v>2970</v>
      </c>
      <c r="AX19" s="100">
        <v>8.4993040184097328</v>
      </c>
      <c r="AY19" s="100">
        <v>2804.7703260752119</v>
      </c>
      <c r="AZ19" s="100">
        <v>7.0317393282027325</v>
      </c>
      <c r="BA19" s="100">
        <v>2320.4739783069017</v>
      </c>
      <c r="BB19" s="100">
        <v>3.6516158333058288</v>
      </c>
      <c r="BC19" s="100">
        <v>1205.0332249909236</v>
      </c>
      <c r="BD19" s="100">
        <v>6.011930312690299</v>
      </c>
      <c r="BE19" s="100">
        <v>1983.9370031877986</v>
      </c>
      <c r="BF19" s="100">
        <v>9</v>
      </c>
      <c r="BG19" s="100">
        <v>2970</v>
      </c>
      <c r="BH19" s="100">
        <v>7</v>
      </c>
      <c r="BI19" s="100">
        <v>2310</v>
      </c>
      <c r="BJ19" s="100">
        <v>7</v>
      </c>
      <c r="BK19" s="100">
        <v>2310</v>
      </c>
      <c r="BL19" s="100">
        <v>8.3246882419920922</v>
      </c>
      <c r="BM19" s="100">
        <v>2747.1471198573904</v>
      </c>
      <c r="BN19" s="100">
        <v>4.1261987149685</v>
      </c>
      <c r="BO19" s="100">
        <v>1361.6455759396049</v>
      </c>
      <c r="BP19" s="100">
        <v>3.5545788293962239</v>
      </c>
      <c r="BQ19" s="100">
        <v>1173.0110137007539</v>
      </c>
      <c r="BR19" s="100">
        <v>1.9987957928278102</v>
      </c>
      <c r="BS19" s="100">
        <v>659.60261163317739</v>
      </c>
      <c r="BT19" s="100">
        <v>8</v>
      </c>
      <c r="BU19" s="100">
        <v>2640</v>
      </c>
      <c r="BV19" s="100">
        <v>7</v>
      </c>
      <c r="BW19" s="100">
        <v>2310</v>
      </c>
      <c r="BX19" s="100">
        <v>10</v>
      </c>
      <c r="BY19" s="100">
        <v>3300</v>
      </c>
      <c r="BZ19" s="100">
        <v>6</v>
      </c>
      <c r="CA19" s="100">
        <v>1980</v>
      </c>
      <c r="CB19" s="100">
        <v>7</v>
      </c>
      <c r="CC19" s="100">
        <v>2310</v>
      </c>
      <c r="CD19" s="100">
        <v>6.2951961530854428</v>
      </c>
      <c r="CE19" s="100">
        <v>2077.4147305181959</v>
      </c>
      <c r="CF19" s="100">
        <v>1.5564070949497497</v>
      </c>
      <c r="CG19" s="100">
        <v>513.61434133341743</v>
      </c>
      <c r="CH19" s="100">
        <v>7.3990306209597625</v>
      </c>
      <c r="CI19" s="100">
        <v>2441.6801049167216</v>
      </c>
      <c r="CJ19" s="100">
        <v>6.0691022622917157E-4</v>
      </c>
      <c r="CK19" s="100">
        <v>0.20028037465562662</v>
      </c>
      <c r="CL19" s="100">
        <v>9</v>
      </c>
      <c r="CM19" s="100">
        <v>2970</v>
      </c>
      <c r="CN19" s="100">
        <v>9</v>
      </c>
      <c r="CO19" s="100">
        <v>2970</v>
      </c>
      <c r="CP19" s="100">
        <v>7</v>
      </c>
      <c r="CQ19" s="100">
        <v>2310</v>
      </c>
      <c r="CR19" s="100">
        <v>6.6417557043909126</v>
      </c>
      <c r="CS19" s="100">
        <v>2191.7793824490013</v>
      </c>
      <c r="CT19" s="100">
        <v>7.0976023522612195</v>
      </c>
      <c r="CU19" s="100">
        <v>2342.2087762462024</v>
      </c>
    </row>
    <row r="20" spans="2:99">
      <c r="B20" s="99" t="s">
        <v>127</v>
      </c>
      <c r="C20" s="99" t="s">
        <v>186</v>
      </c>
      <c r="D20" s="100">
        <v>9.4749062814055787</v>
      </c>
      <c r="E20" s="100">
        <v>2717.40312150712</v>
      </c>
      <c r="F20" s="100">
        <v>11.212447634212127</v>
      </c>
      <c r="G20" s="100">
        <v>3215.7299814920384</v>
      </c>
      <c r="H20" s="100">
        <v>6.3756225785690742E-4</v>
      </c>
      <c r="I20" s="100">
        <v>0.18285285555336106</v>
      </c>
      <c r="J20" s="100">
        <v>9</v>
      </c>
      <c r="K20" s="100">
        <v>2581.2000000000003</v>
      </c>
      <c r="L20" s="100">
        <v>9.4271701870176692</v>
      </c>
      <c r="M20" s="100">
        <v>2703.7124096366674</v>
      </c>
      <c r="N20" s="100">
        <v>11.562877178278448</v>
      </c>
      <c r="O20" s="100">
        <v>3316.2331747302592</v>
      </c>
      <c r="P20" s="100">
        <v>7.336843625622949</v>
      </c>
      <c r="Q20" s="100">
        <v>2104.2067518286617</v>
      </c>
      <c r="R20" s="100">
        <v>2.9024307919298837</v>
      </c>
      <c r="S20" s="100">
        <v>832.4171511254907</v>
      </c>
      <c r="T20" s="100">
        <v>14</v>
      </c>
      <c r="U20" s="100">
        <v>4015.2000000000003</v>
      </c>
      <c r="V20" s="100">
        <v>9.7347206262607742</v>
      </c>
      <c r="W20" s="100">
        <v>2791.9178756115903</v>
      </c>
      <c r="X20" s="100">
        <v>7.613964656329607E-4</v>
      </c>
      <c r="Y20" s="100">
        <v>0.21836850634353314</v>
      </c>
      <c r="Z20" s="100">
        <v>13</v>
      </c>
      <c r="AA20" s="100">
        <v>3728.4</v>
      </c>
      <c r="AB20" s="100">
        <v>7</v>
      </c>
      <c r="AC20" s="100">
        <v>2007.6000000000001</v>
      </c>
      <c r="AD20" s="100">
        <v>7</v>
      </c>
      <c r="AE20" s="100">
        <v>2007.6000000000001</v>
      </c>
      <c r="AF20" s="100">
        <v>14</v>
      </c>
      <c r="AG20" s="100">
        <v>4015.2000000000003</v>
      </c>
      <c r="AH20" s="100">
        <v>12</v>
      </c>
      <c r="AI20" s="100">
        <v>3441.6000000000004</v>
      </c>
      <c r="AJ20" s="100">
        <v>9</v>
      </c>
      <c r="AK20" s="100">
        <v>2581.2000000000003</v>
      </c>
      <c r="AL20" s="100">
        <v>12</v>
      </c>
      <c r="AM20" s="100">
        <v>3441.6000000000004</v>
      </c>
      <c r="AN20" s="100">
        <v>17</v>
      </c>
      <c r="AO20" s="100">
        <v>4875.6000000000004</v>
      </c>
      <c r="AP20" s="100">
        <v>12.94819945533326</v>
      </c>
      <c r="AQ20" s="100">
        <v>3713.5436037895793</v>
      </c>
      <c r="AR20" s="100">
        <v>0.33078090506909841</v>
      </c>
      <c r="AS20" s="100">
        <v>94.867963573817434</v>
      </c>
      <c r="AT20" s="100">
        <v>8</v>
      </c>
      <c r="AU20" s="100">
        <v>2294.4</v>
      </c>
      <c r="AV20" s="100">
        <v>10</v>
      </c>
      <c r="AW20" s="100">
        <v>2868</v>
      </c>
      <c r="AX20" s="100">
        <v>15.098468840501411</v>
      </c>
      <c r="AY20" s="100">
        <v>4330.2408634558051</v>
      </c>
      <c r="AZ20" s="100">
        <v>9.6686415762787572</v>
      </c>
      <c r="BA20" s="100">
        <v>2772.9664040767475</v>
      </c>
      <c r="BB20" s="100">
        <v>10.741022326553505</v>
      </c>
      <c r="BC20" s="100">
        <v>3080.5252032555454</v>
      </c>
      <c r="BD20" s="100">
        <v>8.266404179949161</v>
      </c>
      <c r="BE20" s="100">
        <v>2370.8047188094197</v>
      </c>
      <c r="BF20" s="100">
        <v>9</v>
      </c>
      <c r="BG20" s="100">
        <v>2581.2000000000003</v>
      </c>
      <c r="BH20" s="100">
        <v>15</v>
      </c>
      <c r="BI20" s="100">
        <v>4302</v>
      </c>
      <c r="BJ20" s="100">
        <v>14</v>
      </c>
      <c r="BK20" s="100">
        <v>4015.2000000000003</v>
      </c>
      <c r="BL20" s="100">
        <v>14.757605897981549</v>
      </c>
      <c r="BM20" s="100">
        <v>4232.4813715411083</v>
      </c>
      <c r="BN20" s="100">
        <v>11.493426566420275</v>
      </c>
      <c r="BO20" s="100">
        <v>3296.3147392493352</v>
      </c>
      <c r="BP20" s="100">
        <v>6.5170963283035732</v>
      </c>
      <c r="BQ20" s="100">
        <v>1869.1032269574648</v>
      </c>
      <c r="BR20" s="100">
        <v>2.887149478529059</v>
      </c>
      <c r="BS20" s="100">
        <v>828.03447044213419</v>
      </c>
      <c r="BT20" s="100">
        <v>12</v>
      </c>
      <c r="BU20" s="100">
        <v>3441.6000000000004</v>
      </c>
      <c r="BV20" s="100">
        <v>14</v>
      </c>
      <c r="BW20" s="100">
        <v>4015.2000000000003</v>
      </c>
      <c r="BX20" s="100">
        <v>15</v>
      </c>
      <c r="BY20" s="100">
        <v>4302</v>
      </c>
      <c r="BZ20" s="100">
        <v>10</v>
      </c>
      <c r="CA20" s="100">
        <v>2868</v>
      </c>
      <c r="CB20" s="100">
        <v>13</v>
      </c>
      <c r="CC20" s="100">
        <v>3728.4</v>
      </c>
      <c r="CD20" s="100">
        <v>13.479693748763845</v>
      </c>
      <c r="CE20" s="100">
        <v>3865.9761671454708</v>
      </c>
      <c r="CF20" s="100">
        <v>1.9455088686871871</v>
      </c>
      <c r="CG20" s="100">
        <v>557.97194353948532</v>
      </c>
      <c r="CH20" s="100">
        <v>13.9481234749006</v>
      </c>
      <c r="CI20" s="100">
        <v>4000.3218126014922</v>
      </c>
      <c r="CJ20" s="100">
        <v>8.8277851087879497E-4</v>
      </c>
      <c r="CK20" s="100">
        <v>0.25318087692003843</v>
      </c>
      <c r="CL20" s="100">
        <v>9</v>
      </c>
      <c r="CM20" s="100">
        <v>2581.2000000000003</v>
      </c>
      <c r="CN20" s="100">
        <v>13</v>
      </c>
      <c r="CO20" s="100">
        <v>3728.4</v>
      </c>
      <c r="CP20" s="100">
        <v>16</v>
      </c>
      <c r="CQ20" s="100">
        <v>4588.8</v>
      </c>
      <c r="CR20" s="100">
        <v>14.23233365226624</v>
      </c>
      <c r="CS20" s="100">
        <v>4081.8332914699577</v>
      </c>
      <c r="CT20" s="100">
        <v>13.286403695511808</v>
      </c>
      <c r="CU20" s="100">
        <v>3810.5405798727866</v>
      </c>
    </row>
    <row r="21" spans="2:99">
      <c r="C21" s="99" t="s">
        <v>187</v>
      </c>
      <c r="D21" s="100">
        <v>10.502841945017671</v>
      </c>
      <c r="E21" s="100">
        <v>655.37733736910263</v>
      </c>
      <c r="F21" s="100">
        <v>12.146818270396471</v>
      </c>
      <c r="G21" s="100">
        <v>757.96146007273978</v>
      </c>
      <c r="H21" s="100">
        <v>6.3756225785690742E-4</v>
      </c>
      <c r="I21" s="100">
        <v>3.9783884890271022E-2</v>
      </c>
      <c r="J21" s="100">
        <v>10</v>
      </c>
      <c r="K21" s="100">
        <v>624</v>
      </c>
      <c r="L21" s="100">
        <v>8.4946181112836161</v>
      </c>
      <c r="M21" s="100">
        <v>530.0641701440976</v>
      </c>
      <c r="N21" s="100">
        <v>12.529766756026776</v>
      </c>
      <c r="O21" s="100">
        <v>781.85744557607075</v>
      </c>
      <c r="P21" s="100">
        <v>8.0224761046700745</v>
      </c>
      <c r="Q21" s="100">
        <v>500.60250893141261</v>
      </c>
      <c r="R21" s="100">
        <v>2.9024307919298837</v>
      </c>
      <c r="S21" s="100">
        <v>181.11168141642474</v>
      </c>
      <c r="T21" s="100">
        <v>13</v>
      </c>
      <c r="U21" s="100">
        <v>811.19999999999993</v>
      </c>
      <c r="V21" s="100">
        <v>10.465817627536021</v>
      </c>
      <c r="W21" s="100">
        <v>653.06701995824767</v>
      </c>
      <c r="X21" s="100">
        <v>7.613964656329607E-4</v>
      </c>
      <c r="Y21" s="100">
        <v>4.7511139455496745E-2</v>
      </c>
      <c r="Z21" s="100">
        <v>12</v>
      </c>
      <c r="AA21" s="100">
        <v>748.8</v>
      </c>
      <c r="AB21" s="100">
        <v>8</v>
      </c>
      <c r="AC21" s="100">
        <v>499.2</v>
      </c>
      <c r="AD21" s="100">
        <v>7</v>
      </c>
      <c r="AE21" s="100">
        <v>436.8</v>
      </c>
      <c r="AF21" s="100">
        <v>13</v>
      </c>
      <c r="AG21" s="100">
        <v>811.19999999999993</v>
      </c>
      <c r="AH21" s="100">
        <v>11</v>
      </c>
      <c r="AI21" s="100">
        <v>686.4</v>
      </c>
      <c r="AJ21" s="100">
        <v>9</v>
      </c>
      <c r="AK21" s="100">
        <v>561.6</v>
      </c>
      <c r="AL21" s="100">
        <v>11</v>
      </c>
      <c r="AM21" s="100">
        <v>686.4</v>
      </c>
      <c r="AN21" s="100">
        <v>15</v>
      </c>
      <c r="AO21" s="100">
        <v>936</v>
      </c>
      <c r="AP21" s="100">
        <v>12.097915158806932</v>
      </c>
      <c r="AQ21" s="100">
        <v>754.90990590955255</v>
      </c>
      <c r="AR21" s="100">
        <v>0.3101070985022798</v>
      </c>
      <c r="AS21" s="100">
        <v>19.350682946542261</v>
      </c>
      <c r="AT21" s="100">
        <v>10</v>
      </c>
      <c r="AU21" s="100">
        <v>624</v>
      </c>
      <c r="AV21" s="100">
        <v>9</v>
      </c>
      <c r="AW21" s="100">
        <v>561.6</v>
      </c>
      <c r="AX21" s="100">
        <v>13.098468840501411</v>
      </c>
      <c r="AY21" s="100">
        <v>817.34445564728799</v>
      </c>
      <c r="AZ21" s="100">
        <v>10.547608992304099</v>
      </c>
      <c r="BA21" s="100">
        <v>658.17080111977577</v>
      </c>
      <c r="BB21" s="100">
        <v>10.773918507071039</v>
      </c>
      <c r="BC21" s="100">
        <v>672.2925148412329</v>
      </c>
      <c r="BD21" s="100">
        <v>9.017895469035448</v>
      </c>
      <c r="BE21" s="100">
        <v>562.71667726781197</v>
      </c>
      <c r="BF21" s="100">
        <v>10</v>
      </c>
      <c r="BG21" s="100">
        <v>624</v>
      </c>
      <c r="BH21" s="100">
        <v>14</v>
      </c>
      <c r="BI21" s="100">
        <v>873.6</v>
      </c>
      <c r="BJ21" s="100">
        <v>15</v>
      </c>
      <c r="BK21" s="100">
        <v>936</v>
      </c>
      <c r="BL21" s="100">
        <v>16.793682369314002</v>
      </c>
      <c r="BM21" s="100">
        <v>1047.9257798451938</v>
      </c>
      <c r="BN21" s="100">
        <v>10.226635380725536</v>
      </c>
      <c r="BO21" s="100">
        <v>638.14204775727342</v>
      </c>
      <c r="BP21" s="100">
        <v>6.5170963283035732</v>
      </c>
      <c r="BQ21" s="100">
        <v>406.66681088614297</v>
      </c>
      <c r="BR21" s="100">
        <v>3.3313263213796835</v>
      </c>
      <c r="BS21" s="100">
        <v>207.87476245409223</v>
      </c>
      <c r="BT21" s="100">
        <v>14</v>
      </c>
      <c r="BU21" s="100">
        <v>873.6</v>
      </c>
      <c r="BV21" s="100">
        <v>14</v>
      </c>
      <c r="BW21" s="100">
        <v>873.6</v>
      </c>
      <c r="BX21" s="100">
        <v>14</v>
      </c>
      <c r="BY21" s="100">
        <v>873.6</v>
      </c>
      <c r="BZ21" s="100">
        <v>9</v>
      </c>
      <c r="CA21" s="100">
        <v>561.6</v>
      </c>
      <c r="CB21" s="100">
        <v>14</v>
      </c>
      <c r="CC21" s="100">
        <v>873.6</v>
      </c>
      <c r="CD21" s="100">
        <v>12.442794229628165</v>
      </c>
      <c r="CE21" s="100">
        <v>776.43035992879743</v>
      </c>
      <c r="CF21" s="100">
        <v>1.9455088686871871</v>
      </c>
      <c r="CG21" s="100">
        <v>121.39975340608048</v>
      </c>
      <c r="CH21" s="100">
        <v>13.013745076218525</v>
      </c>
      <c r="CI21" s="100">
        <v>812.05769275603598</v>
      </c>
      <c r="CJ21" s="100">
        <v>8.8277851087879497E-4</v>
      </c>
      <c r="CK21" s="100">
        <v>5.5085379078836802E-2</v>
      </c>
      <c r="CL21" s="100">
        <v>8</v>
      </c>
      <c r="CM21" s="100">
        <v>499.2</v>
      </c>
      <c r="CN21" s="100">
        <v>14</v>
      </c>
      <c r="CO21" s="100">
        <v>873.6</v>
      </c>
      <c r="CP21" s="100">
        <v>17</v>
      </c>
      <c r="CQ21" s="100">
        <v>1060.8</v>
      </c>
      <c r="CR21" s="100">
        <v>14.23233365226624</v>
      </c>
      <c r="CS21" s="100">
        <v>888.0976199014134</v>
      </c>
      <c r="CT21" s="100">
        <v>14.16861920916493</v>
      </c>
      <c r="CU21" s="100">
        <v>884.12183865189161</v>
      </c>
    </row>
    <row r="22" spans="2:99">
      <c r="C22" s="99" t="s">
        <v>188</v>
      </c>
      <c r="D22" s="100">
        <v>11</v>
      </c>
      <c r="E22" s="100">
        <v>2059.1999999999998</v>
      </c>
      <c r="F22" s="100">
        <v>13.081188906580815</v>
      </c>
      <c r="G22" s="100">
        <v>2448.7985633119283</v>
      </c>
      <c r="H22" s="100">
        <v>6.3756225785690742E-4</v>
      </c>
      <c r="I22" s="100">
        <v>0.11935165467081306</v>
      </c>
      <c r="J22" s="100">
        <v>9</v>
      </c>
      <c r="K22" s="100">
        <v>1684.8</v>
      </c>
      <c r="L22" s="100">
        <v>8</v>
      </c>
      <c r="M22" s="100">
        <v>1497.6</v>
      </c>
      <c r="N22" s="100">
        <v>11.595987600530123</v>
      </c>
      <c r="O22" s="100">
        <v>2170.768878819239</v>
      </c>
      <c r="P22" s="100">
        <v>8.050741918502526</v>
      </c>
      <c r="Q22" s="100">
        <v>1507.0988871436728</v>
      </c>
      <c r="R22" s="100">
        <v>2.9024307919298837</v>
      </c>
      <c r="S22" s="100">
        <v>543.33504424927423</v>
      </c>
      <c r="T22" s="100">
        <v>15</v>
      </c>
      <c r="U22" s="100">
        <v>2808</v>
      </c>
      <c r="V22" s="100">
        <v>9.7076077310040016</v>
      </c>
      <c r="W22" s="100">
        <v>1817.264167243949</v>
      </c>
      <c r="X22" s="100">
        <v>7.613964656329607E-4</v>
      </c>
      <c r="Y22" s="100">
        <v>0.14253341836649022</v>
      </c>
      <c r="Z22" s="100">
        <v>13</v>
      </c>
      <c r="AA22" s="100">
        <v>2433.6</v>
      </c>
      <c r="AB22" s="100">
        <v>8</v>
      </c>
      <c r="AC22" s="100">
        <v>1497.6</v>
      </c>
      <c r="AD22" s="100">
        <v>8</v>
      </c>
      <c r="AE22" s="100">
        <v>1497.6</v>
      </c>
      <c r="AF22" s="100">
        <v>13</v>
      </c>
      <c r="AG22" s="100">
        <v>2433.6</v>
      </c>
      <c r="AH22" s="100">
        <v>12</v>
      </c>
      <c r="AI22" s="100">
        <v>2246.3999999999996</v>
      </c>
      <c r="AJ22" s="100">
        <v>9</v>
      </c>
      <c r="AK22" s="100">
        <v>1684.8</v>
      </c>
      <c r="AL22" s="100">
        <v>13</v>
      </c>
      <c r="AM22" s="100">
        <v>2433.6</v>
      </c>
      <c r="AN22" s="100">
        <v>15</v>
      </c>
      <c r="AO22" s="100">
        <v>2808</v>
      </c>
      <c r="AP22" s="100">
        <v>11.048009924315709</v>
      </c>
      <c r="AQ22" s="100">
        <v>2068.1874578319007</v>
      </c>
      <c r="AR22" s="100">
        <v>0.26875948536864247</v>
      </c>
      <c r="AS22" s="100">
        <v>50.311775661009868</v>
      </c>
      <c r="AT22" s="100">
        <v>10</v>
      </c>
      <c r="AU22" s="100">
        <v>1872</v>
      </c>
      <c r="AV22" s="100">
        <v>9</v>
      </c>
      <c r="AW22" s="100">
        <v>1684.8</v>
      </c>
      <c r="AX22" s="100">
        <v>14.048538438660437</v>
      </c>
      <c r="AY22" s="100">
        <v>2629.8863957172334</v>
      </c>
      <c r="AZ22" s="100">
        <v>11.42657640832944</v>
      </c>
      <c r="BA22" s="100">
        <v>2139.0551036392712</v>
      </c>
      <c r="BB22" s="100">
        <v>10.063333048720397</v>
      </c>
      <c r="BC22" s="100">
        <v>1883.8559467204582</v>
      </c>
      <c r="BD22" s="100">
        <v>9.7693867581217351</v>
      </c>
      <c r="BE22" s="100">
        <v>1828.8292011203887</v>
      </c>
      <c r="BF22" s="100">
        <v>9</v>
      </c>
      <c r="BG22" s="100">
        <v>1684.8</v>
      </c>
      <c r="BH22" s="100">
        <v>16</v>
      </c>
      <c r="BI22" s="100">
        <v>2995.2</v>
      </c>
      <c r="BJ22" s="100">
        <v>14</v>
      </c>
      <c r="BK22" s="100">
        <v>2620.7999999999997</v>
      </c>
      <c r="BL22" s="100">
        <v>17.721529426649091</v>
      </c>
      <c r="BM22" s="100">
        <v>3317.4703086687095</v>
      </c>
      <c r="BN22" s="100">
        <v>11.463806097521701</v>
      </c>
      <c r="BO22" s="100">
        <v>2146.0245014560624</v>
      </c>
      <c r="BP22" s="100">
        <v>6.9378660914714665</v>
      </c>
      <c r="BQ22" s="100">
        <v>1298.7685323234584</v>
      </c>
      <c r="BR22" s="100">
        <v>2.887149478529059</v>
      </c>
      <c r="BS22" s="100">
        <v>540.47438238063978</v>
      </c>
      <c r="BT22" s="100">
        <v>14</v>
      </c>
      <c r="BU22" s="100">
        <v>2620.7999999999997</v>
      </c>
      <c r="BV22" s="100">
        <v>13</v>
      </c>
      <c r="BW22" s="100">
        <v>2433.6</v>
      </c>
      <c r="BX22" s="100">
        <v>14</v>
      </c>
      <c r="BY22" s="100">
        <v>2620.7999999999997</v>
      </c>
      <c r="BZ22" s="100">
        <v>10</v>
      </c>
      <c r="CA22" s="100">
        <v>1872</v>
      </c>
      <c r="CB22" s="100">
        <v>13</v>
      </c>
      <c r="CC22" s="100">
        <v>2433.6</v>
      </c>
      <c r="CD22" s="100">
        <v>11.479693748763845</v>
      </c>
      <c r="CE22" s="100">
        <v>2148.9986697685918</v>
      </c>
      <c r="CF22" s="100">
        <v>2.1400597555559058</v>
      </c>
      <c r="CG22" s="100">
        <v>400.61918624006552</v>
      </c>
      <c r="CH22" s="100">
        <v>14.857169684083731</v>
      </c>
      <c r="CI22" s="100">
        <v>2781.2621648604741</v>
      </c>
      <c r="CJ22" s="100">
        <v>9.3795216780871954E-4</v>
      </c>
      <c r="CK22" s="100">
        <v>0.17558464581379229</v>
      </c>
      <c r="CL22" s="100">
        <v>9</v>
      </c>
      <c r="CM22" s="100">
        <v>1684.8</v>
      </c>
      <c r="CN22" s="100">
        <v>15</v>
      </c>
      <c r="CO22" s="100">
        <v>2808</v>
      </c>
      <c r="CP22" s="100">
        <v>17</v>
      </c>
      <c r="CQ22" s="100">
        <v>3182.3999999999996</v>
      </c>
      <c r="CR22" s="100">
        <v>13.283511408781825</v>
      </c>
      <c r="CS22" s="100">
        <v>2486.6733357239577</v>
      </c>
      <c r="CT22" s="100">
        <v>12.404188181858689</v>
      </c>
      <c r="CU22" s="100">
        <v>2322.0640276439467</v>
      </c>
    </row>
    <row r="23" spans="2:99">
      <c r="C23" s="99" t="s">
        <v>189</v>
      </c>
      <c r="D23" s="100">
        <v>10.558713272241857</v>
      </c>
      <c r="E23" s="100">
        <v>3104.2617020391058</v>
      </c>
      <c r="F23" s="100">
        <v>11.212447634212127</v>
      </c>
      <c r="G23" s="100">
        <v>3296.4596044583654</v>
      </c>
      <c r="H23" s="100">
        <v>6.3756225785690742E-4</v>
      </c>
      <c r="I23" s="100">
        <v>0.18744330380993079</v>
      </c>
      <c r="J23" s="100">
        <v>9</v>
      </c>
      <c r="K23" s="100">
        <v>2646</v>
      </c>
      <c r="L23" s="100">
        <v>9.4496528284396515</v>
      </c>
      <c r="M23" s="100">
        <v>2778.1979315612575</v>
      </c>
      <c r="N23" s="100">
        <v>12.562877178278448</v>
      </c>
      <c r="O23" s="100">
        <v>3693.4858904138637</v>
      </c>
      <c r="P23" s="100">
        <v>7.9942102908376214</v>
      </c>
      <c r="Q23" s="100">
        <v>2350.2978255062608</v>
      </c>
      <c r="R23" s="100">
        <v>2.9024307919298837</v>
      </c>
      <c r="S23" s="100">
        <v>853.31465282738577</v>
      </c>
      <c r="T23" s="100">
        <v>15</v>
      </c>
      <c r="U23" s="100">
        <v>4410</v>
      </c>
      <c r="V23" s="100">
        <v>10.465817627536021</v>
      </c>
      <c r="W23" s="100">
        <v>3076.95038249559</v>
      </c>
      <c r="X23" s="100">
        <v>7.613964656329607E-4</v>
      </c>
      <c r="Y23" s="100">
        <v>0.22385056089609046</v>
      </c>
      <c r="Z23" s="100">
        <v>11</v>
      </c>
      <c r="AA23" s="100">
        <v>3234</v>
      </c>
      <c r="AB23" s="100">
        <v>7</v>
      </c>
      <c r="AC23" s="100">
        <v>2058</v>
      </c>
      <c r="AD23" s="100">
        <v>8</v>
      </c>
      <c r="AE23" s="100">
        <v>2352</v>
      </c>
      <c r="AF23" s="100">
        <v>14</v>
      </c>
      <c r="AG23" s="100">
        <v>4116</v>
      </c>
      <c r="AH23" s="100">
        <v>11</v>
      </c>
      <c r="AI23" s="100">
        <v>3234</v>
      </c>
      <c r="AJ23" s="100">
        <v>10</v>
      </c>
      <c r="AK23" s="100">
        <v>2940</v>
      </c>
      <c r="AL23" s="100">
        <v>11</v>
      </c>
      <c r="AM23" s="100">
        <v>3234</v>
      </c>
      <c r="AN23" s="100">
        <v>14</v>
      </c>
      <c r="AO23" s="100">
        <v>4116</v>
      </c>
      <c r="AP23" s="100">
        <v>12.048009924315709</v>
      </c>
      <c r="AQ23" s="100">
        <v>3542.1149177488182</v>
      </c>
      <c r="AR23" s="100">
        <v>0.33078090506909841</v>
      </c>
      <c r="AS23" s="100">
        <v>97.249586090314935</v>
      </c>
      <c r="AT23" s="100">
        <v>8</v>
      </c>
      <c r="AU23" s="100">
        <v>2352</v>
      </c>
      <c r="AV23" s="100">
        <v>9</v>
      </c>
      <c r="AW23" s="100">
        <v>2646</v>
      </c>
      <c r="AX23" s="100">
        <v>14.948677634978491</v>
      </c>
      <c r="AY23" s="100">
        <v>4394.9112246836767</v>
      </c>
      <c r="AZ23" s="100">
        <v>10.547608992304099</v>
      </c>
      <c r="BA23" s="100">
        <v>3100.997043737405</v>
      </c>
      <c r="BB23" s="100">
        <v>11.106197889470023</v>
      </c>
      <c r="BC23" s="100">
        <v>3265.2221795041869</v>
      </c>
      <c r="BD23" s="100">
        <v>9.017895469035448</v>
      </c>
      <c r="BE23" s="100">
        <v>2651.2612678964219</v>
      </c>
      <c r="BF23" s="100">
        <v>10</v>
      </c>
      <c r="BG23" s="100">
        <v>2940</v>
      </c>
      <c r="BH23" s="100">
        <v>16</v>
      </c>
      <c r="BI23" s="100">
        <v>4704</v>
      </c>
      <c r="BJ23" s="100">
        <v>15</v>
      </c>
      <c r="BK23" s="100">
        <v>4410</v>
      </c>
      <c r="BL23" s="100">
        <v>16.829758840646456</v>
      </c>
      <c r="BM23" s="100">
        <v>4947.9490991500579</v>
      </c>
      <c r="BN23" s="100">
        <v>10.84522073912362</v>
      </c>
      <c r="BO23" s="100">
        <v>3188.4948973023443</v>
      </c>
      <c r="BP23" s="100">
        <v>7.392894168103556</v>
      </c>
      <c r="BQ23" s="100">
        <v>2173.5108854224454</v>
      </c>
      <c r="BR23" s="100">
        <v>3.1092378999543713</v>
      </c>
      <c r="BS23" s="100">
        <v>914.11594258658511</v>
      </c>
      <c r="BT23" s="100">
        <v>13</v>
      </c>
      <c r="BU23" s="100">
        <v>3822</v>
      </c>
      <c r="BV23" s="100">
        <v>12</v>
      </c>
      <c r="BW23" s="100">
        <v>3528</v>
      </c>
      <c r="BX23" s="100">
        <v>16</v>
      </c>
      <c r="BY23" s="100">
        <v>4704</v>
      </c>
      <c r="BZ23" s="100">
        <v>10</v>
      </c>
      <c r="CA23" s="100">
        <v>2940</v>
      </c>
      <c r="CB23" s="100">
        <v>15</v>
      </c>
      <c r="CC23" s="100">
        <v>4410</v>
      </c>
      <c r="CD23" s="100">
        <v>12.442794229628165</v>
      </c>
      <c r="CE23" s="100">
        <v>3658.1815035106806</v>
      </c>
      <c r="CF23" s="100">
        <v>2.1400597555559058</v>
      </c>
      <c r="CG23" s="100">
        <v>629.17756813343635</v>
      </c>
      <c r="CH23" s="100">
        <v>13.956567538066913</v>
      </c>
      <c r="CI23" s="100">
        <v>4103.2308561916725</v>
      </c>
      <c r="CJ23" s="100">
        <v>9.3795216780871954E-4</v>
      </c>
      <c r="CK23" s="100">
        <v>0.27575793733576354</v>
      </c>
      <c r="CL23" s="100">
        <v>8</v>
      </c>
      <c r="CM23" s="100">
        <v>2352</v>
      </c>
      <c r="CN23" s="100">
        <v>14</v>
      </c>
      <c r="CO23" s="100">
        <v>4116</v>
      </c>
      <c r="CP23" s="100">
        <v>16</v>
      </c>
      <c r="CQ23" s="100">
        <v>4704</v>
      </c>
      <c r="CR23" s="100">
        <v>12.334689165297407</v>
      </c>
      <c r="CS23" s="100">
        <v>3626.3986145974377</v>
      </c>
      <c r="CT23" s="100">
        <v>15.024249227460533</v>
      </c>
      <c r="CU23" s="100">
        <v>4417.129272873397</v>
      </c>
    </row>
    <row r="24" spans="2:99">
      <c r="C24" s="99" t="s">
        <v>190</v>
      </c>
      <c r="D24" s="100">
        <v>10</v>
      </c>
      <c r="E24" s="100">
        <v>3672</v>
      </c>
      <c r="F24" s="100">
        <v>12.146818270396471</v>
      </c>
      <c r="G24" s="100">
        <v>4460.3116688895843</v>
      </c>
      <c r="H24" s="100">
        <v>7.1725754008902082E-4</v>
      </c>
      <c r="I24" s="100">
        <v>0.26337696872068844</v>
      </c>
      <c r="J24" s="100">
        <v>10</v>
      </c>
      <c r="K24" s="100">
        <v>3672</v>
      </c>
      <c r="L24" s="100">
        <v>10.449652828439651</v>
      </c>
      <c r="M24" s="100">
        <v>3837.1125186030399</v>
      </c>
      <c r="N24" s="100">
        <v>10.595987600530123</v>
      </c>
      <c r="O24" s="100">
        <v>3890.8466469146611</v>
      </c>
      <c r="P24" s="100">
        <v>7.336843625622949</v>
      </c>
      <c r="Q24" s="100">
        <v>2694.088979328747</v>
      </c>
      <c r="R24" s="100">
        <v>2.9024307919298837</v>
      </c>
      <c r="S24" s="100">
        <v>1065.7725867966533</v>
      </c>
      <c r="T24" s="100">
        <v>16</v>
      </c>
      <c r="U24" s="100">
        <v>5875.2</v>
      </c>
      <c r="V24" s="100">
        <v>9.0036236249855257</v>
      </c>
      <c r="W24" s="100">
        <v>3306.1305950946848</v>
      </c>
      <c r="X24" s="100">
        <v>8.8829587657178748E-4</v>
      </c>
      <c r="Y24" s="100">
        <v>0.32618224587716033</v>
      </c>
      <c r="Z24" s="100">
        <v>11</v>
      </c>
      <c r="AA24" s="100">
        <v>4039.2</v>
      </c>
      <c r="AB24" s="100">
        <v>8</v>
      </c>
      <c r="AC24" s="100">
        <v>2937.6</v>
      </c>
      <c r="AD24" s="100">
        <v>7</v>
      </c>
      <c r="AE24" s="100">
        <v>2570.4</v>
      </c>
      <c r="AF24" s="100">
        <v>13</v>
      </c>
      <c r="AG24" s="100">
        <v>4773.5999999999995</v>
      </c>
      <c r="AH24" s="100">
        <v>13</v>
      </c>
      <c r="AI24" s="100">
        <v>4773.5999999999995</v>
      </c>
      <c r="AJ24" s="100">
        <v>9</v>
      </c>
      <c r="AK24" s="100">
        <v>3304.7999999999997</v>
      </c>
      <c r="AL24" s="100">
        <v>12</v>
      </c>
      <c r="AM24" s="100">
        <v>4406.3999999999996</v>
      </c>
      <c r="AN24" s="100">
        <v>17</v>
      </c>
      <c r="AO24" s="100">
        <v>6242.4</v>
      </c>
      <c r="AP24" s="100">
        <v>10.998104689824483</v>
      </c>
      <c r="AQ24" s="100">
        <v>4038.5040421035501</v>
      </c>
      <c r="AR24" s="100">
        <v>0.33078090506909841</v>
      </c>
      <c r="AS24" s="100">
        <v>121.46274834137293</v>
      </c>
      <c r="AT24" s="100">
        <v>9</v>
      </c>
      <c r="AU24" s="100">
        <v>3304.7999999999997</v>
      </c>
      <c r="AV24" s="100">
        <v>9</v>
      </c>
      <c r="AW24" s="100">
        <v>3304.7999999999997</v>
      </c>
      <c r="AX24" s="100">
        <v>12.998608036819464</v>
      </c>
      <c r="AY24" s="100">
        <v>4773.0888711201069</v>
      </c>
      <c r="AZ24" s="100">
        <v>11.42657640832944</v>
      </c>
      <c r="BA24" s="100">
        <v>4195.8388571385703</v>
      </c>
      <c r="BB24" s="100">
        <v>11.43515969464538</v>
      </c>
      <c r="BC24" s="100">
        <v>4198.990639873783</v>
      </c>
      <c r="BD24" s="100">
        <v>9.017895469035448</v>
      </c>
      <c r="BE24" s="100">
        <v>3311.3712162298166</v>
      </c>
      <c r="BF24" s="100">
        <v>8</v>
      </c>
      <c r="BG24" s="100">
        <v>2937.6</v>
      </c>
      <c r="BH24" s="100">
        <v>16</v>
      </c>
      <c r="BI24" s="100">
        <v>5875.2</v>
      </c>
      <c r="BJ24" s="100">
        <v>14</v>
      </c>
      <c r="BK24" s="100">
        <v>5140.8</v>
      </c>
      <c r="BL24" s="100">
        <v>14.757605897981549</v>
      </c>
      <c r="BM24" s="100">
        <v>5418.992885738824</v>
      </c>
      <c r="BN24" s="100">
        <v>10.137773974029821</v>
      </c>
      <c r="BO24" s="100">
        <v>3722.5906032637504</v>
      </c>
      <c r="BP24" s="100">
        <v>6.5513546417677695</v>
      </c>
      <c r="BQ24" s="100">
        <v>2405.6574244571248</v>
      </c>
      <c r="BR24" s="100">
        <v>2.887149478529059</v>
      </c>
      <c r="BS24" s="100">
        <v>1060.1612885158704</v>
      </c>
      <c r="BT24" s="100">
        <v>14</v>
      </c>
      <c r="BU24" s="100">
        <v>5140.8</v>
      </c>
      <c r="BV24" s="100">
        <v>14</v>
      </c>
      <c r="BW24" s="100">
        <v>5140.8</v>
      </c>
      <c r="BX24" s="100">
        <v>15</v>
      </c>
      <c r="BY24" s="100">
        <v>5508</v>
      </c>
      <c r="BZ24" s="100">
        <v>10</v>
      </c>
      <c r="CA24" s="100">
        <v>3672</v>
      </c>
      <c r="CB24" s="100">
        <v>14</v>
      </c>
      <c r="CC24" s="100">
        <v>5140.8</v>
      </c>
      <c r="CD24" s="100">
        <v>12.479693748763845</v>
      </c>
      <c r="CE24" s="100">
        <v>4582.5435445460835</v>
      </c>
      <c r="CF24" s="100">
        <v>2.1400597555559058</v>
      </c>
      <c r="CG24" s="100">
        <v>785.82994224012862</v>
      </c>
      <c r="CH24" s="100">
        <v>12.113142930201711</v>
      </c>
      <c r="CI24" s="100">
        <v>4447.9460839700678</v>
      </c>
      <c r="CJ24" s="100">
        <v>8.2760485394887029E-4</v>
      </c>
      <c r="CK24" s="100">
        <v>0.30389650237002513</v>
      </c>
      <c r="CL24" s="100">
        <v>8</v>
      </c>
      <c r="CM24" s="100">
        <v>2937.6</v>
      </c>
      <c r="CN24" s="100">
        <v>14</v>
      </c>
      <c r="CO24" s="100">
        <v>5140.8</v>
      </c>
      <c r="CP24" s="100">
        <v>15</v>
      </c>
      <c r="CQ24" s="100">
        <v>5508</v>
      </c>
      <c r="CR24" s="100">
        <v>13.283511408781825</v>
      </c>
      <c r="CS24" s="100">
        <v>4877.7053893046859</v>
      </c>
      <c r="CT24" s="100">
        <v>14.181911956843685</v>
      </c>
      <c r="CU24" s="100">
        <v>5207.598070553001</v>
      </c>
    </row>
    <row r="25" spans="2:99">
      <c r="C25" s="99" t="s">
        <v>191</v>
      </c>
      <c r="D25" s="100">
        <v>10</v>
      </c>
      <c r="E25" s="100">
        <v>5304</v>
      </c>
      <c r="F25" s="100">
        <v>11.212447634212127</v>
      </c>
      <c r="G25" s="100">
        <v>5947.0822251861118</v>
      </c>
      <c r="H25" s="100">
        <v>5.5786697562479402E-4</v>
      </c>
      <c r="I25" s="100">
        <v>0.29589264387139075</v>
      </c>
      <c r="J25" s="100">
        <v>8</v>
      </c>
      <c r="K25" s="100">
        <v>4243.2</v>
      </c>
      <c r="L25" s="100">
        <v>9.4046875455956869</v>
      </c>
      <c r="M25" s="100">
        <v>4988.2462741839518</v>
      </c>
      <c r="N25" s="100">
        <v>10.529766756026776</v>
      </c>
      <c r="O25" s="100">
        <v>5584.9882873966017</v>
      </c>
      <c r="P25" s="100">
        <v>7.3651094394554013</v>
      </c>
      <c r="Q25" s="100">
        <v>3906.4540466871449</v>
      </c>
      <c r="R25" s="100">
        <v>2.6385734472089855</v>
      </c>
      <c r="S25" s="100">
        <v>1399.4993563996459</v>
      </c>
      <c r="T25" s="100">
        <v>15</v>
      </c>
      <c r="U25" s="100">
        <v>7956</v>
      </c>
      <c r="V25" s="100">
        <v>9.6940512833756181</v>
      </c>
      <c r="W25" s="100">
        <v>5141.7248007024273</v>
      </c>
      <c r="X25" s="100">
        <v>6.979467601635473E-4</v>
      </c>
      <c r="Y25" s="100">
        <v>0.37019096159074549</v>
      </c>
      <c r="Z25" s="100">
        <v>13</v>
      </c>
      <c r="AA25" s="100">
        <v>6895.2</v>
      </c>
      <c r="AB25" s="100">
        <v>7</v>
      </c>
      <c r="AC25" s="100">
        <v>3712.7999999999997</v>
      </c>
      <c r="AD25" s="100">
        <v>7</v>
      </c>
      <c r="AE25" s="100">
        <v>3712.7999999999997</v>
      </c>
      <c r="AF25" s="100">
        <v>13</v>
      </c>
      <c r="AG25" s="100">
        <v>6895.2</v>
      </c>
      <c r="AH25" s="100">
        <v>12</v>
      </c>
      <c r="AI25" s="100">
        <v>6364.7999999999993</v>
      </c>
      <c r="AJ25" s="100">
        <v>9</v>
      </c>
      <c r="AK25" s="100">
        <v>4773.5999999999995</v>
      </c>
      <c r="AL25" s="100">
        <v>11</v>
      </c>
      <c r="AM25" s="100">
        <v>5834.4</v>
      </c>
      <c r="AN25" s="100">
        <v>14</v>
      </c>
      <c r="AO25" s="100">
        <v>7425.5999999999995</v>
      </c>
      <c r="AP25" s="100">
        <v>10.898294220842036</v>
      </c>
      <c r="AQ25" s="100">
        <v>5780.4552547346157</v>
      </c>
      <c r="AR25" s="100">
        <v>0.33078090506909841</v>
      </c>
      <c r="AS25" s="100">
        <v>175.44619204864978</v>
      </c>
      <c r="AT25" s="100">
        <v>9</v>
      </c>
      <c r="AU25" s="100">
        <v>4773.5999999999995</v>
      </c>
      <c r="AV25" s="100">
        <v>10</v>
      </c>
      <c r="AW25" s="100">
        <v>5304</v>
      </c>
      <c r="AX25" s="100">
        <v>14.098468840501411</v>
      </c>
      <c r="AY25" s="100">
        <v>7477.8278730019483</v>
      </c>
      <c r="AZ25" s="100">
        <v>9.6686415762787572</v>
      </c>
      <c r="BA25" s="100">
        <v>5128.2474920582526</v>
      </c>
      <c r="BB25" s="100">
        <v>10.724574236294737</v>
      </c>
      <c r="BC25" s="100">
        <v>5688.3141749307288</v>
      </c>
      <c r="BD25" s="100">
        <v>9.017895469035448</v>
      </c>
      <c r="BE25" s="100">
        <v>4783.0917567764018</v>
      </c>
      <c r="BF25" s="100">
        <v>9</v>
      </c>
      <c r="BG25" s="100">
        <v>4773.5999999999995</v>
      </c>
      <c r="BH25" s="100">
        <v>16</v>
      </c>
      <c r="BI25" s="100">
        <v>8486.4</v>
      </c>
      <c r="BJ25" s="100">
        <v>14</v>
      </c>
      <c r="BK25" s="100">
        <v>7425.5999999999995</v>
      </c>
      <c r="BL25" s="100">
        <v>16.685452955316638</v>
      </c>
      <c r="BM25" s="100">
        <v>8849.9642474999437</v>
      </c>
      <c r="BN25" s="100">
        <v>10.226635380725536</v>
      </c>
      <c r="BO25" s="100">
        <v>5424.2074059368242</v>
      </c>
      <c r="BP25" s="100">
        <v>6.0963265651356799</v>
      </c>
      <c r="BQ25" s="100">
        <v>3233.4916101479644</v>
      </c>
      <c r="BR25" s="100">
        <v>2.887149478529059</v>
      </c>
      <c r="BS25" s="100">
        <v>1531.3440834118128</v>
      </c>
      <c r="BT25" s="100">
        <v>13</v>
      </c>
      <c r="BU25" s="100">
        <v>6895.2</v>
      </c>
      <c r="BV25" s="100">
        <v>11</v>
      </c>
      <c r="BW25" s="100">
        <v>5834.4</v>
      </c>
      <c r="BX25" s="100">
        <v>15</v>
      </c>
      <c r="BY25" s="100">
        <v>7956</v>
      </c>
      <c r="BZ25" s="100">
        <v>9</v>
      </c>
      <c r="CA25" s="100">
        <v>4773.5999999999995</v>
      </c>
      <c r="CB25" s="100">
        <v>15</v>
      </c>
      <c r="CC25" s="100">
        <v>7956</v>
      </c>
      <c r="CD25" s="100">
        <v>12.479693748763845</v>
      </c>
      <c r="CE25" s="100">
        <v>6619.2295643443431</v>
      </c>
      <c r="CF25" s="100">
        <v>1.9455088686871871</v>
      </c>
      <c r="CG25" s="100">
        <v>1031.8979039516839</v>
      </c>
      <c r="CH25" s="100">
        <v>13.039077265717468</v>
      </c>
      <c r="CI25" s="100">
        <v>6915.9265817365449</v>
      </c>
      <c r="CJ25" s="100">
        <v>9.3795216780871954E-4</v>
      </c>
      <c r="CK25" s="100">
        <v>0.4974898298057448</v>
      </c>
      <c r="CL25" s="100">
        <v>8</v>
      </c>
      <c r="CM25" s="100">
        <v>4243.2</v>
      </c>
      <c r="CN25" s="100">
        <v>13</v>
      </c>
      <c r="CO25" s="100">
        <v>6895.2</v>
      </c>
      <c r="CP25" s="100">
        <v>17</v>
      </c>
      <c r="CQ25" s="100">
        <v>9016.7999999999993</v>
      </c>
      <c r="CR25" s="100">
        <v>12.334689165297407</v>
      </c>
      <c r="CS25" s="100">
        <v>6542.3191332737442</v>
      </c>
      <c r="CT25" s="100">
        <v>13.286403695511808</v>
      </c>
      <c r="CU25" s="100">
        <v>7047.108520099463</v>
      </c>
    </row>
    <row r="26" spans="2:99">
      <c r="C26" s="99" t="s">
        <v>192</v>
      </c>
      <c r="D26" s="100">
        <v>10.474906281405579</v>
      </c>
      <c r="E26" s="100">
        <v>5090.8044527631109</v>
      </c>
      <c r="F26" s="100">
        <v>11.212447634212127</v>
      </c>
      <c r="G26" s="100">
        <v>5449.249550227094</v>
      </c>
      <c r="H26" s="100">
        <v>5.5786697562479402E-4</v>
      </c>
      <c r="I26" s="100">
        <v>0.27112335015364991</v>
      </c>
      <c r="J26" s="100">
        <v>8</v>
      </c>
      <c r="K26" s="100">
        <v>3888</v>
      </c>
      <c r="L26" s="100">
        <v>9.4721354698616338</v>
      </c>
      <c r="M26" s="100">
        <v>4603.4578383527542</v>
      </c>
      <c r="N26" s="100">
        <v>10.529766756026776</v>
      </c>
      <c r="O26" s="100">
        <v>5117.4666434290129</v>
      </c>
      <c r="P26" s="100">
        <v>7.3933752532878536</v>
      </c>
      <c r="Q26" s="100">
        <v>3593.1803730978968</v>
      </c>
      <c r="R26" s="100">
        <v>2.9024307919298837</v>
      </c>
      <c r="S26" s="100">
        <v>1410.5813648779235</v>
      </c>
      <c r="T26" s="100">
        <v>16</v>
      </c>
      <c r="U26" s="100">
        <v>7776</v>
      </c>
      <c r="V26" s="100">
        <v>9.7211641786323888</v>
      </c>
      <c r="W26" s="100">
        <v>4724.4857908153408</v>
      </c>
      <c r="X26" s="100">
        <v>8.2484617110237409E-4</v>
      </c>
      <c r="Y26" s="100">
        <v>0.40087523915575379</v>
      </c>
      <c r="Z26" s="100">
        <v>11</v>
      </c>
      <c r="AA26" s="100">
        <v>5346</v>
      </c>
      <c r="AB26" s="100">
        <v>7</v>
      </c>
      <c r="AC26" s="100">
        <v>3402</v>
      </c>
      <c r="AD26" s="100">
        <v>8</v>
      </c>
      <c r="AE26" s="100">
        <v>3888</v>
      </c>
      <c r="AF26" s="100">
        <v>13</v>
      </c>
      <c r="AG26" s="100">
        <v>6318</v>
      </c>
      <c r="AH26" s="100">
        <v>11</v>
      </c>
      <c r="AI26" s="100">
        <v>5346</v>
      </c>
      <c r="AJ26" s="100">
        <v>9</v>
      </c>
      <c r="AK26" s="100">
        <v>4374</v>
      </c>
      <c r="AL26" s="100">
        <v>12</v>
      </c>
      <c r="AM26" s="100">
        <v>5832</v>
      </c>
      <c r="AN26" s="100">
        <v>15</v>
      </c>
      <c r="AO26" s="100">
        <v>7290</v>
      </c>
      <c r="AP26" s="100">
        <v>11.048009924315709</v>
      </c>
      <c r="AQ26" s="100">
        <v>5369.3328232174345</v>
      </c>
      <c r="AR26" s="100">
        <v>0.26875948536864247</v>
      </c>
      <c r="AS26" s="100">
        <v>130.61710988916025</v>
      </c>
      <c r="AT26" s="100">
        <v>8</v>
      </c>
      <c r="AU26" s="100">
        <v>3888</v>
      </c>
      <c r="AV26" s="100">
        <v>9</v>
      </c>
      <c r="AW26" s="100">
        <v>4374</v>
      </c>
      <c r="AX26" s="100">
        <v>14.048538438660437</v>
      </c>
      <c r="AY26" s="100">
        <v>6827.5896811889725</v>
      </c>
      <c r="AZ26" s="100">
        <v>9.6686415762787572</v>
      </c>
      <c r="BA26" s="100">
        <v>4698.9598060714761</v>
      </c>
      <c r="BB26" s="100">
        <v>10.724574236294737</v>
      </c>
      <c r="BC26" s="100">
        <v>5212.1430788392427</v>
      </c>
      <c r="BD26" s="100">
        <v>8.266404179949161</v>
      </c>
      <c r="BE26" s="100">
        <v>4017.4724314552923</v>
      </c>
      <c r="BF26" s="100">
        <v>9</v>
      </c>
      <c r="BG26" s="100">
        <v>4374</v>
      </c>
      <c r="BH26" s="100">
        <v>15</v>
      </c>
      <c r="BI26" s="100">
        <v>7290</v>
      </c>
      <c r="BJ26" s="100">
        <v>14</v>
      </c>
      <c r="BK26" s="100">
        <v>6804</v>
      </c>
      <c r="BL26" s="100">
        <v>14.757605897981549</v>
      </c>
      <c r="BM26" s="100">
        <v>7172.1964664190327</v>
      </c>
      <c r="BN26" s="100">
        <v>11.523047035318845</v>
      </c>
      <c r="BO26" s="100">
        <v>5600.2008591649583</v>
      </c>
      <c r="BP26" s="100">
        <v>7.3586358546393589</v>
      </c>
      <c r="BQ26" s="100">
        <v>3576.2970253547282</v>
      </c>
      <c r="BR26" s="100">
        <v>2.887149478529059</v>
      </c>
      <c r="BS26" s="100">
        <v>1403.1546465651227</v>
      </c>
      <c r="BT26" s="100">
        <v>12</v>
      </c>
      <c r="BU26" s="100">
        <v>5832</v>
      </c>
      <c r="BV26" s="100">
        <v>12</v>
      </c>
      <c r="BW26" s="100">
        <v>5832</v>
      </c>
      <c r="BX26" s="100">
        <v>16</v>
      </c>
      <c r="BY26" s="100">
        <v>7776</v>
      </c>
      <c r="BZ26" s="100">
        <v>10</v>
      </c>
      <c r="CA26" s="100">
        <v>4860</v>
      </c>
      <c r="CB26" s="100">
        <v>13</v>
      </c>
      <c r="CC26" s="100">
        <v>6318</v>
      </c>
      <c r="CD26" s="100">
        <v>12.479693748763845</v>
      </c>
      <c r="CE26" s="100">
        <v>6065.1311618992286</v>
      </c>
      <c r="CF26" s="100">
        <v>2.1400597555559058</v>
      </c>
      <c r="CG26" s="100">
        <v>1040.0690412001702</v>
      </c>
      <c r="CH26" s="100">
        <v>12.09625480386908</v>
      </c>
      <c r="CI26" s="100">
        <v>5878.7798346803729</v>
      </c>
      <c r="CJ26" s="100">
        <v>9.3795216780871954E-4</v>
      </c>
      <c r="CK26" s="100">
        <v>0.45584475355503767</v>
      </c>
      <c r="CL26" s="100">
        <v>8</v>
      </c>
      <c r="CM26" s="100">
        <v>3888</v>
      </c>
      <c r="CN26" s="100">
        <v>15</v>
      </c>
      <c r="CO26" s="100">
        <v>7290</v>
      </c>
      <c r="CP26" s="100">
        <v>15</v>
      </c>
      <c r="CQ26" s="100">
        <v>7290</v>
      </c>
      <c r="CR26" s="100">
        <v>12.334689165297407</v>
      </c>
      <c r="CS26" s="100">
        <v>5994.6589343345395</v>
      </c>
      <c r="CT26" s="100">
        <v>14.155326461486171</v>
      </c>
      <c r="CU26" s="100">
        <v>6879.4886602822789</v>
      </c>
    </row>
    <row r="27" spans="2:99">
      <c r="C27" s="99" t="s">
        <v>193</v>
      </c>
      <c r="D27" s="100">
        <v>11</v>
      </c>
      <c r="E27" s="100">
        <v>4699.2</v>
      </c>
      <c r="F27" s="100">
        <v>12.146818270396471</v>
      </c>
      <c r="G27" s="100">
        <v>5189.1207651133727</v>
      </c>
      <c r="H27" s="100">
        <v>5.5786697562479402E-4</v>
      </c>
      <c r="I27" s="100">
        <v>0.23832077198691201</v>
      </c>
      <c r="J27" s="100">
        <v>8</v>
      </c>
      <c r="K27" s="100">
        <v>3417.6</v>
      </c>
      <c r="L27" s="100">
        <v>8.4271701870176692</v>
      </c>
      <c r="M27" s="100">
        <v>3600.0871038939481</v>
      </c>
      <c r="N27" s="100">
        <v>10.496656333775102</v>
      </c>
      <c r="O27" s="100">
        <v>4484.171585788723</v>
      </c>
      <c r="P27" s="100">
        <v>6.7077427742407281</v>
      </c>
      <c r="Q27" s="100">
        <v>2865.547713155639</v>
      </c>
      <c r="R27" s="100">
        <v>3.1662881366507825</v>
      </c>
      <c r="S27" s="100">
        <v>1352.6382919772143</v>
      </c>
      <c r="T27" s="100">
        <v>13</v>
      </c>
      <c r="U27" s="100">
        <v>5553.5999999999995</v>
      </c>
      <c r="V27" s="100">
        <v>10.425148284650867</v>
      </c>
      <c r="W27" s="100">
        <v>4453.6233472028498</v>
      </c>
      <c r="X27" s="100">
        <v>8.2484617110237409E-4</v>
      </c>
      <c r="Y27" s="100">
        <v>0.35237428429493423</v>
      </c>
      <c r="Z27" s="100">
        <v>12</v>
      </c>
      <c r="AA27" s="100">
        <v>5126.3999999999996</v>
      </c>
      <c r="AB27" s="100">
        <v>7</v>
      </c>
      <c r="AC27" s="100">
        <v>2990.4</v>
      </c>
      <c r="AD27" s="100">
        <v>8</v>
      </c>
      <c r="AE27" s="100">
        <v>3417.6</v>
      </c>
      <c r="AF27" s="100">
        <v>12</v>
      </c>
      <c r="AG27" s="100">
        <v>5126.3999999999996</v>
      </c>
      <c r="AH27" s="100">
        <v>12</v>
      </c>
      <c r="AI27" s="100">
        <v>5126.3999999999996</v>
      </c>
      <c r="AJ27" s="100">
        <v>10</v>
      </c>
      <c r="AK27" s="100">
        <v>4272</v>
      </c>
      <c r="AL27" s="100">
        <v>11</v>
      </c>
      <c r="AM27" s="100">
        <v>4699.2</v>
      </c>
      <c r="AN27" s="100">
        <v>14</v>
      </c>
      <c r="AO27" s="100">
        <v>5980.8</v>
      </c>
      <c r="AP27" s="100">
        <v>10.998104689824483</v>
      </c>
      <c r="AQ27" s="100">
        <v>4698.3903234930194</v>
      </c>
      <c r="AR27" s="100">
        <v>0.3101070985022798</v>
      </c>
      <c r="AS27" s="100">
        <v>132.47775248017393</v>
      </c>
      <c r="AT27" s="100">
        <v>10</v>
      </c>
      <c r="AU27" s="100">
        <v>4272</v>
      </c>
      <c r="AV27" s="100">
        <v>9</v>
      </c>
      <c r="AW27" s="100">
        <v>3844.7999999999997</v>
      </c>
      <c r="AX27" s="100">
        <v>14.098468840501411</v>
      </c>
      <c r="AY27" s="100">
        <v>6022.8658886622025</v>
      </c>
      <c r="AZ27" s="100">
        <v>10.547608992304099</v>
      </c>
      <c r="BA27" s="100">
        <v>4505.938561512311</v>
      </c>
      <c r="BB27" s="100">
        <v>10.030436868202859</v>
      </c>
      <c r="BC27" s="100">
        <v>4285.0026300962609</v>
      </c>
      <c r="BD27" s="100">
        <v>8.266404179949161</v>
      </c>
      <c r="BE27" s="100">
        <v>3531.4078656742813</v>
      </c>
      <c r="BF27" s="100">
        <v>9</v>
      </c>
      <c r="BG27" s="100">
        <v>3844.7999999999997</v>
      </c>
      <c r="BH27" s="100">
        <v>16</v>
      </c>
      <c r="BI27" s="100">
        <v>6835.2</v>
      </c>
      <c r="BJ27" s="100">
        <v>14</v>
      </c>
      <c r="BK27" s="100">
        <v>5980.8</v>
      </c>
      <c r="BL27" s="100">
        <v>17.829758840646456</v>
      </c>
      <c r="BM27" s="100">
        <v>7616.8729767241657</v>
      </c>
      <c r="BN27" s="100">
        <v>10.197014911826964</v>
      </c>
      <c r="BO27" s="100">
        <v>4356.1647703324788</v>
      </c>
      <c r="BP27" s="100">
        <v>6.9549952482035655</v>
      </c>
      <c r="BQ27" s="100">
        <v>2971.1739700325629</v>
      </c>
      <c r="BR27" s="100">
        <v>3.1092378999543713</v>
      </c>
      <c r="BS27" s="100">
        <v>1328.2664308605074</v>
      </c>
      <c r="BT27" s="100">
        <v>14</v>
      </c>
      <c r="BU27" s="100">
        <v>5980.8</v>
      </c>
      <c r="BV27" s="100">
        <v>13</v>
      </c>
      <c r="BW27" s="100">
        <v>5553.5999999999995</v>
      </c>
      <c r="BX27" s="100">
        <v>14</v>
      </c>
      <c r="BY27" s="100">
        <v>5980.8</v>
      </c>
      <c r="BZ27" s="100">
        <v>9</v>
      </c>
      <c r="CA27" s="100">
        <v>3844.7999999999997</v>
      </c>
      <c r="CB27" s="100">
        <v>15</v>
      </c>
      <c r="CC27" s="100">
        <v>6408</v>
      </c>
      <c r="CD27" s="100">
        <v>13.479693748763845</v>
      </c>
      <c r="CE27" s="100">
        <v>5758.5251694719145</v>
      </c>
      <c r="CF27" s="100">
        <v>1.9455088686871871</v>
      </c>
      <c r="CG27" s="100">
        <v>831.1213887031663</v>
      </c>
      <c r="CH27" s="100">
        <v>13.022189139384839</v>
      </c>
      <c r="CI27" s="100">
        <v>5563.0792003452034</v>
      </c>
      <c r="CJ27" s="100">
        <v>8.2760485394887029E-4</v>
      </c>
      <c r="CK27" s="100">
        <v>0.35355279360695741</v>
      </c>
      <c r="CL27" s="100">
        <v>9</v>
      </c>
      <c r="CM27" s="100">
        <v>3844.7999999999997</v>
      </c>
      <c r="CN27" s="100">
        <v>14</v>
      </c>
      <c r="CO27" s="100">
        <v>5980.8</v>
      </c>
      <c r="CP27" s="100">
        <v>16</v>
      </c>
      <c r="CQ27" s="100">
        <v>6835.2</v>
      </c>
      <c r="CR27" s="100">
        <v>13.283511408781825</v>
      </c>
      <c r="CS27" s="100">
        <v>5674.7160738315952</v>
      </c>
      <c r="CT27" s="100">
        <v>13.286403695511808</v>
      </c>
      <c r="CU27" s="100">
        <v>5675.9516587226444</v>
      </c>
    </row>
    <row r="28" spans="2:99">
      <c r="C28" s="99" t="s">
        <v>194</v>
      </c>
      <c r="D28" s="100">
        <v>11.446970617793486</v>
      </c>
      <c r="E28" s="100">
        <v>8447.8643159315925</v>
      </c>
      <c r="F28" s="100">
        <v>11.212447634212127</v>
      </c>
      <c r="G28" s="100">
        <v>8274.7863540485505</v>
      </c>
      <c r="H28" s="100">
        <v>6.3756225785690742E-4</v>
      </c>
      <c r="I28" s="100">
        <v>0.47052094629839769</v>
      </c>
      <c r="J28" s="100">
        <v>9</v>
      </c>
      <c r="K28" s="100">
        <v>6642</v>
      </c>
      <c r="L28" s="100">
        <v>9.4496528284396515</v>
      </c>
      <c r="M28" s="100">
        <v>6973.8437873884632</v>
      </c>
      <c r="N28" s="100">
        <v>11.496656333775102</v>
      </c>
      <c r="O28" s="100">
        <v>8484.5323743260251</v>
      </c>
      <c r="P28" s="100">
        <v>6.6229453327433703</v>
      </c>
      <c r="Q28" s="100">
        <v>4887.733655564607</v>
      </c>
      <c r="R28" s="100">
        <v>2.9024307919298837</v>
      </c>
      <c r="S28" s="100">
        <v>2141.9939244442544</v>
      </c>
      <c r="T28" s="100">
        <v>15</v>
      </c>
      <c r="U28" s="100">
        <v>11070</v>
      </c>
      <c r="V28" s="100">
        <v>9.7211641786323888</v>
      </c>
      <c r="W28" s="100">
        <v>7174.2191638307031</v>
      </c>
      <c r="X28" s="100">
        <v>7.613964656329607E-4</v>
      </c>
      <c r="Y28" s="100">
        <v>0.56191059163712498</v>
      </c>
      <c r="Z28" s="100">
        <v>11</v>
      </c>
      <c r="AA28" s="100">
        <v>8118</v>
      </c>
      <c r="AB28" s="100">
        <v>8</v>
      </c>
      <c r="AC28" s="100">
        <v>5904</v>
      </c>
      <c r="AD28" s="100">
        <v>9</v>
      </c>
      <c r="AE28" s="100">
        <v>6642</v>
      </c>
      <c r="AF28" s="100">
        <v>13</v>
      </c>
      <c r="AG28" s="100">
        <v>9594</v>
      </c>
      <c r="AH28" s="100">
        <v>11</v>
      </c>
      <c r="AI28" s="100">
        <v>8118</v>
      </c>
      <c r="AJ28" s="100">
        <v>9</v>
      </c>
      <c r="AK28" s="100">
        <v>6642</v>
      </c>
      <c r="AL28" s="100">
        <v>12</v>
      </c>
      <c r="AM28" s="100">
        <v>8856</v>
      </c>
      <c r="AN28" s="100">
        <v>14</v>
      </c>
      <c r="AO28" s="100">
        <v>10332</v>
      </c>
      <c r="AP28" s="100">
        <v>12.048009924315709</v>
      </c>
      <c r="AQ28" s="100">
        <v>8891.4313241449927</v>
      </c>
      <c r="AR28" s="100">
        <v>0.3101070985022798</v>
      </c>
      <c r="AS28" s="100">
        <v>228.85903869468248</v>
      </c>
      <c r="AT28" s="100">
        <v>9</v>
      </c>
      <c r="AU28" s="100">
        <v>6642</v>
      </c>
      <c r="AV28" s="100">
        <v>9</v>
      </c>
      <c r="AW28" s="100">
        <v>6642</v>
      </c>
      <c r="AX28" s="100">
        <v>14.998608036819464</v>
      </c>
      <c r="AY28" s="100">
        <v>11068.972731172764</v>
      </c>
      <c r="AZ28" s="100">
        <v>9.6686415762787572</v>
      </c>
      <c r="BA28" s="100">
        <v>7135.4574832937224</v>
      </c>
      <c r="BB28" s="100">
        <v>10.691678055777201</v>
      </c>
      <c r="BC28" s="100">
        <v>7890.4584051635748</v>
      </c>
      <c r="BD28" s="100">
        <v>9.7693867581217351</v>
      </c>
      <c r="BE28" s="100">
        <v>7209.8074274938408</v>
      </c>
      <c r="BF28" s="100">
        <v>9</v>
      </c>
      <c r="BG28" s="100">
        <v>6642</v>
      </c>
      <c r="BH28" s="100">
        <v>14</v>
      </c>
      <c r="BI28" s="100">
        <v>10332</v>
      </c>
      <c r="BJ28" s="100">
        <v>14</v>
      </c>
      <c r="BK28" s="100">
        <v>10332</v>
      </c>
      <c r="BL28" s="100">
        <v>16.757605897981549</v>
      </c>
      <c r="BM28" s="100">
        <v>12367.113152710383</v>
      </c>
      <c r="BN28" s="100">
        <v>10.815600270225046</v>
      </c>
      <c r="BO28" s="100">
        <v>7981.9129994260838</v>
      </c>
      <c r="BP28" s="100">
        <v>7.3415066979072616</v>
      </c>
      <c r="BQ28" s="100">
        <v>5418.0319430555592</v>
      </c>
      <c r="BR28" s="100">
        <v>2.6650610571037467</v>
      </c>
      <c r="BS28" s="100">
        <v>1966.815060142565</v>
      </c>
      <c r="BT28" s="100">
        <v>13</v>
      </c>
      <c r="BU28" s="100">
        <v>9594</v>
      </c>
      <c r="BV28" s="100">
        <v>13</v>
      </c>
      <c r="BW28" s="100">
        <v>9594</v>
      </c>
      <c r="BX28" s="100">
        <v>13</v>
      </c>
      <c r="BY28" s="100">
        <v>9594</v>
      </c>
      <c r="BZ28" s="100">
        <v>10</v>
      </c>
      <c r="CA28" s="100">
        <v>7380</v>
      </c>
      <c r="CB28" s="100">
        <v>15</v>
      </c>
      <c r="CC28" s="100">
        <v>11070</v>
      </c>
      <c r="CD28" s="100">
        <v>13.479693748763845</v>
      </c>
      <c r="CE28" s="100">
        <v>9948.0139865877172</v>
      </c>
      <c r="CF28" s="100">
        <v>1.9455088686871871</v>
      </c>
      <c r="CG28" s="100">
        <v>1435.7855450911441</v>
      </c>
      <c r="CH28" s="100">
        <v>13.9481234749006</v>
      </c>
      <c r="CI28" s="100">
        <v>10293.715124476643</v>
      </c>
      <c r="CJ28" s="100">
        <v>9.3795216780871954E-4</v>
      </c>
      <c r="CK28" s="100">
        <v>0.69220869984283506</v>
      </c>
      <c r="CL28" s="100">
        <v>8</v>
      </c>
      <c r="CM28" s="100">
        <v>5904</v>
      </c>
      <c r="CN28" s="100">
        <v>12</v>
      </c>
      <c r="CO28" s="100">
        <v>8856</v>
      </c>
      <c r="CP28" s="100">
        <v>16</v>
      </c>
      <c r="CQ28" s="100">
        <v>11808</v>
      </c>
      <c r="CR28" s="100">
        <v>13.283511408781825</v>
      </c>
      <c r="CS28" s="100">
        <v>9803.2314196809875</v>
      </c>
      <c r="CT28" s="100">
        <v>12.417480929537446</v>
      </c>
      <c r="CU28" s="100">
        <v>9164.1009259986349</v>
      </c>
    </row>
    <row r="29" spans="2:99">
      <c r="C29" s="99" t="s">
        <v>195</v>
      </c>
      <c r="D29" s="100">
        <v>10</v>
      </c>
      <c r="E29" s="100">
        <v>3384</v>
      </c>
      <c r="F29" s="100">
        <v>11.212447634212127</v>
      </c>
      <c r="G29" s="100">
        <v>3794.2922794173837</v>
      </c>
      <c r="H29" s="100">
        <v>5.5786697562479402E-4</v>
      </c>
      <c r="I29" s="100">
        <v>0.18878218455143028</v>
      </c>
      <c r="J29" s="100">
        <v>8</v>
      </c>
      <c r="K29" s="100">
        <v>2707.2</v>
      </c>
      <c r="L29" s="100">
        <v>9.4271701870176692</v>
      </c>
      <c r="M29" s="100">
        <v>3190.1543912867792</v>
      </c>
      <c r="N29" s="100">
        <v>11.529766756026776</v>
      </c>
      <c r="O29" s="100">
        <v>3901.6730702394607</v>
      </c>
      <c r="P29" s="100">
        <v>7.336843625622949</v>
      </c>
      <c r="Q29" s="100">
        <v>2482.7878829108058</v>
      </c>
      <c r="R29" s="100">
        <v>3.1662881366507825</v>
      </c>
      <c r="S29" s="100">
        <v>1071.4719054426248</v>
      </c>
      <c r="T29" s="100">
        <v>15</v>
      </c>
      <c r="U29" s="100">
        <v>5076</v>
      </c>
      <c r="V29" s="100">
        <v>9.0036236249855257</v>
      </c>
      <c r="W29" s="100">
        <v>3046.8262346951019</v>
      </c>
      <c r="X29" s="100">
        <v>7.613964656329607E-4</v>
      </c>
      <c r="Y29" s="100">
        <v>0.25765656397019387</v>
      </c>
      <c r="Z29" s="100">
        <v>11</v>
      </c>
      <c r="AA29" s="100">
        <v>3722.3999999999996</v>
      </c>
      <c r="AB29" s="100">
        <v>7</v>
      </c>
      <c r="AC29" s="100">
        <v>2368.7999999999997</v>
      </c>
      <c r="AD29" s="100">
        <v>8</v>
      </c>
      <c r="AE29" s="100">
        <v>2707.2</v>
      </c>
      <c r="AF29" s="100">
        <v>14</v>
      </c>
      <c r="AG29" s="100">
        <v>4737.5999999999995</v>
      </c>
      <c r="AH29" s="100">
        <v>12</v>
      </c>
      <c r="AI29" s="100">
        <v>4060.7999999999997</v>
      </c>
      <c r="AJ29" s="100">
        <v>10</v>
      </c>
      <c r="AK29" s="100">
        <v>3384</v>
      </c>
      <c r="AL29" s="100">
        <v>12</v>
      </c>
      <c r="AM29" s="100">
        <v>4060.7999999999997</v>
      </c>
      <c r="AN29" s="100">
        <v>15</v>
      </c>
      <c r="AO29" s="100">
        <v>5076</v>
      </c>
      <c r="AP29" s="100">
        <v>11.94819945533326</v>
      </c>
      <c r="AQ29" s="100">
        <v>4043.2706956847746</v>
      </c>
      <c r="AR29" s="100">
        <v>0.26875948536864247</v>
      </c>
      <c r="AS29" s="100">
        <v>90.948209848748604</v>
      </c>
      <c r="AT29" s="100">
        <v>9</v>
      </c>
      <c r="AU29" s="100">
        <v>3045.6</v>
      </c>
      <c r="AV29" s="100">
        <v>9</v>
      </c>
      <c r="AW29" s="100">
        <v>3045.6</v>
      </c>
      <c r="AX29" s="100">
        <v>13.948677634978491</v>
      </c>
      <c r="AY29" s="100">
        <v>4720.2325116767215</v>
      </c>
      <c r="AZ29" s="100">
        <v>9.6686415762787572</v>
      </c>
      <c r="BA29" s="100">
        <v>3271.8683094127314</v>
      </c>
      <c r="BB29" s="100">
        <v>10.724574236294737</v>
      </c>
      <c r="BC29" s="100">
        <v>3629.1959215621387</v>
      </c>
      <c r="BD29" s="100">
        <v>8.266404179949161</v>
      </c>
      <c r="BE29" s="100">
        <v>2797.3511744947959</v>
      </c>
      <c r="BF29" s="100">
        <v>8</v>
      </c>
      <c r="BG29" s="100">
        <v>2707.2</v>
      </c>
      <c r="BH29" s="100">
        <v>17</v>
      </c>
      <c r="BI29" s="100">
        <v>5752.7999999999993</v>
      </c>
      <c r="BJ29" s="100">
        <v>14</v>
      </c>
      <c r="BK29" s="100">
        <v>4737.5999999999995</v>
      </c>
      <c r="BL29" s="100">
        <v>15.721529426649093</v>
      </c>
      <c r="BM29" s="100">
        <v>5320.1655579780527</v>
      </c>
      <c r="BN29" s="100">
        <v>11.523047035318845</v>
      </c>
      <c r="BO29" s="100">
        <v>3899.3991167518966</v>
      </c>
      <c r="BP29" s="100">
        <v>7.3757650113714579</v>
      </c>
      <c r="BQ29" s="100">
        <v>2495.9588798481013</v>
      </c>
      <c r="BR29" s="100">
        <v>3.1092378999543713</v>
      </c>
      <c r="BS29" s="100">
        <v>1052.1661053445591</v>
      </c>
      <c r="BT29" s="100">
        <v>13</v>
      </c>
      <c r="BU29" s="100">
        <v>4399.2</v>
      </c>
      <c r="BV29" s="100">
        <v>12</v>
      </c>
      <c r="BW29" s="100">
        <v>4060.7999999999997</v>
      </c>
      <c r="BX29" s="100">
        <v>16</v>
      </c>
      <c r="BY29" s="100">
        <v>5414.4</v>
      </c>
      <c r="BZ29" s="100">
        <v>10</v>
      </c>
      <c r="CA29" s="100">
        <v>3384</v>
      </c>
      <c r="CB29" s="100">
        <v>14</v>
      </c>
      <c r="CC29" s="100">
        <v>4737.5999999999995</v>
      </c>
      <c r="CD29" s="100">
        <v>13.442794229628165</v>
      </c>
      <c r="CE29" s="100">
        <v>4549.0415673061707</v>
      </c>
      <c r="CF29" s="100">
        <v>2.1400597555559058</v>
      </c>
      <c r="CG29" s="100">
        <v>724.19622128011849</v>
      </c>
      <c r="CH29" s="100">
        <v>12.09625480386908</v>
      </c>
      <c r="CI29" s="100">
        <v>4093.3726256292962</v>
      </c>
      <c r="CJ29" s="100">
        <v>9.3795216780871954E-4</v>
      </c>
      <c r="CK29" s="100">
        <v>0.31740301358647066</v>
      </c>
      <c r="CL29" s="100">
        <v>8</v>
      </c>
      <c r="CM29" s="100">
        <v>2707.2</v>
      </c>
      <c r="CN29" s="100">
        <v>15</v>
      </c>
      <c r="CO29" s="100">
        <v>5076</v>
      </c>
      <c r="CP29" s="100">
        <v>16</v>
      </c>
      <c r="CQ29" s="100">
        <v>5414.4</v>
      </c>
      <c r="CR29" s="100">
        <v>13.283511408781825</v>
      </c>
      <c r="CS29" s="100">
        <v>4495.1402607317696</v>
      </c>
      <c r="CT29" s="100">
        <v>12.417480929537446</v>
      </c>
      <c r="CU29" s="100">
        <v>4202.0755465554712</v>
      </c>
    </row>
    <row r="30" spans="2:99">
      <c r="C30" s="99" t="s">
        <v>196</v>
      </c>
      <c r="D30" s="100">
        <v>10.474906281405579</v>
      </c>
      <c r="E30" s="100">
        <v>1458.1069543716565</v>
      </c>
      <c r="F30" s="100">
        <v>13.081188906580815</v>
      </c>
      <c r="G30" s="100">
        <v>1820.9014957960492</v>
      </c>
      <c r="H30" s="100">
        <v>7.1725754008902082E-4</v>
      </c>
      <c r="I30" s="100">
        <v>9.9842249580391687E-2</v>
      </c>
      <c r="J30" s="100">
        <v>10</v>
      </c>
      <c r="K30" s="100">
        <v>1392</v>
      </c>
      <c r="L30" s="100">
        <v>8.4721354698616338</v>
      </c>
      <c r="M30" s="100">
        <v>1179.3212574047393</v>
      </c>
      <c r="N30" s="100">
        <v>12.529766756026776</v>
      </c>
      <c r="O30" s="100">
        <v>1744.143532438927</v>
      </c>
      <c r="P30" s="100">
        <v>7.3933752532878536</v>
      </c>
      <c r="Q30" s="100">
        <v>1029.1578352576691</v>
      </c>
      <c r="R30" s="100">
        <v>2.9024307919298837</v>
      </c>
      <c r="S30" s="100">
        <v>404.01836623663979</v>
      </c>
      <c r="T30" s="100">
        <v>14</v>
      </c>
      <c r="U30" s="100">
        <v>1948.7999999999997</v>
      </c>
      <c r="V30" s="100">
        <v>10.465817627536021</v>
      </c>
      <c r="W30" s="100">
        <v>1456.8418137530141</v>
      </c>
      <c r="X30" s="100">
        <v>7.613964656329607E-4</v>
      </c>
      <c r="Y30" s="100">
        <v>0.10598638801610812</v>
      </c>
      <c r="Z30" s="100">
        <v>12</v>
      </c>
      <c r="AA30" s="100">
        <v>1670.3999999999999</v>
      </c>
      <c r="AB30" s="100">
        <v>8</v>
      </c>
      <c r="AC30" s="100">
        <v>1113.5999999999999</v>
      </c>
      <c r="AD30" s="100">
        <v>8</v>
      </c>
      <c r="AE30" s="100">
        <v>1113.5999999999999</v>
      </c>
      <c r="AF30" s="100">
        <v>13</v>
      </c>
      <c r="AG30" s="100">
        <v>1809.6</v>
      </c>
      <c r="AH30" s="100">
        <v>12</v>
      </c>
      <c r="AI30" s="100">
        <v>1670.3999999999999</v>
      </c>
      <c r="AJ30" s="100">
        <v>8</v>
      </c>
      <c r="AK30" s="100">
        <v>1113.5999999999999</v>
      </c>
      <c r="AL30" s="100">
        <v>12</v>
      </c>
      <c r="AM30" s="100">
        <v>1670.3999999999999</v>
      </c>
      <c r="AN30" s="100">
        <v>14</v>
      </c>
      <c r="AO30" s="100">
        <v>1948.7999999999997</v>
      </c>
      <c r="AP30" s="100">
        <v>12.998104689824483</v>
      </c>
      <c r="AQ30" s="100">
        <v>1809.3361728235679</v>
      </c>
      <c r="AR30" s="100">
        <v>0.28943329193546108</v>
      </c>
      <c r="AS30" s="100">
        <v>40.289114237416179</v>
      </c>
      <c r="AT30" s="100">
        <v>9</v>
      </c>
      <c r="AU30" s="100">
        <v>1252.8</v>
      </c>
      <c r="AV30" s="100">
        <v>9</v>
      </c>
      <c r="AW30" s="100">
        <v>1252.8</v>
      </c>
      <c r="AX30" s="100">
        <v>14.098468840501411</v>
      </c>
      <c r="AY30" s="100">
        <v>1962.5068625977963</v>
      </c>
      <c r="AZ30" s="100">
        <v>10.547608992304099</v>
      </c>
      <c r="BA30" s="100">
        <v>1468.2271717287304</v>
      </c>
      <c r="BB30" s="100">
        <v>10.724574236294737</v>
      </c>
      <c r="BC30" s="100">
        <v>1492.8607336922273</v>
      </c>
      <c r="BD30" s="100">
        <v>8.266404179949161</v>
      </c>
      <c r="BE30" s="100">
        <v>1150.6834618489231</v>
      </c>
      <c r="BF30" s="100">
        <v>8</v>
      </c>
      <c r="BG30" s="100">
        <v>1113.5999999999999</v>
      </c>
      <c r="BH30" s="100">
        <v>16</v>
      </c>
      <c r="BI30" s="100">
        <v>2227.1999999999998</v>
      </c>
      <c r="BJ30" s="100">
        <v>14</v>
      </c>
      <c r="BK30" s="100">
        <v>1948.7999999999997</v>
      </c>
      <c r="BL30" s="100">
        <v>15.829758840646457</v>
      </c>
      <c r="BM30" s="100">
        <v>2203.5024306179866</v>
      </c>
      <c r="BN30" s="100">
        <v>10.815600270225046</v>
      </c>
      <c r="BO30" s="100">
        <v>1505.5315576153262</v>
      </c>
      <c r="BP30" s="100">
        <v>7.3757650113714579</v>
      </c>
      <c r="BQ30" s="100">
        <v>1026.7064895829069</v>
      </c>
      <c r="BR30" s="100">
        <v>3.1092378999543713</v>
      </c>
      <c r="BS30" s="100">
        <v>432.80591567364843</v>
      </c>
      <c r="BT30" s="100">
        <v>12</v>
      </c>
      <c r="BU30" s="100">
        <v>1670.3999999999999</v>
      </c>
      <c r="BV30" s="100">
        <v>13</v>
      </c>
      <c r="BW30" s="100">
        <v>1809.6</v>
      </c>
      <c r="BX30" s="100">
        <v>14</v>
      </c>
      <c r="BY30" s="100">
        <v>1948.7999999999997</v>
      </c>
      <c r="BZ30" s="100">
        <v>10</v>
      </c>
      <c r="CA30" s="100">
        <v>1392</v>
      </c>
      <c r="CB30" s="100">
        <v>15</v>
      </c>
      <c r="CC30" s="100">
        <v>2088</v>
      </c>
      <c r="CD30" s="100">
        <v>13.479693748763845</v>
      </c>
      <c r="CE30" s="100">
        <v>1876.373369827927</v>
      </c>
      <c r="CF30" s="100">
        <v>2.1400597555559058</v>
      </c>
      <c r="CG30" s="100">
        <v>297.89631797338205</v>
      </c>
      <c r="CH30" s="100">
        <v>13.013745076218525</v>
      </c>
      <c r="CI30" s="100">
        <v>1811.5133146096184</v>
      </c>
      <c r="CJ30" s="100">
        <v>9.9312582473864443E-4</v>
      </c>
      <c r="CK30" s="100">
        <v>0.13824311480361928</v>
      </c>
      <c r="CL30" s="100">
        <v>8</v>
      </c>
      <c r="CM30" s="100">
        <v>1113.5999999999999</v>
      </c>
      <c r="CN30" s="100">
        <v>13</v>
      </c>
      <c r="CO30" s="100">
        <v>1809.6</v>
      </c>
      <c r="CP30" s="100">
        <v>16</v>
      </c>
      <c r="CQ30" s="100">
        <v>2227.1999999999998</v>
      </c>
      <c r="CR30" s="100">
        <v>13.283511408781825</v>
      </c>
      <c r="CS30" s="100">
        <v>1849.0647881024299</v>
      </c>
      <c r="CT30" s="100">
        <v>13.299696443190564</v>
      </c>
      <c r="CU30" s="100">
        <v>1851.3177448921265</v>
      </c>
    </row>
    <row r="31" spans="2:99">
      <c r="C31" s="99" t="s">
        <v>197</v>
      </c>
      <c r="D31" s="100">
        <v>10</v>
      </c>
      <c r="E31" s="100">
        <v>3408</v>
      </c>
      <c r="F31" s="100">
        <v>12.146818270396471</v>
      </c>
      <c r="G31" s="100">
        <v>4139.6356665511175</v>
      </c>
      <c r="H31" s="100">
        <v>5.5786697562479402E-4</v>
      </c>
      <c r="I31" s="100">
        <v>0.1901210652929298</v>
      </c>
      <c r="J31" s="100">
        <v>9</v>
      </c>
      <c r="K31" s="100">
        <v>3067.2000000000003</v>
      </c>
      <c r="L31" s="100">
        <v>8.4271701870176692</v>
      </c>
      <c r="M31" s="100">
        <v>2871.9795997356218</v>
      </c>
      <c r="N31" s="100">
        <v>12.496656333775102</v>
      </c>
      <c r="O31" s="100">
        <v>4258.8604785505549</v>
      </c>
      <c r="P31" s="100">
        <v>7.3651094394554013</v>
      </c>
      <c r="Q31" s="100">
        <v>2510.029296966401</v>
      </c>
      <c r="R31" s="100">
        <v>2.6385734472089855</v>
      </c>
      <c r="S31" s="100">
        <v>899.22583080882225</v>
      </c>
      <c r="T31" s="100">
        <v>14</v>
      </c>
      <c r="U31" s="100">
        <v>4771.2</v>
      </c>
      <c r="V31" s="100">
        <v>9.7347206262607742</v>
      </c>
      <c r="W31" s="100">
        <v>3317.5927894296719</v>
      </c>
      <c r="X31" s="100">
        <v>8.2484617110237409E-4</v>
      </c>
      <c r="Y31" s="100">
        <v>0.2811075751116891</v>
      </c>
      <c r="Z31" s="100">
        <v>12</v>
      </c>
      <c r="AA31" s="100">
        <v>4089.6000000000004</v>
      </c>
      <c r="AB31" s="100">
        <v>7</v>
      </c>
      <c r="AC31" s="100">
        <v>2385.6</v>
      </c>
      <c r="AD31" s="100">
        <v>7</v>
      </c>
      <c r="AE31" s="100">
        <v>2385.6</v>
      </c>
      <c r="AF31" s="100">
        <v>13</v>
      </c>
      <c r="AG31" s="100">
        <v>4430.4000000000005</v>
      </c>
      <c r="AH31" s="100">
        <v>12</v>
      </c>
      <c r="AI31" s="100">
        <v>4089.6000000000004</v>
      </c>
      <c r="AJ31" s="100">
        <v>10</v>
      </c>
      <c r="AK31" s="100">
        <v>3408</v>
      </c>
      <c r="AL31" s="100">
        <v>12</v>
      </c>
      <c r="AM31" s="100">
        <v>4089.6000000000004</v>
      </c>
      <c r="AN31" s="100">
        <v>14</v>
      </c>
      <c r="AO31" s="100">
        <v>4771.2</v>
      </c>
      <c r="AP31" s="100">
        <v>11.048009924315709</v>
      </c>
      <c r="AQ31" s="100">
        <v>3765.1617822067938</v>
      </c>
      <c r="AR31" s="100">
        <v>0.3101070985022798</v>
      </c>
      <c r="AS31" s="100">
        <v>105.68449916957695</v>
      </c>
      <c r="AT31" s="100">
        <v>10</v>
      </c>
      <c r="AU31" s="100">
        <v>3408</v>
      </c>
      <c r="AV31" s="100">
        <v>8</v>
      </c>
      <c r="AW31" s="100">
        <v>2726.4</v>
      </c>
      <c r="AX31" s="100">
        <v>13.998608036819464</v>
      </c>
      <c r="AY31" s="100">
        <v>4770.7256189480731</v>
      </c>
      <c r="AZ31" s="100">
        <v>9.6686415762787572</v>
      </c>
      <c r="BA31" s="100">
        <v>3295.0730491958006</v>
      </c>
      <c r="BB31" s="100">
        <v>11.418711604386614</v>
      </c>
      <c r="BC31" s="100">
        <v>3891.496914774958</v>
      </c>
      <c r="BD31" s="100">
        <v>9.017895469035448</v>
      </c>
      <c r="BE31" s="100">
        <v>3073.2987758472809</v>
      </c>
      <c r="BF31" s="100">
        <v>8</v>
      </c>
      <c r="BG31" s="100">
        <v>2726.4</v>
      </c>
      <c r="BH31" s="100">
        <v>15</v>
      </c>
      <c r="BI31" s="100">
        <v>5112</v>
      </c>
      <c r="BJ31" s="100">
        <v>14</v>
      </c>
      <c r="BK31" s="100">
        <v>4771.2</v>
      </c>
      <c r="BL31" s="100">
        <v>16.757605897981549</v>
      </c>
      <c r="BM31" s="100">
        <v>5710.9920900321122</v>
      </c>
      <c r="BN31" s="100">
        <v>10.815600270225046</v>
      </c>
      <c r="BO31" s="100">
        <v>3685.9565720926958</v>
      </c>
      <c r="BP31" s="100">
        <v>6.1305848785998762</v>
      </c>
      <c r="BQ31" s="100">
        <v>2089.303326626838</v>
      </c>
      <c r="BR31" s="100">
        <v>2.887149478529059</v>
      </c>
      <c r="BS31" s="100">
        <v>983.94054228270329</v>
      </c>
      <c r="BT31" s="100">
        <v>13</v>
      </c>
      <c r="BU31" s="100">
        <v>4430.4000000000005</v>
      </c>
      <c r="BV31" s="100">
        <v>14</v>
      </c>
      <c r="BW31" s="100">
        <v>4771.2</v>
      </c>
      <c r="BX31" s="100">
        <v>16</v>
      </c>
      <c r="BY31" s="100">
        <v>5452.8</v>
      </c>
      <c r="BZ31" s="100">
        <v>9</v>
      </c>
      <c r="CA31" s="100">
        <v>3067.2000000000003</v>
      </c>
      <c r="CB31" s="100">
        <v>15</v>
      </c>
      <c r="CC31" s="100">
        <v>5112</v>
      </c>
      <c r="CD31" s="100">
        <v>12.479693748763845</v>
      </c>
      <c r="CE31" s="100">
        <v>4253.0796295787186</v>
      </c>
      <c r="CF31" s="100">
        <v>1.9455088686871871</v>
      </c>
      <c r="CG31" s="100">
        <v>663.02942244859344</v>
      </c>
      <c r="CH31" s="100">
        <v>13.039077265717468</v>
      </c>
      <c r="CI31" s="100">
        <v>4443.7175321565137</v>
      </c>
      <c r="CJ31" s="100">
        <v>8.2760485394887029E-4</v>
      </c>
      <c r="CK31" s="100">
        <v>0.282047734225775</v>
      </c>
      <c r="CL31" s="100">
        <v>8</v>
      </c>
      <c r="CM31" s="100">
        <v>2726.4</v>
      </c>
      <c r="CN31" s="100">
        <v>14</v>
      </c>
      <c r="CO31" s="100">
        <v>4771.2</v>
      </c>
      <c r="CP31" s="100">
        <v>17</v>
      </c>
      <c r="CQ31" s="100">
        <v>5793.6</v>
      </c>
      <c r="CR31" s="100">
        <v>13.283511408781825</v>
      </c>
      <c r="CS31" s="100">
        <v>4527.0206881128461</v>
      </c>
      <c r="CT31" s="100">
        <v>15.010956479781779</v>
      </c>
      <c r="CU31" s="100">
        <v>5115.7339683096307</v>
      </c>
    </row>
    <row r="32" spans="2:99">
      <c r="C32" s="99" t="s">
        <v>198</v>
      </c>
      <c r="D32" s="100">
        <v>10</v>
      </c>
      <c r="E32" s="100">
        <v>8400</v>
      </c>
      <c r="F32" s="100">
        <v>11.212447634212127</v>
      </c>
      <c r="G32" s="100">
        <v>9418.4560127381865</v>
      </c>
      <c r="H32" s="100">
        <v>6.3756225785690742E-4</v>
      </c>
      <c r="I32" s="100">
        <v>0.53555229659980219</v>
      </c>
      <c r="J32" s="100">
        <v>8</v>
      </c>
      <c r="K32" s="100">
        <v>6720</v>
      </c>
      <c r="L32" s="100">
        <v>8.4046875455956869</v>
      </c>
      <c r="M32" s="100">
        <v>7059.9375383003771</v>
      </c>
      <c r="N32" s="100">
        <v>10.595987600530123</v>
      </c>
      <c r="O32" s="100">
        <v>8900.6295844453034</v>
      </c>
      <c r="P32" s="100">
        <v>7.3933752532878536</v>
      </c>
      <c r="Q32" s="100">
        <v>6210.4352127617967</v>
      </c>
      <c r="R32" s="100">
        <v>2.6385734472089855</v>
      </c>
      <c r="S32" s="100">
        <v>2216.4016956555479</v>
      </c>
      <c r="T32" s="100">
        <v>15</v>
      </c>
      <c r="U32" s="100">
        <v>12600</v>
      </c>
      <c r="V32" s="100">
        <v>9.6940512833756181</v>
      </c>
      <c r="W32" s="100">
        <v>8143.0030780355191</v>
      </c>
      <c r="X32" s="100">
        <v>6.979467601635473E-4</v>
      </c>
      <c r="Y32" s="100">
        <v>0.58627527853737971</v>
      </c>
      <c r="Z32" s="100">
        <v>11</v>
      </c>
      <c r="AA32" s="100">
        <v>9240</v>
      </c>
      <c r="AB32" s="100">
        <v>7</v>
      </c>
      <c r="AC32" s="100">
        <v>5880</v>
      </c>
      <c r="AD32" s="100">
        <v>8</v>
      </c>
      <c r="AE32" s="100">
        <v>6720</v>
      </c>
      <c r="AF32" s="100">
        <v>13</v>
      </c>
      <c r="AG32" s="100">
        <v>10920</v>
      </c>
      <c r="AH32" s="100">
        <v>12</v>
      </c>
      <c r="AI32" s="100">
        <v>10080</v>
      </c>
      <c r="AJ32" s="100">
        <v>8</v>
      </c>
      <c r="AK32" s="100">
        <v>6720</v>
      </c>
      <c r="AL32" s="100">
        <v>11</v>
      </c>
      <c r="AM32" s="100">
        <v>9240</v>
      </c>
      <c r="AN32" s="100">
        <v>13</v>
      </c>
      <c r="AO32" s="100">
        <v>10920</v>
      </c>
      <c r="AP32" s="100">
        <v>11.048009924315709</v>
      </c>
      <c r="AQ32" s="100">
        <v>9280.3283364251947</v>
      </c>
      <c r="AR32" s="100">
        <v>0.3101070985022798</v>
      </c>
      <c r="AS32" s="100">
        <v>260.48996274191501</v>
      </c>
      <c r="AT32" s="100">
        <v>10</v>
      </c>
      <c r="AU32" s="100">
        <v>8400</v>
      </c>
      <c r="AV32" s="100">
        <v>8</v>
      </c>
      <c r="AW32" s="100">
        <v>6720</v>
      </c>
      <c r="AX32" s="100">
        <v>12.998608036819464</v>
      </c>
      <c r="AY32" s="100">
        <v>10918.83075092835</v>
      </c>
      <c r="AZ32" s="100">
        <v>8.7896741602534156</v>
      </c>
      <c r="BA32" s="100">
        <v>7383.3262946128689</v>
      </c>
      <c r="BB32" s="100">
        <v>9.3362995001109823</v>
      </c>
      <c r="BC32" s="100">
        <v>7842.4915800932249</v>
      </c>
      <c r="BD32" s="100">
        <v>9.017895469035448</v>
      </c>
      <c r="BE32" s="100">
        <v>7575.0321939897767</v>
      </c>
      <c r="BF32" s="100">
        <v>8</v>
      </c>
      <c r="BG32" s="100">
        <v>6720</v>
      </c>
      <c r="BH32" s="100">
        <v>16</v>
      </c>
      <c r="BI32" s="100">
        <v>13440</v>
      </c>
      <c r="BJ32" s="100">
        <v>13</v>
      </c>
      <c r="BK32" s="100">
        <v>10920</v>
      </c>
      <c r="BL32" s="100">
        <v>15.685452955316638</v>
      </c>
      <c r="BM32" s="100">
        <v>13175.780482465976</v>
      </c>
      <c r="BN32" s="100">
        <v>10.197014911826964</v>
      </c>
      <c r="BO32" s="100">
        <v>8565.4925259346492</v>
      </c>
      <c r="BP32" s="100">
        <v>6.0791974084035827</v>
      </c>
      <c r="BQ32" s="100">
        <v>5106.5258230590098</v>
      </c>
      <c r="BR32" s="100">
        <v>2.6650610571037467</v>
      </c>
      <c r="BS32" s="100">
        <v>2238.6512879671473</v>
      </c>
      <c r="BT32" s="100">
        <v>14</v>
      </c>
      <c r="BU32" s="100">
        <v>11760</v>
      </c>
      <c r="BV32" s="100">
        <v>12</v>
      </c>
      <c r="BW32" s="100">
        <v>10080</v>
      </c>
      <c r="BX32" s="100">
        <v>16</v>
      </c>
      <c r="BY32" s="100">
        <v>13440</v>
      </c>
      <c r="BZ32" s="100">
        <v>9</v>
      </c>
      <c r="CA32" s="100">
        <v>7560</v>
      </c>
      <c r="CB32" s="100">
        <v>15</v>
      </c>
      <c r="CC32" s="100">
        <v>12600</v>
      </c>
      <c r="CD32" s="100">
        <v>13.479693748763845</v>
      </c>
      <c r="CE32" s="100">
        <v>11322.94274896163</v>
      </c>
      <c r="CF32" s="100">
        <v>1.7509579818184684</v>
      </c>
      <c r="CG32" s="100">
        <v>1470.8047047275134</v>
      </c>
      <c r="CH32" s="100">
        <v>12.09625480386908</v>
      </c>
      <c r="CI32" s="100">
        <v>10160.854035250028</v>
      </c>
      <c r="CJ32" s="100">
        <v>9.3795216780871954E-4</v>
      </c>
      <c r="CK32" s="100">
        <v>0.78787982095932441</v>
      </c>
      <c r="CL32" s="100">
        <v>7</v>
      </c>
      <c r="CM32" s="100">
        <v>5880</v>
      </c>
      <c r="CN32" s="100">
        <v>14</v>
      </c>
      <c r="CO32" s="100">
        <v>11760</v>
      </c>
      <c r="CP32" s="100">
        <v>15</v>
      </c>
      <c r="CQ32" s="100">
        <v>12600</v>
      </c>
      <c r="CR32" s="100">
        <v>13.283511408781825</v>
      </c>
      <c r="CS32" s="100">
        <v>11158.149583376733</v>
      </c>
      <c r="CT32" s="100">
        <v>13.299696443190564</v>
      </c>
      <c r="CU32" s="100">
        <v>11171.745012280075</v>
      </c>
    </row>
    <row r="33" spans="2:99">
      <c r="C33" s="99" t="s">
        <v>199</v>
      </c>
      <c r="D33" s="100">
        <v>9.4749062814055787</v>
      </c>
      <c r="E33" s="100">
        <v>4491.1055773862445</v>
      </c>
      <c r="F33" s="100">
        <v>12.146818270396471</v>
      </c>
      <c r="G33" s="100">
        <v>5757.5918601679277</v>
      </c>
      <c r="H33" s="100">
        <v>6.3756225785690742E-4</v>
      </c>
      <c r="I33" s="100">
        <v>0.30220451022417411</v>
      </c>
      <c r="J33" s="100">
        <v>10</v>
      </c>
      <c r="K33" s="100">
        <v>4740</v>
      </c>
      <c r="L33" s="100">
        <v>9.4496528284396515</v>
      </c>
      <c r="M33" s="100">
        <v>4479.1354406803948</v>
      </c>
      <c r="N33" s="100">
        <v>11.529766756026776</v>
      </c>
      <c r="O33" s="100">
        <v>5465.1094423566919</v>
      </c>
      <c r="P33" s="100">
        <v>7.336843625622949</v>
      </c>
      <c r="Q33" s="100">
        <v>3477.6638785452778</v>
      </c>
      <c r="R33" s="100">
        <v>2.9024307919298837</v>
      </c>
      <c r="S33" s="100">
        <v>1375.7521953747648</v>
      </c>
      <c r="T33" s="100">
        <v>14</v>
      </c>
      <c r="U33" s="100">
        <v>6636</v>
      </c>
      <c r="V33" s="100">
        <v>8.9629542821003696</v>
      </c>
      <c r="W33" s="100">
        <v>4248.440329715575</v>
      </c>
      <c r="X33" s="100">
        <v>8.2484617110237409E-4</v>
      </c>
      <c r="Y33" s="100">
        <v>0.39097708510252532</v>
      </c>
      <c r="Z33" s="100">
        <v>13</v>
      </c>
      <c r="AA33" s="100">
        <v>6162</v>
      </c>
      <c r="AB33" s="100">
        <v>8</v>
      </c>
      <c r="AC33" s="100">
        <v>3792</v>
      </c>
      <c r="AD33" s="100">
        <v>8</v>
      </c>
      <c r="AE33" s="100">
        <v>3792</v>
      </c>
      <c r="AF33" s="100">
        <v>13</v>
      </c>
      <c r="AG33" s="100">
        <v>6162</v>
      </c>
      <c r="AH33" s="100">
        <v>12</v>
      </c>
      <c r="AI33" s="100">
        <v>5688</v>
      </c>
      <c r="AJ33" s="100">
        <v>9</v>
      </c>
      <c r="AK33" s="100">
        <v>4266</v>
      </c>
      <c r="AL33" s="100">
        <v>10</v>
      </c>
      <c r="AM33" s="100">
        <v>4740</v>
      </c>
      <c r="AN33" s="100">
        <v>15</v>
      </c>
      <c r="AO33" s="100">
        <v>7110</v>
      </c>
      <c r="AP33" s="100">
        <v>10.998104689824483</v>
      </c>
      <c r="AQ33" s="100">
        <v>5213.1016229768047</v>
      </c>
      <c r="AR33" s="100">
        <v>0.28943329193546108</v>
      </c>
      <c r="AS33" s="100">
        <v>137.19138037740856</v>
      </c>
      <c r="AT33" s="100">
        <v>9</v>
      </c>
      <c r="AU33" s="100">
        <v>4266</v>
      </c>
      <c r="AV33" s="100">
        <v>9</v>
      </c>
      <c r="AW33" s="100">
        <v>4266</v>
      </c>
      <c r="AX33" s="100">
        <v>12.948677634978491</v>
      </c>
      <c r="AY33" s="100">
        <v>6137.6731989798045</v>
      </c>
      <c r="AZ33" s="100">
        <v>11.42657640832944</v>
      </c>
      <c r="BA33" s="100">
        <v>5416.1972175481551</v>
      </c>
      <c r="BB33" s="100">
        <v>10.741022326553505</v>
      </c>
      <c r="BC33" s="100">
        <v>5091.2445827863612</v>
      </c>
      <c r="BD33" s="100">
        <v>8.266404179949161</v>
      </c>
      <c r="BE33" s="100">
        <v>3918.2755812959022</v>
      </c>
      <c r="BF33" s="100">
        <v>9</v>
      </c>
      <c r="BG33" s="100">
        <v>4266</v>
      </c>
      <c r="BH33" s="100">
        <v>16</v>
      </c>
      <c r="BI33" s="100">
        <v>7584</v>
      </c>
      <c r="BJ33" s="100">
        <v>15</v>
      </c>
      <c r="BK33" s="100">
        <v>7110</v>
      </c>
      <c r="BL33" s="100">
        <v>16.685452955316638</v>
      </c>
      <c r="BM33" s="100">
        <v>7908.904700820086</v>
      </c>
      <c r="BN33" s="100">
        <v>10.785979801326476</v>
      </c>
      <c r="BO33" s="100">
        <v>5112.55442582875</v>
      </c>
      <c r="BP33" s="100">
        <v>6.5342254850356714</v>
      </c>
      <c r="BQ33" s="100">
        <v>3097.222879906908</v>
      </c>
      <c r="BR33" s="100">
        <v>2.6650610571037467</v>
      </c>
      <c r="BS33" s="100">
        <v>1263.238941067176</v>
      </c>
      <c r="BT33" s="100">
        <v>14</v>
      </c>
      <c r="BU33" s="100">
        <v>6636</v>
      </c>
      <c r="BV33" s="100">
        <v>13</v>
      </c>
      <c r="BW33" s="100">
        <v>6162</v>
      </c>
      <c r="BX33" s="100">
        <v>16</v>
      </c>
      <c r="BY33" s="100">
        <v>7584</v>
      </c>
      <c r="BZ33" s="100">
        <v>10</v>
      </c>
      <c r="CA33" s="100">
        <v>4740</v>
      </c>
      <c r="CB33" s="100">
        <v>15</v>
      </c>
      <c r="CC33" s="100">
        <v>7110</v>
      </c>
      <c r="CD33" s="100">
        <v>12.442794229628165</v>
      </c>
      <c r="CE33" s="100">
        <v>5897.8844648437498</v>
      </c>
      <c r="CF33" s="100">
        <v>2.1400597555559058</v>
      </c>
      <c r="CG33" s="100">
        <v>1014.3883241334993</v>
      </c>
      <c r="CH33" s="100">
        <v>13.939679411734284</v>
      </c>
      <c r="CI33" s="100">
        <v>6607.4080411620507</v>
      </c>
      <c r="CJ33" s="100">
        <v>8.2760485394887029E-4</v>
      </c>
      <c r="CK33" s="100">
        <v>0.39228470077176453</v>
      </c>
      <c r="CL33" s="100">
        <v>8</v>
      </c>
      <c r="CM33" s="100">
        <v>3792</v>
      </c>
      <c r="CN33" s="100">
        <v>13</v>
      </c>
      <c r="CO33" s="100">
        <v>6162</v>
      </c>
      <c r="CP33" s="100">
        <v>14</v>
      </c>
      <c r="CQ33" s="100">
        <v>6636</v>
      </c>
      <c r="CR33" s="100">
        <v>12.334689165297407</v>
      </c>
      <c r="CS33" s="100">
        <v>5846.6426643509712</v>
      </c>
      <c r="CT33" s="100">
        <v>14.16861920916493</v>
      </c>
      <c r="CU33" s="100">
        <v>6715.9255051441769</v>
      </c>
    </row>
    <row r="34" spans="2:99">
      <c r="C34" s="99" t="s">
        <v>200</v>
      </c>
      <c r="D34" s="100">
        <v>10.530777608629764</v>
      </c>
      <c r="E34" s="100">
        <v>5775.0784405725626</v>
      </c>
      <c r="F34" s="100">
        <v>11.212447634212127</v>
      </c>
      <c r="G34" s="100">
        <v>6148.9062826019308</v>
      </c>
      <c r="H34" s="100">
        <v>6.3756225785690742E-4</v>
      </c>
      <c r="I34" s="100">
        <v>0.34963914220872799</v>
      </c>
      <c r="J34" s="100">
        <v>8</v>
      </c>
      <c r="K34" s="100">
        <v>4387.2</v>
      </c>
      <c r="L34" s="100">
        <v>10.472135469861634</v>
      </c>
      <c r="M34" s="100">
        <v>5742.91909167212</v>
      </c>
      <c r="N34" s="100">
        <v>10.529766756026776</v>
      </c>
      <c r="O34" s="100">
        <v>5774.5240890050836</v>
      </c>
      <c r="P34" s="100">
        <v>7.3085778117904949</v>
      </c>
      <c r="Q34" s="100">
        <v>4008.0240719859071</v>
      </c>
      <c r="R34" s="100">
        <v>2.6385734472089855</v>
      </c>
      <c r="S34" s="100">
        <v>1446.9936784494075</v>
      </c>
      <c r="T34" s="100">
        <v>14</v>
      </c>
      <c r="U34" s="100">
        <v>7677.5999999999995</v>
      </c>
      <c r="V34" s="100">
        <v>9.0036236249855257</v>
      </c>
      <c r="W34" s="100">
        <v>4937.587195942062</v>
      </c>
      <c r="X34" s="100">
        <v>6.979467601635473E-4</v>
      </c>
      <c r="Y34" s="100">
        <v>0.3827540032736893</v>
      </c>
      <c r="Z34" s="100">
        <v>12</v>
      </c>
      <c r="AA34" s="100">
        <v>6580.7999999999993</v>
      </c>
      <c r="AB34" s="100">
        <v>7</v>
      </c>
      <c r="AC34" s="100">
        <v>3838.7999999999997</v>
      </c>
      <c r="AD34" s="100">
        <v>8</v>
      </c>
      <c r="AE34" s="100">
        <v>4387.2</v>
      </c>
      <c r="AF34" s="100">
        <v>13</v>
      </c>
      <c r="AG34" s="100">
        <v>7129.2</v>
      </c>
      <c r="AH34" s="100">
        <v>12</v>
      </c>
      <c r="AI34" s="100">
        <v>6580.7999999999993</v>
      </c>
      <c r="AJ34" s="100">
        <v>9</v>
      </c>
      <c r="AK34" s="100">
        <v>4935.5999999999995</v>
      </c>
      <c r="AL34" s="100">
        <v>11</v>
      </c>
      <c r="AM34" s="100">
        <v>6032.4</v>
      </c>
      <c r="AN34" s="100">
        <v>14</v>
      </c>
      <c r="AO34" s="100">
        <v>7677.5999999999995</v>
      </c>
      <c r="AP34" s="100">
        <v>11.048009924315709</v>
      </c>
      <c r="AQ34" s="100">
        <v>6058.7286424947342</v>
      </c>
      <c r="AR34" s="100">
        <v>0.26875948536864247</v>
      </c>
      <c r="AS34" s="100">
        <v>147.38770177616354</v>
      </c>
      <c r="AT34" s="100">
        <v>10</v>
      </c>
      <c r="AU34" s="100">
        <v>5484</v>
      </c>
      <c r="AV34" s="100">
        <v>9</v>
      </c>
      <c r="AW34" s="100">
        <v>4935.5999999999995</v>
      </c>
      <c r="AX34" s="100">
        <v>13.098468840501411</v>
      </c>
      <c r="AY34" s="100">
        <v>7183.2003121309735</v>
      </c>
      <c r="AZ34" s="100">
        <v>10.547608992304099</v>
      </c>
      <c r="BA34" s="100">
        <v>5784.3087713795676</v>
      </c>
      <c r="BB34" s="100">
        <v>10.708126146035969</v>
      </c>
      <c r="BC34" s="100">
        <v>5872.3363784861249</v>
      </c>
      <c r="BD34" s="100">
        <v>8.266404179949161</v>
      </c>
      <c r="BE34" s="100">
        <v>4533.2960522841195</v>
      </c>
      <c r="BF34" s="100">
        <v>10</v>
      </c>
      <c r="BG34" s="100">
        <v>5484</v>
      </c>
      <c r="BH34" s="100">
        <v>16</v>
      </c>
      <c r="BI34" s="100">
        <v>8774.4</v>
      </c>
      <c r="BJ34" s="100">
        <v>13</v>
      </c>
      <c r="BK34" s="100">
        <v>7129.2</v>
      </c>
      <c r="BL34" s="100">
        <v>16.757605897981549</v>
      </c>
      <c r="BM34" s="100">
        <v>9189.8710744530799</v>
      </c>
      <c r="BN34" s="100">
        <v>9.5488090845303102</v>
      </c>
      <c r="BO34" s="100">
        <v>5236.566901956422</v>
      </c>
      <c r="BP34" s="100">
        <v>6.0963265651356799</v>
      </c>
      <c r="BQ34" s="100">
        <v>3343.2254883204068</v>
      </c>
      <c r="BR34" s="100">
        <v>2.887149478529059</v>
      </c>
      <c r="BS34" s="100">
        <v>1583.3127740253358</v>
      </c>
      <c r="BT34" s="100">
        <v>14</v>
      </c>
      <c r="BU34" s="100">
        <v>7677.5999999999995</v>
      </c>
      <c r="BV34" s="100">
        <v>12</v>
      </c>
      <c r="BW34" s="100">
        <v>6580.7999999999993</v>
      </c>
      <c r="BX34" s="100">
        <v>16</v>
      </c>
      <c r="BY34" s="100">
        <v>8774.4</v>
      </c>
      <c r="BZ34" s="100">
        <v>9</v>
      </c>
      <c r="CA34" s="100">
        <v>4935.5999999999995</v>
      </c>
      <c r="CB34" s="100">
        <v>14</v>
      </c>
      <c r="CC34" s="100">
        <v>7677.5999999999995</v>
      </c>
      <c r="CD34" s="100">
        <v>11.516593267899525</v>
      </c>
      <c r="CE34" s="100">
        <v>6315.6997481160997</v>
      </c>
      <c r="CF34" s="100">
        <v>2.1400597555559058</v>
      </c>
      <c r="CG34" s="100">
        <v>1173.6087699468587</v>
      </c>
      <c r="CH34" s="100">
        <v>12.104698867035394</v>
      </c>
      <c r="CI34" s="100">
        <v>6638.2168586822099</v>
      </c>
      <c r="CJ34" s="100">
        <v>8.2760485394887029E-4</v>
      </c>
      <c r="CK34" s="100">
        <v>0.45385850190556043</v>
      </c>
      <c r="CL34" s="100">
        <v>9</v>
      </c>
      <c r="CM34" s="100">
        <v>4935.5999999999995</v>
      </c>
      <c r="CN34" s="100">
        <v>12</v>
      </c>
      <c r="CO34" s="100">
        <v>6580.7999999999993</v>
      </c>
      <c r="CP34" s="100">
        <v>16</v>
      </c>
      <c r="CQ34" s="100">
        <v>8774.4</v>
      </c>
      <c r="CR34" s="100">
        <v>12.334689165297407</v>
      </c>
      <c r="CS34" s="100">
        <v>6764.3435382490979</v>
      </c>
      <c r="CT34" s="100">
        <v>13.273110947833054</v>
      </c>
      <c r="CU34" s="100">
        <v>7278.9740437916462</v>
      </c>
    </row>
    <row r="35" spans="2:99">
      <c r="C35" s="99" t="s">
        <v>201</v>
      </c>
      <c r="D35" s="100">
        <v>9</v>
      </c>
      <c r="E35" s="100">
        <v>4525.1999999999989</v>
      </c>
      <c r="F35" s="100">
        <v>12.146818270396471</v>
      </c>
      <c r="G35" s="100">
        <v>6107.4202263553443</v>
      </c>
      <c r="H35" s="100">
        <v>7.1725754008902082E-4</v>
      </c>
      <c r="I35" s="100">
        <v>0.36063709115675957</v>
      </c>
      <c r="J35" s="100">
        <v>10</v>
      </c>
      <c r="K35" s="100">
        <v>5027.9999999999991</v>
      </c>
      <c r="L35" s="100">
        <v>8.4721354698616338</v>
      </c>
      <c r="M35" s="100">
        <v>4259.789714246429</v>
      </c>
      <c r="N35" s="100">
        <v>11.529766756026776</v>
      </c>
      <c r="O35" s="100">
        <v>5797.1667249302618</v>
      </c>
      <c r="P35" s="100">
        <v>6.7077427742407281</v>
      </c>
      <c r="Q35" s="100">
        <v>3372.6530668882374</v>
      </c>
      <c r="R35" s="100">
        <v>3.1662881366507825</v>
      </c>
      <c r="S35" s="100">
        <v>1592.0096751080132</v>
      </c>
      <c r="T35" s="100">
        <v>15</v>
      </c>
      <c r="U35" s="100">
        <v>7541.9999999999982</v>
      </c>
      <c r="V35" s="100">
        <v>10.43870473227925</v>
      </c>
      <c r="W35" s="100">
        <v>5248.5807393900059</v>
      </c>
      <c r="X35" s="100">
        <v>7.613964656329607E-4</v>
      </c>
      <c r="Y35" s="100">
        <v>0.38283014292025258</v>
      </c>
      <c r="Z35" s="100">
        <v>12</v>
      </c>
      <c r="AA35" s="100">
        <v>6033.5999999999985</v>
      </c>
      <c r="AB35" s="100">
        <v>7</v>
      </c>
      <c r="AC35" s="100">
        <v>3519.5999999999995</v>
      </c>
      <c r="AD35" s="100">
        <v>7</v>
      </c>
      <c r="AE35" s="100">
        <v>3519.5999999999995</v>
      </c>
      <c r="AF35" s="100">
        <v>12</v>
      </c>
      <c r="AG35" s="100">
        <v>6033.5999999999985</v>
      </c>
      <c r="AH35" s="100">
        <v>11</v>
      </c>
      <c r="AI35" s="100">
        <v>5530.7999999999993</v>
      </c>
      <c r="AJ35" s="100">
        <v>10</v>
      </c>
      <c r="AK35" s="100">
        <v>5027.9999999999991</v>
      </c>
      <c r="AL35" s="100">
        <v>12</v>
      </c>
      <c r="AM35" s="100">
        <v>6033.5999999999985</v>
      </c>
      <c r="AN35" s="100">
        <v>15</v>
      </c>
      <c r="AO35" s="100">
        <v>7541.9999999999982</v>
      </c>
      <c r="AP35" s="100">
        <v>11.998104689824483</v>
      </c>
      <c r="AQ35" s="100">
        <v>6032.6470380437486</v>
      </c>
      <c r="AR35" s="100">
        <v>0.3101070985022798</v>
      </c>
      <c r="AS35" s="100">
        <v>155.92184912694626</v>
      </c>
      <c r="AT35" s="100">
        <v>9</v>
      </c>
      <c r="AU35" s="100">
        <v>4525.1999999999989</v>
      </c>
      <c r="AV35" s="100">
        <v>9</v>
      </c>
      <c r="AW35" s="100">
        <v>4525.1999999999989</v>
      </c>
      <c r="AX35" s="100">
        <v>14.998608036819464</v>
      </c>
      <c r="AY35" s="100">
        <v>7541.3001209128252</v>
      </c>
      <c r="AZ35" s="100">
        <v>10.547608992304099</v>
      </c>
      <c r="BA35" s="100">
        <v>5303.3378013305</v>
      </c>
      <c r="BB35" s="100">
        <v>10.412060521378146</v>
      </c>
      <c r="BC35" s="100">
        <v>5235.184030148931</v>
      </c>
      <c r="BD35" s="100">
        <v>9.017895469035448</v>
      </c>
      <c r="BE35" s="100">
        <v>4534.1978418310227</v>
      </c>
      <c r="BF35" s="100">
        <v>10</v>
      </c>
      <c r="BG35" s="100">
        <v>5027.9999999999991</v>
      </c>
      <c r="BH35" s="100">
        <v>17</v>
      </c>
      <c r="BI35" s="100">
        <v>8547.5999999999985</v>
      </c>
      <c r="BJ35" s="100">
        <v>15</v>
      </c>
      <c r="BK35" s="100">
        <v>7541.9999999999982</v>
      </c>
      <c r="BL35" s="100">
        <v>15.793682369314002</v>
      </c>
      <c r="BM35" s="100">
        <v>7941.0634952910787</v>
      </c>
      <c r="BN35" s="100">
        <v>10.167394442928392</v>
      </c>
      <c r="BO35" s="100">
        <v>5112.1659259043945</v>
      </c>
      <c r="BP35" s="100">
        <v>6.5170963283035732</v>
      </c>
      <c r="BQ35" s="100">
        <v>3276.7960338710359</v>
      </c>
      <c r="BR35" s="100">
        <v>2.6650610571037467</v>
      </c>
      <c r="BS35" s="100">
        <v>1339.9926995117637</v>
      </c>
      <c r="BT35" s="100">
        <v>12</v>
      </c>
      <c r="BU35" s="100">
        <v>6033.5999999999985</v>
      </c>
      <c r="BV35" s="100">
        <v>12</v>
      </c>
      <c r="BW35" s="100">
        <v>6033.5999999999985</v>
      </c>
      <c r="BX35" s="100">
        <v>16</v>
      </c>
      <c r="BY35" s="100">
        <v>8044.7999999999984</v>
      </c>
      <c r="BZ35" s="100">
        <v>9</v>
      </c>
      <c r="CA35" s="100">
        <v>4525.1999999999989</v>
      </c>
      <c r="CB35" s="100">
        <v>15</v>
      </c>
      <c r="CC35" s="100">
        <v>7541.9999999999982</v>
      </c>
      <c r="CD35" s="100">
        <v>12.516593267899525</v>
      </c>
      <c r="CE35" s="100">
        <v>6293.34309509988</v>
      </c>
      <c r="CF35" s="100">
        <v>1.9455088686871871</v>
      </c>
      <c r="CG35" s="100">
        <v>978.20185917591743</v>
      </c>
      <c r="CH35" s="100">
        <v>12.09625480386908</v>
      </c>
      <c r="CI35" s="100">
        <v>6081.9969153853717</v>
      </c>
      <c r="CJ35" s="100">
        <v>8.8277851087879497E-4</v>
      </c>
      <c r="CK35" s="100">
        <v>0.44386103526985804</v>
      </c>
      <c r="CL35" s="100">
        <v>8</v>
      </c>
      <c r="CM35" s="100">
        <v>4022.3999999999992</v>
      </c>
      <c r="CN35" s="100">
        <v>14</v>
      </c>
      <c r="CO35" s="100">
        <v>7039.1999999999989</v>
      </c>
      <c r="CP35" s="100">
        <v>16</v>
      </c>
      <c r="CQ35" s="100">
        <v>8044.7999999999984</v>
      </c>
      <c r="CR35" s="100">
        <v>14.23233365226624</v>
      </c>
      <c r="CS35" s="100">
        <v>7156.017360359464</v>
      </c>
      <c r="CT35" s="100">
        <v>15.037541975139293</v>
      </c>
      <c r="CU35" s="100">
        <v>7560.8761051000347</v>
      </c>
    </row>
    <row r="36" spans="2:99">
      <c r="C36" s="99" t="s">
        <v>202</v>
      </c>
      <c r="D36" s="100">
        <v>10</v>
      </c>
      <c r="E36" s="100">
        <v>7608</v>
      </c>
      <c r="F36" s="100">
        <v>11.212447634212127</v>
      </c>
      <c r="G36" s="100">
        <v>8530.4301601085863</v>
      </c>
      <c r="H36" s="100">
        <v>5.5786697562479402E-4</v>
      </c>
      <c r="I36" s="100">
        <v>0.42442519505534326</v>
      </c>
      <c r="J36" s="100">
        <v>8</v>
      </c>
      <c r="K36" s="100">
        <v>6086.4</v>
      </c>
      <c r="L36" s="100">
        <v>9.4721354698616338</v>
      </c>
      <c r="M36" s="100">
        <v>7206.4006654707309</v>
      </c>
      <c r="N36" s="100">
        <v>10.595987600530123</v>
      </c>
      <c r="O36" s="100">
        <v>8061.4273664833172</v>
      </c>
      <c r="P36" s="100">
        <v>6.6794769604082749</v>
      </c>
      <c r="Q36" s="100">
        <v>5081.7460714786148</v>
      </c>
      <c r="R36" s="100">
        <v>2.6385734472089855</v>
      </c>
      <c r="S36" s="100">
        <v>2007.4266786365961</v>
      </c>
      <c r="T36" s="100">
        <v>14</v>
      </c>
      <c r="U36" s="100">
        <v>10651.199999999999</v>
      </c>
      <c r="V36" s="100">
        <v>9.0036236249855257</v>
      </c>
      <c r="W36" s="100">
        <v>6849.9568538889871</v>
      </c>
      <c r="X36" s="100">
        <v>6.979467601635473E-4</v>
      </c>
      <c r="Y36" s="100">
        <v>0.53099789513242679</v>
      </c>
      <c r="Z36" s="100">
        <v>11</v>
      </c>
      <c r="AA36" s="100">
        <v>8368.7999999999993</v>
      </c>
      <c r="AB36" s="100">
        <v>7</v>
      </c>
      <c r="AC36" s="100">
        <v>5325.5999999999995</v>
      </c>
      <c r="AD36" s="100">
        <v>8</v>
      </c>
      <c r="AE36" s="100">
        <v>6086.4</v>
      </c>
      <c r="AF36" s="100">
        <v>12</v>
      </c>
      <c r="AG36" s="100">
        <v>9129.5999999999985</v>
      </c>
      <c r="AH36" s="100">
        <v>13</v>
      </c>
      <c r="AI36" s="100">
        <v>9890.4</v>
      </c>
      <c r="AJ36" s="100">
        <v>9</v>
      </c>
      <c r="AK36" s="100">
        <v>6847.2</v>
      </c>
      <c r="AL36" s="100">
        <v>11</v>
      </c>
      <c r="AM36" s="100">
        <v>8368.7999999999993</v>
      </c>
      <c r="AN36" s="100">
        <v>16</v>
      </c>
      <c r="AO36" s="100">
        <v>12172.8</v>
      </c>
      <c r="AP36" s="100">
        <v>12.048009924315709</v>
      </c>
      <c r="AQ36" s="100">
        <v>9166.1259504193913</v>
      </c>
      <c r="AR36" s="100">
        <v>0.33078090506909841</v>
      </c>
      <c r="AS36" s="100">
        <v>251.65811257657006</v>
      </c>
      <c r="AT36" s="100">
        <v>9</v>
      </c>
      <c r="AU36" s="100">
        <v>6847.2</v>
      </c>
      <c r="AV36" s="100">
        <v>8</v>
      </c>
      <c r="AW36" s="100">
        <v>6086.4</v>
      </c>
      <c r="AX36" s="100">
        <v>13.948677634978491</v>
      </c>
      <c r="AY36" s="100">
        <v>10612.153944691636</v>
      </c>
      <c r="AZ36" s="100">
        <v>8.7896741602534156</v>
      </c>
      <c r="BA36" s="100">
        <v>6687.184101120798</v>
      </c>
      <c r="BB36" s="100">
        <v>10.013988777944093</v>
      </c>
      <c r="BC36" s="100">
        <v>7618.6426622598656</v>
      </c>
      <c r="BD36" s="100">
        <v>9.017895469035448</v>
      </c>
      <c r="BE36" s="100">
        <v>6860.8148728421684</v>
      </c>
      <c r="BF36" s="100">
        <v>9</v>
      </c>
      <c r="BG36" s="100">
        <v>6847.2</v>
      </c>
      <c r="BH36" s="100">
        <v>15</v>
      </c>
      <c r="BI36" s="100">
        <v>11412</v>
      </c>
      <c r="BJ36" s="100">
        <v>14</v>
      </c>
      <c r="BK36" s="100">
        <v>10651.199999999999</v>
      </c>
      <c r="BL36" s="100">
        <v>16.757605897981549</v>
      </c>
      <c r="BM36" s="100">
        <v>12749.186567184361</v>
      </c>
      <c r="BN36" s="100">
        <v>10.167394442928392</v>
      </c>
      <c r="BO36" s="100">
        <v>7735.3536921799205</v>
      </c>
      <c r="BP36" s="100">
        <v>6.9549952482035655</v>
      </c>
      <c r="BQ36" s="100">
        <v>5291.3603848332723</v>
      </c>
      <c r="BR36" s="100">
        <v>3.1092378999543713</v>
      </c>
      <c r="BS36" s="100">
        <v>2365.5081942852853</v>
      </c>
      <c r="BT36" s="100">
        <v>14</v>
      </c>
      <c r="BU36" s="100">
        <v>10651.199999999999</v>
      </c>
      <c r="BV36" s="100">
        <v>14</v>
      </c>
      <c r="BW36" s="100">
        <v>10651.199999999999</v>
      </c>
      <c r="BX36" s="100">
        <v>14</v>
      </c>
      <c r="BY36" s="100">
        <v>10651.199999999999</v>
      </c>
      <c r="BZ36" s="100">
        <v>9</v>
      </c>
      <c r="CA36" s="100">
        <v>6847.2</v>
      </c>
      <c r="CB36" s="100">
        <v>15</v>
      </c>
      <c r="CC36" s="100">
        <v>11412</v>
      </c>
      <c r="CD36" s="100">
        <v>13.442794229628165</v>
      </c>
      <c r="CE36" s="100">
        <v>10227.277849901107</v>
      </c>
      <c r="CF36" s="100">
        <v>1.9455088686871871</v>
      </c>
      <c r="CG36" s="100">
        <v>1480.143147297212</v>
      </c>
      <c r="CH36" s="100">
        <v>13.005301013052209</v>
      </c>
      <c r="CI36" s="100">
        <v>9894.4330107301193</v>
      </c>
      <c r="CJ36" s="100">
        <v>8.2760485394887029E-4</v>
      </c>
      <c r="CK36" s="100">
        <v>0.62964177288430045</v>
      </c>
      <c r="CL36" s="100">
        <v>8</v>
      </c>
      <c r="CM36" s="100">
        <v>6086.4</v>
      </c>
      <c r="CN36" s="100">
        <v>14</v>
      </c>
      <c r="CO36" s="100">
        <v>10651.199999999999</v>
      </c>
      <c r="CP36" s="100">
        <v>15</v>
      </c>
      <c r="CQ36" s="100">
        <v>11412</v>
      </c>
      <c r="CR36" s="100">
        <v>13.283511408781825</v>
      </c>
      <c r="CS36" s="100">
        <v>10106.095479801212</v>
      </c>
      <c r="CT36" s="100">
        <v>13.299696443190564</v>
      </c>
      <c r="CU36" s="100">
        <v>10118.409053979381</v>
      </c>
    </row>
    <row r="37" spans="2:99">
      <c r="B37" s="99" t="s">
        <v>128</v>
      </c>
      <c r="C37" s="99" t="s">
        <v>203</v>
      </c>
      <c r="D37" s="100">
        <v>6</v>
      </c>
      <c r="E37" s="100">
        <v>5162.3999999999996</v>
      </c>
      <c r="F37" s="100">
        <v>7.4749650894747512</v>
      </c>
      <c r="G37" s="100">
        <v>6431.4599629840759</v>
      </c>
      <c r="H37" s="100">
        <v>7.1725754008902082E-4</v>
      </c>
      <c r="I37" s="100">
        <v>0.61712838749259347</v>
      </c>
      <c r="J37" s="100">
        <v>8</v>
      </c>
      <c r="K37" s="100">
        <v>6883.2</v>
      </c>
      <c r="L37" s="100">
        <v>7.2697916970637912</v>
      </c>
      <c r="M37" s="100">
        <v>6254.9287761536862</v>
      </c>
      <c r="N37" s="100">
        <v>8.3311042225167338</v>
      </c>
      <c r="O37" s="100">
        <v>7168.0820730533978</v>
      </c>
      <c r="P37" s="100">
        <v>3.6542889058952475</v>
      </c>
      <c r="Q37" s="100">
        <v>3144.150174632271</v>
      </c>
      <c r="R37" s="100">
        <v>1.8470014130462897</v>
      </c>
      <c r="S37" s="100">
        <v>1589.1600157850276</v>
      </c>
      <c r="T37" s="100">
        <v>5</v>
      </c>
      <c r="U37" s="100">
        <v>4302</v>
      </c>
      <c r="V37" s="100">
        <v>4.4814771410501848</v>
      </c>
      <c r="W37" s="100">
        <v>3855.862932159579</v>
      </c>
      <c r="X37" s="100">
        <v>5.7104734922472052E-4</v>
      </c>
      <c r="Y37" s="100">
        <v>0.49132913927294952</v>
      </c>
      <c r="Z37" s="100">
        <v>8</v>
      </c>
      <c r="AA37" s="100">
        <v>6883.2</v>
      </c>
      <c r="AB37" s="100">
        <v>7</v>
      </c>
      <c r="AC37" s="100">
        <v>6022.8</v>
      </c>
      <c r="AD37" s="100">
        <v>6</v>
      </c>
      <c r="AE37" s="100">
        <v>5162.3999999999996</v>
      </c>
      <c r="AF37" s="100">
        <v>7</v>
      </c>
      <c r="AG37" s="100">
        <v>6022.8</v>
      </c>
      <c r="AH37" s="100">
        <v>7</v>
      </c>
      <c r="AI37" s="100">
        <v>6022.8</v>
      </c>
      <c r="AJ37" s="100">
        <v>5</v>
      </c>
      <c r="AK37" s="100">
        <v>4302</v>
      </c>
      <c r="AL37" s="100">
        <v>10</v>
      </c>
      <c r="AM37" s="100">
        <v>8604</v>
      </c>
      <c r="AN37" s="100">
        <v>7</v>
      </c>
      <c r="AO37" s="100">
        <v>6022.8</v>
      </c>
      <c r="AP37" s="100">
        <v>9.3992418759297944</v>
      </c>
      <c r="AQ37" s="100">
        <v>8087.1077100499951</v>
      </c>
      <c r="AR37" s="100">
        <v>0.1653904525345492</v>
      </c>
      <c r="AS37" s="100">
        <v>142.30194536072614</v>
      </c>
      <c r="AT37" s="100">
        <v>9</v>
      </c>
      <c r="AU37" s="100">
        <v>7743.5999999999995</v>
      </c>
      <c r="AV37" s="100">
        <v>8</v>
      </c>
      <c r="AW37" s="100">
        <v>6883.2</v>
      </c>
      <c r="AX37" s="100">
        <v>9.4493736165687583</v>
      </c>
      <c r="AY37" s="100">
        <v>8130.2410596957598</v>
      </c>
      <c r="AZ37" s="100">
        <v>7.0317393282027325</v>
      </c>
      <c r="BA37" s="100">
        <v>6050.1085179856309</v>
      </c>
      <c r="BB37" s="100">
        <v>6.4117172154145665</v>
      </c>
      <c r="BC37" s="100">
        <v>5516.6414921426931</v>
      </c>
      <c r="BD37" s="100">
        <v>4.508947734517724</v>
      </c>
      <c r="BE37" s="100">
        <v>3879.4986307790496</v>
      </c>
      <c r="BF37" s="100">
        <v>6</v>
      </c>
      <c r="BG37" s="100">
        <v>5162.3999999999996</v>
      </c>
      <c r="BH37" s="100">
        <v>9</v>
      </c>
      <c r="BI37" s="100">
        <v>7743.5999999999995</v>
      </c>
      <c r="BJ37" s="100">
        <v>9</v>
      </c>
      <c r="BK37" s="100">
        <v>7743.5999999999995</v>
      </c>
      <c r="BL37" s="100">
        <v>6.2886117706596369</v>
      </c>
      <c r="BM37" s="100">
        <v>5410.7215674755516</v>
      </c>
      <c r="BN37" s="100">
        <v>6.1596776035541794</v>
      </c>
      <c r="BO37" s="100">
        <v>5299.7866100980154</v>
      </c>
      <c r="BP37" s="100">
        <v>3.5545788293962239</v>
      </c>
      <c r="BQ37" s="100">
        <v>3058.3596248125109</v>
      </c>
      <c r="BR37" s="100">
        <v>1.9987957928278102</v>
      </c>
      <c r="BS37" s="100">
        <v>1719.7639001490479</v>
      </c>
      <c r="BT37" s="100">
        <v>7</v>
      </c>
      <c r="BU37" s="100">
        <v>6022.8</v>
      </c>
      <c r="BV37" s="100">
        <v>8</v>
      </c>
      <c r="BW37" s="100">
        <v>6883.2</v>
      </c>
      <c r="BX37" s="100">
        <v>7</v>
      </c>
      <c r="BY37" s="100">
        <v>6022.8</v>
      </c>
      <c r="BZ37" s="100">
        <v>8</v>
      </c>
      <c r="CA37" s="100">
        <v>6883.2</v>
      </c>
      <c r="CB37" s="100">
        <v>8</v>
      </c>
      <c r="CC37" s="100">
        <v>6883.2</v>
      </c>
      <c r="CD37" s="100">
        <v>8.5165932678995251</v>
      </c>
      <c r="CE37" s="100">
        <v>7327.6768477007508</v>
      </c>
      <c r="CF37" s="100">
        <v>0.97275443434359354</v>
      </c>
      <c r="CG37" s="100">
        <v>836.95791530922781</v>
      </c>
      <c r="CH37" s="100">
        <v>7.4665831262902804</v>
      </c>
      <c r="CI37" s="100">
        <v>6424.248121860157</v>
      </c>
      <c r="CJ37" s="100">
        <v>4.4138925543939748E-4</v>
      </c>
      <c r="CK37" s="100">
        <v>0.37977131538005759</v>
      </c>
      <c r="CL37" s="100">
        <v>9</v>
      </c>
      <c r="CM37" s="100">
        <v>7743.5999999999995</v>
      </c>
      <c r="CN37" s="100">
        <v>8</v>
      </c>
      <c r="CO37" s="100">
        <v>6883.2</v>
      </c>
      <c r="CP37" s="100">
        <v>8</v>
      </c>
      <c r="CQ37" s="100">
        <v>6883.2</v>
      </c>
      <c r="CR37" s="100">
        <v>7.5905779478753281</v>
      </c>
      <c r="CS37" s="100">
        <v>6530.9332663519317</v>
      </c>
      <c r="CT37" s="100">
        <v>5.3597568203124952</v>
      </c>
      <c r="CU37" s="100">
        <v>4611.5347681968706</v>
      </c>
    </row>
    <row r="38" spans="2:99">
      <c r="C38" s="99" t="s">
        <v>204</v>
      </c>
      <c r="D38" s="100">
        <v>7</v>
      </c>
      <c r="E38" s="100">
        <v>8694</v>
      </c>
      <c r="F38" s="100">
        <v>6.5405944532904075</v>
      </c>
      <c r="G38" s="100">
        <v>8123.4183109866863</v>
      </c>
      <c r="H38" s="100">
        <v>6.3756225785690742E-4</v>
      </c>
      <c r="I38" s="100">
        <v>0.79185232425827901</v>
      </c>
      <c r="J38" s="100">
        <v>8</v>
      </c>
      <c r="K38" s="100">
        <v>9936</v>
      </c>
      <c r="L38" s="100">
        <v>6.2697916970637912</v>
      </c>
      <c r="M38" s="100">
        <v>7787.0812877532289</v>
      </c>
      <c r="N38" s="100">
        <v>7.2979938002650613</v>
      </c>
      <c r="O38" s="100">
        <v>9064.1082999292066</v>
      </c>
      <c r="P38" s="100">
        <v>3.6542889058952475</v>
      </c>
      <c r="Q38" s="100">
        <v>4538.6268211218976</v>
      </c>
      <c r="R38" s="100">
        <v>2.110858757767188</v>
      </c>
      <c r="S38" s="100">
        <v>2621.6865771468474</v>
      </c>
      <c r="T38" s="100">
        <v>4</v>
      </c>
      <c r="U38" s="100">
        <v>4968</v>
      </c>
      <c r="V38" s="100">
        <v>4.4950335886785702</v>
      </c>
      <c r="W38" s="100">
        <v>5582.8317171387844</v>
      </c>
      <c r="X38" s="100">
        <v>5.0759764375530713E-4</v>
      </c>
      <c r="Y38" s="100">
        <v>0.63043627354409149</v>
      </c>
      <c r="Z38" s="100">
        <v>8</v>
      </c>
      <c r="AA38" s="100">
        <v>9936</v>
      </c>
      <c r="AB38" s="100">
        <v>7</v>
      </c>
      <c r="AC38" s="100">
        <v>8694</v>
      </c>
      <c r="AD38" s="100">
        <v>5</v>
      </c>
      <c r="AE38" s="100">
        <v>6210</v>
      </c>
      <c r="AF38" s="100">
        <v>6</v>
      </c>
      <c r="AG38" s="100">
        <v>7452</v>
      </c>
      <c r="AH38" s="100">
        <v>8</v>
      </c>
      <c r="AI38" s="100">
        <v>9936</v>
      </c>
      <c r="AJ38" s="100">
        <v>5</v>
      </c>
      <c r="AK38" s="100">
        <v>6210</v>
      </c>
      <c r="AL38" s="100">
        <v>10</v>
      </c>
      <c r="AM38" s="100">
        <v>12420</v>
      </c>
      <c r="AN38" s="100">
        <v>7</v>
      </c>
      <c r="AO38" s="100">
        <v>8694</v>
      </c>
      <c r="AP38" s="100">
        <v>8.3992418759297944</v>
      </c>
      <c r="AQ38" s="100">
        <v>10431.858409904804</v>
      </c>
      <c r="AR38" s="100">
        <v>0.1653904525345492</v>
      </c>
      <c r="AS38" s="100">
        <v>205.4149420479101</v>
      </c>
      <c r="AT38" s="100">
        <v>8</v>
      </c>
      <c r="AU38" s="100">
        <v>9936</v>
      </c>
      <c r="AV38" s="100">
        <v>9</v>
      </c>
      <c r="AW38" s="100">
        <v>11178</v>
      </c>
      <c r="AX38" s="100">
        <v>9.4493736165687583</v>
      </c>
      <c r="AY38" s="100">
        <v>11736.122031778397</v>
      </c>
      <c r="AZ38" s="100">
        <v>7.9107067442280741</v>
      </c>
      <c r="BA38" s="100">
        <v>9825.0977763312676</v>
      </c>
      <c r="BB38" s="100">
        <v>5.7011317570639228</v>
      </c>
      <c r="BC38" s="100">
        <v>7080.8056422733926</v>
      </c>
      <c r="BD38" s="100">
        <v>3.7574564454314361</v>
      </c>
      <c r="BE38" s="100">
        <v>4666.760905225844</v>
      </c>
      <c r="BF38" s="100">
        <v>6</v>
      </c>
      <c r="BG38" s="100">
        <v>7452</v>
      </c>
      <c r="BH38" s="100">
        <v>8</v>
      </c>
      <c r="BI38" s="100">
        <v>9936</v>
      </c>
      <c r="BJ38" s="100">
        <v>9</v>
      </c>
      <c r="BK38" s="100">
        <v>11178</v>
      </c>
      <c r="BL38" s="100">
        <v>7.2886117706596369</v>
      </c>
      <c r="BM38" s="100">
        <v>9052.4558191592696</v>
      </c>
      <c r="BN38" s="100">
        <v>5.4818513073589532</v>
      </c>
      <c r="BO38" s="100">
        <v>6808.4593237398203</v>
      </c>
      <c r="BP38" s="100">
        <v>3.1338090662283302</v>
      </c>
      <c r="BQ38" s="100">
        <v>3892.1908602555864</v>
      </c>
      <c r="BR38" s="100">
        <v>1.7767073714024979</v>
      </c>
      <c r="BS38" s="100">
        <v>2206.6705552819026</v>
      </c>
      <c r="BT38" s="100">
        <v>7</v>
      </c>
      <c r="BU38" s="100">
        <v>8694</v>
      </c>
      <c r="BV38" s="100">
        <v>7</v>
      </c>
      <c r="BW38" s="100">
        <v>8694</v>
      </c>
      <c r="BX38" s="100">
        <v>7</v>
      </c>
      <c r="BY38" s="100">
        <v>8694</v>
      </c>
      <c r="BZ38" s="100">
        <v>7</v>
      </c>
      <c r="CA38" s="100">
        <v>8694</v>
      </c>
      <c r="CB38" s="100">
        <v>8</v>
      </c>
      <c r="CC38" s="100">
        <v>9936</v>
      </c>
      <c r="CD38" s="100">
        <v>8.5165932678995251</v>
      </c>
      <c r="CE38" s="100">
        <v>10577.60883873121</v>
      </c>
      <c r="CF38" s="100">
        <v>0.97275443434359354</v>
      </c>
      <c r="CG38" s="100">
        <v>1208.1610074547432</v>
      </c>
      <c r="CH38" s="100">
        <v>7.4496949999576509</v>
      </c>
      <c r="CI38" s="100">
        <v>9252.5211899474016</v>
      </c>
      <c r="CJ38" s="100">
        <v>5.5173656929924679E-4</v>
      </c>
      <c r="CK38" s="100">
        <v>0.68525681906966451</v>
      </c>
      <c r="CL38" s="100">
        <v>9</v>
      </c>
      <c r="CM38" s="100">
        <v>11178</v>
      </c>
      <c r="CN38" s="100">
        <v>9</v>
      </c>
      <c r="CO38" s="100">
        <v>11178</v>
      </c>
      <c r="CP38" s="100">
        <v>8</v>
      </c>
      <c r="CQ38" s="100">
        <v>9936</v>
      </c>
      <c r="CR38" s="100">
        <v>8.5394001913597428</v>
      </c>
      <c r="CS38" s="100">
        <v>10605.9350376688</v>
      </c>
      <c r="CT38" s="100">
        <v>5.3597568203124952</v>
      </c>
      <c r="CU38" s="100">
        <v>6656.8179708281186</v>
      </c>
    </row>
    <row r="39" spans="2:99">
      <c r="C39" s="99" t="s">
        <v>205</v>
      </c>
      <c r="D39" s="100">
        <v>6</v>
      </c>
      <c r="E39" s="100">
        <v>8539.2000000000007</v>
      </c>
      <c r="F39" s="100">
        <v>6.5405944532904075</v>
      </c>
      <c r="G39" s="100">
        <v>9308.5740259229078</v>
      </c>
      <c r="H39" s="100">
        <v>7.1725754008902082E-4</v>
      </c>
      <c r="I39" s="100">
        <v>1.0208009310546944</v>
      </c>
      <c r="J39" s="100">
        <v>8</v>
      </c>
      <c r="K39" s="100">
        <v>11385.6</v>
      </c>
      <c r="L39" s="100">
        <v>6.2248264142198257</v>
      </c>
      <c r="M39" s="100">
        <v>8859.1729527176558</v>
      </c>
      <c r="N39" s="100">
        <v>7.2979938002650613</v>
      </c>
      <c r="O39" s="100">
        <v>10386.504776537235</v>
      </c>
      <c r="P39" s="100">
        <v>3.6825547197277007</v>
      </c>
      <c r="Q39" s="100">
        <v>5241.0118771164634</v>
      </c>
      <c r="R39" s="100">
        <v>2.110858757767188</v>
      </c>
      <c r="S39" s="100">
        <v>3004.1741840542622</v>
      </c>
      <c r="T39" s="100">
        <v>5</v>
      </c>
      <c r="U39" s="100">
        <v>7116</v>
      </c>
      <c r="V39" s="100">
        <v>4.4814771410501848</v>
      </c>
      <c r="W39" s="100">
        <v>6378.0382671426232</v>
      </c>
      <c r="X39" s="100">
        <v>4.4414793828589374E-4</v>
      </c>
      <c r="Y39" s="100">
        <v>0.63211134576848393</v>
      </c>
      <c r="Z39" s="100">
        <v>8</v>
      </c>
      <c r="AA39" s="100">
        <v>11385.6</v>
      </c>
      <c r="AB39" s="100">
        <v>7</v>
      </c>
      <c r="AC39" s="100">
        <v>9962.4</v>
      </c>
      <c r="AD39" s="100">
        <v>6</v>
      </c>
      <c r="AE39" s="100">
        <v>8539.2000000000007</v>
      </c>
      <c r="AF39" s="100">
        <v>7</v>
      </c>
      <c r="AG39" s="100">
        <v>9962.4</v>
      </c>
      <c r="AH39" s="100">
        <v>8</v>
      </c>
      <c r="AI39" s="100">
        <v>11385.6</v>
      </c>
      <c r="AJ39" s="100">
        <v>5</v>
      </c>
      <c r="AK39" s="100">
        <v>7116</v>
      </c>
      <c r="AL39" s="100">
        <v>9</v>
      </c>
      <c r="AM39" s="100">
        <v>12808.800000000001</v>
      </c>
      <c r="AN39" s="100">
        <v>7</v>
      </c>
      <c r="AO39" s="100">
        <v>9962.4</v>
      </c>
      <c r="AP39" s="100">
        <v>8.4491471104210181</v>
      </c>
      <c r="AQ39" s="100">
        <v>12024.826167551193</v>
      </c>
      <c r="AR39" s="100">
        <v>0.14471664596773054</v>
      </c>
      <c r="AS39" s="100">
        <v>205.9607305412741</v>
      </c>
      <c r="AT39" s="100">
        <v>9</v>
      </c>
      <c r="AU39" s="100">
        <v>12808.800000000001</v>
      </c>
      <c r="AV39" s="100">
        <v>8</v>
      </c>
      <c r="AW39" s="100">
        <v>11385.6</v>
      </c>
      <c r="AX39" s="100">
        <v>9.4993040184097328</v>
      </c>
      <c r="AY39" s="100">
        <v>13519.409479000733</v>
      </c>
      <c r="AZ39" s="100">
        <v>7.0317393282027325</v>
      </c>
      <c r="BA39" s="100">
        <v>10007.571411898129</v>
      </c>
      <c r="BB39" s="100">
        <v>5.0234424792308134</v>
      </c>
      <c r="BC39" s="100">
        <v>7149.3633364412935</v>
      </c>
      <c r="BD39" s="100">
        <v>4.508947734517724</v>
      </c>
      <c r="BE39" s="100">
        <v>6417.1344157656249</v>
      </c>
      <c r="BF39" s="100">
        <v>5</v>
      </c>
      <c r="BG39" s="100">
        <v>7116</v>
      </c>
      <c r="BH39" s="100">
        <v>8</v>
      </c>
      <c r="BI39" s="100">
        <v>11385.6</v>
      </c>
      <c r="BJ39" s="100">
        <v>10</v>
      </c>
      <c r="BK39" s="100">
        <v>14232</v>
      </c>
      <c r="BL39" s="100">
        <v>6.2886117706596369</v>
      </c>
      <c r="BM39" s="100">
        <v>8949.9522720027962</v>
      </c>
      <c r="BN39" s="100">
        <v>6.1300571346556074</v>
      </c>
      <c r="BO39" s="100">
        <v>8724.2973140418599</v>
      </c>
      <c r="BP39" s="100">
        <v>3.5545788293962239</v>
      </c>
      <c r="BQ39" s="100">
        <v>5058.8765899967057</v>
      </c>
      <c r="BR39" s="100">
        <v>1.7767073714024979</v>
      </c>
      <c r="BS39" s="100">
        <v>2528.6099309800352</v>
      </c>
      <c r="BT39" s="100">
        <v>7</v>
      </c>
      <c r="BU39" s="100">
        <v>9962.4</v>
      </c>
      <c r="BV39" s="100">
        <v>8</v>
      </c>
      <c r="BW39" s="100">
        <v>11385.6</v>
      </c>
      <c r="BX39" s="100">
        <v>7</v>
      </c>
      <c r="BY39" s="100">
        <v>9962.4</v>
      </c>
      <c r="BZ39" s="100">
        <v>7</v>
      </c>
      <c r="CA39" s="100">
        <v>9962.4</v>
      </c>
      <c r="CB39" s="100">
        <v>8</v>
      </c>
      <c r="CC39" s="100">
        <v>11385.6</v>
      </c>
      <c r="CD39" s="100">
        <v>8.5903923061708856</v>
      </c>
      <c r="CE39" s="100">
        <v>12225.846330142405</v>
      </c>
      <c r="CF39" s="100">
        <v>0.97275443434359354</v>
      </c>
      <c r="CG39" s="100">
        <v>1384.4241109578024</v>
      </c>
      <c r="CH39" s="100">
        <v>6.5406487907745214</v>
      </c>
      <c r="CI39" s="100">
        <v>9308.6513590302984</v>
      </c>
      <c r="CJ39" s="100">
        <v>4.9656291236932222E-4</v>
      </c>
      <c r="CK39" s="100">
        <v>0.70670833688401935</v>
      </c>
      <c r="CL39" s="100">
        <v>9</v>
      </c>
      <c r="CM39" s="100">
        <v>12808.800000000001</v>
      </c>
      <c r="CN39" s="100">
        <v>7</v>
      </c>
      <c r="CO39" s="100">
        <v>9962.4</v>
      </c>
      <c r="CP39" s="100">
        <v>8</v>
      </c>
      <c r="CQ39" s="100">
        <v>11385.6</v>
      </c>
      <c r="CR39" s="100">
        <v>7.5905779478753281</v>
      </c>
      <c r="CS39" s="100">
        <v>10802.910535416167</v>
      </c>
      <c r="CT39" s="100">
        <v>5.3331713249549821</v>
      </c>
      <c r="CU39" s="100">
        <v>7590.1694296759306</v>
      </c>
    </row>
    <row r="40" spans="2:99">
      <c r="C40" s="99" t="s">
        <v>206</v>
      </c>
      <c r="D40" s="100">
        <v>6</v>
      </c>
      <c r="E40" s="100">
        <v>4348.7999999999993</v>
      </c>
      <c r="F40" s="100">
        <v>6.5405944532904075</v>
      </c>
      <c r="G40" s="100">
        <v>4740.6228597448871</v>
      </c>
      <c r="H40" s="100">
        <v>7.1725754008902082E-4</v>
      </c>
      <c r="I40" s="100">
        <v>0.51986826505652228</v>
      </c>
      <c r="J40" s="100">
        <v>8</v>
      </c>
      <c r="K40" s="100">
        <v>5798.4</v>
      </c>
      <c r="L40" s="100">
        <v>6.2473090556418081</v>
      </c>
      <c r="M40" s="100">
        <v>4528.0496035291826</v>
      </c>
      <c r="N40" s="100">
        <v>8.2979938002650613</v>
      </c>
      <c r="O40" s="100">
        <v>6014.3859064321159</v>
      </c>
      <c r="P40" s="100">
        <v>3.6542889058952475</v>
      </c>
      <c r="Q40" s="100">
        <v>2648.6285989928751</v>
      </c>
      <c r="R40" s="100">
        <v>2.110858757767188</v>
      </c>
      <c r="S40" s="100">
        <v>1529.9504276296577</v>
      </c>
      <c r="T40" s="100">
        <v>5</v>
      </c>
      <c r="U40" s="100">
        <v>3624</v>
      </c>
      <c r="V40" s="100">
        <v>4.4950335886785702</v>
      </c>
      <c r="W40" s="100">
        <v>3258.0003450742274</v>
      </c>
      <c r="X40" s="100">
        <v>5.0759764375530713E-4</v>
      </c>
      <c r="Y40" s="100">
        <v>0.3679067721938466</v>
      </c>
      <c r="Z40" s="100">
        <v>9</v>
      </c>
      <c r="AA40" s="100">
        <v>6523.2</v>
      </c>
      <c r="AB40" s="100">
        <v>7</v>
      </c>
      <c r="AC40" s="100">
        <v>5073.5999999999995</v>
      </c>
      <c r="AD40" s="100">
        <v>5</v>
      </c>
      <c r="AE40" s="100">
        <v>3624</v>
      </c>
      <c r="AF40" s="100">
        <v>6</v>
      </c>
      <c r="AG40" s="100">
        <v>4348.7999999999993</v>
      </c>
      <c r="AH40" s="100">
        <v>7</v>
      </c>
      <c r="AI40" s="100">
        <v>5073.5999999999995</v>
      </c>
      <c r="AJ40" s="100">
        <v>5</v>
      </c>
      <c r="AK40" s="100">
        <v>3624</v>
      </c>
      <c r="AL40" s="100">
        <v>10</v>
      </c>
      <c r="AM40" s="100">
        <v>7248</v>
      </c>
      <c r="AN40" s="100">
        <v>8</v>
      </c>
      <c r="AO40" s="100">
        <v>5798.4</v>
      </c>
      <c r="AP40" s="100">
        <v>9.3992418759297944</v>
      </c>
      <c r="AQ40" s="100">
        <v>6812.5705116739146</v>
      </c>
      <c r="AR40" s="100">
        <v>0.1653904525345492</v>
      </c>
      <c r="AS40" s="100">
        <v>119.87499999704126</v>
      </c>
      <c r="AT40" s="100">
        <v>9</v>
      </c>
      <c r="AU40" s="100">
        <v>6523.2</v>
      </c>
      <c r="AV40" s="100">
        <v>9</v>
      </c>
      <c r="AW40" s="100">
        <v>6523.2</v>
      </c>
      <c r="AX40" s="100">
        <v>9.4993040184097328</v>
      </c>
      <c r="AY40" s="100">
        <v>6885.0955525433737</v>
      </c>
      <c r="AZ40" s="100">
        <v>7.9107067442280741</v>
      </c>
      <c r="BA40" s="100">
        <v>5733.6802482165076</v>
      </c>
      <c r="BB40" s="100">
        <v>6.4281653056733346</v>
      </c>
      <c r="BC40" s="100">
        <v>4659.1342135520326</v>
      </c>
      <c r="BD40" s="100">
        <v>3.7574564454314361</v>
      </c>
      <c r="BE40" s="100">
        <v>2723.4044316487048</v>
      </c>
      <c r="BF40" s="100">
        <v>6</v>
      </c>
      <c r="BG40" s="100">
        <v>4348.7999999999993</v>
      </c>
      <c r="BH40" s="100">
        <v>9</v>
      </c>
      <c r="BI40" s="100">
        <v>6523.2</v>
      </c>
      <c r="BJ40" s="100">
        <v>9</v>
      </c>
      <c r="BK40" s="100">
        <v>6523.2</v>
      </c>
      <c r="BL40" s="100">
        <v>6.2886117706596369</v>
      </c>
      <c r="BM40" s="100">
        <v>4557.9858113741047</v>
      </c>
      <c r="BN40" s="100">
        <v>6.1300571346556074</v>
      </c>
      <c r="BO40" s="100">
        <v>4443.065411198384</v>
      </c>
      <c r="BP40" s="100">
        <v>3.1166799094962321</v>
      </c>
      <c r="BQ40" s="100">
        <v>2258.969598402869</v>
      </c>
      <c r="BR40" s="100">
        <v>1.9987957928278102</v>
      </c>
      <c r="BS40" s="100">
        <v>1448.7271906415967</v>
      </c>
      <c r="BT40" s="100">
        <v>7</v>
      </c>
      <c r="BU40" s="100">
        <v>5073.5999999999995</v>
      </c>
      <c r="BV40" s="100">
        <v>8</v>
      </c>
      <c r="BW40" s="100">
        <v>5798.4</v>
      </c>
      <c r="BX40" s="100">
        <v>7</v>
      </c>
      <c r="BY40" s="100">
        <v>5073.5999999999995</v>
      </c>
      <c r="BZ40" s="100">
        <v>8</v>
      </c>
      <c r="CA40" s="100">
        <v>5798.4</v>
      </c>
      <c r="CB40" s="100">
        <v>9</v>
      </c>
      <c r="CC40" s="100">
        <v>6523.2</v>
      </c>
      <c r="CD40" s="100">
        <v>8.5903923061708856</v>
      </c>
      <c r="CE40" s="100">
        <v>6226.3163435126571</v>
      </c>
      <c r="CF40" s="100">
        <v>1.1673053212123121</v>
      </c>
      <c r="CG40" s="100">
        <v>846.06289681468377</v>
      </c>
      <c r="CH40" s="100">
        <v>7.4581390631239666</v>
      </c>
      <c r="CI40" s="100">
        <v>5405.659192952251</v>
      </c>
      <c r="CJ40" s="100">
        <v>4.4138925543939748E-4</v>
      </c>
      <c r="CK40" s="100">
        <v>0.31991893234247526</v>
      </c>
      <c r="CL40" s="100">
        <v>10</v>
      </c>
      <c r="CM40" s="100">
        <v>7248</v>
      </c>
      <c r="CN40" s="100">
        <v>8</v>
      </c>
      <c r="CO40" s="100">
        <v>5798.4</v>
      </c>
      <c r="CP40" s="100">
        <v>8</v>
      </c>
      <c r="CQ40" s="100">
        <v>5798.4</v>
      </c>
      <c r="CR40" s="100">
        <v>8.5394001913597428</v>
      </c>
      <c r="CS40" s="100">
        <v>6189.3572586975415</v>
      </c>
      <c r="CT40" s="100">
        <v>5.3464640726337382</v>
      </c>
      <c r="CU40" s="100">
        <v>3875.1171598449332</v>
      </c>
    </row>
    <row r="41" spans="2:99">
      <c r="C41" s="99" t="s">
        <v>207</v>
      </c>
      <c r="D41" s="100">
        <v>7</v>
      </c>
      <c r="E41" s="100">
        <v>4620</v>
      </c>
      <c r="F41" s="100">
        <v>6.5405944532904075</v>
      </c>
      <c r="G41" s="100">
        <v>4316.7923391716686</v>
      </c>
      <c r="H41" s="100">
        <v>6.3756225785690742E-4</v>
      </c>
      <c r="I41" s="100">
        <v>0.42079109018555888</v>
      </c>
      <c r="J41" s="100">
        <v>7</v>
      </c>
      <c r="K41" s="100">
        <v>4620</v>
      </c>
      <c r="L41" s="100">
        <v>7.2473090556418081</v>
      </c>
      <c r="M41" s="100">
        <v>4783.2239767235933</v>
      </c>
      <c r="N41" s="100">
        <v>7.2979938002650613</v>
      </c>
      <c r="O41" s="100">
        <v>4816.6759081749406</v>
      </c>
      <c r="P41" s="100">
        <v>3.710820533560153</v>
      </c>
      <c r="Q41" s="100">
        <v>2449.1415521497011</v>
      </c>
      <c r="R41" s="100">
        <v>1.8470014130462897</v>
      </c>
      <c r="S41" s="100">
        <v>1219.0209326105512</v>
      </c>
      <c r="T41" s="100">
        <v>5</v>
      </c>
      <c r="U41" s="100">
        <v>3300</v>
      </c>
      <c r="V41" s="100">
        <v>5.2125741423254333</v>
      </c>
      <c r="W41" s="100">
        <v>3440.298933934786</v>
      </c>
      <c r="X41" s="100">
        <v>5.0759764375530713E-4</v>
      </c>
      <c r="Y41" s="100">
        <v>0.33501444487850268</v>
      </c>
      <c r="Z41" s="100">
        <v>8</v>
      </c>
      <c r="AA41" s="100">
        <v>5280</v>
      </c>
      <c r="AB41" s="100">
        <v>7</v>
      </c>
      <c r="AC41" s="100">
        <v>4620</v>
      </c>
      <c r="AD41" s="100">
        <v>6</v>
      </c>
      <c r="AE41" s="100">
        <v>3960</v>
      </c>
      <c r="AF41" s="100">
        <v>6</v>
      </c>
      <c r="AG41" s="100">
        <v>3960</v>
      </c>
      <c r="AH41" s="100">
        <v>8</v>
      </c>
      <c r="AI41" s="100">
        <v>5280</v>
      </c>
      <c r="AJ41" s="100">
        <v>5</v>
      </c>
      <c r="AK41" s="100">
        <v>3300</v>
      </c>
      <c r="AL41" s="100">
        <v>9</v>
      </c>
      <c r="AM41" s="100">
        <v>5940</v>
      </c>
      <c r="AN41" s="100">
        <v>8</v>
      </c>
      <c r="AO41" s="100">
        <v>5280</v>
      </c>
      <c r="AP41" s="100">
        <v>10.449147110421018</v>
      </c>
      <c r="AQ41" s="100">
        <v>6896.4370928778717</v>
      </c>
      <c r="AR41" s="100">
        <v>0.1653904525345492</v>
      </c>
      <c r="AS41" s="100">
        <v>109.15769867280247</v>
      </c>
      <c r="AT41" s="100">
        <v>8</v>
      </c>
      <c r="AU41" s="100">
        <v>5280</v>
      </c>
      <c r="AV41" s="100">
        <v>8</v>
      </c>
      <c r="AW41" s="100">
        <v>5280</v>
      </c>
      <c r="AX41" s="100">
        <v>9.4993040184097328</v>
      </c>
      <c r="AY41" s="100">
        <v>6269.5406521504237</v>
      </c>
      <c r="AZ41" s="100">
        <v>7.9107067442280741</v>
      </c>
      <c r="BA41" s="100">
        <v>5221.0664511905288</v>
      </c>
      <c r="BB41" s="100">
        <v>5.71757984732269</v>
      </c>
      <c r="BC41" s="100">
        <v>3773.6026992329753</v>
      </c>
      <c r="BD41" s="100">
        <v>3.7574564454314361</v>
      </c>
      <c r="BE41" s="100">
        <v>2479.9212539847476</v>
      </c>
      <c r="BF41" s="100">
        <v>5</v>
      </c>
      <c r="BG41" s="100">
        <v>3300</v>
      </c>
      <c r="BH41" s="100">
        <v>8</v>
      </c>
      <c r="BI41" s="100">
        <v>5280</v>
      </c>
      <c r="BJ41" s="100">
        <v>10</v>
      </c>
      <c r="BK41" s="100">
        <v>6600</v>
      </c>
      <c r="BL41" s="100">
        <v>6.2886117706596369</v>
      </c>
      <c r="BM41" s="100">
        <v>4150.4837686353603</v>
      </c>
      <c r="BN41" s="100">
        <v>5.4818513073589532</v>
      </c>
      <c r="BO41" s="100">
        <v>3618.0218628569091</v>
      </c>
      <c r="BP41" s="100">
        <v>3.1509382229604284</v>
      </c>
      <c r="BQ41" s="100">
        <v>2079.6192271538825</v>
      </c>
      <c r="BR41" s="100">
        <v>1.7767073714024979</v>
      </c>
      <c r="BS41" s="100">
        <v>1172.6268651256487</v>
      </c>
      <c r="BT41" s="100">
        <v>7</v>
      </c>
      <c r="BU41" s="100">
        <v>4620</v>
      </c>
      <c r="BV41" s="100">
        <v>9</v>
      </c>
      <c r="BW41" s="100">
        <v>5940</v>
      </c>
      <c r="BX41" s="100">
        <v>8</v>
      </c>
      <c r="BY41" s="100">
        <v>5280</v>
      </c>
      <c r="BZ41" s="100">
        <v>7</v>
      </c>
      <c r="CA41" s="100">
        <v>4620</v>
      </c>
      <c r="CB41" s="100">
        <v>8</v>
      </c>
      <c r="CC41" s="100">
        <v>5280</v>
      </c>
      <c r="CD41" s="100">
        <v>8.5903923061708856</v>
      </c>
      <c r="CE41" s="100">
        <v>5669.6589220727847</v>
      </c>
      <c r="CF41" s="100">
        <v>1.1673053212123121</v>
      </c>
      <c r="CG41" s="100">
        <v>770.42151200012597</v>
      </c>
      <c r="CH41" s="100">
        <v>6.5406487907745214</v>
      </c>
      <c r="CI41" s="100">
        <v>4316.8282019111839</v>
      </c>
      <c r="CJ41" s="100">
        <v>4.9656291236932222E-4</v>
      </c>
      <c r="CK41" s="100">
        <v>0.32773152216375268</v>
      </c>
      <c r="CL41" s="100">
        <v>9</v>
      </c>
      <c r="CM41" s="100">
        <v>5940</v>
      </c>
      <c r="CN41" s="100">
        <v>8</v>
      </c>
      <c r="CO41" s="100">
        <v>5280</v>
      </c>
      <c r="CP41" s="100">
        <v>8</v>
      </c>
      <c r="CQ41" s="100">
        <v>5280</v>
      </c>
      <c r="CR41" s="100">
        <v>8.5394001913597428</v>
      </c>
      <c r="CS41" s="100">
        <v>5636.00412629743</v>
      </c>
      <c r="CT41" s="100">
        <v>5.3464640726337382</v>
      </c>
      <c r="CU41" s="100">
        <v>3528.666287938267</v>
      </c>
    </row>
    <row r="42" spans="2:99">
      <c r="C42" s="99" t="s">
        <v>208</v>
      </c>
      <c r="D42" s="100">
        <v>6</v>
      </c>
      <c r="E42" s="100">
        <v>5076</v>
      </c>
      <c r="F42" s="100">
        <v>6.5405944532904075</v>
      </c>
      <c r="G42" s="100">
        <v>5533.3429074836849</v>
      </c>
      <c r="H42" s="100">
        <v>6.3756225785690742E-4</v>
      </c>
      <c r="I42" s="100">
        <v>0.53937767014694371</v>
      </c>
      <c r="J42" s="100">
        <v>8</v>
      </c>
      <c r="K42" s="100">
        <v>6768</v>
      </c>
      <c r="L42" s="100">
        <v>7.2697916970637912</v>
      </c>
      <c r="M42" s="100">
        <v>6150.2437757159678</v>
      </c>
      <c r="N42" s="100">
        <v>8.2979938002650613</v>
      </c>
      <c r="O42" s="100">
        <v>7020.1027550242416</v>
      </c>
      <c r="P42" s="100">
        <v>3.6825547197277007</v>
      </c>
      <c r="Q42" s="100">
        <v>3115.441292889635</v>
      </c>
      <c r="R42" s="100">
        <v>2.110858757767188</v>
      </c>
      <c r="S42" s="100">
        <v>1785.7865090710411</v>
      </c>
      <c r="T42" s="100">
        <v>4</v>
      </c>
      <c r="U42" s="100">
        <v>3384</v>
      </c>
      <c r="V42" s="100">
        <v>4.4814771410501848</v>
      </c>
      <c r="W42" s="100">
        <v>3791.3296613284565</v>
      </c>
      <c r="X42" s="100">
        <v>4.4414793828589374E-4</v>
      </c>
      <c r="Y42" s="100">
        <v>0.37574915578986612</v>
      </c>
      <c r="Z42" s="100">
        <v>8</v>
      </c>
      <c r="AA42" s="100">
        <v>6768</v>
      </c>
      <c r="AB42" s="100">
        <v>7</v>
      </c>
      <c r="AC42" s="100">
        <v>5922</v>
      </c>
      <c r="AD42" s="100">
        <v>5</v>
      </c>
      <c r="AE42" s="100">
        <v>4230</v>
      </c>
      <c r="AF42" s="100">
        <v>6</v>
      </c>
      <c r="AG42" s="100">
        <v>5076</v>
      </c>
      <c r="AH42" s="100">
        <v>8</v>
      </c>
      <c r="AI42" s="100">
        <v>6768</v>
      </c>
      <c r="AJ42" s="100">
        <v>4</v>
      </c>
      <c r="AK42" s="100">
        <v>3384</v>
      </c>
      <c r="AL42" s="100">
        <v>10</v>
      </c>
      <c r="AM42" s="100">
        <v>8460</v>
      </c>
      <c r="AN42" s="100">
        <v>8</v>
      </c>
      <c r="AO42" s="100">
        <v>6768</v>
      </c>
      <c r="AP42" s="100">
        <v>8.4491471104210181</v>
      </c>
      <c r="AQ42" s="100">
        <v>7147.9784554161815</v>
      </c>
      <c r="AR42" s="100">
        <v>0.1653904525345492</v>
      </c>
      <c r="AS42" s="100">
        <v>139.92032284422862</v>
      </c>
      <c r="AT42" s="100">
        <v>8</v>
      </c>
      <c r="AU42" s="100">
        <v>6768</v>
      </c>
      <c r="AV42" s="100">
        <v>8</v>
      </c>
      <c r="AW42" s="100">
        <v>6768</v>
      </c>
      <c r="AX42" s="100">
        <v>10.449373616568758</v>
      </c>
      <c r="AY42" s="100">
        <v>8840.1700796171699</v>
      </c>
      <c r="AZ42" s="100">
        <v>7.9107067442280741</v>
      </c>
      <c r="BA42" s="100">
        <v>6692.4579056169505</v>
      </c>
      <c r="BB42" s="100">
        <v>5.7340279375814589</v>
      </c>
      <c r="BC42" s="100">
        <v>4850.9876351939147</v>
      </c>
      <c r="BD42" s="100">
        <v>4.508947734517724</v>
      </c>
      <c r="BE42" s="100">
        <v>3814.5697834019943</v>
      </c>
      <c r="BF42" s="100">
        <v>6</v>
      </c>
      <c r="BG42" s="100">
        <v>5076</v>
      </c>
      <c r="BH42" s="100">
        <v>8</v>
      </c>
      <c r="BI42" s="100">
        <v>6768</v>
      </c>
      <c r="BJ42" s="100">
        <v>10</v>
      </c>
      <c r="BK42" s="100">
        <v>8460</v>
      </c>
      <c r="BL42" s="100">
        <v>6.2886117706596369</v>
      </c>
      <c r="BM42" s="100">
        <v>5320.1655579780527</v>
      </c>
      <c r="BN42" s="100">
        <v>6.1596776035541794</v>
      </c>
      <c r="BO42" s="100">
        <v>5211.087252606836</v>
      </c>
      <c r="BP42" s="100">
        <v>3.1166799094962321</v>
      </c>
      <c r="BQ42" s="100">
        <v>2636.7112034338124</v>
      </c>
      <c r="BR42" s="100">
        <v>1.7767073714024979</v>
      </c>
      <c r="BS42" s="100">
        <v>1503.0944362065131</v>
      </c>
      <c r="BT42" s="100">
        <v>8</v>
      </c>
      <c r="BU42" s="100">
        <v>6768</v>
      </c>
      <c r="BV42" s="100">
        <v>9</v>
      </c>
      <c r="BW42" s="100">
        <v>7614</v>
      </c>
      <c r="BX42" s="100">
        <v>8</v>
      </c>
      <c r="BY42" s="100">
        <v>6768</v>
      </c>
      <c r="BZ42" s="100">
        <v>8</v>
      </c>
      <c r="CA42" s="100">
        <v>6768</v>
      </c>
      <c r="CB42" s="100">
        <v>8</v>
      </c>
      <c r="CC42" s="100">
        <v>6768</v>
      </c>
      <c r="CD42" s="100">
        <v>9.5903923061708856</v>
      </c>
      <c r="CE42" s="100">
        <v>8113.4718910205693</v>
      </c>
      <c r="CF42" s="100">
        <v>1.1673053212123121</v>
      </c>
      <c r="CG42" s="100">
        <v>987.54030174561603</v>
      </c>
      <c r="CH42" s="100">
        <v>6.5322047276082067</v>
      </c>
      <c r="CI42" s="100">
        <v>5526.2451995565425</v>
      </c>
      <c r="CJ42" s="100">
        <v>5.5173656929924679E-4</v>
      </c>
      <c r="CK42" s="100">
        <v>0.46676913762716277</v>
      </c>
      <c r="CL42" s="100">
        <v>10</v>
      </c>
      <c r="CM42" s="100">
        <v>8460</v>
      </c>
      <c r="CN42" s="100">
        <v>8</v>
      </c>
      <c r="CO42" s="100">
        <v>6768</v>
      </c>
      <c r="CP42" s="100">
        <v>8</v>
      </c>
      <c r="CQ42" s="100">
        <v>6768</v>
      </c>
      <c r="CR42" s="100">
        <v>8.5394001913597428</v>
      </c>
      <c r="CS42" s="100">
        <v>7224.3325618903427</v>
      </c>
      <c r="CT42" s="100">
        <v>4.4908340543381318</v>
      </c>
      <c r="CU42" s="100">
        <v>3799.2456099700594</v>
      </c>
    </row>
    <row r="43" spans="2:99">
      <c r="C43" s="99" t="s">
        <v>209</v>
      </c>
      <c r="D43" s="100">
        <v>6</v>
      </c>
      <c r="E43" s="100">
        <v>6134.4</v>
      </c>
      <c r="F43" s="100">
        <v>6.5405944532904075</v>
      </c>
      <c r="G43" s="100">
        <v>6687.1037690441126</v>
      </c>
      <c r="H43" s="100">
        <v>7.1725754008902082E-4</v>
      </c>
      <c r="I43" s="100">
        <v>0.73332410898701483</v>
      </c>
      <c r="J43" s="100">
        <v>8</v>
      </c>
      <c r="K43" s="100">
        <v>8179.2</v>
      </c>
      <c r="L43" s="100">
        <v>6.2248264142198257</v>
      </c>
      <c r="M43" s="100">
        <v>6364.2625258983498</v>
      </c>
      <c r="N43" s="100">
        <v>7.2979938002650613</v>
      </c>
      <c r="O43" s="100">
        <v>7461.4688613909984</v>
      </c>
      <c r="P43" s="100">
        <v>3.6825547197277007</v>
      </c>
      <c r="Q43" s="100">
        <v>3765.0439454496009</v>
      </c>
      <c r="R43" s="100">
        <v>2.110858757767188</v>
      </c>
      <c r="S43" s="100">
        <v>2158.141993941173</v>
      </c>
      <c r="T43" s="100">
        <v>4</v>
      </c>
      <c r="U43" s="100">
        <v>4089.6</v>
      </c>
      <c r="V43" s="100">
        <v>4.4814771410501848</v>
      </c>
      <c r="W43" s="100">
        <v>4581.8622290097092</v>
      </c>
      <c r="X43" s="100">
        <v>5.0759764375530713E-4</v>
      </c>
      <c r="Y43" s="100">
        <v>0.51896783097542598</v>
      </c>
      <c r="Z43" s="100">
        <v>8</v>
      </c>
      <c r="AA43" s="100">
        <v>8179.2</v>
      </c>
      <c r="AB43" s="100">
        <v>6</v>
      </c>
      <c r="AC43" s="100">
        <v>6134.4</v>
      </c>
      <c r="AD43" s="100">
        <v>5</v>
      </c>
      <c r="AE43" s="100">
        <v>5112</v>
      </c>
      <c r="AF43" s="100">
        <v>7</v>
      </c>
      <c r="AG43" s="100">
        <v>7156.8</v>
      </c>
      <c r="AH43" s="100">
        <v>8</v>
      </c>
      <c r="AI43" s="100">
        <v>8179.2</v>
      </c>
      <c r="AJ43" s="100">
        <v>5</v>
      </c>
      <c r="AK43" s="100">
        <v>5112</v>
      </c>
      <c r="AL43" s="100">
        <v>8</v>
      </c>
      <c r="AM43" s="100">
        <v>8179.2</v>
      </c>
      <c r="AN43" s="100">
        <v>7</v>
      </c>
      <c r="AO43" s="100">
        <v>7156.8</v>
      </c>
      <c r="AP43" s="100">
        <v>9.4491471104210181</v>
      </c>
      <c r="AQ43" s="100">
        <v>9660.8080056944491</v>
      </c>
      <c r="AR43" s="100">
        <v>0.14471664596773054</v>
      </c>
      <c r="AS43" s="100">
        <v>147.95829883740771</v>
      </c>
      <c r="AT43" s="100">
        <v>9</v>
      </c>
      <c r="AU43" s="100">
        <v>9201.6</v>
      </c>
      <c r="AV43" s="100">
        <v>9</v>
      </c>
      <c r="AW43" s="100">
        <v>9201.6</v>
      </c>
      <c r="AX43" s="100">
        <v>9.4993040184097328</v>
      </c>
      <c r="AY43" s="100">
        <v>9712.0884284221102</v>
      </c>
      <c r="AZ43" s="100">
        <v>7.9107067442280741</v>
      </c>
      <c r="BA43" s="100">
        <v>8087.9065752987826</v>
      </c>
      <c r="BB43" s="100">
        <v>5.7340279375814589</v>
      </c>
      <c r="BC43" s="100">
        <v>5862.4701633832838</v>
      </c>
      <c r="BD43" s="100">
        <v>3.7574564454314361</v>
      </c>
      <c r="BE43" s="100">
        <v>3841.6234698091002</v>
      </c>
      <c r="BF43" s="100">
        <v>5</v>
      </c>
      <c r="BG43" s="100">
        <v>5112</v>
      </c>
      <c r="BH43" s="100">
        <v>9</v>
      </c>
      <c r="BI43" s="100">
        <v>9201.6</v>
      </c>
      <c r="BJ43" s="100">
        <v>9</v>
      </c>
      <c r="BK43" s="100">
        <v>9201.6</v>
      </c>
      <c r="BL43" s="100">
        <v>7.2525352993271825</v>
      </c>
      <c r="BM43" s="100">
        <v>7414.9920900321113</v>
      </c>
      <c r="BN43" s="100">
        <v>6.1596776035541794</v>
      </c>
      <c r="BO43" s="100">
        <v>6297.6543818737928</v>
      </c>
      <c r="BP43" s="100">
        <v>3.1338090662283302</v>
      </c>
      <c r="BQ43" s="100">
        <v>3204.0063893118449</v>
      </c>
      <c r="BR43" s="100">
        <v>1.7767073714024979</v>
      </c>
      <c r="BS43" s="100">
        <v>1816.5056165219139</v>
      </c>
      <c r="BT43" s="100">
        <v>7</v>
      </c>
      <c r="BU43" s="100">
        <v>7156.8</v>
      </c>
      <c r="BV43" s="100">
        <v>8</v>
      </c>
      <c r="BW43" s="100">
        <v>8179.2</v>
      </c>
      <c r="BX43" s="100">
        <v>7</v>
      </c>
      <c r="BY43" s="100">
        <v>7156.8</v>
      </c>
      <c r="BZ43" s="100">
        <v>7</v>
      </c>
      <c r="CA43" s="100">
        <v>7156.8</v>
      </c>
      <c r="CB43" s="100">
        <v>8</v>
      </c>
      <c r="CC43" s="100">
        <v>8179.2</v>
      </c>
      <c r="CD43" s="100">
        <v>8.5165932678995251</v>
      </c>
      <c r="CE43" s="100">
        <v>8707.3649571004735</v>
      </c>
      <c r="CF43" s="100">
        <v>0.97275443434359354</v>
      </c>
      <c r="CG43" s="100">
        <v>994.54413367288998</v>
      </c>
      <c r="CH43" s="100">
        <v>7.4581390631239666</v>
      </c>
      <c r="CI43" s="100">
        <v>7625.2013781379428</v>
      </c>
      <c r="CJ43" s="100">
        <v>4.9656291236932222E-4</v>
      </c>
      <c r="CK43" s="100">
        <v>0.50768592160639503</v>
      </c>
      <c r="CL43" s="100">
        <v>9</v>
      </c>
      <c r="CM43" s="100">
        <v>9201.6</v>
      </c>
      <c r="CN43" s="100">
        <v>8</v>
      </c>
      <c r="CO43" s="100">
        <v>8179.2</v>
      </c>
      <c r="CP43" s="100">
        <v>8</v>
      </c>
      <c r="CQ43" s="100">
        <v>8179.2</v>
      </c>
      <c r="CR43" s="100">
        <v>8.5394001913597428</v>
      </c>
      <c r="CS43" s="100">
        <v>8730.6827556462013</v>
      </c>
      <c r="CT43" s="100">
        <v>5.3464640726337382</v>
      </c>
      <c r="CU43" s="100">
        <v>5466.2248678607339</v>
      </c>
    </row>
    <row r="44" spans="2:99">
      <c r="C44" s="99" t="s">
        <v>210</v>
      </c>
      <c r="D44" s="100">
        <v>7</v>
      </c>
      <c r="E44" s="100">
        <v>7156.8</v>
      </c>
      <c r="F44" s="100">
        <v>6.5405944532904075</v>
      </c>
      <c r="G44" s="100">
        <v>6687.1037690441126</v>
      </c>
      <c r="H44" s="100">
        <v>6.3756225785690742E-4</v>
      </c>
      <c r="I44" s="100">
        <v>0.6518436524329021</v>
      </c>
      <c r="J44" s="100">
        <v>8</v>
      </c>
      <c r="K44" s="100">
        <v>8179.2</v>
      </c>
      <c r="L44" s="100">
        <v>6.2697916970637912</v>
      </c>
      <c r="M44" s="100">
        <v>6410.2350310780203</v>
      </c>
      <c r="N44" s="100">
        <v>8.3311042225167338</v>
      </c>
      <c r="O44" s="100">
        <v>8517.7209571011081</v>
      </c>
      <c r="P44" s="100">
        <v>3.6542889058952475</v>
      </c>
      <c r="Q44" s="100">
        <v>3736.144977387301</v>
      </c>
      <c r="R44" s="100">
        <v>1.8470014130462897</v>
      </c>
      <c r="S44" s="100">
        <v>1888.3742446985266</v>
      </c>
      <c r="T44" s="100">
        <v>4</v>
      </c>
      <c r="U44" s="100">
        <v>4089.6</v>
      </c>
      <c r="V44" s="100">
        <v>4.4814771410501848</v>
      </c>
      <c r="W44" s="100">
        <v>4581.8622290097092</v>
      </c>
      <c r="X44" s="100">
        <v>5.0759764375530713E-4</v>
      </c>
      <c r="Y44" s="100">
        <v>0.51896783097542598</v>
      </c>
      <c r="Z44" s="100">
        <v>8</v>
      </c>
      <c r="AA44" s="100">
        <v>8179.2</v>
      </c>
      <c r="AB44" s="100">
        <v>7</v>
      </c>
      <c r="AC44" s="100">
        <v>7156.8</v>
      </c>
      <c r="AD44" s="100">
        <v>5</v>
      </c>
      <c r="AE44" s="100">
        <v>5112</v>
      </c>
      <c r="AF44" s="100">
        <v>6</v>
      </c>
      <c r="AG44" s="100">
        <v>6134.4</v>
      </c>
      <c r="AH44" s="100">
        <v>8</v>
      </c>
      <c r="AI44" s="100">
        <v>8179.2</v>
      </c>
      <c r="AJ44" s="100">
        <v>5</v>
      </c>
      <c r="AK44" s="100">
        <v>5112</v>
      </c>
      <c r="AL44" s="100">
        <v>9</v>
      </c>
      <c r="AM44" s="100">
        <v>9201.6</v>
      </c>
      <c r="AN44" s="100">
        <v>7</v>
      </c>
      <c r="AO44" s="100">
        <v>7156.8</v>
      </c>
      <c r="AP44" s="100">
        <v>8.4491471104210181</v>
      </c>
      <c r="AQ44" s="100">
        <v>8638.4080056944495</v>
      </c>
      <c r="AR44" s="100">
        <v>0.1653904525345492</v>
      </c>
      <c r="AS44" s="100">
        <v>169.09519867132309</v>
      </c>
      <c r="AT44" s="100">
        <v>8</v>
      </c>
      <c r="AU44" s="100">
        <v>8179.2</v>
      </c>
      <c r="AV44" s="100">
        <v>9</v>
      </c>
      <c r="AW44" s="100">
        <v>9201.6</v>
      </c>
      <c r="AX44" s="100">
        <v>9.4493736165687583</v>
      </c>
      <c r="AY44" s="100">
        <v>9661.0395855798979</v>
      </c>
      <c r="AZ44" s="100">
        <v>7.9107067442280741</v>
      </c>
      <c r="BA44" s="100">
        <v>8087.9065752987826</v>
      </c>
      <c r="BB44" s="100">
        <v>6.4117172154145665</v>
      </c>
      <c r="BC44" s="100">
        <v>6555.3396810398526</v>
      </c>
      <c r="BD44" s="100">
        <v>4.508947734517724</v>
      </c>
      <c r="BE44" s="100">
        <v>4609.9481637709214</v>
      </c>
      <c r="BF44" s="100">
        <v>6</v>
      </c>
      <c r="BG44" s="100">
        <v>6134.4</v>
      </c>
      <c r="BH44" s="100">
        <v>8</v>
      </c>
      <c r="BI44" s="100">
        <v>8179.2</v>
      </c>
      <c r="BJ44" s="100">
        <v>9</v>
      </c>
      <c r="BK44" s="100">
        <v>9201.6</v>
      </c>
      <c r="BL44" s="100">
        <v>7.2886117706596369</v>
      </c>
      <c r="BM44" s="100">
        <v>7451.8766743224123</v>
      </c>
      <c r="BN44" s="100">
        <v>5.4818513073589532</v>
      </c>
      <c r="BO44" s="100">
        <v>5604.6447766437932</v>
      </c>
      <c r="BP44" s="100">
        <v>3.1338090662283302</v>
      </c>
      <c r="BQ44" s="100">
        <v>3204.0063893118449</v>
      </c>
      <c r="BR44" s="100">
        <v>1.7767073714024979</v>
      </c>
      <c r="BS44" s="100">
        <v>1816.5056165219139</v>
      </c>
      <c r="BT44" s="100">
        <v>8</v>
      </c>
      <c r="BU44" s="100">
        <v>8179.2</v>
      </c>
      <c r="BV44" s="100">
        <v>8</v>
      </c>
      <c r="BW44" s="100">
        <v>8179.2</v>
      </c>
      <c r="BX44" s="100">
        <v>7</v>
      </c>
      <c r="BY44" s="100">
        <v>7156.8</v>
      </c>
      <c r="BZ44" s="100">
        <v>7</v>
      </c>
      <c r="CA44" s="100">
        <v>7156.8</v>
      </c>
      <c r="CB44" s="100">
        <v>8</v>
      </c>
      <c r="CC44" s="100">
        <v>8179.2</v>
      </c>
      <c r="CD44" s="100">
        <v>9.5903923061708856</v>
      </c>
      <c r="CE44" s="100">
        <v>9805.2170938291129</v>
      </c>
      <c r="CF44" s="100">
        <v>1.1673053212123121</v>
      </c>
      <c r="CG44" s="100">
        <v>1193.4529604074678</v>
      </c>
      <c r="CH44" s="100">
        <v>6.5406487907745214</v>
      </c>
      <c r="CI44" s="100">
        <v>6687.1593236878707</v>
      </c>
      <c r="CJ44" s="100">
        <v>4.9656291236932222E-4</v>
      </c>
      <c r="CK44" s="100">
        <v>0.50768592160639503</v>
      </c>
      <c r="CL44" s="100">
        <v>9</v>
      </c>
      <c r="CM44" s="100">
        <v>9201.6</v>
      </c>
      <c r="CN44" s="100">
        <v>9</v>
      </c>
      <c r="CO44" s="100">
        <v>9201.6</v>
      </c>
      <c r="CP44" s="100">
        <v>9</v>
      </c>
      <c r="CQ44" s="100">
        <v>9201.6</v>
      </c>
      <c r="CR44" s="100">
        <v>7.5905779478753281</v>
      </c>
      <c r="CS44" s="100">
        <v>7760.606893907735</v>
      </c>
      <c r="CT44" s="100">
        <v>5.3597568203124952</v>
      </c>
      <c r="CU44" s="100">
        <v>5479.8153730874947</v>
      </c>
    </row>
    <row r="45" spans="2:99">
      <c r="C45" s="99" t="s">
        <v>211</v>
      </c>
      <c r="D45" s="100">
        <v>6</v>
      </c>
      <c r="E45" s="100">
        <v>7495.2000000000007</v>
      </c>
      <c r="F45" s="100">
        <v>6.5405944532904075</v>
      </c>
      <c r="G45" s="100">
        <v>8170.5105910503771</v>
      </c>
      <c r="H45" s="100">
        <v>6.3756225785690742E-4</v>
      </c>
      <c r="I45" s="100">
        <v>0.79644277251484874</v>
      </c>
      <c r="J45" s="100">
        <v>8</v>
      </c>
      <c r="K45" s="100">
        <v>9993.6</v>
      </c>
      <c r="L45" s="100">
        <v>6.2473090556418081</v>
      </c>
      <c r="M45" s="100">
        <v>7804.1384723077472</v>
      </c>
      <c r="N45" s="100">
        <v>7.3311042225167347</v>
      </c>
      <c r="O45" s="100">
        <v>9158.0153947679046</v>
      </c>
      <c r="P45" s="100">
        <v>3.6542889058952475</v>
      </c>
      <c r="Q45" s="100">
        <v>4564.9377012443429</v>
      </c>
      <c r="R45" s="100">
        <v>1.8470014130462897</v>
      </c>
      <c r="S45" s="100">
        <v>2307.2741651774254</v>
      </c>
      <c r="T45" s="100">
        <v>5</v>
      </c>
      <c r="U45" s="100">
        <v>6246</v>
      </c>
      <c r="V45" s="100">
        <v>5.2261305899538177</v>
      </c>
      <c r="W45" s="100">
        <v>6528.4823329703095</v>
      </c>
      <c r="X45" s="100">
        <v>5.0759764375530713E-4</v>
      </c>
      <c r="Y45" s="100">
        <v>0.63409097657912972</v>
      </c>
      <c r="Z45" s="100">
        <v>8</v>
      </c>
      <c r="AA45" s="100">
        <v>9993.6</v>
      </c>
      <c r="AB45" s="100">
        <v>7</v>
      </c>
      <c r="AC45" s="100">
        <v>8744.4</v>
      </c>
      <c r="AD45" s="100">
        <v>5</v>
      </c>
      <c r="AE45" s="100">
        <v>6246</v>
      </c>
      <c r="AF45" s="100">
        <v>7</v>
      </c>
      <c r="AG45" s="100">
        <v>8744.4</v>
      </c>
      <c r="AH45" s="100">
        <v>7</v>
      </c>
      <c r="AI45" s="100">
        <v>8744.4</v>
      </c>
      <c r="AJ45" s="100">
        <v>5</v>
      </c>
      <c r="AK45" s="100">
        <v>6246</v>
      </c>
      <c r="AL45" s="100">
        <v>10</v>
      </c>
      <c r="AM45" s="100">
        <v>12492</v>
      </c>
      <c r="AN45" s="100">
        <v>7</v>
      </c>
      <c r="AO45" s="100">
        <v>8744.4</v>
      </c>
      <c r="AP45" s="100">
        <v>8.3992418759297944</v>
      </c>
      <c r="AQ45" s="100">
        <v>10492.332951411499</v>
      </c>
      <c r="AR45" s="100">
        <v>0.14471664596773054</v>
      </c>
      <c r="AS45" s="100">
        <v>180.78003414288901</v>
      </c>
      <c r="AT45" s="100">
        <v>9</v>
      </c>
      <c r="AU45" s="100">
        <v>11242.800000000001</v>
      </c>
      <c r="AV45" s="100">
        <v>9</v>
      </c>
      <c r="AW45" s="100">
        <v>11242.800000000001</v>
      </c>
      <c r="AX45" s="100">
        <v>10.499304018409733</v>
      </c>
      <c r="AY45" s="100">
        <v>13115.730579797439</v>
      </c>
      <c r="AZ45" s="100">
        <v>7.9107067442280741</v>
      </c>
      <c r="BA45" s="100">
        <v>9882.0548648897111</v>
      </c>
      <c r="BB45" s="100">
        <v>5.7340279375814589</v>
      </c>
      <c r="BC45" s="100">
        <v>7162.9476996267585</v>
      </c>
      <c r="BD45" s="100">
        <v>3.7574564454314361</v>
      </c>
      <c r="BE45" s="100">
        <v>4693.8145916329504</v>
      </c>
      <c r="BF45" s="100">
        <v>5</v>
      </c>
      <c r="BG45" s="100">
        <v>6246</v>
      </c>
      <c r="BH45" s="100">
        <v>9</v>
      </c>
      <c r="BI45" s="100">
        <v>11242.800000000001</v>
      </c>
      <c r="BJ45" s="100">
        <v>8</v>
      </c>
      <c r="BK45" s="100">
        <v>9993.6</v>
      </c>
      <c r="BL45" s="100">
        <v>6.2525352993271825</v>
      </c>
      <c r="BM45" s="100">
        <v>7810.6670959195171</v>
      </c>
      <c r="BN45" s="100">
        <v>6.1300571346556074</v>
      </c>
      <c r="BO45" s="100">
        <v>7657.6673726117851</v>
      </c>
      <c r="BP45" s="100">
        <v>3.5374496726641258</v>
      </c>
      <c r="BQ45" s="100">
        <v>4418.9821310920261</v>
      </c>
      <c r="BR45" s="100">
        <v>1.9987957928278102</v>
      </c>
      <c r="BS45" s="100">
        <v>2496.8957044005006</v>
      </c>
      <c r="BT45" s="100">
        <v>8</v>
      </c>
      <c r="BU45" s="100">
        <v>9993.6</v>
      </c>
      <c r="BV45" s="100">
        <v>9</v>
      </c>
      <c r="BW45" s="100">
        <v>11242.800000000001</v>
      </c>
      <c r="BX45" s="100">
        <v>8</v>
      </c>
      <c r="BY45" s="100">
        <v>9993.6</v>
      </c>
      <c r="BZ45" s="100">
        <v>7</v>
      </c>
      <c r="CA45" s="100">
        <v>8744.4</v>
      </c>
      <c r="CB45" s="100">
        <v>9</v>
      </c>
      <c r="CC45" s="100">
        <v>11242.800000000001</v>
      </c>
      <c r="CD45" s="100">
        <v>9.5534927870352053</v>
      </c>
      <c r="CE45" s="100">
        <v>11934.223189564378</v>
      </c>
      <c r="CF45" s="100">
        <v>1.1673053212123121</v>
      </c>
      <c r="CG45" s="100">
        <v>1458.1978072584204</v>
      </c>
      <c r="CH45" s="100">
        <v>7.4496949999576509</v>
      </c>
      <c r="CI45" s="100">
        <v>9306.1589939470978</v>
      </c>
      <c r="CJ45" s="100">
        <v>4.9656291236932222E-4</v>
      </c>
      <c r="CK45" s="100">
        <v>0.62030639013175737</v>
      </c>
      <c r="CL45" s="100">
        <v>8</v>
      </c>
      <c r="CM45" s="100">
        <v>9993.6</v>
      </c>
      <c r="CN45" s="100">
        <v>9</v>
      </c>
      <c r="CO45" s="100">
        <v>11242.800000000001</v>
      </c>
      <c r="CP45" s="100">
        <v>8</v>
      </c>
      <c r="CQ45" s="100">
        <v>9993.6</v>
      </c>
      <c r="CR45" s="100">
        <v>6.6417557043909126</v>
      </c>
      <c r="CS45" s="100">
        <v>8296.8812259251281</v>
      </c>
      <c r="CT45" s="100">
        <v>5.3464640726337382</v>
      </c>
      <c r="CU45" s="100">
        <v>6678.8029195340659</v>
      </c>
    </row>
    <row r="46" spans="2:99">
      <c r="C46" s="99" t="s">
        <v>212</v>
      </c>
      <c r="D46" s="100">
        <v>6</v>
      </c>
      <c r="E46" s="100">
        <v>7272</v>
      </c>
      <c r="F46" s="100">
        <v>6.5405944532904075</v>
      </c>
      <c r="G46" s="100">
        <v>7927.2004773879735</v>
      </c>
      <c r="H46" s="100">
        <v>6.3756225785690742E-4</v>
      </c>
      <c r="I46" s="100">
        <v>0.77272545652257174</v>
      </c>
      <c r="J46" s="100">
        <v>8</v>
      </c>
      <c r="K46" s="100">
        <v>9696</v>
      </c>
      <c r="L46" s="100">
        <v>7.2473090556418081</v>
      </c>
      <c r="M46" s="100">
        <v>8783.738575437872</v>
      </c>
      <c r="N46" s="100">
        <v>8.2979938002650613</v>
      </c>
      <c r="O46" s="100">
        <v>10057.168485921255</v>
      </c>
      <c r="P46" s="100">
        <v>3.6542889058952475</v>
      </c>
      <c r="Q46" s="100">
        <v>4428.99815394504</v>
      </c>
      <c r="R46" s="100">
        <v>2.110858757767188</v>
      </c>
      <c r="S46" s="100">
        <v>2558.360814413832</v>
      </c>
      <c r="T46" s="100">
        <v>4</v>
      </c>
      <c r="U46" s="100">
        <v>4848</v>
      </c>
      <c r="V46" s="100">
        <v>4.4950335886785702</v>
      </c>
      <c r="W46" s="100">
        <v>5447.9807094784273</v>
      </c>
      <c r="X46" s="100">
        <v>5.0759764375530713E-4</v>
      </c>
      <c r="Y46" s="100">
        <v>0.61520834423143222</v>
      </c>
      <c r="Z46" s="100">
        <v>9</v>
      </c>
      <c r="AA46" s="100">
        <v>10908</v>
      </c>
      <c r="AB46" s="100">
        <v>7</v>
      </c>
      <c r="AC46" s="100">
        <v>8484</v>
      </c>
      <c r="AD46" s="100">
        <v>5</v>
      </c>
      <c r="AE46" s="100">
        <v>6060</v>
      </c>
      <c r="AF46" s="100">
        <v>6</v>
      </c>
      <c r="AG46" s="100">
        <v>7272</v>
      </c>
      <c r="AH46" s="100">
        <v>8</v>
      </c>
      <c r="AI46" s="100">
        <v>9696</v>
      </c>
      <c r="AJ46" s="100">
        <v>4</v>
      </c>
      <c r="AK46" s="100">
        <v>4848</v>
      </c>
      <c r="AL46" s="100">
        <v>10</v>
      </c>
      <c r="AM46" s="100">
        <v>12120</v>
      </c>
      <c r="AN46" s="100">
        <v>7</v>
      </c>
      <c r="AO46" s="100">
        <v>8484</v>
      </c>
      <c r="AP46" s="100">
        <v>10.399241875929794</v>
      </c>
      <c r="AQ46" s="100">
        <v>12603.881153626911</v>
      </c>
      <c r="AR46" s="100">
        <v>0.14471664596773054</v>
      </c>
      <c r="AS46" s="100">
        <v>175.39657491288941</v>
      </c>
      <c r="AT46" s="100">
        <v>8</v>
      </c>
      <c r="AU46" s="100">
        <v>9696</v>
      </c>
      <c r="AV46" s="100">
        <v>9</v>
      </c>
      <c r="AW46" s="100">
        <v>10908</v>
      </c>
      <c r="AX46" s="100">
        <v>8.4993040184097328</v>
      </c>
      <c r="AY46" s="100">
        <v>10301.156470312597</v>
      </c>
      <c r="AZ46" s="100">
        <v>7.0317393282027325</v>
      </c>
      <c r="BA46" s="100">
        <v>8522.4680657817116</v>
      </c>
      <c r="BB46" s="100">
        <v>5.7340279375814589</v>
      </c>
      <c r="BC46" s="100">
        <v>6949.6418603487282</v>
      </c>
      <c r="BD46" s="100">
        <v>4.508947734517724</v>
      </c>
      <c r="BE46" s="100">
        <v>5464.8446542354814</v>
      </c>
      <c r="BF46" s="100">
        <v>5</v>
      </c>
      <c r="BG46" s="100">
        <v>6060</v>
      </c>
      <c r="BH46" s="100">
        <v>8</v>
      </c>
      <c r="BI46" s="100">
        <v>9696</v>
      </c>
      <c r="BJ46" s="100">
        <v>10</v>
      </c>
      <c r="BK46" s="100">
        <v>12120</v>
      </c>
      <c r="BL46" s="100">
        <v>7.2525352993271825</v>
      </c>
      <c r="BM46" s="100">
        <v>8790.0727827845458</v>
      </c>
      <c r="BN46" s="100">
        <v>6.7782629619522625</v>
      </c>
      <c r="BO46" s="100">
        <v>8215.2547098861414</v>
      </c>
      <c r="BP46" s="100">
        <v>3.1338090662283302</v>
      </c>
      <c r="BQ46" s="100">
        <v>3798.1765882687364</v>
      </c>
      <c r="BR46" s="100">
        <v>1.7767073714024979</v>
      </c>
      <c r="BS46" s="100">
        <v>2153.3693341398275</v>
      </c>
      <c r="BT46" s="100">
        <v>7</v>
      </c>
      <c r="BU46" s="100">
        <v>8484</v>
      </c>
      <c r="BV46" s="100">
        <v>8</v>
      </c>
      <c r="BW46" s="100">
        <v>9696</v>
      </c>
      <c r="BX46" s="100">
        <v>7</v>
      </c>
      <c r="BY46" s="100">
        <v>8484</v>
      </c>
      <c r="BZ46" s="100">
        <v>7</v>
      </c>
      <c r="CA46" s="100">
        <v>8484</v>
      </c>
      <c r="CB46" s="100">
        <v>9</v>
      </c>
      <c r="CC46" s="100">
        <v>10908</v>
      </c>
      <c r="CD46" s="100">
        <v>8.5534927870352053</v>
      </c>
      <c r="CE46" s="100">
        <v>10366.833257886668</v>
      </c>
      <c r="CF46" s="100">
        <v>0.97275443434359354</v>
      </c>
      <c r="CG46" s="100">
        <v>1178.9783744244353</v>
      </c>
      <c r="CH46" s="100">
        <v>7.4496949999576509</v>
      </c>
      <c r="CI46" s="100">
        <v>9029.0303399486729</v>
      </c>
      <c r="CJ46" s="100">
        <v>4.9656291236932222E-4</v>
      </c>
      <c r="CK46" s="100">
        <v>0.60183424979161848</v>
      </c>
      <c r="CL46" s="100">
        <v>10</v>
      </c>
      <c r="CM46" s="100">
        <v>12120</v>
      </c>
      <c r="CN46" s="100">
        <v>8</v>
      </c>
      <c r="CO46" s="100">
        <v>9696</v>
      </c>
      <c r="CP46" s="100">
        <v>8</v>
      </c>
      <c r="CQ46" s="100">
        <v>9696</v>
      </c>
      <c r="CR46" s="100">
        <v>6.6417557043909126</v>
      </c>
      <c r="CS46" s="100">
        <v>8049.8079137217865</v>
      </c>
      <c r="CT46" s="100">
        <v>5.3464640726337382</v>
      </c>
      <c r="CU46" s="100">
        <v>6479.914456032091</v>
      </c>
    </row>
    <row r="47" spans="2:99">
      <c r="C47" s="99" t="s">
        <v>213</v>
      </c>
      <c r="D47" s="100">
        <v>6</v>
      </c>
      <c r="E47" s="100">
        <v>9165.5999999999985</v>
      </c>
      <c r="F47" s="100">
        <v>6.5405944532904075</v>
      </c>
      <c r="G47" s="100">
        <v>9991.4120868464252</v>
      </c>
      <c r="H47" s="100">
        <v>6.3756225785690742E-4</v>
      </c>
      <c r="I47" s="100">
        <v>0.97394010510221174</v>
      </c>
      <c r="J47" s="100">
        <v>7</v>
      </c>
      <c r="K47" s="100">
        <v>10693.199999999999</v>
      </c>
      <c r="L47" s="100">
        <v>6.2473090556418081</v>
      </c>
      <c r="M47" s="100">
        <v>9543.3893133984257</v>
      </c>
      <c r="N47" s="100">
        <v>8.264883378013387</v>
      </c>
      <c r="O47" s="100">
        <v>12625.43584825325</v>
      </c>
      <c r="P47" s="100">
        <v>3.6542889058952475</v>
      </c>
      <c r="Q47" s="100">
        <v>5582.2917326455799</v>
      </c>
      <c r="R47" s="100">
        <v>1.8470014130462897</v>
      </c>
      <c r="S47" s="100">
        <v>2821.479358569512</v>
      </c>
      <c r="T47" s="100">
        <v>4</v>
      </c>
      <c r="U47" s="100">
        <v>6110.4</v>
      </c>
      <c r="V47" s="100">
        <v>4.4814771410501848</v>
      </c>
      <c r="W47" s="100">
        <v>6845.9044806682623</v>
      </c>
      <c r="X47" s="100">
        <v>4.4414793828589374E-4</v>
      </c>
      <c r="Y47" s="100">
        <v>0.67848039052553122</v>
      </c>
      <c r="Z47" s="100">
        <v>8</v>
      </c>
      <c r="AA47" s="100">
        <v>12220.8</v>
      </c>
      <c r="AB47" s="100">
        <v>6</v>
      </c>
      <c r="AC47" s="100">
        <v>9165.5999999999985</v>
      </c>
      <c r="AD47" s="100">
        <v>5</v>
      </c>
      <c r="AE47" s="100">
        <v>7638</v>
      </c>
      <c r="AF47" s="100">
        <v>6</v>
      </c>
      <c r="AG47" s="100">
        <v>9165.5999999999985</v>
      </c>
      <c r="AH47" s="100">
        <v>7</v>
      </c>
      <c r="AI47" s="100">
        <v>10693.199999999999</v>
      </c>
      <c r="AJ47" s="100">
        <v>4</v>
      </c>
      <c r="AK47" s="100">
        <v>6110.4</v>
      </c>
      <c r="AL47" s="100">
        <v>9</v>
      </c>
      <c r="AM47" s="100">
        <v>13748.4</v>
      </c>
      <c r="AN47" s="100">
        <v>8</v>
      </c>
      <c r="AO47" s="100">
        <v>12220.8</v>
      </c>
      <c r="AP47" s="100">
        <v>8.349336641438569</v>
      </c>
      <c r="AQ47" s="100">
        <v>12754.446653461557</v>
      </c>
      <c r="AR47" s="100">
        <v>0.1653904525345492</v>
      </c>
      <c r="AS47" s="100">
        <v>252.65045529177735</v>
      </c>
      <c r="AT47" s="100">
        <v>8</v>
      </c>
      <c r="AU47" s="100">
        <v>12220.8</v>
      </c>
      <c r="AV47" s="100">
        <v>8</v>
      </c>
      <c r="AW47" s="100">
        <v>12220.8</v>
      </c>
      <c r="AX47" s="100">
        <v>10.449373616568758</v>
      </c>
      <c r="AY47" s="100">
        <v>15962.463136670434</v>
      </c>
      <c r="AZ47" s="100">
        <v>7.0317393282027325</v>
      </c>
      <c r="BA47" s="100">
        <v>10741.684997762493</v>
      </c>
      <c r="BB47" s="100">
        <v>5.71757984732269</v>
      </c>
      <c r="BC47" s="100">
        <v>8734.1749747701415</v>
      </c>
      <c r="BD47" s="100">
        <v>3.7574564454314361</v>
      </c>
      <c r="BE47" s="100">
        <v>5739.8904660410617</v>
      </c>
      <c r="BF47" s="100">
        <v>5</v>
      </c>
      <c r="BG47" s="100">
        <v>7638</v>
      </c>
      <c r="BH47" s="100">
        <v>8</v>
      </c>
      <c r="BI47" s="100">
        <v>12220.8</v>
      </c>
      <c r="BJ47" s="100">
        <v>8</v>
      </c>
      <c r="BK47" s="100">
        <v>12220.8</v>
      </c>
      <c r="BL47" s="100">
        <v>6.2886117706596369</v>
      </c>
      <c r="BM47" s="100">
        <v>9606.4833408596605</v>
      </c>
      <c r="BN47" s="100">
        <v>6.7486424930536897</v>
      </c>
      <c r="BO47" s="100">
        <v>10309.226272388816</v>
      </c>
      <c r="BP47" s="100">
        <v>3.1509382229604284</v>
      </c>
      <c r="BQ47" s="100">
        <v>4813.3732293943503</v>
      </c>
      <c r="BR47" s="100">
        <v>1.5546189499771856</v>
      </c>
      <c r="BS47" s="100">
        <v>2374.8359079851484</v>
      </c>
      <c r="BT47" s="100">
        <v>7</v>
      </c>
      <c r="BU47" s="100">
        <v>10693.199999999999</v>
      </c>
      <c r="BV47" s="100">
        <v>7</v>
      </c>
      <c r="BW47" s="100">
        <v>10693.199999999999</v>
      </c>
      <c r="BX47" s="100">
        <v>7</v>
      </c>
      <c r="BY47" s="100">
        <v>10693.199999999999</v>
      </c>
      <c r="BZ47" s="100">
        <v>7</v>
      </c>
      <c r="CA47" s="100">
        <v>10693.199999999999</v>
      </c>
      <c r="CB47" s="100">
        <v>8</v>
      </c>
      <c r="CC47" s="100">
        <v>12220.8</v>
      </c>
      <c r="CD47" s="100">
        <v>8.5165932678995251</v>
      </c>
      <c r="CE47" s="100">
        <v>13009.947876043314</v>
      </c>
      <c r="CF47" s="100">
        <v>0.97275443434359354</v>
      </c>
      <c r="CG47" s="100">
        <v>1485.9796739032734</v>
      </c>
      <c r="CH47" s="100">
        <v>6.523760664441892</v>
      </c>
      <c r="CI47" s="100">
        <v>9965.6967910014337</v>
      </c>
      <c r="CJ47" s="100">
        <v>4.9656291236932222E-4</v>
      </c>
      <c r="CK47" s="100">
        <v>0.75854950493537654</v>
      </c>
      <c r="CL47" s="100">
        <v>8</v>
      </c>
      <c r="CM47" s="100">
        <v>12220.8</v>
      </c>
      <c r="CN47" s="100">
        <v>8</v>
      </c>
      <c r="CO47" s="100">
        <v>12220.8</v>
      </c>
      <c r="CP47" s="100">
        <v>7</v>
      </c>
      <c r="CQ47" s="100">
        <v>10693.199999999999</v>
      </c>
      <c r="CR47" s="100">
        <v>6.6417557043909126</v>
      </c>
      <c r="CS47" s="100">
        <v>10145.946014027557</v>
      </c>
      <c r="CT47" s="100">
        <v>4.4908340543381318</v>
      </c>
      <c r="CU47" s="100">
        <v>6860.1981014069297</v>
      </c>
    </row>
    <row r="48" spans="2:99">
      <c r="C48" s="99" t="s">
        <v>214</v>
      </c>
      <c r="D48" s="100">
        <v>6</v>
      </c>
      <c r="E48" s="100">
        <v>5205.6000000000004</v>
      </c>
      <c r="F48" s="100">
        <v>6.5405944532904075</v>
      </c>
      <c r="G48" s="100">
        <v>5674.6197476747575</v>
      </c>
      <c r="H48" s="100">
        <v>7.1725754008902082E-4</v>
      </c>
      <c r="I48" s="100">
        <v>0.62229264178123445</v>
      </c>
      <c r="J48" s="100">
        <v>7</v>
      </c>
      <c r="K48" s="100">
        <v>6073.2</v>
      </c>
      <c r="L48" s="100">
        <v>7.2697916970637912</v>
      </c>
      <c r="M48" s="100">
        <v>6307.2712763725458</v>
      </c>
      <c r="N48" s="100">
        <v>8.3311042225167338</v>
      </c>
      <c r="O48" s="100">
        <v>7228.066023455518</v>
      </c>
      <c r="P48" s="100">
        <v>3.6825547197277007</v>
      </c>
      <c r="Q48" s="100">
        <v>3194.9844748357532</v>
      </c>
      <c r="R48" s="100">
        <v>1.8470014130462897</v>
      </c>
      <c r="S48" s="100">
        <v>1602.458425958961</v>
      </c>
      <c r="T48" s="100">
        <v>5</v>
      </c>
      <c r="U48" s="100">
        <v>4338</v>
      </c>
      <c r="V48" s="100">
        <v>5.2125741423254333</v>
      </c>
      <c r="W48" s="100">
        <v>4522.429325881546</v>
      </c>
      <c r="X48" s="100">
        <v>5.0759764375530713E-4</v>
      </c>
      <c r="Y48" s="100">
        <v>0.4403917157221045</v>
      </c>
      <c r="Z48" s="100">
        <v>8</v>
      </c>
      <c r="AA48" s="100">
        <v>6940.8</v>
      </c>
      <c r="AB48" s="100">
        <v>8</v>
      </c>
      <c r="AC48" s="100">
        <v>6940.8</v>
      </c>
      <c r="AD48" s="100">
        <v>5</v>
      </c>
      <c r="AE48" s="100">
        <v>4338</v>
      </c>
      <c r="AF48" s="100">
        <v>7</v>
      </c>
      <c r="AG48" s="100">
        <v>6073.2</v>
      </c>
      <c r="AH48" s="100">
        <v>7</v>
      </c>
      <c r="AI48" s="100">
        <v>6073.2</v>
      </c>
      <c r="AJ48" s="100">
        <v>5</v>
      </c>
      <c r="AK48" s="100">
        <v>4338</v>
      </c>
      <c r="AL48" s="100">
        <v>9</v>
      </c>
      <c r="AM48" s="100">
        <v>7808.4000000000005</v>
      </c>
      <c r="AN48" s="100">
        <v>7</v>
      </c>
      <c r="AO48" s="100">
        <v>6073.2</v>
      </c>
      <c r="AP48" s="100">
        <v>9.4491471104210181</v>
      </c>
      <c r="AQ48" s="100">
        <v>8198.0800330012753</v>
      </c>
      <c r="AR48" s="100">
        <v>0.1653904525345492</v>
      </c>
      <c r="AS48" s="100">
        <v>143.49275661897488</v>
      </c>
      <c r="AT48" s="100">
        <v>9</v>
      </c>
      <c r="AU48" s="100">
        <v>7808.4000000000005</v>
      </c>
      <c r="AV48" s="100">
        <v>8</v>
      </c>
      <c r="AW48" s="100">
        <v>6940.8</v>
      </c>
      <c r="AX48" s="100">
        <v>10.499304018409733</v>
      </c>
      <c r="AY48" s="100">
        <v>9109.196166372285</v>
      </c>
      <c r="AZ48" s="100">
        <v>7.9107067442280741</v>
      </c>
      <c r="BA48" s="100">
        <v>6863.3291712922774</v>
      </c>
      <c r="BB48" s="100">
        <v>5.0398905694895815</v>
      </c>
      <c r="BC48" s="100">
        <v>4372.6090580891614</v>
      </c>
      <c r="BD48" s="100">
        <v>3.7574564454314361</v>
      </c>
      <c r="BE48" s="100">
        <v>3259.9692120563141</v>
      </c>
      <c r="BF48" s="100">
        <v>5</v>
      </c>
      <c r="BG48" s="100">
        <v>4338</v>
      </c>
      <c r="BH48" s="100">
        <v>9</v>
      </c>
      <c r="BI48" s="100">
        <v>7808.4000000000005</v>
      </c>
      <c r="BJ48" s="100">
        <v>9</v>
      </c>
      <c r="BK48" s="100">
        <v>7808.4000000000005</v>
      </c>
      <c r="BL48" s="100">
        <v>6.2886117706596369</v>
      </c>
      <c r="BM48" s="100">
        <v>5455.9995722243011</v>
      </c>
      <c r="BN48" s="100">
        <v>6.1596776035541794</v>
      </c>
      <c r="BO48" s="100">
        <v>5344.1362888436061</v>
      </c>
      <c r="BP48" s="100">
        <v>3.1338090662283302</v>
      </c>
      <c r="BQ48" s="100">
        <v>2718.8927458596995</v>
      </c>
      <c r="BR48" s="100">
        <v>1.7767073714024979</v>
      </c>
      <c r="BS48" s="100">
        <v>1541.4713154288072</v>
      </c>
      <c r="BT48" s="100">
        <v>7</v>
      </c>
      <c r="BU48" s="100">
        <v>6073.2</v>
      </c>
      <c r="BV48" s="100">
        <v>8</v>
      </c>
      <c r="BW48" s="100">
        <v>6940.8</v>
      </c>
      <c r="BX48" s="100">
        <v>7</v>
      </c>
      <c r="BY48" s="100">
        <v>6073.2</v>
      </c>
      <c r="BZ48" s="100">
        <v>8</v>
      </c>
      <c r="CA48" s="100">
        <v>6940.8</v>
      </c>
      <c r="CB48" s="100">
        <v>9</v>
      </c>
      <c r="CC48" s="100">
        <v>7808.4000000000005</v>
      </c>
      <c r="CD48" s="100">
        <v>8.5534927870352053</v>
      </c>
      <c r="CE48" s="100">
        <v>7421.0103420317446</v>
      </c>
      <c r="CF48" s="100">
        <v>1.1673053212123121</v>
      </c>
      <c r="CG48" s="100">
        <v>1012.754096683802</v>
      </c>
      <c r="CH48" s="100">
        <v>6.5406487907745214</v>
      </c>
      <c r="CI48" s="100">
        <v>5674.6668908759748</v>
      </c>
      <c r="CJ48" s="100">
        <v>4.4138925543939748E-4</v>
      </c>
      <c r="CK48" s="100">
        <v>0.38294931801922127</v>
      </c>
      <c r="CL48" s="100">
        <v>10</v>
      </c>
      <c r="CM48" s="100">
        <v>8676</v>
      </c>
      <c r="CN48" s="100">
        <v>8</v>
      </c>
      <c r="CO48" s="100">
        <v>6940.8</v>
      </c>
      <c r="CP48" s="100">
        <v>8</v>
      </c>
      <c r="CQ48" s="100">
        <v>6940.8</v>
      </c>
      <c r="CR48" s="100">
        <v>7.5905779478753281</v>
      </c>
      <c r="CS48" s="100">
        <v>6585.5854275766351</v>
      </c>
      <c r="CT48" s="100">
        <v>5.3464640726337382</v>
      </c>
      <c r="CU48" s="100">
        <v>4638.5922294170314</v>
      </c>
    </row>
    <row r="49" spans="2:99">
      <c r="B49" s="99" t="s">
        <v>129</v>
      </c>
      <c r="C49" s="99" t="s">
        <v>215</v>
      </c>
      <c r="D49" s="100">
        <v>3.6270388545104661</v>
      </c>
      <c r="E49" s="100">
        <v>3573.3586794637108</v>
      </c>
      <c r="F49" s="100">
        <v>2.0003185401528656</v>
      </c>
      <c r="G49" s="100">
        <v>1970.713825758603</v>
      </c>
      <c r="H49" s="100">
        <v>4.9738872427785026</v>
      </c>
      <c r="I49" s="100">
        <v>4900.2737115853806</v>
      </c>
      <c r="J49" s="100">
        <v>4.6132864962546272</v>
      </c>
      <c r="K49" s="100">
        <v>4545.0098561100585</v>
      </c>
      <c r="L49" s="100">
        <v>3.0332173889148852</v>
      </c>
      <c r="M49" s="100">
        <v>2988.3257715589448</v>
      </c>
      <c r="N49" s="100">
        <v>4.0683219720160019E-4</v>
      </c>
      <c r="O49" s="100">
        <v>0.40081108068301646</v>
      </c>
      <c r="P49" s="100">
        <v>5.5431648528206221</v>
      </c>
      <c r="Q49" s="100">
        <v>5461.1260129988768</v>
      </c>
      <c r="R49" s="100">
        <v>4.1831593716125868</v>
      </c>
      <c r="S49" s="100">
        <v>4121.2486129127201</v>
      </c>
      <c r="T49" s="100">
        <v>3.4751162418033883</v>
      </c>
      <c r="U49" s="100">
        <v>3423.6845214246978</v>
      </c>
      <c r="V49" s="100">
        <v>3.5011840663092126</v>
      </c>
      <c r="W49" s="100">
        <v>3449.3665421278361</v>
      </c>
      <c r="X49" s="100">
        <v>3.1271972969965574</v>
      </c>
      <c r="Y49" s="100">
        <v>3080.9147770010081</v>
      </c>
      <c r="Z49" s="100">
        <v>5.5696805337825106</v>
      </c>
      <c r="AA49" s="100">
        <v>5487.249261882529</v>
      </c>
      <c r="AB49" s="100">
        <v>2.4961643223337724</v>
      </c>
      <c r="AC49" s="100">
        <v>2459.2210903632322</v>
      </c>
      <c r="AD49" s="100">
        <v>4.0406261024469332</v>
      </c>
      <c r="AE49" s="100">
        <v>3980.8248361307183</v>
      </c>
      <c r="AF49" s="100">
        <v>6.2797716366896568</v>
      </c>
      <c r="AG49" s="100">
        <v>6186.8310164666491</v>
      </c>
      <c r="AH49" s="100">
        <v>3.4002170304243187</v>
      </c>
      <c r="AI49" s="100">
        <v>3349.8938183740383</v>
      </c>
      <c r="AJ49" s="100">
        <v>2.2780528766929575</v>
      </c>
      <c r="AK49" s="100">
        <v>2244.3376941179017</v>
      </c>
      <c r="AL49" s="100">
        <v>4.6718123113921006</v>
      </c>
      <c r="AM49" s="100">
        <v>4602.6694891834968</v>
      </c>
      <c r="AN49" s="100">
        <v>2.7283656546438908</v>
      </c>
      <c r="AO49" s="100">
        <v>2687.9858429551609</v>
      </c>
      <c r="AP49" s="100">
        <v>5</v>
      </c>
      <c r="AQ49" s="100">
        <v>4926</v>
      </c>
      <c r="AR49" s="100">
        <v>5</v>
      </c>
      <c r="AS49" s="100">
        <v>4926</v>
      </c>
      <c r="AT49" s="100">
        <v>4</v>
      </c>
      <c r="AU49" s="100">
        <v>3940.7999999999997</v>
      </c>
      <c r="AV49" s="100">
        <v>6.0536792074761276</v>
      </c>
      <c r="AW49" s="100">
        <v>5964.0847552054802</v>
      </c>
      <c r="AX49" s="100">
        <v>5.329113465216297</v>
      </c>
      <c r="AY49" s="100">
        <v>5250.2425859310952</v>
      </c>
      <c r="AZ49" s="100">
        <v>4.2962501263996256</v>
      </c>
      <c r="BA49" s="100">
        <v>4232.6656245289105</v>
      </c>
      <c r="BB49" s="100">
        <v>4.2131756309786539</v>
      </c>
      <c r="BC49" s="100">
        <v>4150.8206316401693</v>
      </c>
      <c r="BD49" s="100">
        <v>2.023033256130764</v>
      </c>
      <c r="BE49" s="100">
        <v>1993.0923639400285</v>
      </c>
      <c r="BF49" s="100">
        <v>6</v>
      </c>
      <c r="BG49" s="100">
        <v>5911.2</v>
      </c>
      <c r="BH49" s="100">
        <v>4.2008649150703263</v>
      </c>
      <c r="BI49" s="100">
        <v>4138.6921143272848</v>
      </c>
      <c r="BJ49" s="100">
        <v>3.3263097248632087</v>
      </c>
      <c r="BK49" s="100">
        <v>3277.0803409352329</v>
      </c>
      <c r="BL49" s="100">
        <v>3.286537355500796</v>
      </c>
      <c r="BM49" s="100">
        <v>3237.8966026393841</v>
      </c>
      <c r="BN49" s="100">
        <v>3.2393392786438149</v>
      </c>
      <c r="BO49" s="100">
        <v>3191.3970573198862</v>
      </c>
      <c r="BP49" s="100">
        <v>5</v>
      </c>
      <c r="BQ49" s="100">
        <v>4926</v>
      </c>
      <c r="BR49" s="100">
        <v>4</v>
      </c>
      <c r="BS49" s="100">
        <v>3940.7999999999997</v>
      </c>
      <c r="BT49" s="100">
        <v>6</v>
      </c>
      <c r="BU49" s="100">
        <v>5911.2</v>
      </c>
      <c r="BV49" s="100">
        <v>7</v>
      </c>
      <c r="BW49" s="100">
        <v>6896.4</v>
      </c>
      <c r="BX49" s="100">
        <v>4</v>
      </c>
      <c r="BY49" s="100">
        <v>3940.7999999999997</v>
      </c>
      <c r="BZ49" s="100">
        <v>6.5381977837802738</v>
      </c>
      <c r="CA49" s="100">
        <v>6441.4324565803254</v>
      </c>
      <c r="CB49" s="100">
        <v>4.3520717495781049</v>
      </c>
      <c r="CC49" s="100">
        <v>4287.6610876843488</v>
      </c>
      <c r="CD49" s="100">
        <v>4</v>
      </c>
      <c r="CE49" s="100">
        <v>3940.7999999999997</v>
      </c>
      <c r="CF49" s="100">
        <v>5.2840582890417487</v>
      </c>
      <c r="CG49" s="100">
        <v>5205.8542263639301</v>
      </c>
      <c r="CH49" s="100">
        <v>3.3236785793005996</v>
      </c>
      <c r="CI49" s="100">
        <v>3274.4881363269506</v>
      </c>
      <c r="CJ49" s="100">
        <v>5</v>
      </c>
      <c r="CK49" s="100">
        <v>4926</v>
      </c>
      <c r="CL49" s="100">
        <v>4.7443044046067158</v>
      </c>
      <c r="CM49" s="100">
        <v>4674.0886994185357</v>
      </c>
      <c r="CN49" s="100">
        <v>1.9266640131792081</v>
      </c>
      <c r="CO49" s="100">
        <v>1898.1493857841556</v>
      </c>
      <c r="CP49" s="100">
        <v>5.9981792078889384</v>
      </c>
      <c r="CQ49" s="100">
        <v>5909.4061556121815</v>
      </c>
      <c r="CR49" s="100">
        <v>2.1138688855799512</v>
      </c>
      <c r="CS49" s="100">
        <v>2082.5836260733677</v>
      </c>
      <c r="CT49" s="100">
        <v>6.51528288167356</v>
      </c>
      <c r="CU49" s="100">
        <v>6418.8566950247905</v>
      </c>
    </row>
    <row r="50" spans="2:99">
      <c r="C50" s="99" t="s">
        <v>216</v>
      </c>
      <c r="D50" s="100">
        <v>5.223485308896743</v>
      </c>
      <c r="E50" s="100">
        <v>1473.0228571088815</v>
      </c>
      <c r="F50" s="100">
        <v>5.6062238171060637</v>
      </c>
      <c r="G50" s="100">
        <v>1580.9551164239099</v>
      </c>
      <c r="H50" s="100">
        <v>3.9847641116056717E-4</v>
      </c>
      <c r="I50" s="100">
        <v>0.11237034794727994</v>
      </c>
      <c r="J50" s="100">
        <v>5</v>
      </c>
      <c r="K50" s="100">
        <v>1410</v>
      </c>
      <c r="L50" s="100">
        <v>4.2023437727978434</v>
      </c>
      <c r="M50" s="100">
        <v>1185.0609439289919</v>
      </c>
      <c r="N50" s="100">
        <v>6.1655521112583669</v>
      </c>
      <c r="O50" s="100">
        <v>1738.6856953748595</v>
      </c>
      <c r="P50" s="100">
        <v>4.3399213849423735</v>
      </c>
      <c r="Q50" s="100">
        <v>1223.8578305537494</v>
      </c>
      <c r="R50" s="100">
        <v>1.055429378883594</v>
      </c>
      <c r="S50" s="100">
        <v>297.63108484517352</v>
      </c>
      <c r="T50" s="100">
        <v>6</v>
      </c>
      <c r="U50" s="100">
        <v>1692</v>
      </c>
      <c r="V50" s="100">
        <v>4.5085900363069555</v>
      </c>
      <c r="W50" s="100">
        <v>1271.4223902385615</v>
      </c>
      <c r="X50" s="100">
        <v>3.8069823281648035E-4</v>
      </c>
      <c r="Y50" s="100">
        <v>0.10735690165424745</v>
      </c>
      <c r="Z50" s="100">
        <v>6</v>
      </c>
      <c r="AA50" s="100">
        <v>1692</v>
      </c>
      <c r="AB50" s="100">
        <v>5</v>
      </c>
      <c r="AC50" s="100">
        <v>1410</v>
      </c>
      <c r="AD50" s="100">
        <v>5</v>
      </c>
      <c r="AE50" s="100">
        <v>1410</v>
      </c>
      <c r="AF50" s="100">
        <v>7</v>
      </c>
      <c r="AG50" s="100">
        <v>1974</v>
      </c>
      <c r="AH50" s="100">
        <v>5</v>
      </c>
      <c r="AI50" s="100">
        <v>1410</v>
      </c>
      <c r="AJ50" s="100">
        <v>6</v>
      </c>
      <c r="AK50" s="100">
        <v>1692</v>
      </c>
      <c r="AL50" s="100">
        <v>5</v>
      </c>
      <c r="AM50" s="100">
        <v>1410</v>
      </c>
      <c r="AN50" s="100">
        <v>5</v>
      </c>
      <c r="AO50" s="100">
        <v>1410</v>
      </c>
      <c r="AP50" s="100">
        <v>5.349336641438569</v>
      </c>
      <c r="AQ50" s="100">
        <v>1508.5129328856765</v>
      </c>
      <c r="AR50" s="100">
        <v>0.10336903283409325</v>
      </c>
      <c r="AS50" s="100">
        <v>29.150067259214296</v>
      </c>
      <c r="AT50" s="100">
        <v>4</v>
      </c>
      <c r="AU50" s="100">
        <v>1128</v>
      </c>
      <c r="AV50" s="100">
        <v>6</v>
      </c>
      <c r="AW50" s="100">
        <v>1692</v>
      </c>
      <c r="AX50" s="100">
        <v>6.3495128128868128</v>
      </c>
      <c r="AY50" s="100">
        <v>1790.5626132340813</v>
      </c>
      <c r="AZ50" s="100">
        <v>4.3948370801267078</v>
      </c>
      <c r="BA50" s="100">
        <v>1239.3440565957317</v>
      </c>
      <c r="BB50" s="100">
        <v>3.6187196527882932</v>
      </c>
      <c r="BC50" s="100">
        <v>1020.4789420862987</v>
      </c>
      <c r="BD50" s="100">
        <v>4.508947734517724</v>
      </c>
      <c r="BE50" s="100">
        <v>1271.5232611339982</v>
      </c>
      <c r="BF50" s="100">
        <v>5</v>
      </c>
      <c r="BG50" s="100">
        <v>1410</v>
      </c>
      <c r="BH50" s="100">
        <v>4</v>
      </c>
      <c r="BI50" s="100">
        <v>1128</v>
      </c>
      <c r="BJ50" s="100">
        <v>3</v>
      </c>
      <c r="BK50" s="100">
        <v>846</v>
      </c>
      <c r="BL50" s="100">
        <v>4.3246882419920922</v>
      </c>
      <c r="BM50" s="100">
        <v>1219.56208424177</v>
      </c>
      <c r="BN50" s="100">
        <v>4.8040250111637262</v>
      </c>
      <c r="BO50" s="100">
        <v>1354.7350531481707</v>
      </c>
      <c r="BP50" s="100">
        <v>2.6959101463283388</v>
      </c>
      <c r="BQ50" s="100">
        <v>760.24666126459158</v>
      </c>
      <c r="BR50" s="100">
        <v>0.88835368570124895</v>
      </c>
      <c r="BS50" s="100">
        <v>250.51573936775222</v>
      </c>
      <c r="BT50" s="100">
        <v>6</v>
      </c>
      <c r="BU50" s="100">
        <v>1692</v>
      </c>
      <c r="BV50" s="100">
        <v>7</v>
      </c>
      <c r="BW50" s="100">
        <v>1974</v>
      </c>
      <c r="BX50" s="100">
        <v>4</v>
      </c>
      <c r="BY50" s="100">
        <v>1128</v>
      </c>
      <c r="BZ50" s="100">
        <v>6</v>
      </c>
      <c r="CA50" s="100">
        <v>1692</v>
      </c>
      <c r="CB50" s="100">
        <v>5</v>
      </c>
      <c r="CC50" s="100">
        <v>1410</v>
      </c>
      <c r="CD50" s="100">
        <v>4.3689951913568033</v>
      </c>
      <c r="CE50" s="100">
        <v>1232.0566439626184</v>
      </c>
      <c r="CF50" s="100">
        <v>0.97275443434359354</v>
      </c>
      <c r="CG50" s="100">
        <v>274.31675048489336</v>
      </c>
      <c r="CH50" s="100">
        <v>2.8284673855451676</v>
      </c>
      <c r="CI50" s="100">
        <v>797.62780272373732</v>
      </c>
      <c r="CJ50" s="100">
        <v>2.7586828464962339E-4</v>
      </c>
      <c r="CK50" s="100">
        <v>7.7794856271193799E-2</v>
      </c>
      <c r="CL50" s="100">
        <v>6</v>
      </c>
      <c r="CM50" s="100">
        <v>1692</v>
      </c>
      <c r="CN50" s="100">
        <v>6</v>
      </c>
      <c r="CO50" s="100">
        <v>1692</v>
      </c>
      <c r="CP50" s="100">
        <v>6</v>
      </c>
      <c r="CQ50" s="100">
        <v>1692</v>
      </c>
      <c r="CR50" s="100">
        <v>5.6929334609064952</v>
      </c>
      <c r="CS50" s="100">
        <v>1605.4072359756317</v>
      </c>
      <c r="CT50" s="100">
        <v>5.3730495679912504</v>
      </c>
      <c r="CU50" s="100">
        <v>1515.1999781735326</v>
      </c>
    </row>
    <row r="51" spans="2:99">
      <c r="C51" s="99" t="s">
        <v>217</v>
      </c>
      <c r="D51" s="100">
        <v>4.223485308896743</v>
      </c>
      <c r="E51" s="100">
        <v>3608.5458479213771</v>
      </c>
      <c r="F51" s="100">
        <v>5.6062238171060637</v>
      </c>
      <c r="G51" s="100">
        <v>4789.9576293354203</v>
      </c>
      <c r="H51" s="100">
        <v>3.9847641116056717E-4</v>
      </c>
      <c r="I51" s="100">
        <v>0.34045824569558858</v>
      </c>
      <c r="J51" s="100">
        <v>4</v>
      </c>
      <c r="K51" s="100">
        <v>3417.6</v>
      </c>
      <c r="L51" s="100">
        <v>4.1798611313758602</v>
      </c>
      <c r="M51" s="100">
        <v>3571.2733506475347</v>
      </c>
      <c r="N51" s="100">
        <v>5.1986625335100403</v>
      </c>
      <c r="O51" s="100">
        <v>4441.7372686309782</v>
      </c>
      <c r="P51" s="100">
        <v>4.3116555711099211</v>
      </c>
      <c r="Q51" s="100">
        <v>3683.8785199563167</v>
      </c>
      <c r="R51" s="100">
        <v>1.055429378883594</v>
      </c>
      <c r="S51" s="100">
        <v>901.75886131814275</v>
      </c>
      <c r="T51" s="100">
        <v>5</v>
      </c>
      <c r="U51" s="100">
        <v>4272</v>
      </c>
      <c r="V51" s="100">
        <v>4.4950335886785702</v>
      </c>
      <c r="W51" s="100">
        <v>3840.5566981669704</v>
      </c>
      <c r="X51" s="100">
        <v>3.1724852734706696E-4</v>
      </c>
      <c r="Y51" s="100">
        <v>0.27105714176533402</v>
      </c>
      <c r="Z51" s="100">
        <v>7</v>
      </c>
      <c r="AA51" s="100">
        <v>5980.8</v>
      </c>
      <c r="AB51" s="100">
        <v>5</v>
      </c>
      <c r="AC51" s="100">
        <v>4272</v>
      </c>
      <c r="AD51" s="100">
        <v>6</v>
      </c>
      <c r="AE51" s="100">
        <v>5126.3999999999996</v>
      </c>
      <c r="AF51" s="100">
        <v>7</v>
      </c>
      <c r="AG51" s="100">
        <v>5980.8</v>
      </c>
      <c r="AH51" s="100">
        <v>5</v>
      </c>
      <c r="AI51" s="100">
        <v>4272</v>
      </c>
      <c r="AJ51" s="100">
        <v>5</v>
      </c>
      <c r="AK51" s="100">
        <v>4272</v>
      </c>
      <c r="AL51" s="100">
        <v>4</v>
      </c>
      <c r="AM51" s="100">
        <v>3417.6</v>
      </c>
      <c r="AN51" s="100">
        <v>5</v>
      </c>
      <c r="AO51" s="100">
        <v>4272</v>
      </c>
      <c r="AP51" s="100">
        <v>4.2994314069473454</v>
      </c>
      <c r="AQ51" s="100">
        <v>3673.434194095812</v>
      </c>
      <c r="AR51" s="100">
        <v>0.12404283940091192</v>
      </c>
      <c r="AS51" s="100">
        <v>105.98220198413914</v>
      </c>
      <c r="AT51" s="100">
        <v>4</v>
      </c>
      <c r="AU51" s="100">
        <v>3417.6</v>
      </c>
      <c r="AV51" s="100">
        <v>6</v>
      </c>
      <c r="AW51" s="100">
        <v>5126.3999999999996</v>
      </c>
      <c r="AX51" s="100">
        <v>6.3495128128868128</v>
      </c>
      <c r="AY51" s="100">
        <v>5425.0237473304924</v>
      </c>
      <c r="AZ51" s="100">
        <v>4.3948370801267078</v>
      </c>
      <c r="BA51" s="100">
        <v>3754.9488012602592</v>
      </c>
      <c r="BB51" s="100">
        <v>3.6187196527882932</v>
      </c>
      <c r="BC51" s="100">
        <v>3091.8340713423177</v>
      </c>
      <c r="BD51" s="100">
        <v>4.508947734517724</v>
      </c>
      <c r="BE51" s="100">
        <v>3852.4449443719432</v>
      </c>
      <c r="BF51" s="100">
        <v>5</v>
      </c>
      <c r="BG51" s="100">
        <v>4272</v>
      </c>
      <c r="BH51" s="100">
        <v>4</v>
      </c>
      <c r="BI51" s="100">
        <v>3417.6</v>
      </c>
      <c r="BJ51" s="100">
        <v>4</v>
      </c>
      <c r="BK51" s="100">
        <v>3417.6</v>
      </c>
      <c r="BL51" s="100">
        <v>5.2886117706596369</v>
      </c>
      <c r="BM51" s="100">
        <v>4518.5898968515939</v>
      </c>
      <c r="BN51" s="100">
        <v>4.7744045422651551</v>
      </c>
      <c r="BO51" s="100">
        <v>4079.2512409113483</v>
      </c>
      <c r="BP51" s="100">
        <v>2.2580112264283483</v>
      </c>
      <c r="BQ51" s="100">
        <v>1929.2447918603807</v>
      </c>
      <c r="BR51" s="100">
        <v>0.88835368570124895</v>
      </c>
      <c r="BS51" s="100">
        <v>759.00938906314707</v>
      </c>
      <c r="BT51" s="100">
        <v>6</v>
      </c>
      <c r="BU51" s="100">
        <v>5126.3999999999996</v>
      </c>
      <c r="BV51" s="100">
        <v>6</v>
      </c>
      <c r="BW51" s="100">
        <v>5126.3999999999996</v>
      </c>
      <c r="BX51" s="100">
        <v>4</v>
      </c>
      <c r="BY51" s="100">
        <v>3417.6</v>
      </c>
      <c r="BZ51" s="100">
        <v>7</v>
      </c>
      <c r="CA51" s="100">
        <v>5980.8</v>
      </c>
      <c r="CB51" s="100">
        <v>5</v>
      </c>
      <c r="CC51" s="100">
        <v>4272</v>
      </c>
      <c r="CD51" s="100">
        <v>4.4427942296281637</v>
      </c>
      <c r="CE51" s="100">
        <v>3795.9233897943031</v>
      </c>
      <c r="CF51" s="100">
        <v>0.77820354747487486</v>
      </c>
      <c r="CG51" s="100">
        <v>664.89711096253302</v>
      </c>
      <c r="CH51" s="100">
        <v>3.737513594728298</v>
      </c>
      <c r="CI51" s="100">
        <v>3193.3316153358578</v>
      </c>
      <c r="CJ51" s="100">
        <v>2.2069462771969874E-4</v>
      </c>
      <c r="CK51" s="100">
        <v>0.18856148992371061</v>
      </c>
      <c r="CL51" s="100">
        <v>5</v>
      </c>
      <c r="CM51" s="100">
        <v>4272</v>
      </c>
      <c r="CN51" s="100">
        <v>5</v>
      </c>
      <c r="CO51" s="100">
        <v>4272</v>
      </c>
      <c r="CP51" s="100">
        <v>5</v>
      </c>
      <c r="CQ51" s="100">
        <v>4272</v>
      </c>
      <c r="CR51" s="100">
        <v>5.6929334609064952</v>
      </c>
      <c r="CS51" s="100">
        <v>4864.0423489985096</v>
      </c>
      <c r="CT51" s="100">
        <v>5.3597568203124952</v>
      </c>
      <c r="CU51" s="100">
        <v>4579.3762272749955</v>
      </c>
    </row>
    <row r="52" spans="2:99">
      <c r="C52" s="99" t="s">
        <v>218</v>
      </c>
      <c r="D52" s="100">
        <v>5.223485308896743</v>
      </c>
      <c r="E52" s="100">
        <v>2820.682066804241</v>
      </c>
      <c r="F52" s="100">
        <v>5.6062238171060637</v>
      </c>
      <c r="G52" s="100">
        <v>3027.3608612372745</v>
      </c>
      <c r="H52" s="100">
        <v>3.9847641116056717E-4</v>
      </c>
      <c r="I52" s="100">
        <v>0.21517726202670626</v>
      </c>
      <c r="J52" s="100">
        <v>5</v>
      </c>
      <c r="K52" s="100">
        <v>2700</v>
      </c>
      <c r="L52" s="100">
        <v>4.1798611313758602</v>
      </c>
      <c r="M52" s="100">
        <v>2257.1250109429643</v>
      </c>
      <c r="N52" s="100">
        <v>5.1655521112583669</v>
      </c>
      <c r="O52" s="100">
        <v>2789.3981400795183</v>
      </c>
      <c r="P52" s="100">
        <v>4.3116555711099211</v>
      </c>
      <c r="Q52" s="100">
        <v>2328.2940083993576</v>
      </c>
      <c r="R52" s="100">
        <v>1.055429378883594</v>
      </c>
      <c r="S52" s="100">
        <v>569.93186459714082</v>
      </c>
      <c r="T52" s="100">
        <v>5</v>
      </c>
      <c r="U52" s="100">
        <v>2700</v>
      </c>
      <c r="V52" s="100">
        <v>4.5085900363069555</v>
      </c>
      <c r="W52" s="100">
        <v>2434.638619605756</v>
      </c>
      <c r="X52" s="100">
        <v>3.1724852734706696E-4</v>
      </c>
      <c r="Y52" s="100">
        <v>0.17131420476741616</v>
      </c>
      <c r="Z52" s="100">
        <v>6</v>
      </c>
      <c r="AA52" s="100">
        <v>3240</v>
      </c>
      <c r="AB52" s="100">
        <v>5</v>
      </c>
      <c r="AC52" s="100">
        <v>2700</v>
      </c>
      <c r="AD52" s="100">
        <v>6</v>
      </c>
      <c r="AE52" s="100">
        <v>3240</v>
      </c>
      <c r="AF52" s="100">
        <v>7</v>
      </c>
      <c r="AG52" s="100">
        <v>3780</v>
      </c>
      <c r="AH52" s="100">
        <v>6</v>
      </c>
      <c r="AI52" s="100">
        <v>3240</v>
      </c>
      <c r="AJ52" s="100">
        <v>5</v>
      </c>
      <c r="AK52" s="100">
        <v>2700</v>
      </c>
      <c r="AL52" s="100">
        <v>5</v>
      </c>
      <c r="AM52" s="100">
        <v>2700</v>
      </c>
      <c r="AN52" s="100">
        <v>6</v>
      </c>
      <c r="AO52" s="100">
        <v>3240</v>
      </c>
      <c r="AP52" s="100">
        <v>5.2994314069473454</v>
      </c>
      <c r="AQ52" s="100">
        <v>2861.6929597515664</v>
      </c>
      <c r="AR52" s="100">
        <v>0.10336903283409325</v>
      </c>
      <c r="AS52" s="100">
        <v>55.819277730410356</v>
      </c>
      <c r="AT52" s="100">
        <v>4</v>
      </c>
      <c r="AU52" s="100">
        <v>2160</v>
      </c>
      <c r="AV52" s="100">
        <v>6</v>
      </c>
      <c r="AW52" s="100">
        <v>3240</v>
      </c>
      <c r="AX52" s="100">
        <v>6.3495128128868128</v>
      </c>
      <c r="AY52" s="100">
        <v>3428.736918958879</v>
      </c>
      <c r="AZ52" s="100">
        <v>3.5158696641013663</v>
      </c>
      <c r="BA52" s="100">
        <v>1898.5696186147377</v>
      </c>
      <c r="BB52" s="100">
        <v>3.6351677430470613</v>
      </c>
      <c r="BC52" s="100">
        <v>1962.9905812454131</v>
      </c>
      <c r="BD52" s="100">
        <v>4.508947734517724</v>
      </c>
      <c r="BE52" s="100">
        <v>2434.8317766395708</v>
      </c>
      <c r="BF52" s="100">
        <v>6</v>
      </c>
      <c r="BG52" s="100">
        <v>3240</v>
      </c>
      <c r="BH52" s="100">
        <v>4</v>
      </c>
      <c r="BI52" s="100">
        <v>2160</v>
      </c>
      <c r="BJ52" s="100">
        <v>3</v>
      </c>
      <c r="BK52" s="100">
        <v>1620</v>
      </c>
      <c r="BL52" s="100">
        <v>5.2525352993271825</v>
      </c>
      <c r="BM52" s="100">
        <v>2836.3690616366785</v>
      </c>
      <c r="BN52" s="100">
        <v>4.7744045422651551</v>
      </c>
      <c r="BO52" s="100">
        <v>2578.1784528231838</v>
      </c>
      <c r="BP52" s="100">
        <v>2.6787809895962411</v>
      </c>
      <c r="BQ52" s="100">
        <v>1446.5417343819702</v>
      </c>
      <c r="BR52" s="100">
        <v>0.88835368570124895</v>
      </c>
      <c r="BS52" s="100">
        <v>479.71099027867444</v>
      </c>
      <c r="BT52" s="100">
        <v>6</v>
      </c>
      <c r="BU52" s="100">
        <v>3240</v>
      </c>
      <c r="BV52" s="100">
        <v>6</v>
      </c>
      <c r="BW52" s="100">
        <v>3240</v>
      </c>
      <c r="BX52" s="100">
        <v>5</v>
      </c>
      <c r="BY52" s="100">
        <v>2700</v>
      </c>
      <c r="BZ52" s="100">
        <v>7</v>
      </c>
      <c r="CA52" s="100">
        <v>3780</v>
      </c>
      <c r="CB52" s="100">
        <v>6</v>
      </c>
      <c r="CC52" s="100">
        <v>3240</v>
      </c>
      <c r="CD52" s="100">
        <v>4.4427942296281637</v>
      </c>
      <c r="CE52" s="100">
        <v>2399.1088839992085</v>
      </c>
      <c r="CF52" s="100">
        <v>0.97275443434359354</v>
      </c>
      <c r="CG52" s="100">
        <v>525.28739454554056</v>
      </c>
      <c r="CH52" s="100">
        <v>2.8284673855451676</v>
      </c>
      <c r="CI52" s="100">
        <v>1527.3723881943906</v>
      </c>
      <c r="CJ52" s="100">
        <v>2.2069462771969874E-4</v>
      </c>
      <c r="CK52" s="100">
        <v>0.11917509896863732</v>
      </c>
      <c r="CL52" s="100">
        <v>6</v>
      </c>
      <c r="CM52" s="100">
        <v>3240</v>
      </c>
      <c r="CN52" s="100">
        <v>5</v>
      </c>
      <c r="CO52" s="100">
        <v>2700</v>
      </c>
      <c r="CP52" s="100">
        <v>5</v>
      </c>
      <c r="CQ52" s="100">
        <v>2700</v>
      </c>
      <c r="CR52" s="100">
        <v>5.6929334609064952</v>
      </c>
      <c r="CS52" s="100">
        <v>3074.1840688895072</v>
      </c>
      <c r="CT52" s="100">
        <v>5.3730495679912504</v>
      </c>
      <c r="CU52" s="100">
        <v>2901.4467667152753</v>
      </c>
    </row>
    <row r="53" spans="2:99">
      <c r="C53" s="99" t="s">
        <v>219</v>
      </c>
      <c r="D53" s="100">
        <v>4.1955496452846495</v>
      </c>
      <c r="E53" s="100">
        <v>1706.7495957017954</v>
      </c>
      <c r="F53" s="100">
        <v>4.6718531809217199</v>
      </c>
      <c r="G53" s="100">
        <v>1900.5098739989558</v>
      </c>
      <c r="H53" s="100">
        <v>3.9847641116056717E-4</v>
      </c>
      <c r="I53" s="100">
        <v>0.16210020406011874</v>
      </c>
      <c r="J53" s="100">
        <v>5</v>
      </c>
      <c r="K53" s="100">
        <v>2034</v>
      </c>
      <c r="L53" s="100">
        <v>4.1798611313758602</v>
      </c>
      <c r="M53" s="100">
        <v>1700.3675082437001</v>
      </c>
      <c r="N53" s="100">
        <v>5.1655521112583669</v>
      </c>
      <c r="O53" s="100">
        <v>2101.3465988599037</v>
      </c>
      <c r="P53" s="100">
        <v>4.3399213849423735</v>
      </c>
      <c r="Q53" s="100">
        <v>1765.4800193945575</v>
      </c>
      <c r="R53" s="100">
        <v>1.055429378883594</v>
      </c>
      <c r="S53" s="100">
        <v>429.34867132984607</v>
      </c>
      <c r="T53" s="100">
        <v>5</v>
      </c>
      <c r="U53" s="100">
        <v>2034</v>
      </c>
      <c r="V53" s="100">
        <v>4.4950335886785702</v>
      </c>
      <c r="W53" s="100">
        <v>1828.5796638744423</v>
      </c>
      <c r="X53" s="100">
        <v>3.8069823281648035E-4</v>
      </c>
      <c r="Y53" s="100">
        <v>0.1548680411097442</v>
      </c>
      <c r="Z53" s="100">
        <v>6</v>
      </c>
      <c r="AA53" s="100">
        <v>2440.8000000000002</v>
      </c>
      <c r="AB53" s="100">
        <v>6</v>
      </c>
      <c r="AC53" s="100">
        <v>2440.8000000000002</v>
      </c>
      <c r="AD53" s="100">
        <v>6</v>
      </c>
      <c r="AE53" s="100">
        <v>2440.8000000000002</v>
      </c>
      <c r="AF53" s="100">
        <v>7</v>
      </c>
      <c r="AG53" s="100">
        <v>2847.6</v>
      </c>
      <c r="AH53" s="100">
        <v>6</v>
      </c>
      <c r="AI53" s="100">
        <v>2440.8000000000002</v>
      </c>
      <c r="AJ53" s="100">
        <v>5</v>
      </c>
      <c r="AK53" s="100">
        <v>2034</v>
      </c>
      <c r="AL53" s="100">
        <v>4</v>
      </c>
      <c r="AM53" s="100">
        <v>1627.2</v>
      </c>
      <c r="AN53" s="100">
        <v>5</v>
      </c>
      <c r="AO53" s="100">
        <v>2034</v>
      </c>
      <c r="AP53" s="100">
        <v>5.349336641438569</v>
      </c>
      <c r="AQ53" s="100">
        <v>2176.1101457372101</v>
      </c>
      <c r="AR53" s="100">
        <v>0.10336903283409325</v>
      </c>
      <c r="AS53" s="100">
        <v>42.050522556909137</v>
      </c>
      <c r="AT53" s="100">
        <v>4</v>
      </c>
      <c r="AU53" s="100">
        <v>1627.2</v>
      </c>
      <c r="AV53" s="100">
        <v>6</v>
      </c>
      <c r="AW53" s="100">
        <v>2440.8000000000002</v>
      </c>
      <c r="AX53" s="100">
        <v>7.3495128128868128</v>
      </c>
      <c r="AY53" s="100">
        <v>2989.7818122823555</v>
      </c>
      <c r="AZ53" s="100">
        <v>3.5158696641013663</v>
      </c>
      <c r="BA53" s="100">
        <v>1430.2557793564358</v>
      </c>
      <c r="BB53" s="100">
        <v>3.6516158333058288</v>
      </c>
      <c r="BC53" s="100">
        <v>1485.4773209888112</v>
      </c>
      <c r="BD53" s="100">
        <v>4.508947734517724</v>
      </c>
      <c r="BE53" s="100">
        <v>1834.2399384018102</v>
      </c>
      <c r="BF53" s="100">
        <v>6</v>
      </c>
      <c r="BG53" s="100">
        <v>2440.8000000000002</v>
      </c>
      <c r="BH53" s="100">
        <v>4</v>
      </c>
      <c r="BI53" s="100">
        <v>1627.2</v>
      </c>
      <c r="BJ53" s="100">
        <v>4</v>
      </c>
      <c r="BK53" s="100">
        <v>1627.2</v>
      </c>
      <c r="BL53" s="100">
        <v>5.3246882419920922</v>
      </c>
      <c r="BM53" s="100">
        <v>2166.0831768423832</v>
      </c>
      <c r="BN53" s="100">
        <v>4.7447840733665831</v>
      </c>
      <c r="BO53" s="100">
        <v>1930.1781610455262</v>
      </c>
      <c r="BP53" s="100">
        <v>2.6787809895962411</v>
      </c>
      <c r="BQ53" s="100">
        <v>1089.728106567751</v>
      </c>
      <c r="BR53" s="100">
        <v>0.88835368570124895</v>
      </c>
      <c r="BS53" s="100">
        <v>361.38227934326807</v>
      </c>
      <c r="BT53" s="100">
        <v>6</v>
      </c>
      <c r="BU53" s="100">
        <v>2440.8000000000002</v>
      </c>
      <c r="BV53" s="100">
        <v>7</v>
      </c>
      <c r="BW53" s="100">
        <v>2847.6</v>
      </c>
      <c r="BX53" s="100">
        <v>5</v>
      </c>
      <c r="BY53" s="100">
        <v>2034</v>
      </c>
      <c r="BZ53" s="100">
        <v>6</v>
      </c>
      <c r="CA53" s="100">
        <v>2440.8000000000002</v>
      </c>
      <c r="CB53" s="100">
        <v>5</v>
      </c>
      <c r="CC53" s="100">
        <v>2034</v>
      </c>
      <c r="CD53" s="100">
        <v>4.4427942296281637</v>
      </c>
      <c r="CE53" s="100">
        <v>1807.3286926127371</v>
      </c>
      <c r="CF53" s="100">
        <v>0.97275443434359354</v>
      </c>
      <c r="CG53" s="100">
        <v>395.71650389097385</v>
      </c>
      <c r="CH53" s="100">
        <v>3.737513594728298</v>
      </c>
      <c r="CI53" s="100">
        <v>1520.4205303354718</v>
      </c>
      <c r="CJ53" s="100">
        <v>2.2069462771969874E-4</v>
      </c>
      <c r="CK53" s="100">
        <v>8.9778574556373447E-2</v>
      </c>
      <c r="CL53" s="100">
        <v>6</v>
      </c>
      <c r="CM53" s="100">
        <v>2440.8000000000002</v>
      </c>
      <c r="CN53" s="100">
        <v>6</v>
      </c>
      <c r="CO53" s="100">
        <v>2440.8000000000002</v>
      </c>
      <c r="CP53" s="100">
        <v>6</v>
      </c>
      <c r="CQ53" s="100">
        <v>2440.8000000000002</v>
      </c>
      <c r="CR53" s="100">
        <v>5.6929334609064952</v>
      </c>
      <c r="CS53" s="100">
        <v>2315.8853318967622</v>
      </c>
      <c r="CT53" s="100">
        <v>5.3464640726337382</v>
      </c>
      <c r="CU53" s="100">
        <v>2174.9415847474047</v>
      </c>
    </row>
    <row r="54" spans="2:99">
      <c r="C54" s="99" t="s">
        <v>220</v>
      </c>
      <c r="D54" s="100">
        <v>5.223485308896743</v>
      </c>
      <c r="E54" s="100">
        <v>1748.8228814186295</v>
      </c>
      <c r="F54" s="100">
        <v>5.6062238171060637</v>
      </c>
      <c r="G54" s="100">
        <v>1876.9637339671101</v>
      </c>
      <c r="H54" s="100">
        <v>3.9847641116056717E-4</v>
      </c>
      <c r="I54" s="100">
        <v>0.1334099024565579</v>
      </c>
      <c r="J54" s="100">
        <v>4</v>
      </c>
      <c r="K54" s="100">
        <v>1339.2</v>
      </c>
      <c r="L54" s="100">
        <v>4.2023437727978434</v>
      </c>
      <c r="M54" s="100">
        <v>1406.9446951327179</v>
      </c>
      <c r="N54" s="100">
        <v>6.1986625335100403</v>
      </c>
      <c r="O54" s="100">
        <v>2075.3122162191617</v>
      </c>
      <c r="P54" s="100">
        <v>4.3116555711099211</v>
      </c>
      <c r="Q54" s="100">
        <v>1443.5422852076017</v>
      </c>
      <c r="R54" s="100">
        <v>1.055429378883594</v>
      </c>
      <c r="S54" s="100">
        <v>353.35775605022729</v>
      </c>
      <c r="T54" s="100">
        <v>5</v>
      </c>
      <c r="U54" s="100">
        <v>1674</v>
      </c>
      <c r="V54" s="100">
        <v>4.4950335886785702</v>
      </c>
      <c r="W54" s="100">
        <v>1504.9372454895854</v>
      </c>
      <c r="X54" s="100">
        <v>3.8069823281648035E-4</v>
      </c>
      <c r="Y54" s="100">
        <v>0.12745776834695763</v>
      </c>
      <c r="Z54" s="100">
        <v>7</v>
      </c>
      <c r="AA54" s="100">
        <v>2343.6</v>
      </c>
      <c r="AB54" s="100">
        <v>5</v>
      </c>
      <c r="AC54" s="100">
        <v>1674</v>
      </c>
      <c r="AD54" s="100">
        <v>6</v>
      </c>
      <c r="AE54" s="100">
        <v>2008.8000000000002</v>
      </c>
      <c r="AF54" s="100">
        <v>7</v>
      </c>
      <c r="AG54" s="100">
        <v>2343.6</v>
      </c>
      <c r="AH54" s="100">
        <v>6</v>
      </c>
      <c r="AI54" s="100">
        <v>2008.8000000000002</v>
      </c>
      <c r="AJ54" s="100">
        <v>5</v>
      </c>
      <c r="AK54" s="100">
        <v>1674</v>
      </c>
      <c r="AL54" s="100">
        <v>5</v>
      </c>
      <c r="AM54" s="100">
        <v>1674</v>
      </c>
      <c r="AN54" s="100">
        <v>5</v>
      </c>
      <c r="AO54" s="100">
        <v>1674</v>
      </c>
      <c r="AP54" s="100">
        <v>5.2994314069473454</v>
      </c>
      <c r="AQ54" s="100">
        <v>1774.2496350459712</v>
      </c>
      <c r="AR54" s="100">
        <v>0.10336903283409325</v>
      </c>
      <c r="AS54" s="100">
        <v>34.60795219285442</v>
      </c>
      <c r="AT54" s="100">
        <v>4</v>
      </c>
      <c r="AU54" s="100">
        <v>1339.2</v>
      </c>
      <c r="AV54" s="100">
        <v>6</v>
      </c>
      <c r="AW54" s="100">
        <v>2008.8000000000002</v>
      </c>
      <c r="AX54" s="100">
        <v>6.3495128128868128</v>
      </c>
      <c r="AY54" s="100">
        <v>2125.8168897545052</v>
      </c>
      <c r="AZ54" s="100">
        <v>3.5158696641013663</v>
      </c>
      <c r="BA54" s="100">
        <v>1177.1131635411375</v>
      </c>
      <c r="BB54" s="100">
        <v>3.6187196527882932</v>
      </c>
      <c r="BC54" s="100">
        <v>1211.5473397535206</v>
      </c>
      <c r="BD54" s="100">
        <v>4.508947734517724</v>
      </c>
      <c r="BE54" s="100">
        <v>1509.5957015165341</v>
      </c>
      <c r="BF54" s="100">
        <v>6</v>
      </c>
      <c r="BG54" s="100">
        <v>2008.8000000000002</v>
      </c>
      <c r="BH54" s="100">
        <v>4</v>
      </c>
      <c r="BI54" s="100">
        <v>1339.2</v>
      </c>
      <c r="BJ54" s="100">
        <v>4</v>
      </c>
      <c r="BK54" s="100">
        <v>1339.2</v>
      </c>
      <c r="BL54" s="100">
        <v>5.2886117706596369</v>
      </c>
      <c r="BM54" s="100">
        <v>1770.6272208168466</v>
      </c>
      <c r="BN54" s="100">
        <v>4.7744045422651551</v>
      </c>
      <c r="BO54" s="100">
        <v>1598.4706407503741</v>
      </c>
      <c r="BP54" s="100">
        <v>2.6787809895962411</v>
      </c>
      <c r="BQ54" s="100">
        <v>896.85587531682154</v>
      </c>
      <c r="BR54" s="100">
        <v>0.88835368570124895</v>
      </c>
      <c r="BS54" s="100">
        <v>297.42081397277815</v>
      </c>
      <c r="BT54" s="100">
        <v>6</v>
      </c>
      <c r="BU54" s="100">
        <v>2008.8000000000002</v>
      </c>
      <c r="BV54" s="100">
        <v>7</v>
      </c>
      <c r="BW54" s="100">
        <v>2343.6</v>
      </c>
      <c r="BX54" s="100">
        <v>4</v>
      </c>
      <c r="BY54" s="100">
        <v>1339.2</v>
      </c>
      <c r="BZ54" s="100">
        <v>7</v>
      </c>
      <c r="CA54" s="100">
        <v>2343.6</v>
      </c>
      <c r="CB54" s="100">
        <v>5</v>
      </c>
      <c r="CC54" s="100">
        <v>1674</v>
      </c>
      <c r="CD54" s="100">
        <v>4.4427942296281637</v>
      </c>
      <c r="CE54" s="100">
        <v>1487.4475080795094</v>
      </c>
      <c r="CF54" s="100">
        <v>0.97275443434359354</v>
      </c>
      <c r="CG54" s="100">
        <v>325.67818461823515</v>
      </c>
      <c r="CH54" s="100">
        <v>3.7459576578946123</v>
      </c>
      <c r="CI54" s="100">
        <v>1254.1466238631162</v>
      </c>
      <c r="CJ54" s="100">
        <v>2.2069462771969874E-4</v>
      </c>
      <c r="CK54" s="100">
        <v>7.3888561360555147E-2</v>
      </c>
      <c r="CL54" s="100">
        <v>6</v>
      </c>
      <c r="CM54" s="100">
        <v>2008.8000000000002</v>
      </c>
      <c r="CN54" s="100">
        <v>6</v>
      </c>
      <c r="CO54" s="100">
        <v>2008.8000000000002</v>
      </c>
      <c r="CP54" s="100">
        <v>6</v>
      </c>
      <c r="CQ54" s="100">
        <v>2008.8000000000002</v>
      </c>
      <c r="CR54" s="100">
        <v>4.7441112174220796</v>
      </c>
      <c r="CS54" s="100">
        <v>1588.3284355929122</v>
      </c>
      <c r="CT54" s="100">
        <v>4.5041268020168879</v>
      </c>
      <c r="CU54" s="100">
        <v>1507.9816533152541</v>
      </c>
    </row>
    <row r="55" spans="2:99">
      <c r="C55" s="99" t="s">
        <v>221</v>
      </c>
      <c r="D55" s="100">
        <v>4.1955496452846495</v>
      </c>
      <c r="E55" s="100">
        <v>2784.1667446108936</v>
      </c>
      <c r="F55" s="100">
        <v>5.6062238171060637</v>
      </c>
      <c r="G55" s="100">
        <v>3720.290125031584</v>
      </c>
      <c r="H55" s="100">
        <v>3.9847641116056717E-4</v>
      </c>
      <c r="I55" s="100">
        <v>0.26442894644615239</v>
      </c>
      <c r="J55" s="100">
        <v>5</v>
      </c>
      <c r="K55" s="100">
        <v>3318</v>
      </c>
      <c r="L55" s="100">
        <v>4.2023437727978434</v>
      </c>
      <c r="M55" s="100">
        <v>2788.675327628649</v>
      </c>
      <c r="N55" s="100">
        <v>5.1986625335100403</v>
      </c>
      <c r="O55" s="100">
        <v>3449.832457237263</v>
      </c>
      <c r="P55" s="100">
        <v>4.3399213849423735</v>
      </c>
      <c r="Q55" s="100">
        <v>2879.9718310477592</v>
      </c>
      <c r="R55" s="100">
        <v>1.055429378883594</v>
      </c>
      <c r="S55" s="100">
        <v>700.38293582715301</v>
      </c>
      <c r="T55" s="100">
        <v>5</v>
      </c>
      <c r="U55" s="100">
        <v>3318</v>
      </c>
      <c r="V55" s="100">
        <v>3.7639365874033226</v>
      </c>
      <c r="W55" s="100">
        <v>2497.748319400845</v>
      </c>
      <c r="X55" s="100">
        <v>3.1724852734706696E-4</v>
      </c>
      <c r="Y55" s="100">
        <v>0.21052612274751364</v>
      </c>
      <c r="Z55" s="100">
        <v>6</v>
      </c>
      <c r="AA55" s="100">
        <v>3981.6000000000004</v>
      </c>
      <c r="AB55" s="100">
        <v>5</v>
      </c>
      <c r="AC55" s="100">
        <v>3318</v>
      </c>
      <c r="AD55" s="100">
        <v>5</v>
      </c>
      <c r="AE55" s="100">
        <v>3318</v>
      </c>
      <c r="AF55" s="100">
        <v>7</v>
      </c>
      <c r="AG55" s="100">
        <v>4645.2</v>
      </c>
      <c r="AH55" s="100">
        <v>6</v>
      </c>
      <c r="AI55" s="100">
        <v>3981.6000000000004</v>
      </c>
      <c r="AJ55" s="100">
        <v>5</v>
      </c>
      <c r="AK55" s="100">
        <v>3318</v>
      </c>
      <c r="AL55" s="100">
        <v>5</v>
      </c>
      <c r="AM55" s="100">
        <v>3318</v>
      </c>
      <c r="AN55" s="100">
        <v>6</v>
      </c>
      <c r="AO55" s="100">
        <v>3981.6000000000004</v>
      </c>
      <c r="AP55" s="100">
        <v>5.2994314069473454</v>
      </c>
      <c r="AQ55" s="100">
        <v>3516.7026816502585</v>
      </c>
      <c r="AR55" s="100">
        <v>0.10336903283409325</v>
      </c>
      <c r="AS55" s="100">
        <v>68.595690188704282</v>
      </c>
      <c r="AT55" s="100">
        <v>4</v>
      </c>
      <c r="AU55" s="100">
        <v>2654.4</v>
      </c>
      <c r="AV55" s="100">
        <v>7</v>
      </c>
      <c r="AW55" s="100">
        <v>4645.2</v>
      </c>
      <c r="AX55" s="100">
        <v>7.3495128128868128</v>
      </c>
      <c r="AY55" s="100">
        <v>4877.1367026316893</v>
      </c>
      <c r="AZ55" s="100">
        <v>3.5158696641013663</v>
      </c>
      <c r="BA55" s="100">
        <v>2333.1311090976669</v>
      </c>
      <c r="BB55" s="100">
        <v>3.6351677430470613</v>
      </c>
      <c r="BC55" s="100">
        <v>2412.2973142860301</v>
      </c>
      <c r="BD55" s="100">
        <v>3.7574564454314361</v>
      </c>
      <c r="BE55" s="100">
        <v>2493.4480971883013</v>
      </c>
      <c r="BF55" s="100">
        <v>6</v>
      </c>
      <c r="BG55" s="100">
        <v>3981.6000000000004</v>
      </c>
      <c r="BH55" s="100">
        <v>4</v>
      </c>
      <c r="BI55" s="100">
        <v>2654.4</v>
      </c>
      <c r="BJ55" s="100">
        <v>4</v>
      </c>
      <c r="BK55" s="100">
        <v>2654.4</v>
      </c>
      <c r="BL55" s="100">
        <v>5.2886117706596369</v>
      </c>
      <c r="BM55" s="100">
        <v>3509.5227710097352</v>
      </c>
      <c r="BN55" s="100">
        <v>4.0965782460699289</v>
      </c>
      <c r="BO55" s="100">
        <v>2718.4893240920051</v>
      </c>
      <c r="BP55" s="100">
        <v>3.0995507527641344</v>
      </c>
      <c r="BQ55" s="100">
        <v>2056.8618795342795</v>
      </c>
      <c r="BR55" s="100">
        <v>1.1104421071265611</v>
      </c>
      <c r="BS55" s="100">
        <v>736.88938228918596</v>
      </c>
      <c r="BT55" s="100">
        <v>6</v>
      </c>
      <c r="BU55" s="100">
        <v>3981.6000000000004</v>
      </c>
      <c r="BV55" s="100">
        <v>6</v>
      </c>
      <c r="BW55" s="100">
        <v>3981.6000000000004</v>
      </c>
      <c r="BX55" s="100">
        <v>5</v>
      </c>
      <c r="BY55" s="100">
        <v>3318</v>
      </c>
      <c r="BZ55" s="100">
        <v>6</v>
      </c>
      <c r="CA55" s="100">
        <v>3981.6000000000004</v>
      </c>
      <c r="CB55" s="100">
        <v>6</v>
      </c>
      <c r="CC55" s="100">
        <v>3981.6000000000004</v>
      </c>
      <c r="CD55" s="100">
        <v>4.4427942296281637</v>
      </c>
      <c r="CE55" s="100">
        <v>2948.2382507812495</v>
      </c>
      <c r="CF55" s="100">
        <v>0.97275443434359354</v>
      </c>
      <c r="CG55" s="100">
        <v>645.51984263040868</v>
      </c>
      <c r="CH55" s="100">
        <v>3.7459576578946123</v>
      </c>
      <c r="CI55" s="100">
        <v>2485.8175017788649</v>
      </c>
      <c r="CJ55" s="100">
        <v>2.2069462771969874E-4</v>
      </c>
      <c r="CK55" s="100">
        <v>0.1464529549547921</v>
      </c>
      <c r="CL55" s="100">
        <v>6</v>
      </c>
      <c r="CM55" s="100">
        <v>3981.6000000000004</v>
      </c>
      <c r="CN55" s="100">
        <v>6</v>
      </c>
      <c r="CO55" s="100">
        <v>3981.6000000000004</v>
      </c>
      <c r="CP55" s="100">
        <v>6</v>
      </c>
      <c r="CQ55" s="100">
        <v>3981.6000000000004</v>
      </c>
      <c r="CR55" s="100">
        <v>5.6929334609064952</v>
      </c>
      <c r="CS55" s="100">
        <v>3777.8306446575502</v>
      </c>
      <c r="CT55" s="100">
        <v>5.3597568203124952</v>
      </c>
      <c r="CU55" s="100">
        <v>3556.7346259593719</v>
      </c>
    </row>
    <row r="56" spans="2:99">
      <c r="C56" s="99" t="s">
        <v>222</v>
      </c>
      <c r="D56" s="100">
        <v>3.718627520523647</v>
      </c>
      <c r="E56" s="100">
        <v>3650.2047741460115</v>
      </c>
      <c r="F56" s="100">
        <v>3.3510375445953779</v>
      </c>
      <c r="G56" s="100">
        <v>3289.3784537748229</v>
      </c>
      <c r="H56" s="100">
        <v>2.7378937626189699</v>
      </c>
      <c r="I56" s="100">
        <v>2687.5165173867804</v>
      </c>
      <c r="J56" s="100">
        <v>3.3060751707316616</v>
      </c>
      <c r="K56" s="100">
        <v>3245.2433875901988</v>
      </c>
      <c r="L56" s="100">
        <v>2.1075373763163054</v>
      </c>
      <c r="M56" s="100">
        <v>2068.758688592085</v>
      </c>
      <c r="N56" s="100">
        <v>1.4657332568921555</v>
      </c>
      <c r="O56" s="100">
        <v>1438.7637649653398</v>
      </c>
      <c r="P56" s="100">
        <v>3.8033803621924034</v>
      </c>
      <c r="Q56" s="100">
        <v>3733.3981635280629</v>
      </c>
      <c r="R56" s="100">
        <v>2.1995102662684136</v>
      </c>
      <c r="S56" s="100">
        <v>2159.0392773690746</v>
      </c>
      <c r="T56" s="100">
        <v>2.511869317595171</v>
      </c>
      <c r="U56" s="100">
        <v>2465.6509221514198</v>
      </c>
      <c r="V56" s="100">
        <v>3.0254645420923518</v>
      </c>
      <c r="W56" s="100">
        <v>2969.7959945178523</v>
      </c>
      <c r="X56" s="100">
        <v>3.5074818303517135</v>
      </c>
      <c r="Y56" s="100">
        <v>3442.9441646732416</v>
      </c>
      <c r="Z56" s="100">
        <v>2.131666795902396</v>
      </c>
      <c r="AA56" s="100">
        <v>2092.4441268577916</v>
      </c>
      <c r="AB56" s="100">
        <v>1.8892679699194064</v>
      </c>
      <c r="AC56" s="100">
        <v>1854.5054392728891</v>
      </c>
      <c r="AD56" s="100">
        <v>3.8093094602613182</v>
      </c>
      <c r="AE56" s="100">
        <v>3739.2181661925097</v>
      </c>
      <c r="AF56" s="100">
        <v>5.5270669769646759</v>
      </c>
      <c r="AG56" s="100">
        <v>5425.3689445885257</v>
      </c>
      <c r="AH56" s="100">
        <v>3.9265032436458047</v>
      </c>
      <c r="AI56" s="100">
        <v>3854.2555839627216</v>
      </c>
      <c r="AJ56" s="100">
        <v>0.26889182080751506</v>
      </c>
      <c r="AK56" s="100">
        <v>263.94421130465673</v>
      </c>
      <c r="AL56" s="100">
        <v>4</v>
      </c>
      <c r="AM56" s="100">
        <v>3926.3999999999996</v>
      </c>
      <c r="AN56" s="100">
        <v>4.325124324898769</v>
      </c>
      <c r="AO56" s="100">
        <v>4245.5420373206316</v>
      </c>
      <c r="AP56" s="100">
        <v>3.9259534440923081</v>
      </c>
      <c r="AQ56" s="100">
        <v>3853.7159007210093</v>
      </c>
      <c r="AR56" s="100">
        <v>2.5052915304710321</v>
      </c>
      <c r="AS56" s="100">
        <v>2459.1941663103648</v>
      </c>
      <c r="AT56" s="100">
        <v>2.3320196602344234</v>
      </c>
      <c r="AU56" s="100">
        <v>2289.1104984861099</v>
      </c>
      <c r="AV56" s="100">
        <v>0.34749096842817334</v>
      </c>
      <c r="AW56" s="100">
        <v>341.09713460909489</v>
      </c>
      <c r="AX56" s="100">
        <v>6.3485647353145245</v>
      </c>
      <c r="AY56" s="100">
        <v>6231.7511441847364</v>
      </c>
      <c r="AZ56" s="100">
        <v>2.2310771343760951</v>
      </c>
      <c r="BA56" s="100">
        <v>2190.0253151035749</v>
      </c>
      <c r="BB56" s="100">
        <v>3.5612408532315496</v>
      </c>
      <c r="BC56" s="100">
        <v>3495.7140215320887</v>
      </c>
      <c r="BD56" s="100">
        <v>6</v>
      </c>
      <c r="BE56" s="100">
        <v>5889.5999999999995</v>
      </c>
      <c r="BF56" s="100">
        <v>4.1650560172662665</v>
      </c>
      <c r="BG56" s="100">
        <v>4088.4189865485669</v>
      </c>
      <c r="BH56" s="100">
        <v>2.2017396735142536</v>
      </c>
      <c r="BI56" s="100">
        <v>2161.2276635215912</v>
      </c>
      <c r="BJ56" s="100">
        <v>2.7861825753279592</v>
      </c>
      <c r="BK56" s="100">
        <v>2734.9168159419246</v>
      </c>
      <c r="BL56" s="100">
        <v>0.20138281047711767</v>
      </c>
      <c r="BM56" s="100">
        <v>197.6773667643387</v>
      </c>
      <c r="BN56" s="100">
        <v>6</v>
      </c>
      <c r="BO56" s="100">
        <v>5889.5999999999995</v>
      </c>
      <c r="BP56" s="100">
        <v>6</v>
      </c>
      <c r="BQ56" s="100">
        <v>5889.5999999999995</v>
      </c>
      <c r="BR56" s="100">
        <v>3.1751529052756324</v>
      </c>
      <c r="BS56" s="100">
        <v>3116.7300918185606</v>
      </c>
      <c r="BT56" s="100">
        <v>3.0133379592092893</v>
      </c>
      <c r="BU56" s="100">
        <v>2957.8925407598381</v>
      </c>
      <c r="BV56" s="100">
        <v>4.1293060388730929</v>
      </c>
      <c r="BW56" s="100">
        <v>4053.3268077578277</v>
      </c>
      <c r="BX56" s="100">
        <v>2.8518031378511366</v>
      </c>
      <c r="BY56" s="100">
        <v>2799.3299601146755</v>
      </c>
      <c r="BZ56" s="100">
        <v>4.2795265425624143</v>
      </c>
      <c r="CA56" s="100">
        <v>4200.7832541792659</v>
      </c>
      <c r="CB56" s="100">
        <v>2.6427729680451972</v>
      </c>
      <c r="CC56" s="100">
        <v>2594.1459454331653</v>
      </c>
      <c r="CD56" s="100">
        <v>2.2981874306187602</v>
      </c>
      <c r="CE56" s="100">
        <v>2255.9007818953746</v>
      </c>
      <c r="CF56" s="100">
        <v>2.3119401410954209E-4</v>
      </c>
      <c r="CG56" s="100">
        <v>0.2269400442499265</v>
      </c>
      <c r="CH56" s="100">
        <v>2.1946213717881733</v>
      </c>
      <c r="CI56" s="100">
        <v>2154.2403385472708</v>
      </c>
      <c r="CJ56" s="100">
        <v>2.0509124278434232</v>
      </c>
      <c r="CK56" s="100">
        <v>2013.175639171104</v>
      </c>
      <c r="CL56" s="100">
        <v>3.4378521537354936</v>
      </c>
      <c r="CM56" s="100">
        <v>3374.5956741067603</v>
      </c>
      <c r="CN56" s="100">
        <v>0.28623968021445151</v>
      </c>
      <c r="CO56" s="100">
        <v>280.97287009850555</v>
      </c>
      <c r="CP56" s="100">
        <v>5</v>
      </c>
      <c r="CQ56" s="100">
        <v>4908</v>
      </c>
      <c r="CR56" s="100">
        <v>4.3571851529506889</v>
      </c>
      <c r="CS56" s="100">
        <v>4277.0129461363958</v>
      </c>
      <c r="CT56" s="100">
        <v>3.4779283563713972</v>
      </c>
      <c r="CU56" s="100">
        <v>3413.9344746141633</v>
      </c>
    </row>
    <row r="57" spans="2:99">
      <c r="C57" s="99" t="s">
        <v>223</v>
      </c>
      <c r="D57" s="100">
        <v>4.1955496452846495</v>
      </c>
      <c r="E57" s="100">
        <v>5920.7596594256975</v>
      </c>
      <c r="F57" s="100">
        <v>4.6718531809217199</v>
      </c>
      <c r="G57" s="100">
        <v>6592.9192089167309</v>
      </c>
      <c r="H57" s="100">
        <v>3.9847641116056717E-4</v>
      </c>
      <c r="I57" s="100">
        <v>0.56232991142979238</v>
      </c>
      <c r="J57" s="100">
        <v>4</v>
      </c>
      <c r="K57" s="100">
        <v>5644.8</v>
      </c>
      <c r="L57" s="100">
        <v>3.1798611313758607</v>
      </c>
      <c r="M57" s="100">
        <v>4487.4200285976149</v>
      </c>
      <c r="N57" s="100">
        <v>5.1655521112583669</v>
      </c>
      <c r="O57" s="100">
        <v>7289.6271394078076</v>
      </c>
      <c r="P57" s="100">
        <v>3.6260230920627952</v>
      </c>
      <c r="Q57" s="100">
        <v>5117.0437875190164</v>
      </c>
      <c r="R57" s="100">
        <v>1.055429378883594</v>
      </c>
      <c r="S57" s="100">
        <v>1489.421939480528</v>
      </c>
      <c r="T57" s="100">
        <v>5</v>
      </c>
      <c r="U57" s="100">
        <v>7056</v>
      </c>
      <c r="V57" s="100">
        <v>4.5085900363069555</v>
      </c>
      <c r="W57" s="100">
        <v>6362.5222592363762</v>
      </c>
      <c r="X57" s="100">
        <v>3.1724852734706696E-4</v>
      </c>
      <c r="Y57" s="100">
        <v>0.44770112179218091</v>
      </c>
      <c r="Z57" s="100">
        <v>6</v>
      </c>
      <c r="AA57" s="100">
        <v>8467.2000000000007</v>
      </c>
      <c r="AB57" s="100">
        <v>5</v>
      </c>
      <c r="AC57" s="100">
        <v>7056</v>
      </c>
      <c r="AD57" s="100">
        <v>5</v>
      </c>
      <c r="AE57" s="100">
        <v>7056</v>
      </c>
      <c r="AF57" s="100">
        <v>7</v>
      </c>
      <c r="AG57" s="100">
        <v>9878.4</v>
      </c>
      <c r="AH57" s="100">
        <v>5</v>
      </c>
      <c r="AI57" s="100">
        <v>7056</v>
      </c>
      <c r="AJ57" s="100">
        <v>5</v>
      </c>
      <c r="AK57" s="100">
        <v>7056</v>
      </c>
      <c r="AL57" s="100">
        <v>5</v>
      </c>
      <c r="AM57" s="100">
        <v>7056</v>
      </c>
      <c r="AN57" s="100">
        <v>5</v>
      </c>
      <c r="AO57" s="100">
        <v>7056</v>
      </c>
      <c r="AP57" s="100">
        <v>4.2994314069473454</v>
      </c>
      <c r="AQ57" s="100">
        <v>6067.3576014840937</v>
      </c>
      <c r="AR57" s="100">
        <v>0.10336903283409325</v>
      </c>
      <c r="AS57" s="100">
        <v>145.8743791354724</v>
      </c>
      <c r="AT57" s="100">
        <v>4</v>
      </c>
      <c r="AU57" s="100">
        <v>5644.8</v>
      </c>
      <c r="AV57" s="100">
        <v>5</v>
      </c>
      <c r="AW57" s="100">
        <v>7056</v>
      </c>
      <c r="AX57" s="100">
        <v>6.3495128128868128</v>
      </c>
      <c r="AY57" s="100">
        <v>8960.4324815458713</v>
      </c>
      <c r="AZ57" s="100">
        <v>3.5158696641013663</v>
      </c>
      <c r="BA57" s="100">
        <v>4961.5952699798481</v>
      </c>
      <c r="BB57" s="100">
        <v>3.6351677430470613</v>
      </c>
      <c r="BC57" s="100">
        <v>5129.9487189880128</v>
      </c>
      <c r="BD57" s="100">
        <v>4.508947734517724</v>
      </c>
      <c r="BE57" s="100">
        <v>6363.0270429514121</v>
      </c>
      <c r="BF57" s="100">
        <v>6</v>
      </c>
      <c r="BG57" s="100">
        <v>8467.2000000000007</v>
      </c>
      <c r="BH57" s="100">
        <v>4</v>
      </c>
      <c r="BI57" s="100">
        <v>5644.8</v>
      </c>
      <c r="BJ57" s="100">
        <v>3</v>
      </c>
      <c r="BK57" s="100">
        <v>4233.6000000000004</v>
      </c>
      <c r="BL57" s="100">
        <v>4.2886117706596369</v>
      </c>
      <c r="BM57" s="100">
        <v>6052.0889307548796</v>
      </c>
      <c r="BN57" s="100">
        <v>4.1261987149685</v>
      </c>
      <c r="BO57" s="100">
        <v>5822.8916265635471</v>
      </c>
      <c r="BP57" s="100">
        <v>2.661651832864143</v>
      </c>
      <c r="BQ57" s="100">
        <v>3756.1230665378789</v>
      </c>
      <c r="BR57" s="100">
        <v>0.88835368570124895</v>
      </c>
      <c r="BS57" s="100">
        <v>1253.6447212616026</v>
      </c>
      <c r="BT57" s="100">
        <v>6</v>
      </c>
      <c r="BU57" s="100">
        <v>8467.2000000000007</v>
      </c>
      <c r="BV57" s="100">
        <v>7</v>
      </c>
      <c r="BW57" s="100">
        <v>9878.4</v>
      </c>
      <c r="BX57" s="100">
        <v>4</v>
      </c>
      <c r="BY57" s="100">
        <v>5644.8</v>
      </c>
      <c r="BZ57" s="100">
        <v>7</v>
      </c>
      <c r="CA57" s="100">
        <v>9878.4</v>
      </c>
      <c r="CB57" s="100">
        <v>6</v>
      </c>
      <c r="CC57" s="100">
        <v>8467.2000000000007</v>
      </c>
      <c r="CD57" s="100">
        <v>4.4058947104924835</v>
      </c>
      <c r="CE57" s="100">
        <v>6217.5986154469929</v>
      </c>
      <c r="CF57" s="100">
        <v>0.97275443434359354</v>
      </c>
      <c r="CG57" s="100">
        <v>1372.7510577456792</v>
      </c>
      <c r="CH57" s="100">
        <v>2.8200233223788533</v>
      </c>
      <c r="CI57" s="100">
        <v>3979.6169125410379</v>
      </c>
      <c r="CJ57" s="100">
        <v>2.2069462771969874E-4</v>
      </c>
      <c r="CK57" s="100">
        <v>0.31144425863803887</v>
      </c>
      <c r="CL57" s="100">
        <v>5</v>
      </c>
      <c r="CM57" s="100">
        <v>7056</v>
      </c>
      <c r="CN57" s="100">
        <v>6</v>
      </c>
      <c r="CO57" s="100">
        <v>8467.2000000000007</v>
      </c>
      <c r="CP57" s="100">
        <v>5</v>
      </c>
      <c r="CQ57" s="100">
        <v>7056</v>
      </c>
      <c r="CR57" s="100">
        <v>4.7441112174220796</v>
      </c>
      <c r="CS57" s="100">
        <v>6694.8897500260391</v>
      </c>
      <c r="CT57" s="100">
        <v>5.3597568203124952</v>
      </c>
      <c r="CU57" s="100">
        <v>7563.6888248249934</v>
      </c>
    </row>
    <row r="58" spans="2:99">
      <c r="C58" s="99" t="s">
        <v>224</v>
      </c>
      <c r="D58" s="100">
        <v>3.6270388545104661</v>
      </c>
      <c r="E58" s="100">
        <v>4269.7501395297213</v>
      </c>
      <c r="F58" s="100">
        <v>1.6669321167940547</v>
      </c>
      <c r="G58" s="100">
        <v>1962.3124878899614</v>
      </c>
      <c r="H58" s="100">
        <v>4.9738872427785026</v>
      </c>
      <c r="I58" s="100">
        <v>5855.2600621988531</v>
      </c>
      <c r="J58" s="100">
        <v>3.6906291970037013</v>
      </c>
      <c r="K58" s="100">
        <v>4344.6086907127574</v>
      </c>
      <c r="L58" s="100">
        <v>3.0332173889148852</v>
      </c>
      <c r="M58" s="100">
        <v>3570.7035102306031</v>
      </c>
      <c r="N58" s="100">
        <v>3.3974509370888746E-4</v>
      </c>
      <c r="O58" s="100">
        <v>0.39994792431410231</v>
      </c>
      <c r="P58" s="100">
        <v>5.5431648528206221</v>
      </c>
      <c r="Q58" s="100">
        <v>6525.4136647404366</v>
      </c>
      <c r="R58" s="100">
        <v>4.1831593716125868</v>
      </c>
      <c r="S58" s="100">
        <v>4924.4152122623373</v>
      </c>
      <c r="T58" s="100">
        <v>3.4471528663405158</v>
      </c>
      <c r="U58" s="100">
        <v>4057.9883542560551</v>
      </c>
      <c r="V58" s="100">
        <v>3.5011840663092126</v>
      </c>
      <c r="W58" s="100">
        <v>4121.5938828592052</v>
      </c>
      <c r="X58" s="100">
        <v>3.1271972969965574</v>
      </c>
      <c r="Y58" s="100">
        <v>3681.3366580243473</v>
      </c>
      <c r="Z58" s="100">
        <v>4.7897315868580863</v>
      </c>
      <c r="AA58" s="100">
        <v>5638.4720240493398</v>
      </c>
      <c r="AB58" s="100">
        <v>2.4961643223337724</v>
      </c>
      <c r="AC58" s="100">
        <v>2938.4846402513172</v>
      </c>
      <c r="AD58" s="100">
        <v>3.9945910664753206</v>
      </c>
      <c r="AE58" s="100">
        <v>4702.4326034547476</v>
      </c>
      <c r="AF58" s="100">
        <v>6.243064171691767</v>
      </c>
      <c r="AG58" s="100">
        <v>7349.3351429155482</v>
      </c>
      <c r="AH58" s="100">
        <v>2.872781903696652</v>
      </c>
      <c r="AI58" s="100">
        <v>3381.8388570316988</v>
      </c>
      <c r="AJ58" s="100">
        <v>2.2780528766929575</v>
      </c>
      <c r="AK58" s="100">
        <v>2681.7238464429497</v>
      </c>
      <c r="AL58" s="100">
        <v>3.7374498491136801</v>
      </c>
      <c r="AM58" s="100">
        <v>4399.725962376624</v>
      </c>
      <c r="AN58" s="100">
        <v>2.7283656546438908</v>
      </c>
      <c r="AO58" s="100">
        <v>3211.8320486467883</v>
      </c>
      <c r="AP58" s="100">
        <v>5</v>
      </c>
      <c r="AQ58" s="100">
        <v>5886</v>
      </c>
      <c r="AR58" s="100">
        <v>5</v>
      </c>
      <c r="AS58" s="100">
        <v>5886</v>
      </c>
      <c r="AT58" s="100">
        <v>4</v>
      </c>
      <c r="AU58" s="100">
        <v>4708.8</v>
      </c>
      <c r="AV58" s="100">
        <v>6.0469693065416115</v>
      </c>
      <c r="AW58" s="100">
        <v>7118.4922676607857</v>
      </c>
      <c r="AX58" s="100">
        <v>5.3163954002447023</v>
      </c>
      <c r="AY58" s="100">
        <v>6258.4606651680633</v>
      </c>
      <c r="AZ58" s="100">
        <v>4.2962501263996256</v>
      </c>
      <c r="BA58" s="100">
        <v>5057.5456487976398</v>
      </c>
      <c r="BB58" s="100">
        <v>3.3948654248134398</v>
      </c>
      <c r="BC58" s="100">
        <v>3996.4355780903816</v>
      </c>
      <c r="BD58" s="100">
        <v>2.023033256130764</v>
      </c>
      <c r="BE58" s="100">
        <v>2381.5147491171356</v>
      </c>
      <c r="BF58" s="100">
        <v>6</v>
      </c>
      <c r="BG58" s="100">
        <v>7063.2000000000007</v>
      </c>
      <c r="BH58" s="100">
        <v>4.2259730294541171</v>
      </c>
      <c r="BI58" s="100">
        <v>4974.8154502733869</v>
      </c>
      <c r="BJ58" s="100">
        <v>4.2855210092553078</v>
      </c>
      <c r="BK58" s="100">
        <v>5044.9153320953483</v>
      </c>
      <c r="BL58" s="100">
        <v>3.286537355500796</v>
      </c>
      <c r="BM58" s="100">
        <v>3868.9117748955373</v>
      </c>
      <c r="BN58" s="100">
        <v>3.7792291584177842</v>
      </c>
      <c r="BO58" s="100">
        <v>4448.9085652894155</v>
      </c>
      <c r="BP58" s="100">
        <v>6</v>
      </c>
      <c r="BQ58" s="100">
        <v>7063.2000000000007</v>
      </c>
      <c r="BR58" s="100">
        <v>4</v>
      </c>
      <c r="BS58" s="100">
        <v>4708.8</v>
      </c>
      <c r="BT58" s="100">
        <v>5</v>
      </c>
      <c r="BU58" s="100">
        <v>5886</v>
      </c>
      <c r="BV58" s="100">
        <v>6</v>
      </c>
      <c r="BW58" s="100">
        <v>7063.2000000000007</v>
      </c>
      <c r="BX58" s="100">
        <v>4</v>
      </c>
      <c r="BY58" s="100">
        <v>4708.8</v>
      </c>
      <c r="BZ58" s="100">
        <v>6.4892707125275217</v>
      </c>
      <c r="CA58" s="100">
        <v>7639.1694827873989</v>
      </c>
      <c r="CB58" s="100">
        <v>4.3520717495781049</v>
      </c>
      <c r="CC58" s="100">
        <v>5123.2588636033452</v>
      </c>
      <c r="CD58" s="100">
        <v>5</v>
      </c>
      <c r="CE58" s="100">
        <v>5886</v>
      </c>
      <c r="CF58" s="100">
        <v>4.2485510029115305</v>
      </c>
      <c r="CG58" s="100">
        <v>5001.3942406274537</v>
      </c>
      <c r="CH58" s="100">
        <v>4.3236785793005996</v>
      </c>
      <c r="CI58" s="100">
        <v>5089.8344235526665</v>
      </c>
      <c r="CJ58" s="100">
        <v>4</v>
      </c>
      <c r="CK58" s="100">
        <v>4708.8</v>
      </c>
      <c r="CL58" s="100">
        <v>5.6931652855280594</v>
      </c>
      <c r="CM58" s="100">
        <v>6701.9941741236316</v>
      </c>
      <c r="CN58" s="100">
        <v>1.9229748999996326</v>
      </c>
      <c r="CO58" s="100">
        <v>2263.7260522795677</v>
      </c>
      <c r="CP58" s="100">
        <v>5.0538823685365539</v>
      </c>
      <c r="CQ58" s="100">
        <v>5949.4303242412316</v>
      </c>
      <c r="CR58" s="100">
        <v>2.5366426626959422</v>
      </c>
      <c r="CS58" s="100">
        <v>2986.1357425256633</v>
      </c>
      <c r="CT58" s="100">
        <v>6.51528288167356</v>
      </c>
      <c r="CU58" s="100">
        <v>7669.7910083061151</v>
      </c>
    </row>
    <row r="59" spans="2:99">
      <c r="C59" s="99" t="s">
        <v>225</v>
      </c>
      <c r="D59" s="100">
        <v>4.1955496452846495</v>
      </c>
      <c r="E59" s="100">
        <v>1273.7688723084195</v>
      </c>
      <c r="F59" s="100">
        <v>5.6062238171060637</v>
      </c>
      <c r="G59" s="100">
        <v>1702.0495508734007</v>
      </c>
      <c r="H59" s="100">
        <v>3.9847641116056717E-4</v>
      </c>
      <c r="I59" s="100">
        <v>0.12097743842834818</v>
      </c>
      <c r="J59" s="100">
        <v>5</v>
      </c>
      <c r="K59" s="100">
        <v>1517.9999999999998</v>
      </c>
      <c r="L59" s="100">
        <v>4.1798611313758602</v>
      </c>
      <c r="M59" s="100">
        <v>1269.005839485711</v>
      </c>
      <c r="N59" s="100">
        <v>6.1655521112583669</v>
      </c>
      <c r="O59" s="100">
        <v>1871.86162097804</v>
      </c>
      <c r="P59" s="100">
        <v>4.3116555711099211</v>
      </c>
      <c r="Q59" s="100">
        <v>1309.0186313889719</v>
      </c>
      <c r="R59" s="100">
        <v>1.3192867236044927</v>
      </c>
      <c r="S59" s="100">
        <v>400.53544928632397</v>
      </c>
      <c r="T59" s="100">
        <v>5</v>
      </c>
      <c r="U59" s="100">
        <v>1517.9999999999998</v>
      </c>
      <c r="V59" s="100">
        <v>3.7774930350317075</v>
      </c>
      <c r="W59" s="100">
        <v>1146.8468854356263</v>
      </c>
      <c r="X59" s="100">
        <v>3.8069823281648035E-4</v>
      </c>
      <c r="Y59" s="100">
        <v>0.11557998348308342</v>
      </c>
      <c r="Z59" s="100">
        <v>7</v>
      </c>
      <c r="AA59" s="100">
        <v>2125.1999999999998</v>
      </c>
      <c r="AB59" s="100">
        <v>5</v>
      </c>
      <c r="AC59" s="100">
        <v>1517.9999999999998</v>
      </c>
      <c r="AD59" s="100">
        <v>6</v>
      </c>
      <c r="AE59" s="100">
        <v>1821.6</v>
      </c>
      <c r="AF59" s="100">
        <v>7</v>
      </c>
      <c r="AG59" s="100">
        <v>2125.1999999999998</v>
      </c>
      <c r="AH59" s="100">
        <v>6</v>
      </c>
      <c r="AI59" s="100">
        <v>1821.6</v>
      </c>
      <c r="AJ59" s="100">
        <v>5</v>
      </c>
      <c r="AK59" s="100">
        <v>1517.9999999999998</v>
      </c>
      <c r="AL59" s="100">
        <v>4</v>
      </c>
      <c r="AM59" s="100">
        <v>1214.3999999999999</v>
      </c>
      <c r="AN59" s="100">
        <v>5</v>
      </c>
      <c r="AO59" s="100">
        <v>1517.9999999999998</v>
      </c>
      <c r="AP59" s="100">
        <v>5.349336641438569</v>
      </c>
      <c r="AQ59" s="100">
        <v>1624.0586043407493</v>
      </c>
      <c r="AR59" s="100">
        <v>0.10336903283409325</v>
      </c>
      <c r="AS59" s="100">
        <v>31.382838368430708</v>
      </c>
      <c r="AT59" s="100">
        <v>4</v>
      </c>
      <c r="AU59" s="100">
        <v>1214.3999999999999</v>
      </c>
      <c r="AV59" s="100">
        <v>6</v>
      </c>
      <c r="AW59" s="100">
        <v>1821.6</v>
      </c>
      <c r="AX59" s="100">
        <v>7.2995824110458392</v>
      </c>
      <c r="AY59" s="100">
        <v>2216.1532199935164</v>
      </c>
      <c r="AZ59" s="100">
        <v>4.3948370801267078</v>
      </c>
      <c r="BA59" s="100">
        <v>1334.2725375264683</v>
      </c>
      <c r="BB59" s="100">
        <v>3.6187196527882932</v>
      </c>
      <c r="BC59" s="100">
        <v>1098.6432865865256</v>
      </c>
      <c r="BD59" s="100">
        <v>4.508947734517724</v>
      </c>
      <c r="BE59" s="100">
        <v>1368.9165321995808</v>
      </c>
      <c r="BF59" s="100">
        <v>6</v>
      </c>
      <c r="BG59" s="100">
        <v>1821.6</v>
      </c>
      <c r="BH59" s="100">
        <v>4</v>
      </c>
      <c r="BI59" s="100">
        <v>1214.3999999999999</v>
      </c>
      <c r="BJ59" s="100">
        <v>4</v>
      </c>
      <c r="BK59" s="100">
        <v>1214.3999999999999</v>
      </c>
      <c r="BL59" s="100">
        <v>4.2525352993271825</v>
      </c>
      <c r="BM59" s="100">
        <v>1291.0697168757324</v>
      </c>
      <c r="BN59" s="100">
        <v>4.7447840733665831</v>
      </c>
      <c r="BO59" s="100">
        <v>1440.5164446740944</v>
      </c>
      <c r="BP59" s="100">
        <v>2.6787809895962411</v>
      </c>
      <c r="BQ59" s="100">
        <v>813.27790844141873</v>
      </c>
      <c r="BR59" s="100">
        <v>0.88835368570124895</v>
      </c>
      <c r="BS59" s="100">
        <v>269.70417897889917</v>
      </c>
      <c r="BT59" s="100">
        <v>6</v>
      </c>
      <c r="BU59" s="100">
        <v>1821.6</v>
      </c>
      <c r="BV59" s="100">
        <v>7</v>
      </c>
      <c r="BW59" s="100">
        <v>2125.1999999999998</v>
      </c>
      <c r="BX59" s="100">
        <v>5</v>
      </c>
      <c r="BY59" s="100">
        <v>1517.9999999999998</v>
      </c>
      <c r="BZ59" s="100">
        <v>6</v>
      </c>
      <c r="CA59" s="100">
        <v>1821.6</v>
      </c>
      <c r="CB59" s="100">
        <v>6</v>
      </c>
      <c r="CC59" s="100">
        <v>1821.6</v>
      </c>
      <c r="CD59" s="100">
        <v>4.4058947104924835</v>
      </c>
      <c r="CE59" s="100">
        <v>1337.6296341055179</v>
      </c>
      <c r="CF59" s="100">
        <v>0.97275443434359354</v>
      </c>
      <c r="CG59" s="100">
        <v>295.32824626671498</v>
      </c>
      <c r="CH59" s="100">
        <v>2.8284673855451676</v>
      </c>
      <c r="CI59" s="100">
        <v>858.72269825151284</v>
      </c>
      <c r="CJ59" s="100">
        <v>2.7586828464962339E-4</v>
      </c>
      <c r="CK59" s="100">
        <v>8.3753611219625657E-2</v>
      </c>
      <c r="CL59" s="100">
        <v>6</v>
      </c>
      <c r="CM59" s="100">
        <v>1821.6</v>
      </c>
      <c r="CN59" s="100">
        <v>6</v>
      </c>
      <c r="CO59" s="100">
        <v>1821.6</v>
      </c>
      <c r="CP59" s="100">
        <v>6</v>
      </c>
      <c r="CQ59" s="100">
        <v>1821.6</v>
      </c>
      <c r="CR59" s="100">
        <v>5.6929334609064952</v>
      </c>
      <c r="CS59" s="100">
        <v>1728.3745987312118</v>
      </c>
      <c r="CT59" s="100">
        <v>5.3730495679912504</v>
      </c>
      <c r="CU59" s="100">
        <v>1631.2578488421434</v>
      </c>
    </row>
    <row r="60" spans="2:99">
      <c r="C60" s="99" t="s">
        <v>226</v>
      </c>
      <c r="D60" s="100">
        <v>5.1955496452846495</v>
      </c>
      <c r="E60" s="100">
        <v>3385.4201488674776</v>
      </c>
      <c r="F60" s="100">
        <v>4.6718531809217199</v>
      </c>
      <c r="G60" s="100">
        <v>3044.1795326885926</v>
      </c>
      <c r="H60" s="100">
        <v>3.9847641116056717E-4</v>
      </c>
      <c r="I60" s="100">
        <v>0.25964722951222557</v>
      </c>
      <c r="J60" s="100">
        <v>5</v>
      </c>
      <c r="K60" s="100">
        <v>3258</v>
      </c>
      <c r="L60" s="100">
        <v>4.1798611313758602</v>
      </c>
      <c r="M60" s="100">
        <v>2723.5975132045105</v>
      </c>
      <c r="N60" s="100">
        <v>5.1986625335100403</v>
      </c>
      <c r="O60" s="100">
        <v>3387.4485068351423</v>
      </c>
      <c r="P60" s="100">
        <v>4.3116555711099211</v>
      </c>
      <c r="Q60" s="100">
        <v>2809.4747701352248</v>
      </c>
      <c r="R60" s="100">
        <v>1.055429378883594</v>
      </c>
      <c r="S60" s="100">
        <v>687.71778328054984</v>
      </c>
      <c r="T60" s="100">
        <v>5</v>
      </c>
      <c r="U60" s="100">
        <v>3258</v>
      </c>
      <c r="V60" s="100">
        <v>4.5085900363069555</v>
      </c>
      <c r="W60" s="100">
        <v>2937.7972676576123</v>
      </c>
      <c r="X60" s="100">
        <v>3.1724852734706696E-4</v>
      </c>
      <c r="Y60" s="100">
        <v>0.20671914041934883</v>
      </c>
      <c r="Z60" s="100">
        <v>7</v>
      </c>
      <c r="AA60" s="100">
        <v>4561.2</v>
      </c>
      <c r="AB60" s="100">
        <v>5</v>
      </c>
      <c r="AC60" s="100">
        <v>3258</v>
      </c>
      <c r="AD60" s="100">
        <v>6</v>
      </c>
      <c r="AE60" s="100">
        <v>3909.6000000000004</v>
      </c>
      <c r="AF60" s="100">
        <v>7</v>
      </c>
      <c r="AG60" s="100">
        <v>4561.2</v>
      </c>
      <c r="AH60" s="100">
        <v>6</v>
      </c>
      <c r="AI60" s="100">
        <v>3909.6000000000004</v>
      </c>
      <c r="AJ60" s="100">
        <v>5</v>
      </c>
      <c r="AK60" s="100">
        <v>3258</v>
      </c>
      <c r="AL60" s="100">
        <v>4</v>
      </c>
      <c r="AM60" s="100">
        <v>2606.4</v>
      </c>
      <c r="AN60" s="100">
        <v>6</v>
      </c>
      <c r="AO60" s="100">
        <v>3909.6000000000004</v>
      </c>
      <c r="AP60" s="100">
        <v>5.349336641438569</v>
      </c>
      <c r="AQ60" s="100">
        <v>3485.6277555613715</v>
      </c>
      <c r="AR60" s="100">
        <v>0.10336903283409325</v>
      </c>
      <c r="AS60" s="100">
        <v>67.355261794695167</v>
      </c>
      <c r="AT60" s="100">
        <v>4</v>
      </c>
      <c r="AU60" s="100">
        <v>2606.4</v>
      </c>
      <c r="AV60" s="100">
        <v>6</v>
      </c>
      <c r="AW60" s="100">
        <v>3909.6000000000004</v>
      </c>
      <c r="AX60" s="100">
        <v>6.3495128128868128</v>
      </c>
      <c r="AY60" s="100">
        <v>4137.3425488770472</v>
      </c>
      <c r="AZ60" s="100">
        <v>3.5158696641013663</v>
      </c>
      <c r="BA60" s="100">
        <v>2290.9406731284503</v>
      </c>
      <c r="BB60" s="100">
        <v>3.6351677430470613</v>
      </c>
      <c r="BC60" s="100">
        <v>2368.6753013694652</v>
      </c>
      <c r="BD60" s="100">
        <v>4.508947734517724</v>
      </c>
      <c r="BE60" s="100">
        <v>2938.0303438117489</v>
      </c>
      <c r="BF60" s="100">
        <v>5</v>
      </c>
      <c r="BG60" s="100">
        <v>3258</v>
      </c>
      <c r="BH60" s="100">
        <v>4</v>
      </c>
      <c r="BI60" s="100">
        <v>2606.4</v>
      </c>
      <c r="BJ60" s="100">
        <v>4</v>
      </c>
      <c r="BK60" s="100">
        <v>2606.4</v>
      </c>
      <c r="BL60" s="100">
        <v>4.2525352993271825</v>
      </c>
      <c r="BM60" s="100">
        <v>2770.9520010415922</v>
      </c>
      <c r="BN60" s="100">
        <v>4.1261987149685</v>
      </c>
      <c r="BO60" s="100">
        <v>2688.6310826734748</v>
      </c>
      <c r="BP60" s="100">
        <v>2.6787809895962411</v>
      </c>
      <c r="BQ60" s="100">
        <v>1745.4936928209108</v>
      </c>
      <c r="BR60" s="100">
        <v>0.88835368570124895</v>
      </c>
      <c r="BS60" s="100">
        <v>578.85126160293385</v>
      </c>
      <c r="BT60" s="100">
        <v>5</v>
      </c>
      <c r="BU60" s="100">
        <v>3258</v>
      </c>
      <c r="BV60" s="100">
        <v>7</v>
      </c>
      <c r="BW60" s="100">
        <v>4561.2</v>
      </c>
      <c r="BX60" s="100">
        <v>4</v>
      </c>
      <c r="BY60" s="100">
        <v>2606.4</v>
      </c>
      <c r="BZ60" s="100">
        <v>6</v>
      </c>
      <c r="CA60" s="100">
        <v>3909.6000000000004</v>
      </c>
      <c r="CB60" s="100">
        <v>5</v>
      </c>
      <c r="CC60" s="100">
        <v>3258</v>
      </c>
      <c r="CD60" s="100">
        <v>4.4058947104924835</v>
      </c>
      <c r="CE60" s="100">
        <v>2870.8809933569023</v>
      </c>
      <c r="CF60" s="100">
        <v>0.97275443434359354</v>
      </c>
      <c r="CG60" s="100">
        <v>633.84678941828554</v>
      </c>
      <c r="CH60" s="100">
        <v>2.8200233223788533</v>
      </c>
      <c r="CI60" s="100">
        <v>1837.5271968620609</v>
      </c>
      <c r="CJ60" s="100">
        <v>2.7586828464962339E-4</v>
      </c>
      <c r="CK60" s="100">
        <v>0.1797557742776946</v>
      </c>
      <c r="CL60" s="100">
        <v>5</v>
      </c>
      <c r="CM60" s="100">
        <v>3258</v>
      </c>
      <c r="CN60" s="100">
        <v>6</v>
      </c>
      <c r="CO60" s="100">
        <v>3909.6000000000004</v>
      </c>
      <c r="CP60" s="100">
        <v>5</v>
      </c>
      <c r="CQ60" s="100">
        <v>3258</v>
      </c>
      <c r="CR60" s="100">
        <v>5.6929334609064952</v>
      </c>
      <c r="CS60" s="100">
        <v>3709.5154431266724</v>
      </c>
      <c r="CT60" s="100">
        <v>5.3597568203124952</v>
      </c>
      <c r="CU60" s="100">
        <v>3492.4175441156221</v>
      </c>
    </row>
    <row r="61" spans="2:99">
      <c r="C61" s="99" t="s">
        <v>227</v>
      </c>
      <c r="D61" s="100">
        <v>5.1955496452846495</v>
      </c>
      <c r="E61" s="100">
        <v>4944.0850424528717</v>
      </c>
      <c r="F61" s="100">
        <v>4.6718531809217199</v>
      </c>
      <c r="G61" s="100">
        <v>4445.7354869651081</v>
      </c>
      <c r="H61" s="100">
        <v>3.1878112892845371E-4</v>
      </c>
      <c r="I61" s="100">
        <v>0.30335212228831654</v>
      </c>
      <c r="J61" s="100">
        <v>4</v>
      </c>
      <c r="K61" s="100">
        <v>3806.3999999999996</v>
      </c>
      <c r="L61" s="100">
        <v>4.1798611313758602</v>
      </c>
      <c r="M61" s="100">
        <v>3977.5558526172681</v>
      </c>
      <c r="N61" s="100">
        <v>6.1655521112583669</v>
      </c>
      <c r="O61" s="100">
        <v>5867.1393890734616</v>
      </c>
      <c r="P61" s="100">
        <v>3.6260230920627952</v>
      </c>
      <c r="Q61" s="100">
        <v>3450.5235744069555</v>
      </c>
      <c r="R61" s="100">
        <v>1.055429378883594</v>
      </c>
      <c r="S61" s="100">
        <v>1004.346596945628</v>
      </c>
      <c r="T61" s="100">
        <v>5</v>
      </c>
      <c r="U61" s="100">
        <v>4758</v>
      </c>
      <c r="V61" s="100">
        <v>3.7639365874033226</v>
      </c>
      <c r="W61" s="100">
        <v>3581.7620565730012</v>
      </c>
      <c r="X61" s="100">
        <v>3.1724852734706696E-4</v>
      </c>
      <c r="Y61" s="100">
        <v>0.30189369862346888</v>
      </c>
      <c r="Z61" s="100">
        <v>7</v>
      </c>
      <c r="AA61" s="100">
        <v>6661.1999999999989</v>
      </c>
      <c r="AB61" s="100">
        <v>5</v>
      </c>
      <c r="AC61" s="100">
        <v>4758</v>
      </c>
      <c r="AD61" s="100">
        <v>5</v>
      </c>
      <c r="AE61" s="100">
        <v>4758</v>
      </c>
      <c r="AF61" s="100">
        <v>7</v>
      </c>
      <c r="AG61" s="100">
        <v>6661.1999999999989</v>
      </c>
      <c r="AH61" s="100">
        <v>6</v>
      </c>
      <c r="AI61" s="100">
        <v>5709.5999999999995</v>
      </c>
      <c r="AJ61" s="100">
        <v>5</v>
      </c>
      <c r="AK61" s="100">
        <v>4758</v>
      </c>
      <c r="AL61" s="100">
        <v>4</v>
      </c>
      <c r="AM61" s="100">
        <v>3806.3999999999996</v>
      </c>
      <c r="AN61" s="100">
        <v>5</v>
      </c>
      <c r="AO61" s="100">
        <v>4758</v>
      </c>
      <c r="AP61" s="100">
        <v>4.2994314069473454</v>
      </c>
      <c r="AQ61" s="100">
        <v>4091.3389268510937</v>
      </c>
      <c r="AR61" s="100">
        <v>0.10336903283409325</v>
      </c>
      <c r="AS61" s="100">
        <v>98.365971644923135</v>
      </c>
      <c r="AT61" s="100">
        <v>4</v>
      </c>
      <c r="AU61" s="100">
        <v>3806.3999999999996</v>
      </c>
      <c r="AV61" s="100">
        <v>6</v>
      </c>
      <c r="AW61" s="100">
        <v>5709.5999999999995</v>
      </c>
      <c r="AX61" s="100">
        <v>7.3495128128868128</v>
      </c>
      <c r="AY61" s="100">
        <v>6993.7963927430901</v>
      </c>
      <c r="AZ61" s="100">
        <v>3.5158696641013663</v>
      </c>
      <c r="BA61" s="100">
        <v>3345.7015723588597</v>
      </c>
      <c r="BB61" s="100">
        <v>3.6351677430470613</v>
      </c>
      <c r="BC61" s="100">
        <v>3459.2256242835833</v>
      </c>
      <c r="BD61" s="100">
        <v>3.7574564454314361</v>
      </c>
      <c r="BE61" s="100">
        <v>3575.5955534725545</v>
      </c>
      <c r="BF61" s="100">
        <v>6</v>
      </c>
      <c r="BG61" s="100">
        <v>5709.5999999999995</v>
      </c>
      <c r="BH61" s="100">
        <v>4</v>
      </c>
      <c r="BI61" s="100">
        <v>3806.3999999999996</v>
      </c>
      <c r="BJ61" s="100">
        <v>3</v>
      </c>
      <c r="BK61" s="100">
        <v>2854.7999999999997</v>
      </c>
      <c r="BL61" s="100">
        <v>4.2886117706596369</v>
      </c>
      <c r="BM61" s="100">
        <v>4081.0429609597099</v>
      </c>
      <c r="BN61" s="100">
        <v>4.7744045422651551</v>
      </c>
      <c r="BO61" s="100">
        <v>4543.3233624195209</v>
      </c>
      <c r="BP61" s="100">
        <v>2.6959101463283388</v>
      </c>
      <c r="BQ61" s="100">
        <v>2565.4280952460472</v>
      </c>
      <c r="BR61" s="100">
        <v>0.88835368570124895</v>
      </c>
      <c r="BS61" s="100">
        <v>845.35736731330837</v>
      </c>
      <c r="BT61" s="100">
        <v>6</v>
      </c>
      <c r="BU61" s="100">
        <v>5709.5999999999995</v>
      </c>
      <c r="BV61" s="100">
        <v>7</v>
      </c>
      <c r="BW61" s="100">
        <v>6661.1999999999989</v>
      </c>
      <c r="BX61" s="100">
        <v>4</v>
      </c>
      <c r="BY61" s="100">
        <v>3806.3999999999996</v>
      </c>
      <c r="BZ61" s="100">
        <v>7</v>
      </c>
      <c r="CA61" s="100">
        <v>6661.1999999999989</v>
      </c>
      <c r="CB61" s="100">
        <v>5</v>
      </c>
      <c r="CC61" s="100">
        <v>4758</v>
      </c>
      <c r="CD61" s="100">
        <v>4.4427942296281637</v>
      </c>
      <c r="CE61" s="100">
        <v>4227.7629889141599</v>
      </c>
      <c r="CF61" s="100">
        <v>0.77820354747487486</v>
      </c>
      <c r="CG61" s="100">
        <v>740.53849577709082</v>
      </c>
      <c r="CH61" s="100">
        <v>3.737513594728298</v>
      </c>
      <c r="CI61" s="100">
        <v>3556.6179367434479</v>
      </c>
      <c r="CJ61" s="100">
        <v>2.2069462771969874E-4</v>
      </c>
      <c r="CK61" s="100">
        <v>0.2100130077380653</v>
      </c>
      <c r="CL61" s="100">
        <v>6</v>
      </c>
      <c r="CM61" s="100">
        <v>5709.5999999999995</v>
      </c>
      <c r="CN61" s="100">
        <v>6</v>
      </c>
      <c r="CO61" s="100">
        <v>5709.5999999999995</v>
      </c>
      <c r="CP61" s="100">
        <v>5</v>
      </c>
      <c r="CQ61" s="100">
        <v>4758</v>
      </c>
      <c r="CR61" s="100">
        <v>4.7441112174220796</v>
      </c>
      <c r="CS61" s="100">
        <v>4514.4962344988508</v>
      </c>
      <c r="CT61" s="100">
        <v>4.4908340543381318</v>
      </c>
      <c r="CU61" s="100">
        <v>4273.4776861081655</v>
      </c>
    </row>
    <row r="62" spans="2:99">
      <c r="C62" s="99" t="s">
        <v>228</v>
      </c>
      <c r="D62" s="100">
        <v>3.0125498959855221</v>
      </c>
      <c r="E62" s="100">
        <v>5028.5482863790339</v>
      </c>
      <c r="F62" s="100">
        <v>3.3510375445953779</v>
      </c>
      <c r="G62" s="100">
        <v>5593.5518694386046</v>
      </c>
      <c r="H62" s="100">
        <v>2.2252788739306193</v>
      </c>
      <c r="I62" s="100">
        <v>3714.4354963649898</v>
      </c>
      <c r="J62" s="100">
        <v>3.3421628854335563</v>
      </c>
      <c r="K62" s="100">
        <v>5578.7382883656928</v>
      </c>
      <c r="L62" s="100">
        <v>1.6308071615765058</v>
      </c>
      <c r="M62" s="100">
        <v>2722.1433141035036</v>
      </c>
      <c r="N62" s="100">
        <v>1.221444380743463</v>
      </c>
      <c r="O62" s="100">
        <v>2038.8349603369884</v>
      </c>
      <c r="P62" s="100">
        <v>3.8033803621924034</v>
      </c>
      <c r="Q62" s="100">
        <v>6348.6025005715601</v>
      </c>
      <c r="R62" s="100">
        <v>2.1995102662684136</v>
      </c>
      <c r="S62" s="100">
        <v>3671.4225364552362</v>
      </c>
      <c r="T62" s="100">
        <v>2.4920558010258196</v>
      </c>
      <c r="U62" s="100">
        <v>4159.7395430722981</v>
      </c>
      <c r="V62" s="100">
        <v>2.5311971833159537</v>
      </c>
      <c r="W62" s="100">
        <v>4225.0743383909903</v>
      </c>
      <c r="X62" s="100">
        <v>3.4811889514376508</v>
      </c>
      <c r="Y62" s="100">
        <v>5810.800597739727</v>
      </c>
      <c r="Z62" s="100">
        <v>1.8351710212379644</v>
      </c>
      <c r="AA62" s="100">
        <v>3063.2674686504101</v>
      </c>
      <c r="AB62" s="100">
        <v>1.8788584924557654</v>
      </c>
      <c r="AC62" s="100">
        <v>3136.1905956071637</v>
      </c>
      <c r="AD62" s="100">
        <v>4.5141856164730871</v>
      </c>
      <c r="AE62" s="100">
        <v>7535.0786310168769</v>
      </c>
      <c r="AF62" s="100">
        <v>4.7409682289801829</v>
      </c>
      <c r="AG62" s="100">
        <v>7913.6241678137212</v>
      </c>
      <c r="AH62" s="100">
        <v>3.294424115483082</v>
      </c>
      <c r="AI62" s="100">
        <v>5499.052733564361</v>
      </c>
      <c r="AJ62" s="100">
        <v>0.26889182080751506</v>
      </c>
      <c r="AK62" s="100">
        <v>448.83422729190414</v>
      </c>
      <c r="AL62" s="100">
        <v>5</v>
      </c>
      <c r="AM62" s="100">
        <v>8346</v>
      </c>
      <c r="AN62" s="100">
        <v>4.325124324898769</v>
      </c>
      <c r="AO62" s="100">
        <v>7219.4975231210256</v>
      </c>
      <c r="AP62" s="100">
        <v>3.1407627552738462</v>
      </c>
      <c r="AQ62" s="100">
        <v>5242.5611911031046</v>
      </c>
      <c r="AR62" s="100">
        <v>2.5052915304710321</v>
      </c>
      <c r="AS62" s="100">
        <v>4181.8326226622466</v>
      </c>
      <c r="AT62" s="100">
        <v>2.3320196602344234</v>
      </c>
      <c r="AU62" s="100">
        <v>3892.6072168632995</v>
      </c>
      <c r="AV62" s="100">
        <v>0.29784940150986289</v>
      </c>
      <c r="AW62" s="100">
        <v>497.17022100026315</v>
      </c>
      <c r="AX62" s="100">
        <v>7.3485647353145245</v>
      </c>
      <c r="AY62" s="100">
        <v>12266.224256187004</v>
      </c>
      <c r="AZ62" s="100">
        <v>1.8058185774721991</v>
      </c>
      <c r="BA62" s="100">
        <v>3014.2723695165946</v>
      </c>
      <c r="BB62" s="100">
        <v>3.5612408532315496</v>
      </c>
      <c r="BC62" s="100">
        <v>5944.4232322141024</v>
      </c>
      <c r="BD62" s="100">
        <v>5</v>
      </c>
      <c r="BE62" s="100">
        <v>8346</v>
      </c>
      <c r="BF62" s="100">
        <v>3.4708800143885554</v>
      </c>
      <c r="BG62" s="100">
        <v>5793.5929200173769</v>
      </c>
      <c r="BH62" s="100">
        <v>2.2017396735142536</v>
      </c>
      <c r="BI62" s="100">
        <v>3675.1438630299922</v>
      </c>
      <c r="BJ62" s="100">
        <v>2.0969304386868637</v>
      </c>
      <c r="BK62" s="100">
        <v>3500.1962882561129</v>
      </c>
      <c r="BL62" s="100">
        <v>0.20138281047711767</v>
      </c>
      <c r="BM62" s="100">
        <v>336.14818724840484</v>
      </c>
      <c r="BN62" s="100">
        <v>6</v>
      </c>
      <c r="BO62" s="100">
        <v>10015.200000000001</v>
      </c>
      <c r="BP62" s="100">
        <v>6</v>
      </c>
      <c r="BQ62" s="100">
        <v>10015.200000000001</v>
      </c>
      <c r="BR62" s="100">
        <v>3.1751529052756324</v>
      </c>
      <c r="BS62" s="100">
        <v>5299.9652294860862</v>
      </c>
      <c r="BT62" s="100">
        <v>2.5625335922744945</v>
      </c>
      <c r="BU62" s="100">
        <v>4277.3810722245862</v>
      </c>
      <c r="BV62" s="100">
        <v>3.5151598048982344</v>
      </c>
      <c r="BW62" s="100">
        <v>5867.5047463361334</v>
      </c>
      <c r="BX62" s="100">
        <v>2.85277753638172</v>
      </c>
      <c r="BY62" s="100">
        <v>4761.8562637283676</v>
      </c>
      <c r="BZ62" s="100">
        <v>4.2795265425624143</v>
      </c>
      <c r="CA62" s="100">
        <v>7143.3857048451819</v>
      </c>
      <c r="CB62" s="100">
        <v>3.1713275616542367</v>
      </c>
      <c r="CC62" s="100">
        <v>5293.5799659132517</v>
      </c>
      <c r="CD62" s="100">
        <v>2.2981874306187602</v>
      </c>
      <c r="CE62" s="100">
        <v>3836.1344591888346</v>
      </c>
      <c r="CF62" s="100">
        <v>2.8467576233401262E-4</v>
      </c>
      <c r="CG62" s="100">
        <v>0.47518078248793388</v>
      </c>
      <c r="CH62" s="100">
        <v>2.16874144006032</v>
      </c>
      <c r="CI62" s="100">
        <v>3620.0632117486862</v>
      </c>
      <c r="CJ62" s="100">
        <v>2.0315186798918341</v>
      </c>
      <c r="CK62" s="100">
        <v>3391.0109804754497</v>
      </c>
      <c r="CL62" s="100">
        <v>4.1173539125909686</v>
      </c>
      <c r="CM62" s="100">
        <v>6872.6871508968452</v>
      </c>
      <c r="CN62" s="100">
        <v>0.34348761625734181</v>
      </c>
      <c r="CO62" s="100">
        <v>573.34952905675493</v>
      </c>
      <c r="CP62" s="100">
        <v>5</v>
      </c>
      <c r="CQ62" s="100">
        <v>8346</v>
      </c>
      <c r="CR62" s="100">
        <v>4.3571851529506889</v>
      </c>
      <c r="CS62" s="100">
        <v>7273.0134573052901</v>
      </c>
      <c r="CT62" s="100">
        <v>3.4779283563713972</v>
      </c>
      <c r="CU62" s="100">
        <v>5805.3580124551363</v>
      </c>
    </row>
    <row r="63" spans="2:99">
      <c r="C63" s="99" t="s">
        <v>229</v>
      </c>
      <c r="D63" s="100">
        <v>4.1955496452846495</v>
      </c>
      <c r="E63" s="100">
        <v>3337.9792977884672</v>
      </c>
      <c r="F63" s="100">
        <v>4.6718531809217199</v>
      </c>
      <c r="G63" s="100">
        <v>3716.9263907413206</v>
      </c>
      <c r="H63" s="100">
        <v>3.9847641116056717E-4</v>
      </c>
      <c r="I63" s="100">
        <v>0.31702783271934726</v>
      </c>
      <c r="J63" s="100">
        <v>4</v>
      </c>
      <c r="K63" s="100">
        <v>3182.4</v>
      </c>
      <c r="L63" s="100">
        <v>4.2023437727978434</v>
      </c>
      <c r="M63" s="100">
        <v>3343.3847056379645</v>
      </c>
      <c r="N63" s="100">
        <v>6.1655521112583669</v>
      </c>
      <c r="O63" s="100">
        <v>4905.3132597171571</v>
      </c>
      <c r="P63" s="100">
        <v>4.3399213849423735</v>
      </c>
      <c r="Q63" s="100">
        <v>3452.8414538601523</v>
      </c>
      <c r="R63" s="100">
        <v>1.055429378883594</v>
      </c>
      <c r="S63" s="100">
        <v>839.69961383978739</v>
      </c>
      <c r="T63" s="100">
        <v>5</v>
      </c>
      <c r="U63" s="100">
        <v>3978</v>
      </c>
      <c r="V63" s="100">
        <v>3.7639365874033226</v>
      </c>
      <c r="W63" s="100">
        <v>2994.5879489380836</v>
      </c>
      <c r="X63" s="100">
        <v>3.8069823281648035E-4</v>
      </c>
      <c r="Y63" s="100">
        <v>0.30288351402879177</v>
      </c>
      <c r="Z63" s="100">
        <v>7</v>
      </c>
      <c r="AA63" s="100">
        <v>5569.2</v>
      </c>
      <c r="AB63" s="100">
        <v>5</v>
      </c>
      <c r="AC63" s="100">
        <v>3978</v>
      </c>
      <c r="AD63" s="100">
        <v>6</v>
      </c>
      <c r="AE63" s="100">
        <v>4773.6000000000004</v>
      </c>
      <c r="AF63" s="100">
        <v>7</v>
      </c>
      <c r="AG63" s="100">
        <v>5569.2</v>
      </c>
      <c r="AH63" s="100">
        <v>5</v>
      </c>
      <c r="AI63" s="100">
        <v>3978</v>
      </c>
      <c r="AJ63" s="100">
        <v>5</v>
      </c>
      <c r="AK63" s="100">
        <v>3978</v>
      </c>
      <c r="AL63" s="100">
        <v>4</v>
      </c>
      <c r="AM63" s="100">
        <v>3182.4</v>
      </c>
      <c r="AN63" s="100">
        <v>5</v>
      </c>
      <c r="AO63" s="100">
        <v>3978</v>
      </c>
      <c r="AP63" s="100">
        <v>5.349336641438569</v>
      </c>
      <c r="AQ63" s="100">
        <v>4255.9322319285257</v>
      </c>
      <c r="AR63" s="100">
        <v>0.10336903283409325</v>
      </c>
      <c r="AS63" s="100">
        <v>82.240402522804601</v>
      </c>
      <c r="AT63" s="100">
        <v>4</v>
      </c>
      <c r="AU63" s="100">
        <v>3182.4</v>
      </c>
      <c r="AV63" s="100">
        <v>6</v>
      </c>
      <c r="AW63" s="100">
        <v>4773.6000000000004</v>
      </c>
      <c r="AX63" s="100">
        <v>6.3495128128868128</v>
      </c>
      <c r="AY63" s="100">
        <v>5051.6723939327485</v>
      </c>
      <c r="AZ63" s="100">
        <v>3.5158696641013663</v>
      </c>
      <c r="BA63" s="100">
        <v>2797.2259047590469</v>
      </c>
      <c r="BB63" s="100">
        <v>2.9245822846964171</v>
      </c>
      <c r="BC63" s="100">
        <v>2326.7976657044696</v>
      </c>
      <c r="BD63" s="100">
        <v>4.508947734517724</v>
      </c>
      <c r="BE63" s="100">
        <v>3587.3188175823011</v>
      </c>
      <c r="BF63" s="100">
        <v>6</v>
      </c>
      <c r="BG63" s="100">
        <v>4773.6000000000004</v>
      </c>
      <c r="BH63" s="100">
        <v>4</v>
      </c>
      <c r="BI63" s="100">
        <v>3182.4</v>
      </c>
      <c r="BJ63" s="100">
        <v>3</v>
      </c>
      <c r="BK63" s="100">
        <v>2386.8000000000002</v>
      </c>
      <c r="BL63" s="100">
        <v>4.2525352993271825</v>
      </c>
      <c r="BM63" s="100">
        <v>3383.3170841447063</v>
      </c>
      <c r="BN63" s="100">
        <v>4.7447840733665831</v>
      </c>
      <c r="BO63" s="100">
        <v>3774.9502087704536</v>
      </c>
      <c r="BP63" s="100">
        <v>2.6787809895962411</v>
      </c>
      <c r="BQ63" s="100">
        <v>2131.2381553227697</v>
      </c>
      <c r="BR63" s="100">
        <v>0.88835368570124895</v>
      </c>
      <c r="BS63" s="100">
        <v>706.77419234391368</v>
      </c>
      <c r="BT63" s="100">
        <v>6</v>
      </c>
      <c r="BU63" s="100">
        <v>4773.6000000000004</v>
      </c>
      <c r="BV63" s="100">
        <v>6</v>
      </c>
      <c r="BW63" s="100">
        <v>4773.6000000000004</v>
      </c>
      <c r="BX63" s="100">
        <v>4</v>
      </c>
      <c r="BY63" s="100">
        <v>3182.4</v>
      </c>
      <c r="BZ63" s="100">
        <v>6</v>
      </c>
      <c r="CA63" s="100">
        <v>4773.6000000000004</v>
      </c>
      <c r="CB63" s="100">
        <v>6</v>
      </c>
      <c r="CC63" s="100">
        <v>4773.6000000000004</v>
      </c>
      <c r="CD63" s="100">
        <v>4.4058947104924835</v>
      </c>
      <c r="CE63" s="100">
        <v>3505.3298316678201</v>
      </c>
      <c r="CF63" s="100">
        <v>0.97275443434359354</v>
      </c>
      <c r="CG63" s="100">
        <v>773.92342796376306</v>
      </c>
      <c r="CH63" s="100">
        <v>3.737513594728298</v>
      </c>
      <c r="CI63" s="100">
        <v>2973.5658159658342</v>
      </c>
      <c r="CJ63" s="100">
        <v>2.2069462771969874E-4</v>
      </c>
      <c r="CK63" s="100">
        <v>0.17558464581379232</v>
      </c>
      <c r="CL63" s="100">
        <v>5</v>
      </c>
      <c r="CM63" s="100">
        <v>3978</v>
      </c>
      <c r="CN63" s="100">
        <v>6</v>
      </c>
      <c r="CO63" s="100">
        <v>4773.6000000000004</v>
      </c>
      <c r="CP63" s="100">
        <v>5</v>
      </c>
      <c r="CQ63" s="100">
        <v>3978</v>
      </c>
      <c r="CR63" s="100">
        <v>5.6929334609064952</v>
      </c>
      <c r="CS63" s="100">
        <v>4529.297861497208</v>
      </c>
      <c r="CT63" s="100">
        <v>5.3464640726337382</v>
      </c>
      <c r="CU63" s="100">
        <v>4253.6468161874027</v>
      </c>
    </row>
    <row r="64" spans="2:99">
      <c r="C64" s="99" t="s">
        <v>230</v>
      </c>
      <c r="D64" s="100">
        <v>4.1955496452846495</v>
      </c>
      <c r="E64" s="100">
        <v>4234.1487020212671</v>
      </c>
      <c r="F64" s="100">
        <v>4.6718531809217199</v>
      </c>
      <c r="G64" s="100">
        <v>4714.8342301861985</v>
      </c>
      <c r="H64" s="100">
        <v>3.9847641116056717E-4</v>
      </c>
      <c r="I64" s="100">
        <v>0.40214239414324432</v>
      </c>
      <c r="J64" s="100">
        <v>4</v>
      </c>
      <c r="K64" s="100">
        <v>4036.7999999999993</v>
      </c>
      <c r="L64" s="100">
        <v>4.1798611313758602</v>
      </c>
      <c r="M64" s="100">
        <v>4218.3158537845175</v>
      </c>
      <c r="N64" s="100">
        <v>6.1986625335100403</v>
      </c>
      <c r="O64" s="100">
        <v>6255.6902288183319</v>
      </c>
      <c r="P64" s="100">
        <v>4.3116555711099211</v>
      </c>
      <c r="Q64" s="100">
        <v>4351.3228023641313</v>
      </c>
      <c r="R64" s="100">
        <v>1.055429378883594</v>
      </c>
      <c r="S64" s="100">
        <v>1065.139329169323</v>
      </c>
      <c r="T64" s="100">
        <v>5</v>
      </c>
      <c r="U64" s="100">
        <v>5045.9999999999991</v>
      </c>
      <c r="V64" s="100">
        <v>4.4950335886785702</v>
      </c>
      <c r="W64" s="100">
        <v>4536.3878976944125</v>
      </c>
      <c r="X64" s="100">
        <v>3.1724852734706696E-4</v>
      </c>
      <c r="Y64" s="100">
        <v>0.32016721379865992</v>
      </c>
      <c r="Z64" s="100">
        <v>7</v>
      </c>
      <c r="AA64" s="100">
        <v>7064.3999999999987</v>
      </c>
      <c r="AB64" s="100">
        <v>5</v>
      </c>
      <c r="AC64" s="100">
        <v>5045.9999999999991</v>
      </c>
      <c r="AD64" s="100">
        <v>6</v>
      </c>
      <c r="AE64" s="100">
        <v>6055.1999999999989</v>
      </c>
      <c r="AF64" s="100">
        <v>7</v>
      </c>
      <c r="AG64" s="100">
        <v>7064.3999999999987</v>
      </c>
      <c r="AH64" s="100">
        <v>6</v>
      </c>
      <c r="AI64" s="100">
        <v>6055.1999999999989</v>
      </c>
      <c r="AJ64" s="100">
        <v>5</v>
      </c>
      <c r="AK64" s="100">
        <v>5045.9999999999991</v>
      </c>
      <c r="AL64" s="100">
        <v>5</v>
      </c>
      <c r="AM64" s="100">
        <v>5045.9999999999991</v>
      </c>
      <c r="AN64" s="100">
        <v>5</v>
      </c>
      <c r="AO64" s="100">
        <v>5045.9999999999991</v>
      </c>
      <c r="AP64" s="100">
        <v>5.349336641438569</v>
      </c>
      <c r="AQ64" s="100">
        <v>5398.5505385398028</v>
      </c>
      <c r="AR64" s="100">
        <v>0.10336903283409325</v>
      </c>
      <c r="AS64" s="100">
        <v>104.32002793616689</v>
      </c>
      <c r="AT64" s="100">
        <v>4</v>
      </c>
      <c r="AU64" s="100">
        <v>4036.7999999999993</v>
      </c>
      <c r="AV64" s="100">
        <v>6</v>
      </c>
      <c r="AW64" s="100">
        <v>6055.1999999999989</v>
      </c>
      <c r="AX64" s="100">
        <v>7.3495128128868128</v>
      </c>
      <c r="AY64" s="100">
        <v>7417.1283307653703</v>
      </c>
      <c r="AZ64" s="100">
        <v>4.3948370801267078</v>
      </c>
      <c r="BA64" s="100">
        <v>4435.2695812638731</v>
      </c>
      <c r="BB64" s="100">
        <v>2.9245822846964171</v>
      </c>
      <c r="BC64" s="100">
        <v>2951.4884417156236</v>
      </c>
      <c r="BD64" s="100">
        <v>4.508947734517724</v>
      </c>
      <c r="BE64" s="100">
        <v>4550.4300536752862</v>
      </c>
      <c r="BF64" s="100">
        <v>5</v>
      </c>
      <c r="BG64" s="100">
        <v>5045.9999999999991</v>
      </c>
      <c r="BH64" s="100">
        <v>4</v>
      </c>
      <c r="BI64" s="100">
        <v>4036.7999999999993</v>
      </c>
      <c r="BJ64" s="100">
        <v>3</v>
      </c>
      <c r="BK64" s="100">
        <v>3027.5999999999995</v>
      </c>
      <c r="BL64" s="100">
        <v>4.2886117706596369</v>
      </c>
      <c r="BM64" s="100">
        <v>4328.0669989497046</v>
      </c>
      <c r="BN64" s="100">
        <v>4.7447840733665831</v>
      </c>
      <c r="BO64" s="100">
        <v>4788.4360868415552</v>
      </c>
      <c r="BP64" s="100">
        <v>2.6959101463283388</v>
      </c>
      <c r="BQ64" s="100">
        <v>2720.7125196745592</v>
      </c>
      <c r="BR64" s="100">
        <v>0.88835368570124895</v>
      </c>
      <c r="BS64" s="100">
        <v>896.52653960970031</v>
      </c>
      <c r="BT64" s="100">
        <v>6</v>
      </c>
      <c r="BU64" s="100">
        <v>6055.1999999999989</v>
      </c>
      <c r="BV64" s="100">
        <v>7</v>
      </c>
      <c r="BW64" s="100">
        <v>7064.3999999999987</v>
      </c>
      <c r="BX64" s="100">
        <v>4</v>
      </c>
      <c r="BY64" s="100">
        <v>4036.7999999999993</v>
      </c>
      <c r="BZ64" s="100">
        <v>6</v>
      </c>
      <c r="CA64" s="100">
        <v>6055.1999999999989</v>
      </c>
      <c r="CB64" s="100">
        <v>6</v>
      </c>
      <c r="CC64" s="100">
        <v>6055.1999999999989</v>
      </c>
      <c r="CD64" s="100">
        <v>4.3689951913568033</v>
      </c>
      <c r="CE64" s="100">
        <v>4409.1899471172846</v>
      </c>
      <c r="CF64" s="100">
        <v>0.97275443434359354</v>
      </c>
      <c r="CG64" s="100">
        <v>981.70377513955441</v>
      </c>
      <c r="CH64" s="100">
        <v>3.7459576578946123</v>
      </c>
      <c r="CI64" s="100">
        <v>3780.4204683472421</v>
      </c>
      <c r="CJ64" s="100">
        <v>2.2069462771969874E-4</v>
      </c>
      <c r="CK64" s="100">
        <v>0.22272501829471994</v>
      </c>
      <c r="CL64" s="100">
        <v>6</v>
      </c>
      <c r="CM64" s="100">
        <v>6055.1999999999989</v>
      </c>
      <c r="CN64" s="100">
        <v>5</v>
      </c>
      <c r="CO64" s="100">
        <v>5045.9999999999991</v>
      </c>
      <c r="CP64" s="100">
        <v>5</v>
      </c>
      <c r="CQ64" s="100">
        <v>5045.9999999999991</v>
      </c>
      <c r="CR64" s="100">
        <v>4.7441112174220796</v>
      </c>
      <c r="CS64" s="100">
        <v>4787.7570406223622</v>
      </c>
      <c r="CT64" s="100">
        <v>5.3464640726337382</v>
      </c>
      <c r="CU64" s="100">
        <v>5395.6515421019676</v>
      </c>
    </row>
    <row r="65" spans="2:99">
      <c r="C65" s="99" t="s">
        <v>231</v>
      </c>
      <c r="D65" s="100">
        <v>4.223485308896743</v>
      </c>
      <c r="E65" s="100">
        <v>4333.2959269280582</v>
      </c>
      <c r="F65" s="100">
        <v>5.6062238171060637</v>
      </c>
      <c r="G65" s="100">
        <v>5751.9856363508216</v>
      </c>
      <c r="H65" s="100">
        <v>3.9847641116056717E-4</v>
      </c>
      <c r="I65" s="100">
        <v>0.4088367978507419</v>
      </c>
      <c r="J65" s="100">
        <v>5</v>
      </c>
      <c r="K65" s="100">
        <v>5130</v>
      </c>
      <c r="L65" s="100">
        <v>4.1798611313758602</v>
      </c>
      <c r="M65" s="100">
        <v>4288.5375207916322</v>
      </c>
      <c r="N65" s="100">
        <v>6.1986625335100403</v>
      </c>
      <c r="O65" s="100">
        <v>6359.8277593813009</v>
      </c>
      <c r="P65" s="100">
        <v>3.6542889058952475</v>
      </c>
      <c r="Q65" s="100">
        <v>3749.3004174485241</v>
      </c>
      <c r="R65" s="100">
        <v>1.055429378883594</v>
      </c>
      <c r="S65" s="100">
        <v>1082.8705427345674</v>
      </c>
      <c r="T65" s="100">
        <v>5</v>
      </c>
      <c r="U65" s="100">
        <v>5130</v>
      </c>
      <c r="V65" s="100">
        <v>3.7639365874033226</v>
      </c>
      <c r="W65" s="100">
        <v>3861.798938675809</v>
      </c>
      <c r="X65" s="100">
        <v>3.8069823281648035E-4</v>
      </c>
      <c r="Y65" s="100">
        <v>0.39059638686970882</v>
      </c>
      <c r="Z65" s="100">
        <v>6</v>
      </c>
      <c r="AA65" s="100">
        <v>6156</v>
      </c>
      <c r="AB65" s="100">
        <v>6</v>
      </c>
      <c r="AC65" s="100">
        <v>6156</v>
      </c>
      <c r="AD65" s="100">
        <v>6</v>
      </c>
      <c r="AE65" s="100">
        <v>6156</v>
      </c>
      <c r="AF65" s="100">
        <v>7</v>
      </c>
      <c r="AG65" s="100">
        <v>7182</v>
      </c>
      <c r="AH65" s="100">
        <v>5</v>
      </c>
      <c r="AI65" s="100">
        <v>5130</v>
      </c>
      <c r="AJ65" s="100">
        <v>5</v>
      </c>
      <c r="AK65" s="100">
        <v>5130</v>
      </c>
      <c r="AL65" s="100">
        <v>4</v>
      </c>
      <c r="AM65" s="100">
        <v>4104</v>
      </c>
      <c r="AN65" s="100">
        <v>5</v>
      </c>
      <c r="AO65" s="100">
        <v>5130</v>
      </c>
      <c r="AP65" s="100">
        <v>5.2994314069473454</v>
      </c>
      <c r="AQ65" s="100">
        <v>5437.2166235279765</v>
      </c>
      <c r="AR65" s="100">
        <v>0.12404283940091192</v>
      </c>
      <c r="AS65" s="100">
        <v>127.26795322533563</v>
      </c>
      <c r="AT65" s="100">
        <v>4</v>
      </c>
      <c r="AU65" s="100">
        <v>4104</v>
      </c>
      <c r="AV65" s="100">
        <v>6</v>
      </c>
      <c r="AW65" s="100">
        <v>6156</v>
      </c>
      <c r="AX65" s="100">
        <v>7.3495128128868128</v>
      </c>
      <c r="AY65" s="100">
        <v>7540.6001460218695</v>
      </c>
      <c r="AZ65" s="100">
        <v>4.3948370801267078</v>
      </c>
      <c r="BA65" s="100">
        <v>4509.1028442100023</v>
      </c>
      <c r="BB65" s="100">
        <v>3.6351677430470613</v>
      </c>
      <c r="BC65" s="100">
        <v>3729.6821043662849</v>
      </c>
      <c r="BD65" s="100">
        <v>3.7574564454314361</v>
      </c>
      <c r="BE65" s="100">
        <v>3855.1503130126534</v>
      </c>
      <c r="BF65" s="100">
        <v>6</v>
      </c>
      <c r="BG65" s="100">
        <v>6156</v>
      </c>
      <c r="BH65" s="100">
        <v>4</v>
      </c>
      <c r="BI65" s="100">
        <v>4104</v>
      </c>
      <c r="BJ65" s="100">
        <v>4</v>
      </c>
      <c r="BK65" s="100">
        <v>4104</v>
      </c>
      <c r="BL65" s="100">
        <v>4.2886117706596369</v>
      </c>
      <c r="BM65" s="100">
        <v>4400.1156766967879</v>
      </c>
      <c r="BN65" s="100">
        <v>4.1261987149685</v>
      </c>
      <c r="BO65" s="100">
        <v>4233.4798815576814</v>
      </c>
      <c r="BP65" s="100">
        <v>2.6787809895962411</v>
      </c>
      <c r="BQ65" s="100">
        <v>2748.4292953257432</v>
      </c>
      <c r="BR65" s="100">
        <v>0.88835368570124895</v>
      </c>
      <c r="BS65" s="100">
        <v>911.45088152948142</v>
      </c>
      <c r="BT65" s="100">
        <v>6</v>
      </c>
      <c r="BU65" s="100">
        <v>6156</v>
      </c>
      <c r="BV65" s="100">
        <v>6</v>
      </c>
      <c r="BW65" s="100">
        <v>6156</v>
      </c>
      <c r="BX65" s="100">
        <v>4</v>
      </c>
      <c r="BY65" s="100">
        <v>4104</v>
      </c>
      <c r="BZ65" s="100">
        <v>6</v>
      </c>
      <c r="CA65" s="100">
        <v>6156</v>
      </c>
      <c r="CB65" s="100">
        <v>5</v>
      </c>
      <c r="CC65" s="100">
        <v>5130</v>
      </c>
      <c r="CD65" s="100">
        <v>4.4427942296281637</v>
      </c>
      <c r="CE65" s="100">
        <v>4558.3068795984964</v>
      </c>
      <c r="CF65" s="100">
        <v>0.97275443434359354</v>
      </c>
      <c r="CG65" s="100">
        <v>998.04604963652696</v>
      </c>
      <c r="CH65" s="100">
        <v>3.737513594728298</v>
      </c>
      <c r="CI65" s="100">
        <v>3834.688948191234</v>
      </c>
      <c r="CJ65" s="100">
        <v>2.2069462771969874E-4</v>
      </c>
      <c r="CK65" s="100">
        <v>0.22643268804041092</v>
      </c>
      <c r="CL65" s="100">
        <v>5</v>
      </c>
      <c r="CM65" s="100">
        <v>5130</v>
      </c>
      <c r="CN65" s="100">
        <v>5</v>
      </c>
      <c r="CO65" s="100">
        <v>5130</v>
      </c>
      <c r="CP65" s="100">
        <v>6</v>
      </c>
      <c r="CQ65" s="100">
        <v>6156</v>
      </c>
      <c r="CR65" s="100">
        <v>4.7441112174220796</v>
      </c>
      <c r="CS65" s="100">
        <v>4867.4581090750535</v>
      </c>
      <c r="CT65" s="100">
        <v>5.3464640726337382</v>
      </c>
      <c r="CU65" s="100">
        <v>5485.4721385222156</v>
      </c>
    </row>
    <row r="66" spans="2:99">
      <c r="C66" s="99" t="s">
        <v>232</v>
      </c>
      <c r="D66" s="100">
        <v>5.1955496452846495</v>
      </c>
      <c r="E66" s="100">
        <v>6184.7822977468459</v>
      </c>
      <c r="F66" s="100">
        <v>5.6062238171060637</v>
      </c>
      <c r="G66" s="100">
        <v>6673.648831883057</v>
      </c>
      <c r="H66" s="100">
        <v>3.9847641116056717E-4</v>
      </c>
      <c r="I66" s="100">
        <v>0.4743463198455391</v>
      </c>
      <c r="J66" s="100">
        <v>5</v>
      </c>
      <c r="K66" s="100">
        <v>5951.9999999999991</v>
      </c>
      <c r="L66" s="100">
        <v>4.1798611313758602</v>
      </c>
      <c r="M66" s="100">
        <v>4975.7066907898234</v>
      </c>
      <c r="N66" s="100">
        <v>5.1655521112583669</v>
      </c>
      <c r="O66" s="100">
        <v>6149.0732332419593</v>
      </c>
      <c r="P66" s="100">
        <v>4.3399213849423735</v>
      </c>
      <c r="Q66" s="100">
        <v>5166.2424166354003</v>
      </c>
      <c r="R66" s="100">
        <v>1.055429378883594</v>
      </c>
      <c r="S66" s="100">
        <v>1256.3831326230302</v>
      </c>
      <c r="T66" s="100">
        <v>5</v>
      </c>
      <c r="U66" s="100">
        <v>5951.9999999999991</v>
      </c>
      <c r="V66" s="100">
        <v>3.7774930350317075</v>
      </c>
      <c r="W66" s="100">
        <v>4496.7277089017443</v>
      </c>
      <c r="X66" s="100">
        <v>3.1724852734706696E-4</v>
      </c>
      <c r="Y66" s="100">
        <v>0.37765264695394846</v>
      </c>
      <c r="Z66" s="100">
        <v>7</v>
      </c>
      <c r="AA66" s="100">
        <v>8332.7999999999993</v>
      </c>
      <c r="AB66" s="100">
        <v>5</v>
      </c>
      <c r="AC66" s="100">
        <v>5951.9999999999991</v>
      </c>
      <c r="AD66" s="100">
        <v>6</v>
      </c>
      <c r="AE66" s="100">
        <v>7142.4</v>
      </c>
      <c r="AF66" s="100">
        <v>7</v>
      </c>
      <c r="AG66" s="100">
        <v>8332.7999999999993</v>
      </c>
      <c r="AH66" s="100">
        <v>6</v>
      </c>
      <c r="AI66" s="100">
        <v>7142.4</v>
      </c>
      <c r="AJ66" s="100">
        <v>5</v>
      </c>
      <c r="AK66" s="100">
        <v>5951.9999999999991</v>
      </c>
      <c r="AL66" s="100">
        <v>4</v>
      </c>
      <c r="AM66" s="100">
        <v>4761.5999999999995</v>
      </c>
      <c r="AN66" s="100">
        <v>5</v>
      </c>
      <c r="AO66" s="100">
        <v>5951.9999999999991</v>
      </c>
      <c r="AP66" s="100">
        <v>5.2994314069473454</v>
      </c>
      <c r="AQ66" s="100">
        <v>6308.4431468301191</v>
      </c>
      <c r="AR66" s="100">
        <v>0.12404283940091192</v>
      </c>
      <c r="AS66" s="100">
        <v>147.66059602284554</v>
      </c>
      <c r="AT66" s="100">
        <v>4</v>
      </c>
      <c r="AU66" s="100">
        <v>4761.5999999999995</v>
      </c>
      <c r="AV66" s="100">
        <v>6</v>
      </c>
      <c r="AW66" s="100">
        <v>7142.4</v>
      </c>
      <c r="AX66" s="100">
        <v>6.2995824110458392</v>
      </c>
      <c r="AY66" s="100">
        <v>7499.0229021089663</v>
      </c>
      <c r="AZ66" s="100">
        <v>4.3948370801267078</v>
      </c>
      <c r="BA66" s="100">
        <v>5231.614060182832</v>
      </c>
      <c r="BB66" s="100">
        <v>3.6351677430470613</v>
      </c>
      <c r="BC66" s="100">
        <v>4327.3036813232211</v>
      </c>
      <c r="BD66" s="100">
        <v>4.508947734517724</v>
      </c>
      <c r="BE66" s="100">
        <v>5367.4513831698978</v>
      </c>
      <c r="BF66" s="100">
        <v>6</v>
      </c>
      <c r="BG66" s="100">
        <v>7142.4</v>
      </c>
      <c r="BH66" s="100">
        <v>4</v>
      </c>
      <c r="BI66" s="100">
        <v>4761.5999999999995</v>
      </c>
      <c r="BJ66" s="100">
        <v>3</v>
      </c>
      <c r="BK66" s="100">
        <v>3571.2</v>
      </c>
      <c r="BL66" s="100">
        <v>4.2525352993271825</v>
      </c>
      <c r="BM66" s="100">
        <v>5062.2180203190774</v>
      </c>
      <c r="BN66" s="100">
        <v>4.1261987149685</v>
      </c>
      <c r="BO66" s="100">
        <v>4911.8269502985022</v>
      </c>
      <c r="BP66" s="100">
        <v>2.6959101463283388</v>
      </c>
      <c r="BQ66" s="100">
        <v>3209.2114381892543</v>
      </c>
      <c r="BR66" s="100">
        <v>0.88835368570124895</v>
      </c>
      <c r="BS66" s="100">
        <v>1057.4962274587667</v>
      </c>
      <c r="BT66" s="100">
        <v>6</v>
      </c>
      <c r="BU66" s="100">
        <v>7142.4</v>
      </c>
      <c r="BV66" s="100">
        <v>6</v>
      </c>
      <c r="BW66" s="100">
        <v>7142.4</v>
      </c>
      <c r="BX66" s="100">
        <v>4</v>
      </c>
      <c r="BY66" s="100">
        <v>4761.5999999999995</v>
      </c>
      <c r="BZ66" s="100">
        <v>6</v>
      </c>
      <c r="CA66" s="100">
        <v>7142.4</v>
      </c>
      <c r="CB66" s="100">
        <v>6</v>
      </c>
      <c r="CC66" s="100">
        <v>7142.4</v>
      </c>
      <c r="CD66" s="100">
        <v>4.4058947104924835</v>
      </c>
      <c r="CE66" s="100">
        <v>5244.7770633702521</v>
      </c>
      <c r="CF66" s="100">
        <v>0.97275443434359354</v>
      </c>
      <c r="CG66" s="100">
        <v>1157.9668786426137</v>
      </c>
      <c r="CH66" s="100">
        <v>2.8200233223788533</v>
      </c>
      <c r="CI66" s="100">
        <v>3356.9557629597866</v>
      </c>
      <c r="CJ66" s="100">
        <v>2.2069462771969874E-4</v>
      </c>
      <c r="CK66" s="100">
        <v>0.26271488483752936</v>
      </c>
      <c r="CL66" s="100">
        <v>6</v>
      </c>
      <c r="CM66" s="100">
        <v>7142.4</v>
      </c>
      <c r="CN66" s="100">
        <v>5</v>
      </c>
      <c r="CO66" s="100">
        <v>5951.9999999999991</v>
      </c>
      <c r="CP66" s="100">
        <v>5</v>
      </c>
      <c r="CQ66" s="100">
        <v>5951.9999999999991</v>
      </c>
      <c r="CR66" s="100">
        <v>4.7441112174220796</v>
      </c>
      <c r="CS66" s="100">
        <v>5647.3899932192426</v>
      </c>
      <c r="CT66" s="100">
        <v>5.3597568203124952</v>
      </c>
      <c r="CU66" s="100">
        <v>6380.2545188999939</v>
      </c>
    </row>
    <row r="67" spans="2:99">
      <c r="C67" s="99" t="s">
        <v>233</v>
      </c>
      <c r="D67" s="100">
        <v>4.1955496452846495</v>
      </c>
      <c r="E67" s="100">
        <v>4712.4413615837184</v>
      </c>
      <c r="F67" s="100">
        <v>5.6062238171060637</v>
      </c>
      <c r="G67" s="100">
        <v>6296.9105913735311</v>
      </c>
      <c r="H67" s="100">
        <v>3.1878112892845371E-4</v>
      </c>
      <c r="I67" s="100">
        <v>0.35805496401243925</v>
      </c>
      <c r="J67" s="100">
        <v>4</v>
      </c>
      <c r="K67" s="100">
        <v>4492.8</v>
      </c>
      <c r="L67" s="100">
        <v>4.2023437727978434</v>
      </c>
      <c r="M67" s="100">
        <v>4720.072525606538</v>
      </c>
      <c r="N67" s="100">
        <v>5.1655521112583669</v>
      </c>
      <c r="O67" s="100">
        <v>5801.9481313653978</v>
      </c>
      <c r="P67" s="100">
        <v>3.6260230920627952</v>
      </c>
      <c r="Q67" s="100">
        <v>4072.7491370049315</v>
      </c>
      <c r="R67" s="100">
        <v>1.3192867236044927</v>
      </c>
      <c r="S67" s="100">
        <v>1481.8228479525662</v>
      </c>
      <c r="T67" s="100">
        <v>5</v>
      </c>
      <c r="U67" s="100">
        <v>5616</v>
      </c>
      <c r="V67" s="100">
        <v>3.7503801397749368</v>
      </c>
      <c r="W67" s="100">
        <v>4212.4269729952093</v>
      </c>
      <c r="X67" s="100">
        <v>3.8069823281648035E-4</v>
      </c>
      <c r="Y67" s="100">
        <v>0.42760025509947075</v>
      </c>
      <c r="Z67" s="100">
        <v>6</v>
      </c>
      <c r="AA67" s="100">
        <v>6739.2000000000007</v>
      </c>
      <c r="AB67" s="100">
        <v>5</v>
      </c>
      <c r="AC67" s="100">
        <v>5616</v>
      </c>
      <c r="AD67" s="100">
        <v>6</v>
      </c>
      <c r="AE67" s="100">
        <v>6739.2000000000007</v>
      </c>
      <c r="AF67" s="100">
        <v>7</v>
      </c>
      <c r="AG67" s="100">
        <v>7862.4000000000005</v>
      </c>
      <c r="AH67" s="100">
        <v>5</v>
      </c>
      <c r="AI67" s="100">
        <v>5616</v>
      </c>
      <c r="AJ67" s="100">
        <v>5</v>
      </c>
      <c r="AK67" s="100">
        <v>5616</v>
      </c>
      <c r="AL67" s="100">
        <v>5</v>
      </c>
      <c r="AM67" s="100">
        <v>5616</v>
      </c>
      <c r="AN67" s="100">
        <v>5</v>
      </c>
      <c r="AO67" s="100">
        <v>5616</v>
      </c>
      <c r="AP67" s="100">
        <v>5.2994314069473454</v>
      </c>
      <c r="AQ67" s="100">
        <v>5952.3213562832589</v>
      </c>
      <c r="AR67" s="100">
        <v>0.10336903283409325</v>
      </c>
      <c r="AS67" s="100">
        <v>116.10409767925354</v>
      </c>
      <c r="AT67" s="100">
        <v>4</v>
      </c>
      <c r="AU67" s="100">
        <v>4492.8</v>
      </c>
      <c r="AV67" s="100">
        <v>6</v>
      </c>
      <c r="AW67" s="100">
        <v>6739.2000000000007</v>
      </c>
      <c r="AX67" s="100">
        <v>7.3495128128868128</v>
      </c>
      <c r="AY67" s="100">
        <v>8254.9727914344676</v>
      </c>
      <c r="AZ67" s="100">
        <v>3.5158696641013663</v>
      </c>
      <c r="BA67" s="100">
        <v>3949.0248067186549</v>
      </c>
      <c r="BB67" s="100">
        <v>2.9410303749551843</v>
      </c>
      <c r="BC67" s="100">
        <v>3303.365317149663</v>
      </c>
      <c r="BD67" s="100">
        <v>4.508947734517724</v>
      </c>
      <c r="BE67" s="100">
        <v>5064.4500954103078</v>
      </c>
      <c r="BF67" s="100">
        <v>6</v>
      </c>
      <c r="BG67" s="100">
        <v>6739.2000000000007</v>
      </c>
      <c r="BH67" s="100">
        <v>4</v>
      </c>
      <c r="BI67" s="100">
        <v>4492.8</v>
      </c>
      <c r="BJ67" s="100">
        <v>3</v>
      </c>
      <c r="BK67" s="100">
        <v>3369.6000000000004</v>
      </c>
      <c r="BL67" s="100">
        <v>4.2886117706596369</v>
      </c>
      <c r="BM67" s="100">
        <v>4816.968740804904</v>
      </c>
      <c r="BN67" s="100">
        <v>4.7744045422651551</v>
      </c>
      <c r="BO67" s="100">
        <v>5362.611181872222</v>
      </c>
      <c r="BP67" s="100">
        <v>2.6959101463283388</v>
      </c>
      <c r="BQ67" s="100">
        <v>3028.0462763559904</v>
      </c>
      <c r="BR67" s="100">
        <v>0.88835368570124895</v>
      </c>
      <c r="BS67" s="100">
        <v>997.79885977964284</v>
      </c>
      <c r="BT67" s="100">
        <v>6</v>
      </c>
      <c r="BU67" s="100">
        <v>6739.2000000000007</v>
      </c>
      <c r="BV67" s="100">
        <v>7</v>
      </c>
      <c r="BW67" s="100">
        <v>7862.4000000000005</v>
      </c>
      <c r="BX67" s="100">
        <v>4</v>
      </c>
      <c r="BY67" s="100">
        <v>4492.8</v>
      </c>
      <c r="BZ67" s="100">
        <v>6</v>
      </c>
      <c r="CA67" s="100">
        <v>6739.2000000000007</v>
      </c>
      <c r="CB67" s="100">
        <v>6</v>
      </c>
      <c r="CC67" s="100">
        <v>6739.2000000000007</v>
      </c>
      <c r="CD67" s="100">
        <v>5.3689951913568033</v>
      </c>
      <c r="CE67" s="100">
        <v>6030.455398931962</v>
      </c>
      <c r="CF67" s="100">
        <v>0.77820354747487486</v>
      </c>
      <c r="CG67" s="100">
        <v>874.07822452377945</v>
      </c>
      <c r="CH67" s="100">
        <v>3.737513594728298</v>
      </c>
      <c r="CI67" s="100">
        <v>4197.9752695988245</v>
      </c>
      <c r="CJ67" s="100">
        <v>2.7586828464962339E-4</v>
      </c>
      <c r="CK67" s="100">
        <v>0.30985525731845703</v>
      </c>
      <c r="CL67" s="100">
        <v>6</v>
      </c>
      <c r="CM67" s="100">
        <v>6739.2000000000007</v>
      </c>
      <c r="CN67" s="100">
        <v>5</v>
      </c>
      <c r="CO67" s="100">
        <v>5616</v>
      </c>
      <c r="CP67" s="100">
        <v>6</v>
      </c>
      <c r="CQ67" s="100">
        <v>6739.2000000000007</v>
      </c>
      <c r="CR67" s="100">
        <v>5.6929334609064952</v>
      </c>
      <c r="CS67" s="100">
        <v>6394.302863290176</v>
      </c>
      <c r="CT67" s="100">
        <v>5.3464640726337382</v>
      </c>
      <c r="CU67" s="100">
        <v>6005.1484463822153</v>
      </c>
    </row>
    <row r="68" spans="2:99">
      <c r="C68" s="99" t="s">
        <v>234</v>
      </c>
      <c r="D68" s="100">
        <v>4.1955496452846495</v>
      </c>
      <c r="E68" s="100">
        <v>4334.8418935080999</v>
      </c>
      <c r="F68" s="100">
        <v>5.6062238171060637</v>
      </c>
      <c r="G68" s="100">
        <v>5792.3504478339855</v>
      </c>
      <c r="H68" s="100">
        <v>3.9847641116056717E-4</v>
      </c>
      <c r="I68" s="100">
        <v>0.41170582801109801</v>
      </c>
      <c r="J68" s="100">
        <v>5</v>
      </c>
      <c r="K68" s="100">
        <v>5166</v>
      </c>
      <c r="L68" s="100">
        <v>3.1798611313758607</v>
      </c>
      <c r="M68" s="100">
        <v>3285.4325209375393</v>
      </c>
      <c r="N68" s="100">
        <v>5.1986625335100403</v>
      </c>
      <c r="O68" s="100">
        <v>5371.2581296225735</v>
      </c>
      <c r="P68" s="100">
        <v>4.3399213849423735</v>
      </c>
      <c r="Q68" s="100">
        <v>4484.0067749224609</v>
      </c>
      <c r="R68" s="100">
        <v>1.055429378883594</v>
      </c>
      <c r="S68" s="100">
        <v>1090.4696342625293</v>
      </c>
      <c r="T68" s="100">
        <v>5</v>
      </c>
      <c r="U68" s="100">
        <v>5166</v>
      </c>
      <c r="V68" s="100">
        <v>3.7774930350317075</v>
      </c>
      <c r="W68" s="100">
        <v>3902.9058037947602</v>
      </c>
      <c r="X68" s="100">
        <v>3.8069823281648035E-4</v>
      </c>
      <c r="Y68" s="100">
        <v>0.3933374141459875</v>
      </c>
      <c r="Z68" s="100">
        <v>7</v>
      </c>
      <c r="AA68" s="100">
        <v>7232.4000000000005</v>
      </c>
      <c r="AB68" s="100">
        <v>5</v>
      </c>
      <c r="AC68" s="100">
        <v>5166</v>
      </c>
      <c r="AD68" s="100">
        <v>6</v>
      </c>
      <c r="AE68" s="100">
        <v>6199.2000000000007</v>
      </c>
      <c r="AF68" s="100">
        <v>6</v>
      </c>
      <c r="AG68" s="100">
        <v>6199.2000000000007</v>
      </c>
      <c r="AH68" s="100">
        <v>6</v>
      </c>
      <c r="AI68" s="100">
        <v>6199.2000000000007</v>
      </c>
      <c r="AJ68" s="100">
        <v>5</v>
      </c>
      <c r="AK68" s="100">
        <v>5166</v>
      </c>
      <c r="AL68" s="100">
        <v>5</v>
      </c>
      <c r="AM68" s="100">
        <v>5166</v>
      </c>
      <c r="AN68" s="100">
        <v>5</v>
      </c>
      <c r="AO68" s="100">
        <v>5166</v>
      </c>
      <c r="AP68" s="100">
        <v>4.2994314069473454</v>
      </c>
      <c r="AQ68" s="100">
        <v>4442.1725296579971</v>
      </c>
      <c r="AR68" s="100">
        <v>0.12404283940091192</v>
      </c>
      <c r="AS68" s="100">
        <v>128.16106166902219</v>
      </c>
      <c r="AT68" s="100">
        <v>4</v>
      </c>
      <c r="AU68" s="100">
        <v>4132.8</v>
      </c>
      <c r="AV68" s="100">
        <v>7</v>
      </c>
      <c r="AW68" s="100">
        <v>7232.4000000000005</v>
      </c>
      <c r="AX68" s="100">
        <v>6.3495128128868128</v>
      </c>
      <c r="AY68" s="100">
        <v>6560.3166382746549</v>
      </c>
      <c r="AZ68" s="100">
        <v>3.5158696641013663</v>
      </c>
      <c r="BA68" s="100">
        <v>3632.5965369495316</v>
      </c>
      <c r="BB68" s="100">
        <v>3.6187196527882932</v>
      </c>
      <c r="BC68" s="100">
        <v>3738.8611452608648</v>
      </c>
      <c r="BD68" s="100">
        <v>4.508947734517724</v>
      </c>
      <c r="BE68" s="100">
        <v>4658.6447993037127</v>
      </c>
      <c r="BF68" s="100">
        <v>6</v>
      </c>
      <c r="BG68" s="100">
        <v>6199.2000000000007</v>
      </c>
      <c r="BH68" s="100">
        <v>4</v>
      </c>
      <c r="BI68" s="100">
        <v>4132.8</v>
      </c>
      <c r="BJ68" s="100">
        <v>4</v>
      </c>
      <c r="BK68" s="100">
        <v>4132.8</v>
      </c>
      <c r="BL68" s="100">
        <v>4.3246882419920922</v>
      </c>
      <c r="BM68" s="100">
        <v>4468.2678916262303</v>
      </c>
      <c r="BN68" s="100">
        <v>4.1261987149685</v>
      </c>
      <c r="BO68" s="100">
        <v>4263.1885123054544</v>
      </c>
      <c r="BP68" s="100">
        <v>2.6787809895962411</v>
      </c>
      <c r="BQ68" s="100">
        <v>2767.7165184508362</v>
      </c>
      <c r="BR68" s="100">
        <v>0.88835368570124895</v>
      </c>
      <c r="BS68" s="100">
        <v>917.84702806653047</v>
      </c>
      <c r="BT68" s="100">
        <v>6</v>
      </c>
      <c r="BU68" s="100">
        <v>6199.2000000000007</v>
      </c>
      <c r="BV68" s="100">
        <v>7</v>
      </c>
      <c r="BW68" s="100">
        <v>7232.4000000000005</v>
      </c>
      <c r="BX68" s="100">
        <v>4</v>
      </c>
      <c r="BY68" s="100">
        <v>4132.8</v>
      </c>
      <c r="BZ68" s="100">
        <v>6</v>
      </c>
      <c r="CA68" s="100">
        <v>6199.2000000000007</v>
      </c>
      <c r="CB68" s="100">
        <v>5</v>
      </c>
      <c r="CC68" s="100">
        <v>5166</v>
      </c>
      <c r="CD68" s="100">
        <v>4.3689951913568033</v>
      </c>
      <c r="CE68" s="100">
        <v>4514.0458317098492</v>
      </c>
      <c r="CF68" s="100">
        <v>0.97275443434359354</v>
      </c>
      <c r="CG68" s="100">
        <v>1005.0498815638009</v>
      </c>
      <c r="CH68" s="100">
        <v>2.8284673855451676</v>
      </c>
      <c r="CI68" s="100">
        <v>2922.3725027452674</v>
      </c>
      <c r="CJ68" s="100">
        <v>2.2069462771969874E-4</v>
      </c>
      <c r="CK68" s="100">
        <v>0.22802168935999276</v>
      </c>
      <c r="CL68" s="100">
        <v>6</v>
      </c>
      <c r="CM68" s="100">
        <v>6199.2000000000007</v>
      </c>
      <c r="CN68" s="100">
        <v>5</v>
      </c>
      <c r="CO68" s="100">
        <v>5166</v>
      </c>
      <c r="CP68" s="100">
        <v>5</v>
      </c>
      <c r="CQ68" s="100">
        <v>5166</v>
      </c>
      <c r="CR68" s="100">
        <v>4.7441112174220796</v>
      </c>
      <c r="CS68" s="100">
        <v>4901.6157098404929</v>
      </c>
      <c r="CT68" s="100">
        <v>5.3464640726337382</v>
      </c>
      <c r="CU68" s="100">
        <v>5523.966679845179</v>
      </c>
    </row>
    <row r="69" spans="2:99">
      <c r="C69" s="99" t="s">
        <v>235</v>
      </c>
      <c r="D69" s="100">
        <v>4.1955496452846495</v>
      </c>
      <c r="E69" s="100">
        <v>3181.9048509838781</v>
      </c>
      <c r="F69" s="100">
        <v>4.6718531809217199</v>
      </c>
      <c r="G69" s="100">
        <v>3543.1334524110321</v>
      </c>
      <c r="H69" s="100">
        <v>3.1878112892845371E-4</v>
      </c>
      <c r="I69" s="100">
        <v>0.24176360817933928</v>
      </c>
      <c r="J69" s="100">
        <v>4</v>
      </c>
      <c r="K69" s="100">
        <v>3033.6</v>
      </c>
      <c r="L69" s="100">
        <v>4.2023437727978434</v>
      </c>
      <c r="M69" s="100">
        <v>3187.0575172898843</v>
      </c>
      <c r="N69" s="100">
        <v>6.1986625335100403</v>
      </c>
      <c r="O69" s="100">
        <v>4701.0656654140148</v>
      </c>
      <c r="P69" s="100">
        <v>4.3399213849423735</v>
      </c>
      <c r="Q69" s="100">
        <v>3291.396378340296</v>
      </c>
      <c r="R69" s="100">
        <v>1.055429378883594</v>
      </c>
      <c r="S69" s="100">
        <v>800.43764094531764</v>
      </c>
      <c r="T69" s="100">
        <v>5</v>
      </c>
      <c r="U69" s="100">
        <v>3792</v>
      </c>
      <c r="V69" s="100">
        <v>4.4950335886785702</v>
      </c>
      <c r="W69" s="100">
        <v>3409.0334736538275</v>
      </c>
      <c r="X69" s="100">
        <v>3.1724852734706696E-4</v>
      </c>
      <c r="Y69" s="100">
        <v>0.24060128314001558</v>
      </c>
      <c r="Z69" s="100">
        <v>7</v>
      </c>
      <c r="AA69" s="100">
        <v>5308.8</v>
      </c>
      <c r="AB69" s="100">
        <v>5</v>
      </c>
      <c r="AC69" s="100">
        <v>3792</v>
      </c>
      <c r="AD69" s="100">
        <v>5</v>
      </c>
      <c r="AE69" s="100">
        <v>3792</v>
      </c>
      <c r="AF69" s="100">
        <v>7</v>
      </c>
      <c r="AG69" s="100">
        <v>5308.8</v>
      </c>
      <c r="AH69" s="100">
        <v>5</v>
      </c>
      <c r="AI69" s="100">
        <v>3792</v>
      </c>
      <c r="AJ69" s="100">
        <v>5</v>
      </c>
      <c r="AK69" s="100">
        <v>3792</v>
      </c>
      <c r="AL69" s="100">
        <v>4</v>
      </c>
      <c r="AM69" s="100">
        <v>3033.6</v>
      </c>
      <c r="AN69" s="100">
        <v>6</v>
      </c>
      <c r="AO69" s="100">
        <v>4550.3999999999996</v>
      </c>
      <c r="AP69" s="100">
        <v>5.2994314069473454</v>
      </c>
      <c r="AQ69" s="100">
        <v>4019.0887790288666</v>
      </c>
      <c r="AR69" s="100">
        <v>0.10336903283409325</v>
      </c>
      <c r="AS69" s="100">
        <v>78.395074501376314</v>
      </c>
      <c r="AT69" s="100">
        <v>4</v>
      </c>
      <c r="AU69" s="100">
        <v>3033.6</v>
      </c>
      <c r="AV69" s="100">
        <v>6</v>
      </c>
      <c r="AW69" s="100">
        <v>4550.3999999999996</v>
      </c>
      <c r="AX69" s="100">
        <v>6.3495128128868128</v>
      </c>
      <c r="AY69" s="100">
        <v>4815.4705172933591</v>
      </c>
      <c r="AZ69" s="100">
        <v>4.3948370801267078</v>
      </c>
      <c r="BA69" s="100">
        <v>3333.044441568095</v>
      </c>
      <c r="BB69" s="100">
        <v>3.6187196527882932</v>
      </c>
      <c r="BC69" s="100">
        <v>2744.4369846746413</v>
      </c>
      <c r="BD69" s="100">
        <v>3.7574564454314361</v>
      </c>
      <c r="BE69" s="100">
        <v>2849.6549682152008</v>
      </c>
      <c r="BF69" s="100">
        <v>6</v>
      </c>
      <c r="BG69" s="100">
        <v>4550.3999999999996</v>
      </c>
      <c r="BH69" s="100">
        <v>4</v>
      </c>
      <c r="BI69" s="100">
        <v>3033.6</v>
      </c>
      <c r="BJ69" s="100">
        <v>4</v>
      </c>
      <c r="BK69" s="100">
        <v>3033.6</v>
      </c>
      <c r="BL69" s="100">
        <v>4.2886117706596369</v>
      </c>
      <c r="BM69" s="100">
        <v>3252.4831668682687</v>
      </c>
      <c r="BN69" s="100">
        <v>4.7744045422651551</v>
      </c>
      <c r="BO69" s="100">
        <v>3620.9084048538934</v>
      </c>
      <c r="BP69" s="100">
        <v>2.6787809895962411</v>
      </c>
      <c r="BQ69" s="100">
        <v>2031.5875025097891</v>
      </c>
      <c r="BR69" s="100">
        <v>1.1104421071265611</v>
      </c>
      <c r="BS69" s="100">
        <v>842.15929404478391</v>
      </c>
      <c r="BT69" s="100">
        <v>6</v>
      </c>
      <c r="BU69" s="100">
        <v>4550.3999999999996</v>
      </c>
      <c r="BV69" s="100">
        <v>7</v>
      </c>
      <c r="BW69" s="100">
        <v>5308.8</v>
      </c>
      <c r="BX69" s="100">
        <v>4</v>
      </c>
      <c r="BY69" s="100">
        <v>3033.6</v>
      </c>
      <c r="BZ69" s="100">
        <v>6</v>
      </c>
      <c r="CA69" s="100">
        <v>4550.3999999999996</v>
      </c>
      <c r="CB69" s="100">
        <v>5</v>
      </c>
      <c r="CC69" s="100">
        <v>3792</v>
      </c>
      <c r="CD69" s="100">
        <v>4.3689951913568033</v>
      </c>
      <c r="CE69" s="100">
        <v>3313.4459531249995</v>
      </c>
      <c r="CF69" s="100">
        <v>0.97275443434359354</v>
      </c>
      <c r="CG69" s="100">
        <v>737.73696300618133</v>
      </c>
      <c r="CH69" s="100">
        <v>2.8284673855451676</v>
      </c>
      <c r="CI69" s="100">
        <v>2145.1096651974549</v>
      </c>
      <c r="CJ69" s="100">
        <v>2.2069462771969874E-4</v>
      </c>
      <c r="CK69" s="100">
        <v>0.16737480566261953</v>
      </c>
      <c r="CL69" s="100">
        <v>6</v>
      </c>
      <c r="CM69" s="100">
        <v>4550.3999999999996</v>
      </c>
      <c r="CN69" s="100">
        <v>5</v>
      </c>
      <c r="CO69" s="100">
        <v>3792</v>
      </c>
      <c r="CP69" s="100">
        <v>5</v>
      </c>
      <c r="CQ69" s="100">
        <v>3792</v>
      </c>
      <c r="CR69" s="100">
        <v>5.6929334609064952</v>
      </c>
      <c r="CS69" s="100">
        <v>4317.5207367514859</v>
      </c>
      <c r="CT69" s="100">
        <v>4.4775413066593766</v>
      </c>
      <c r="CU69" s="100">
        <v>3395.767326970471</v>
      </c>
    </row>
    <row r="70" spans="2:99">
      <c r="C70" s="99" t="s">
        <v>236</v>
      </c>
      <c r="D70" s="100">
        <v>4.1955496452846495</v>
      </c>
      <c r="E70" s="100">
        <v>2245.4581701563443</v>
      </c>
      <c r="F70" s="100">
        <v>4.6718531809217199</v>
      </c>
      <c r="G70" s="100">
        <v>2500.3758224293042</v>
      </c>
      <c r="H70" s="100">
        <v>3.9847641116056717E-4</v>
      </c>
      <c r="I70" s="100">
        <v>0.21326457525313552</v>
      </c>
      <c r="J70" s="100">
        <v>5</v>
      </c>
      <c r="K70" s="100">
        <v>2675.9999999999995</v>
      </c>
      <c r="L70" s="100">
        <v>4.2023437727978434</v>
      </c>
      <c r="M70" s="100">
        <v>2249.0943872014054</v>
      </c>
      <c r="N70" s="100">
        <v>6.1986625335100403</v>
      </c>
      <c r="O70" s="100">
        <v>3317.5241879345731</v>
      </c>
      <c r="P70" s="100">
        <v>4.3399213849423735</v>
      </c>
      <c r="Q70" s="100">
        <v>2322.7259252211579</v>
      </c>
      <c r="R70" s="100">
        <v>1.055429378883594</v>
      </c>
      <c r="S70" s="100">
        <v>564.86580357849948</v>
      </c>
      <c r="T70" s="100">
        <v>5</v>
      </c>
      <c r="U70" s="100">
        <v>2675.9999999999995</v>
      </c>
      <c r="V70" s="100">
        <v>3.7774930350317075</v>
      </c>
      <c r="W70" s="100">
        <v>2021.7142723489696</v>
      </c>
      <c r="X70" s="100">
        <v>3.8069823281648035E-4</v>
      </c>
      <c r="Y70" s="100">
        <v>0.20374969420338027</v>
      </c>
      <c r="Z70" s="100">
        <v>6</v>
      </c>
      <c r="AA70" s="100">
        <v>3211.2</v>
      </c>
      <c r="AB70" s="100">
        <v>6</v>
      </c>
      <c r="AC70" s="100">
        <v>3211.2</v>
      </c>
      <c r="AD70" s="100">
        <v>6</v>
      </c>
      <c r="AE70" s="100">
        <v>3211.2</v>
      </c>
      <c r="AF70" s="100">
        <v>7</v>
      </c>
      <c r="AG70" s="100">
        <v>3746.3999999999996</v>
      </c>
      <c r="AH70" s="100">
        <v>5</v>
      </c>
      <c r="AI70" s="100">
        <v>2675.9999999999995</v>
      </c>
      <c r="AJ70" s="100">
        <v>5</v>
      </c>
      <c r="AK70" s="100">
        <v>2675.9999999999995</v>
      </c>
      <c r="AL70" s="100">
        <v>4</v>
      </c>
      <c r="AM70" s="100">
        <v>2140.7999999999997</v>
      </c>
      <c r="AN70" s="100">
        <v>5</v>
      </c>
      <c r="AO70" s="100">
        <v>2675.9999999999995</v>
      </c>
      <c r="AP70" s="100">
        <v>5.2994314069473454</v>
      </c>
      <c r="AQ70" s="100">
        <v>2836.2556889982188</v>
      </c>
      <c r="AR70" s="100">
        <v>0.10336903283409325</v>
      </c>
      <c r="AS70" s="100">
        <v>55.323106372806699</v>
      </c>
      <c r="AT70" s="100">
        <v>4</v>
      </c>
      <c r="AU70" s="100">
        <v>2140.7999999999997</v>
      </c>
      <c r="AV70" s="100">
        <v>6</v>
      </c>
      <c r="AW70" s="100">
        <v>3211.2</v>
      </c>
      <c r="AX70" s="100">
        <v>6.3495128128868128</v>
      </c>
      <c r="AY70" s="100">
        <v>3398.2592574570217</v>
      </c>
      <c r="AZ70" s="100">
        <v>4.3948370801267078</v>
      </c>
      <c r="BA70" s="100">
        <v>2352.1168052838138</v>
      </c>
      <c r="BB70" s="100">
        <v>2.9410303749551843</v>
      </c>
      <c r="BC70" s="100">
        <v>1574.0394566760144</v>
      </c>
      <c r="BD70" s="100">
        <v>4.508947734517724</v>
      </c>
      <c r="BE70" s="100">
        <v>2413.1888275138854</v>
      </c>
      <c r="BF70" s="100">
        <v>6</v>
      </c>
      <c r="BG70" s="100">
        <v>3211.2</v>
      </c>
      <c r="BH70" s="100">
        <v>4</v>
      </c>
      <c r="BI70" s="100">
        <v>2140.7999999999997</v>
      </c>
      <c r="BJ70" s="100">
        <v>3</v>
      </c>
      <c r="BK70" s="100">
        <v>1605.6</v>
      </c>
      <c r="BL70" s="100">
        <v>5.2886117706596369</v>
      </c>
      <c r="BM70" s="100">
        <v>2830.4650196570374</v>
      </c>
      <c r="BN70" s="100">
        <v>4.7744045422651551</v>
      </c>
      <c r="BO70" s="100">
        <v>2555.2613110203106</v>
      </c>
      <c r="BP70" s="100">
        <v>2.6959101463283388</v>
      </c>
      <c r="BQ70" s="100">
        <v>1442.8511103149267</v>
      </c>
      <c r="BR70" s="100">
        <v>1.1104421071265611</v>
      </c>
      <c r="BS70" s="100">
        <v>594.3086157341354</v>
      </c>
      <c r="BT70" s="100">
        <v>6</v>
      </c>
      <c r="BU70" s="100">
        <v>3211.2</v>
      </c>
      <c r="BV70" s="100">
        <v>8</v>
      </c>
      <c r="BW70" s="100">
        <v>4281.5999999999995</v>
      </c>
      <c r="BX70" s="100">
        <v>4</v>
      </c>
      <c r="BY70" s="100">
        <v>2140.7999999999997</v>
      </c>
      <c r="BZ70" s="100">
        <v>7</v>
      </c>
      <c r="CA70" s="100">
        <v>3746.3999999999996</v>
      </c>
      <c r="CB70" s="100">
        <v>6</v>
      </c>
      <c r="CC70" s="100">
        <v>3211.2</v>
      </c>
      <c r="CD70" s="100">
        <v>4.3689951913568033</v>
      </c>
      <c r="CE70" s="100">
        <v>2338.2862264141609</v>
      </c>
      <c r="CF70" s="100">
        <v>0.97275443434359354</v>
      </c>
      <c r="CG70" s="100">
        <v>520.61817326069115</v>
      </c>
      <c r="CH70" s="100">
        <v>2.8200233223788533</v>
      </c>
      <c r="CI70" s="100">
        <v>1509.276482137162</v>
      </c>
      <c r="CJ70" s="100">
        <v>2.2069462771969874E-4</v>
      </c>
      <c r="CK70" s="100">
        <v>0.11811576475558275</v>
      </c>
      <c r="CL70" s="100">
        <v>6</v>
      </c>
      <c r="CM70" s="100">
        <v>3211.2</v>
      </c>
      <c r="CN70" s="100">
        <v>6</v>
      </c>
      <c r="CO70" s="100">
        <v>3211.2</v>
      </c>
      <c r="CP70" s="100">
        <v>6</v>
      </c>
      <c r="CQ70" s="100">
        <v>3211.2</v>
      </c>
      <c r="CR70" s="100">
        <v>5.6929334609064952</v>
      </c>
      <c r="CS70" s="100">
        <v>3046.857988277156</v>
      </c>
      <c r="CT70" s="100">
        <v>5.3730495679912504</v>
      </c>
      <c r="CU70" s="100">
        <v>2875.6561287889167</v>
      </c>
    </row>
    <row r="71" spans="2:99">
      <c r="B71" s="99" t="s">
        <v>130</v>
      </c>
      <c r="C71" s="99" t="s">
        <v>237</v>
      </c>
      <c r="D71" s="100">
        <v>4.1702346860289925</v>
      </c>
      <c r="E71" s="100">
        <v>2352.0123629203517</v>
      </c>
      <c r="F71" s="100">
        <v>1.6669321167940547</v>
      </c>
      <c r="G71" s="100">
        <v>940.14971387184687</v>
      </c>
      <c r="H71" s="100">
        <v>3.979109794222802</v>
      </c>
      <c r="I71" s="100">
        <v>2244.2179239416605</v>
      </c>
      <c r="J71" s="100">
        <v>5.5359437955055526</v>
      </c>
      <c r="K71" s="100">
        <v>3122.2723006651318</v>
      </c>
      <c r="L71" s="100">
        <v>3.8166422248885965</v>
      </c>
      <c r="M71" s="100">
        <v>2152.5862148371684</v>
      </c>
      <c r="N71" s="100">
        <v>4.0487329890827127E-4</v>
      </c>
      <c r="O71" s="100">
        <v>0.22834854058426499</v>
      </c>
      <c r="P71" s="100">
        <v>3.4809136923797985</v>
      </c>
      <c r="Q71" s="100">
        <v>1963.2353225022064</v>
      </c>
      <c r="R71" s="100">
        <v>3</v>
      </c>
      <c r="S71" s="100">
        <v>1692</v>
      </c>
      <c r="T71" s="100">
        <v>3.9352471362759296</v>
      </c>
      <c r="U71" s="100">
        <v>2219.4793848596241</v>
      </c>
      <c r="V71" s="100">
        <v>3.3160208262973381</v>
      </c>
      <c r="W71" s="100">
        <v>1870.2357460316987</v>
      </c>
      <c r="X71" s="100">
        <v>3.657370219236685</v>
      </c>
      <c r="Y71" s="100">
        <v>2062.7568036494904</v>
      </c>
      <c r="Z71" s="100">
        <v>3.7163482257695604</v>
      </c>
      <c r="AA71" s="100">
        <v>2096.0203993340319</v>
      </c>
      <c r="AB71" s="100">
        <v>2.4961643223337724</v>
      </c>
      <c r="AC71" s="100">
        <v>1407.8366777962476</v>
      </c>
      <c r="AD71" s="100">
        <v>3.8104509225888714</v>
      </c>
      <c r="AE71" s="100">
        <v>2149.0943203401234</v>
      </c>
      <c r="AF71" s="100">
        <v>3.4625867695441821</v>
      </c>
      <c r="AG71" s="100">
        <v>1952.8989380229186</v>
      </c>
      <c r="AH71" s="100">
        <v>2.3977037258708336</v>
      </c>
      <c r="AI71" s="100">
        <v>1352.3049013911502</v>
      </c>
      <c r="AJ71" s="100">
        <v>2.733663452031549</v>
      </c>
      <c r="AK71" s="100">
        <v>1541.7861869457936</v>
      </c>
      <c r="AL71" s="100">
        <v>5.6061747736705199</v>
      </c>
      <c r="AM71" s="100">
        <v>3161.8825723501732</v>
      </c>
      <c r="AN71" s="100">
        <v>2.1826925237151129</v>
      </c>
      <c r="AO71" s="100">
        <v>1231.0385833753237</v>
      </c>
      <c r="AP71" s="100">
        <v>4</v>
      </c>
      <c r="AQ71" s="100">
        <v>2256</v>
      </c>
      <c r="AR71" s="100">
        <v>5</v>
      </c>
      <c r="AS71" s="100">
        <v>2820</v>
      </c>
      <c r="AT71" s="100">
        <v>4</v>
      </c>
      <c r="AU71" s="100">
        <v>2256</v>
      </c>
      <c r="AV71" s="100">
        <v>6</v>
      </c>
      <c r="AW71" s="100">
        <v>3384</v>
      </c>
      <c r="AX71" s="100">
        <v>5.2400870104151345</v>
      </c>
      <c r="AY71" s="100">
        <v>2955.4090738741356</v>
      </c>
      <c r="AZ71" s="100">
        <v>3</v>
      </c>
      <c r="BA71" s="100">
        <v>1692</v>
      </c>
      <c r="BB71" s="100">
        <v>4.2739879310549451</v>
      </c>
      <c r="BC71" s="100">
        <v>2410.5291931149891</v>
      </c>
      <c r="BD71" s="100">
        <v>1.2138199536784582</v>
      </c>
      <c r="BE71" s="100">
        <v>684.59445387465041</v>
      </c>
      <c r="BF71" s="100">
        <v>3</v>
      </c>
      <c r="BG71" s="100">
        <v>1692</v>
      </c>
      <c r="BH71" s="100">
        <v>5</v>
      </c>
      <c r="BI71" s="100">
        <v>2820</v>
      </c>
      <c r="BJ71" s="100">
        <v>5.4894645872948136</v>
      </c>
      <c r="BK71" s="100">
        <v>3096.058027234275</v>
      </c>
      <c r="BL71" s="100">
        <v>3.2613221717652108</v>
      </c>
      <c r="BM71" s="100">
        <v>1839.3857048755788</v>
      </c>
      <c r="BN71" s="100">
        <v>2.6994493988698456</v>
      </c>
      <c r="BO71" s="100">
        <v>1522.4894609625928</v>
      </c>
      <c r="BP71" s="100">
        <v>4</v>
      </c>
      <c r="BQ71" s="100">
        <v>2256</v>
      </c>
      <c r="BR71" s="100">
        <v>4</v>
      </c>
      <c r="BS71" s="100">
        <v>2256</v>
      </c>
      <c r="BT71" s="100">
        <v>3</v>
      </c>
      <c r="BU71" s="100">
        <v>1692</v>
      </c>
      <c r="BV71" s="100">
        <v>6</v>
      </c>
      <c r="BW71" s="100">
        <v>3384</v>
      </c>
      <c r="BX71" s="100">
        <v>4</v>
      </c>
      <c r="BY71" s="100">
        <v>2256</v>
      </c>
      <c r="BZ71" s="100">
        <v>4.6360519262857789</v>
      </c>
      <c r="CA71" s="100">
        <v>2614.7332864251794</v>
      </c>
      <c r="CB71" s="100">
        <v>3.6267264579817544</v>
      </c>
      <c r="CC71" s="100">
        <v>2045.4737223017096</v>
      </c>
      <c r="CD71" s="100">
        <v>4</v>
      </c>
      <c r="CE71" s="100">
        <v>2256</v>
      </c>
      <c r="CF71" s="100">
        <v>5</v>
      </c>
      <c r="CG71" s="100">
        <v>2820</v>
      </c>
      <c r="CH71" s="100">
        <v>4</v>
      </c>
      <c r="CI71" s="100">
        <v>2256</v>
      </c>
      <c r="CJ71" s="100">
        <v>5</v>
      </c>
      <c r="CK71" s="100">
        <v>2820</v>
      </c>
      <c r="CL71" s="100">
        <v>3.9815306265420345</v>
      </c>
      <c r="CM71" s="100">
        <v>2245.5832733697075</v>
      </c>
      <c r="CN71" s="100">
        <v>1.2623079963753514</v>
      </c>
      <c r="CO71" s="100">
        <v>711.94170995569823</v>
      </c>
      <c r="CP71" s="100">
        <v>5.961246077691758</v>
      </c>
      <c r="CQ71" s="100">
        <v>3362.1427878181516</v>
      </c>
      <c r="CR71" s="100">
        <v>2.5366426626959422</v>
      </c>
      <c r="CS71" s="100">
        <v>1430.6664617605113</v>
      </c>
      <c r="CT71" s="100">
        <v>5.7026584750094003</v>
      </c>
      <c r="CU71" s="100">
        <v>3216.299379905302</v>
      </c>
    </row>
    <row r="72" spans="2:99">
      <c r="C72" s="99" t="s">
        <v>238</v>
      </c>
      <c r="D72" s="100">
        <v>3.3361877488231939</v>
      </c>
      <c r="E72" s="100">
        <v>248.21236851244561</v>
      </c>
      <c r="F72" s="100">
        <v>2.0003185401528656</v>
      </c>
      <c r="G72" s="100">
        <v>148.82369938737318</v>
      </c>
      <c r="H72" s="100">
        <v>3.979109794222802</v>
      </c>
      <c r="I72" s="100">
        <v>296.04576869017643</v>
      </c>
      <c r="J72" s="100">
        <v>5.5359437955055526</v>
      </c>
      <c r="K72" s="100">
        <v>411.87421838561306</v>
      </c>
      <c r="L72" s="100">
        <v>3.8417627136335866</v>
      </c>
      <c r="M72" s="100">
        <v>285.8271458943388</v>
      </c>
      <c r="N72" s="100">
        <v>4.0487329890827127E-4</v>
      </c>
      <c r="O72" s="100">
        <v>3.012257343877538E-2</v>
      </c>
      <c r="P72" s="100">
        <v>3.4809136923797985</v>
      </c>
      <c r="Q72" s="100">
        <v>258.97997871305699</v>
      </c>
      <c r="R72" s="100">
        <v>3</v>
      </c>
      <c r="S72" s="100">
        <v>223.2</v>
      </c>
      <c r="T72" s="100">
        <v>3.9352471362759296</v>
      </c>
      <c r="U72" s="100">
        <v>292.78238693892911</v>
      </c>
      <c r="V72" s="100">
        <v>4.2338244465731334</v>
      </c>
      <c r="W72" s="100">
        <v>314.99653882504111</v>
      </c>
      <c r="X72" s="100">
        <v>3.657370219236685</v>
      </c>
      <c r="Y72" s="100">
        <v>272.10834431120935</v>
      </c>
      <c r="Z72" s="100">
        <v>3.7163482257695604</v>
      </c>
      <c r="AA72" s="100">
        <v>276.49630799725526</v>
      </c>
      <c r="AB72" s="100">
        <v>2.9953971868005267</v>
      </c>
      <c r="AC72" s="100">
        <v>222.85755069795917</v>
      </c>
      <c r="AD72" s="100">
        <v>4.5725411071066464</v>
      </c>
      <c r="AE72" s="100">
        <v>340.19705836873447</v>
      </c>
      <c r="AF72" s="100">
        <v>3.7929539545251894</v>
      </c>
      <c r="AG72" s="100">
        <v>282.19577421667407</v>
      </c>
      <c r="AH72" s="100">
        <v>2.9251388525985007</v>
      </c>
      <c r="AI72" s="100">
        <v>217.63033063332844</v>
      </c>
      <c r="AJ72" s="100">
        <v>2.2780528766929575</v>
      </c>
      <c r="AK72" s="100">
        <v>169.48713402595601</v>
      </c>
      <c r="AL72" s="100">
        <v>5.6061747736705199</v>
      </c>
      <c r="AM72" s="100">
        <v>417.09940316108663</v>
      </c>
      <c r="AN72" s="100">
        <v>2.7283656546438908</v>
      </c>
      <c r="AO72" s="100">
        <v>202.99040470550545</v>
      </c>
      <c r="AP72" s="100">
        <v>4</v>
      </c>
      <c r="AQ72" s="100">
        <v>297.59999999999997</v>
      </c>
      <c r="AR72" s="100">
        <v>5</v>
      </c>
      <c r="AS72" s="100">
        <v>371.99999999999994</v>
      </c>
      <c r="AT72" s="100">
        <v>3</v>
      </c>
      <c r="AU72" s="100">
        <v>223.2</v>
      </c>
      <c r="AV72" s="100">
        <v>6</v>
      </c>
      <c r="AW72" s="100">
        <v>446.4</v>
      </c>
      <c r="AX72" s="100">
        <v>5.2400870104151345</v>
      </c>
      <c r="AY72" s="100">
        <v>389.86247357488594</v>
      </c>
      <c r="AZ72" s="100">
        <v>4</v>
      </c>
      <c r="BA72" s="100">
        <v>297.59999999999997</v>
      </c>
      <c r="BB72" s="100">
        <v>4.3043940810930916</v>
      </c>
      <c r="BC72" s="100">
        <v>320.246919633326</v>
      </c>
      <c r="BD72" s="100">
        <v>1.2138199536784582</v>
      </c>
      <c r="BE72" s="100">
        <v>90.308204553677285</v>
      </c>
      <c r="BF72" s="100">
        <v>3</v>
      </c>
      <c r="BG72" s="100">
        <v>223.2</v>
      </c>
      <c r="BH72" s="100">
        <v>6</v>
      </c>
      <c r="BI72" s="100">
        <v>446.4</v>
      </c>
      <c r="BJ72" s="100">
        <v>5.4894645872948136</v>
      </c>
      <c r="BK72" s="100">
        <v>408.41616529473407</v>
      </c>
      <c r="BL72" s="100">
        <v>3.286537355500796</v>
      </c>
      <c r="BM72" s="100">
        <v>244.5183792492592</v>
      </c>
      <c r="BN72" s="100">
        <v>2.6994493988698456</v>
      </c>
      <c r="BO72" s="100">
        <v>200.8390352759165</v>
      </c>
      <c r="BP72" s="100">
        <v>4</v>
      </c>
      <c r="BQ72" s="100">
        <v>297.59999999999997</v>
      </c>
      <c r="BR72" s="100">
        <v>4</v>
      </c>
      <c r="BS72" s="100">
        <v>297.59999999999997</v>
      </c>
      <c r="BT72" s="100">
        <v>3</v>
      </c>
      <c r="BU72" s="100">
        <v>223.2</v>
      </c>
      <c r="BV72" s="100">
        <v>6</v>
      </c>
      <c r="BW72" s="100">
        <v>446.4</v>
      </c>
      <c r="BX72" s="100">
        <v>4</v>
      </c>
      <c r="BY72" s="100">
        <v>297.59999999999997</v>
      </c>
      <c r="BZ72" s="100">
        <v>4.684978997538531</v>
      </c>
      <c r="CA72" s="100">
        <v>348.56243741686666</v>
      </c>
      <c r="CB72" s="100">
        <v>4.3520717495781049</v>
      </c>
      <c r="CC72" s="100">
        <v>323.79413816861097</v>
      </c>
      <c r="CD72" s="100">
        <v>4</v>
      </c>
      <c r="CE72" s="100">
        <v>297.59999999999997</v>
      </c>
      <c r="CF72" s="100">
        <v>4</v>
      </c>
      <c r="CG72" s="100">
        <v>297.59999999999997</v>
      </c>
      <c r="CH72" s="100">
        <v>4</v>
      </c>
      <c r="CI72" s="100">
        <v>297.59999999999997</v>
      </c>
      <c r="CJ72" s="100">
        <v>5</v>
      </c>
      <c r="CK72" s="100">
        <v>371.99999999999994</v>
      </c>
      <c r="CL72" s="100">
        <v>4.8683624731778234</v>
      </c>
      <c r="CM72" s="100">
        <v>362.20616800443003</v>
      </c>
      <c r="CN72" s="100">
        <v>1.2623079963753514</v>
      </c>
      <c r="CO72" s="100">
        <v>93.915714930326132</v>
      </c>
      <c r="CP72" s="100">
        <v>5.961246077691758</v>
      </c>
      <c r="CQ72" s="100">
        <v>443.51670818026673</v>
      </c>
      <c r="CR72" s="100">
        <v>2.5366426626959422</v>
      </c>
      <c r="CS72" s="100">
        <v>188.72621410457808</v>
      </c>
      <c r="CT72" s="100">
        <v>4.7495023733433595</v>
      </c>
      <c r="CU72" s="100">
        <v>353.36297657674589</v>
      </c>
    </row>
    <row r="73" spans="2:99">
      <c r="C73" s="99" t="s">
        <v>239</v>
      </c>
      <c r="D73" s="100">
        <v>4.6272864235375639</v>
      </c>
      <c r="E73" s="100">
        <v>2587.5785680422055</v>
      </c>
      <c r="F73" s="100">
        <v>1.6669321167940547</v>
      </c>
      <c r="G73" s="100">
        <v>932.14843971123526</v>
      </c>
      <c r="H73" s="100">
        <v>3.979109794222802</v>
      </c>
      <c r="I73" s="100">
        <v>2225.1181969293907</v>
      </c>
      <c r="J73" s="100">
        <v>4.6132864962546272</v>
      </c>
      <c r="K73" s="100">
        <v>2579.7498087055874</v>
      </c>
      <c r="L73" s="100">
        <v>3.8417627136335866</v>
      </c>
      <c r="M73" s="100">
        <v>2148.3137094639014</v>
      </c>
      <c r="N73" s="100">
        <v>4.0487329890827127E-4</v>
      </c>
      <c r="O73" s="100">
        <v>0.22640514874950526</v>
      </c>
      <c r="P73" s="100">
        <v>3.4809136923797985</v>
      </c>
      <c r="Q73" s="100">
        <v>1946.526936778783</v>
      </c>
      <c r="R73" s="100">
        <v>3.2354906206447538</v>
      </c>
      <c r="S73" s="100">
        <v>1809.2863550645461</v>
      </c>
      <c r="T73" s="100">
        <v>3.9352471362759296</v>
      </c>
      <c r="U73" s="100">
        <v>2200.5901986054996</v>
      </c>
      <c r="V73" s="100">
        <v>3.3160208262973381</v>
      </c>
      <c r="W73" s="100">
        <v>1854.3188460654712</v>
      </c>
      <c r="X73" s="100">
        <v>3.657370219236685</v>
      </c>
      <c r="Y73" s="100">
        <v>2045.2014265971541</v>
      </c>
      <c r="Z73" s="100">
        <v>3.7163482257695604</v>
      </c>
      <c r="AA73" s="100">
        <v>2078.1819278503381</v>
      </c>
      <c r="AB73" s="100">
        <v>2.4961643223337724</v>
      </c>
      <c r="AC73" s="100">
        <v>1395.8550890490453</v>
      </c>
      <c r="AD73" s="100">
        <v>3.8104509225888714</v>
      </c>
      <c r="AE73" s="100">
        <v>2130.8041559116969</v>
      </c>
      <c r="AF73" s="100">
        <v>3.7929539545251894</v>
      </c>
      <c r="AG73" s="100">
        <v>2121.0198513704854</v>
      </c>
      <c r="AH73" s="100">
        <v>2.3977037258708336</v>
      </c>
      <c r="AI73" s="100">
        <v>1340.79592350697</v>
      </c>
      <c r="AJ73" s="100">
        <v>2.733663452031549</v>
      </c>
      <c r="AK73" s="100">
        <v>1528.664602376042</v>
      </c>
      <c r="AL73" s="100">
        <v>5.6061747736705199</v>
      </c>
      <c r="AM73" s="100">
        <v>3134.9729334365543</v>
      </c>
      <c r="AN73" s="100">
        <v>2.7283656546438908</v>
      </c>
      <c r="AO73" s="100">
        <v>1525.7020740768635</v>
      </c>
      <c r="AP73" s="100">
        <v>4</v>
      </c>
      <c r="AQ73" s="100">
        <v>2236.7999999999997</v>
      </c>
      <c r="AR73" s="100">
        <v>5</v>
      </c>
      <c r="AS73" s="100">
        <v>2795.9999999999995</v>
      </c>
      <c r="AT73" s="100">
        <v>3</v>
      </c>
      <c r="AU73" s="100">
        <v>1677.6</v>
      </c>
      <c r="AV73" s="100">
        <v>6</v>
      </c>
      <c r="AW73" s="100">
        <v>3355.2</v>
      </c>
      <c r="AX73" s="100">
        <v>5.2400870104151345</v>
      </c>
      <c r="AY73" s="100">
        <v>2930.2566562241427</v>
      </c>
      <c r="AZ73" s="100">
        <v>4</v>
      </c>
      <c r="BA73" s="100">
        <v>2236.7999999999997</v>
      </c>
      <c r="BB73" s="100">
        <v>5.1227042872583057</v>
      </c>
      <c r="BC73" s="100">
        <v>2864.6162374348442</v>
      </c>
      <c r="BD73" s="100">
        <v>1.2138199536784582</v>
      </c>
      <c r="BE73" s="100">
        <v>678.7681180969937</v>
      </c>
      <c r="BF73" s="100">
        <v>3</v>
      </c>
      <c r="BG73" s="100">
        <v>1677.6</v>
      </c>
      <c r="BH73" s="100">
        <v>6</v>
      </c>
      <c r="BI73" s="100">
        <v>3355.2</v>
      </c>
      <c r="BJ73" s="100">
        <v>5.4078871560790116</v>
      </c>
      <c r="BK73" s="100">
        <v>3024.0904976793831</v>
      </c>
      <c r="BL73" s="100">
        <v>3.311752539236382</v>
      </c>
      <c r="BM73" s="100">
        <v>1851.9320199409847</v>
      </c>
      <c r="BN73" s="100">
        <v>2.6994493988698456</v>
      </c>
      <c r="BO73" s="100">
        <v>1509.5321038480174</v>
      </c>
      <c r="BP73" s="100">
        <v>4</v>
      </c>
      <c r="BQ73" s="100">
        <v>2236.7999999999997</v>
      </c>
      <c r="BR73" s="100">
        <v>4</v>
      </c>
      <c r="BS73" s="100">
        <v>2236.7999999999997</v>
      </c>
      <c r="BT73" s="100">
        <v>3</v>
      </c>
      <c r="BU73" s="100">
        <v>1677.6</v>
      </c>
      <c r="BV73" s="100">
        <v>6</v>
      </c>
      <c r="BW73" s="100">
        <v>3355.2</v>
      </c>
      <c r="BX73" s="100">
        <v>4</v>
      </c>
      <c r="BY73" s="100">
        <v>2236.7999999999997</v>
      </c>
      <c r="BZ73" s="100">
        <v>4.7828331400440351</v>
      </c>
      <c r="CA73" s="100">
        <v>2674.5602919126241</v>
      </c>
      <c r="CB73" s="100">
        <v>3.6267264579817544</v>
      </c>
      <c r="CC73" s="100">
        <v>2028.0654353033967</v>
      </c>
      <c r="CD73" s="100">
        <v>3</v>
      </c>
      <c r="CE73" s="100">
        <v>1677.6</v>
      </c>
      <c r="CF73" s="100">
        <v>4</v>
      </c>
      <c r="CG73" s="100">
        <v>2236.7999999999997</v>
      </c>
      <c r="CH73" s="100">
        <v>4</v>
      </c>
      <c r="CI73" s="100">
        <v>2236.7999999999997</v>
      </c>
      <c r="CJ73" s="100">
        <v>5</v>
      </c>
      <c r="CK73" s="100">
        <v>2795.9999999999995</v>
      </c>
      <c r="CL73" s="100">
        <v>3.9815306265420345</v>
      </c>
      <c r="CM73" s="100">
        <v>2226.4719263623056</v>
      </c>
      <c r="CN73" s="100">
        <v>1.5778849954691891</v>
      </c>
      <c r="CO73" s="100">
        <v>882.35328946637048</v>
      </c>
      <c r="CP73" s="100">
        <v>5.0538823685365539</v>
      </c>
      <c r="CQ73" s="100">
        <v>2826.1310204856404</v>
      </c>
      <c r="CR73" s="100">
        <v>2.5366426626959422</v>
      </c>
      <c r="CS73" s="100">
        <v>1418.4905769795707</v>
      </c>
      <c r="CT73" s="100">
        <v>5.7495023733433595</v>
      </c>
      <c r="CU73" s="100">
        <v>3215.1217271736064</v>
      </c>
    </row>
    <row r="74" spans="2:99">
      <c r="C74" s="99" t="s">
        <v>240</v>
      </c>
      <c r="D74" s="100">
        <v>4.1702346860289925</v>
      </c>
      <c r="E74" s="100">
        <v>1681.4386254068897</v>
      </c>
      <c r="F74" s="100">
        <v>1.6669321167940547</v>
      </c>
      <c r="G74" s="100">
        <v>672.10702949136282</v>
      </c>
      <c r="H74" s="100">
        <v>3.979109794222802</v>
      </c>
      <c r="I74" s="100">
        <v>1604.3770690306337</v>
      </c>
      <c r="J74" s="100">
        <v>4.6132864962546272</v>
      </c>
      <c r="K74" s="100">
        <v>1860.0771152898656</v>
      </c>
      <c r="L74" s="100">
        <v>3.8166422248885965</v>
      </c>
      <c r="M74" s="100">
        <v>1538.8701450750821</v>
      </c>
      <c r="N74" s="100">
        <v>3.3739441575689276E-4</v>
      </c>
      <c r="O74" s="100">
        <v>0.13603742843317915</v>
      </c>
      <c r="P74" s="100">
        <v>3.4809136923797985</v>
      </c>
      <c r="Q74" s="100">
        <v>1403.5044007675347</v>
      </c>
      <c r="R74" s="100">
        <v>3</v>
      </c>
      <c r="S74" s="100">
        <v>1209.5999999999999</v>
      </c>
      <c r="T74" s="100">
        <v>3.9352471362759296</v>
      </c>
      <c r="U74" s="100">
        <v>1586.6916453464548</v>
      </c>
      <c r="V74" s="100">
        <v>3.3160208262973381</v>
      </c>
      <c r="W74" s="100">
        <v>1337.0195971630867</v>
      </c>
      <c r="X74" s="100">
        <v>3.657370219236685</v>
      </c>
      <c r="Y74" s="100">
        <v>1474.6516723962313</v>
      </c>
      <c r="Z74" s="100">
        <v>4.4596178709234726</v>
      </c>
      <c r="AA74" s="100">
        <v>1798.1179255563441</v>
      </c>
      <c r="AB74" s="100">
        <v>2.9953971868005267</v>
      </c>
      <c r="AC74" s="100">
        <v>1207.7441457179723</v>
      </c>
      <c r="AD74" s="100">
        <v>4.5725411071066464</v>
      </c>
      <c r="AE74" s="100">
        <v>1843.6485743853998</v>
      </c>
      <c r="AF74" s="100">
        <v>3.8663688845209694</v>
      </c>
      <c r="AG74" s="100">
        <v>1558.9199342388549</v>
      </c>
      <c r="AH74" s="100">
        <v>2.9251388525985007</v>
      </c>
      <c r="AI74" s="100">
        <v>1179.4159853677154</v>
      </c>
      <c r="AJ74" s="100">
        <v>2.733663452031549</v>
      </c>
      <c r="AK74" s="100">
        <v>1102.2131038591206</v>
      </c>
      <c r="AL74" s="100">
        <v>5.6061747736705199</v>
      </c>
      <c r="AM74" s="100">
        <v>2260.4096687439537</v>
      </c>
      <c r="AN74" s="100">
        <v>2.1826925237151129</v>
      </c>
      <c r="AO74" s="100">
        <v>880.06162556193351</v>
      </c>
      <c r="AP74" s="100">
        <v>4</v>
      </c>
      <c r="AQ74" s="100">
        <v>1612.8</v>
      </c>
      <c r="AR74" s="100">
        <v>5</v>
      </c>
      <c r="AS74" s="100">
        <v>2016</v>
      </c>
      <c r="AT74" s="100">
        <v>3</v>
      </c>
      <c r="AU74" s="100">
        <v>1209.5999999999999</v>
      </c>
      <c r="AV74" s="100">
        <v>5</v>
      </c>
      <c r="AW74" s="100">
        <v>2016</v>
      </c>
      <c r="AX74" s="100">
        <v>5.2400870104151345</v>
      </c>
      <c r="AY74" s="100">
        <v>2112.8030825993824</v>
      </c>
      <c r="AZ74" s="100">
        <v>3</v>
      </c>
      <c r="BA74" s="100">
        <v>1209.5999999999999</v>
      </c>
      <c r="BB74" s="100">
        <v>4.334800231131239</v>
      </c>
      <c r="BC74" s="100">
        <v>1747.7914531921156</v>
      </c>
      <c r="BD74" s="100">
        <v>1.2138199536784582</v>
      </c>
      <c r="BE74" s="100">
        <v>489.41220532315435</v>
      </c>
      <c r="BF74" s="100">
        <v>3</v>
      </c>
      <c r="BG74" s="100">
        <v>1209.5999999999999</v>
      </c>
      <c r="BH74" s="100">
        <v>5</v>
      </c>
      <c r="BI74" s="100">
        <v>2016</v>
      </c>
      <c r="BJ74" s="100">
        <v>5.4486758716869126</v>
      </c>
      <c r="BK74" s="100">
        <v>2196.9061114641631</v>
      </c>
      <c r="BL74" s="100">
        <v>3.311752539236382</v>
      </c>
      <c r="BM74" s="100">
        <v>1335.2986238201092</v>
      </c>
      <c r="BN74" s="100">
        <v>2.1595595190958767</v>
      </c>
      <c r="BO74" s="100">
        <v>870.73439809945751</v>
      </c>
      <c r="BP74" s="100">
        <v>4</v>
      </c>
      <c r="BQ74" s="100">
        <v>1612.8</v>
      </c>
      <c r="BR74" s="100">
        <v>4</v>
      </c>
      <c r="BS74" s="100">
        <v>1612.8</v>
      </c>
      <c r="BT74" s="100">
        <v>4</v>
      </c>
      <c r="BU74" s="100">
        <v>1612.8</v>
      </c>
      <c r="BV74" s="100">
        <v>6</v>
      </c>
      <c r="BW74" s="100">
        <v>2419.1999999999998</v>
      </c>
      <c r="BX74" s="100">
        <v>4</v>
      </c>
      <c r="BY74" s="100">
        <v>1612.8</v>
      </c>
      <c r="BZ74" s="100">
        <v>4.7339060687912831</v>
      </c>
      <c r="CA74" s="100">
        <v>1908.7109269366454</v>
      </c>
      <c r="CB74" s="100">
        <v>3.6267264579817544</v>
      </c>
      <c r="CC74" s="100">
        <v>1462.2961078582434</v>
      </c>
      <c r="CD74" s="100">
        <v>3</v>
      </c>
      <c r="CE74" s="100">
        <v>1209.5999999999999</v>
      </c>
      <c r="CF74" s="100">
        <v>4</v>
      </c>
      <c r="CG74" s="100">
        <v>1612.8</v>
      </c>
      <c r="CH74" s="100">
        <v>5</v>
      </c>
      <c r="CI74" s="100">
        <v>2016</v>
      </c>
      <c r="CJ74" s="100">
        <v>5</v>
      </c>
      <c r="CK74" s="100">
        <v>2016</v>
      </c>
      <c r="CL74" s="100">
        <v>3.9815306265420345</v>
      </c>
      <c r="CM74" s="100">
        <v>1605.3531486217482</v>
      </c>
      <c r="CN74" s="100">
        <v>1.2623079963753514</v>
      </c>
      <c r="CO74" s="100">
        <v>508.96258413854167</v>
      </c>
      <c r="CP74" s="100">
        <v>5.0538823685365539</v>
      </c>
      <c r="CQ74" s="100">
        <v>2037.7253709939384</v>
      </c>
      <c r="CR74" s="100">
        <v>2.5366426626959422</v>
      </c>
      <c r="CS74" s="100">
        <v>1022.7743215990039</v>
      </c>
      <c r="CT74" s="100">
        <v>5.7026584750094003</v>
      </c>
      <c r="CU74" s="100">
        <v>2299.31189712379</v>
      </c>
    </row>
    <row r="75" spans="2:99">
      <c r="C75" s="99" t="s">
        <v>241</v>
      </c>
      <c r="D75" s="100">
        <v>3.7516893283764401</v>
      </c>
      <c r="E75" s="100">
        <v>2413.0865760117258</v>
      </c>
      <c r="F75" s="100">
        <v>1.6669321167940547</v>
      </c>
      <c r="G75" s="100">
        <v>1072.170737521936</v>
      </c>
      <c r="H75" s="100">
        <v>3.979109794222802</v>
      </c>
      <c r="I75" s="100">
        <v>2559.3634196441058</v>
      </c>
      <c r="J75" s="100">
        <v>5.5359437955055526</v>
      </c>
      <c r="K75" s="100">
        <v>3560.7190492691711</v>
      </c>
      <c r="L75" s="100">
        <v>3.8417627136335866</v>
      </c>
      <c r="M75" s="100">
        <v>2471.0217774091225</v>
      </c>
      <c r="N75" s="100">
        <v>3.3739441575689276E-4</v>
      </c>
      <c r="O75" s="100">
        <v>0.21701208821483339</v>
      </c>
      <c r="P75" s="100">
        <v>3.4809136923797985</v>
      </c>
      <c r="Q75" s="100">
        <v>2238.9236869386864</v>
      </c>
      <c r="R75" s="100">
        <v>3</v>
      </c>
      <c r="S75" s="100">
        <v>1929.6</v>
      </c>
      <c r="T75" s="100">
        <v>3.9352471362759296</v>
      </c>
      <c r="U75" s="100">
        <v>2531.1509580526777</v>
      </c>
      <c r="V75" s="100">
        <v>3.3160208262973381</v>
      </c>
      <c r="W75" s="100">
        <v>2132.8645954744475</v>
      </c>
      <c r="X75" s="100">
        <v>3.657370219236685</v>
      </c>
      <c r="Y75" s="100">
        <v>2352.4205250130358</v>
      </c>
      <c r="Z75" s="100">
        <v>3.7163482257695604</v>
      </c>
      <c r="AA75" s="100">
        <v>2390.3551788149812</v>
      </c>
      <c r="AB75" s="100">
        <v>2.4961643223337724</v>
      </c>
      <c r="AC75" s="100">
        <v>1605.5328921250823</v>
      </c>
      <c r="AD75" s="100">
        <v>4.5725411071066464</v>
      </c>
      <c r="AE75" s="100">
        <v>2941.0584400909947</v>
      </c>
      <c r="AF75" s="100">
        <v>3.7929539545251894</v>
      </c>
      <c r="AG75" s="100">
        <v>2439.6279835506016</v>
      </c>
      <c r="AH75" s="100">
        <v>2.9251388525985007</v>
      </c>
      <c r="AI75" s="100">
        <v>1881.4493099913554</v>
      </c>
      <c r="AJ75" s="100">
        <v>2.2780528766929575</v>
      </c>
      <c r="AK75" s="100">
        <v>1465.2436102889101</v>
      </c>
      <c r="AL75" s="100">
        <v>5.6061747736705199</v>
      </c>
      <c r="AM75" s="100">
        <v>3605.8916144248778</v>
      </c>
      <c r="AN75" s="100">
        <v>2.7283656546438908</v>
      </c>
      <c r="AO75" s="100">
        <v>1754.8847890669504</v>
      </c>
      <c r="AP75" s="100">
        <v>5</v>
      </c>
      <c r="AQ75" s="100">
        <v>3215.9999999999995</v>
      </c>
      <c r="AR75" s="100">
        <v>5</v>
      </c>
      <c r="AS75" s="100">
        <v>3215.9999999999995</v>
      </c>
      <c r="AT75" s="100">
        <v>3</v>
      </c>
      <c r="AU75" s="100">
        <v>1929.6</v>
      </c>
      <c r="AV75" s="100">
        <v>6</v>
      </c>
      <c r="AW75" s="100">
        <v>3859.2</v>
      </c>
      <c r="AX75" s="100">
        <v>5.2400870104151345</v>
      </c>
      <c r="AY75" s="100">
        <v>3370.4239650990139</v>
      </c>
      <c r="AZ75" s="100">
        <v>4</v>
      </c>
      <c r="BA75" s="100">
        <v>2572.7999999999997</v>
      </c>
      <c r="BB75" s="100">
        <v>4.2739879310549451</v>
      </c>
      <c r="BC75" s="100">
        <v>2749.0290372545405</v>
      </c>
      <c r="BD75" s="100">
        <v>1.2138199536784582</v>
      </c>
      <c r="BE75" s="100">
        <v>780.72899420598424</v>
      </c>
      <c r="BF75" s="100">
        <v>3</v>
      </c>
      <c r="BG75" s="100">
        <v>1929.6</v>
      </c>
      <c r="BH75" s="100">
        <v>5</v>
      </c>
      <c r="BI75" s="100">
        <v>3215.9999999999995</v>
      </c>
      <c r="BJ75" s="100">
        <v>5.4894645872948136</v>
      </c>
      <c r="BK75" s="100">
        <v>3530.8236225480236</v>
      </c>
      <c r="BL75" s="100">
        <v>3.286537355500796</v>
      </c>
      <c r="BM75" s="100">
        <v>2113.9008270581116</v>
      </c>
      <c r="BN75" s="100">
        <v>2.1595595190958767</v>
      </c>
      <c r="BO75" s="100">
        <v>1389.0286826824677</v>
      </c>
      <c r="BP75" s="100">
        <v>4</v>
      </c>
      <c r="BQ75" s="100">
        <v>2572.7999999999997</v>
      </c>
      <c r="BR75" s="100">
        <v>4</v>
      </c>
      <c r="BS75" s="100">
        <v>2572.7999999999997</v>
      </c>
      <c r="BT75" s="100">
        <v>4</v>
      </c>
      <c r="BU75" s="100">
        <v>2572.7999999999997</v>
      </c>
      <c r="BV75" s="100">
        <v>6</v>
      </c>
      <c r="BW75" s="100">
        <v>3859.2</v>
      </c>
      <c r="BX75" s="100">
        <v>4</v>
      </c>
      <c r="BY75" s="100">
        <v>2572.7999999999997</v>
      </c>
      <c r="BZ75" s="100">
        <v>4.684978997538531</v>
      </c>
      <c r="CA75" s="100">
        <v>3013.378491216783</v>
      </c>
      <c r="CB75" s="100">
        <v>4.3520717495781049</v>
      </c>
      <c r="CC75" s="100">
        <v>2799.2525493286366</v>
      </c>
      <c r="CD75" s="100">
        <v>4</v>
      </c>
      <c r="CE75" s="100">
        <v>2572.7999999999997</v>
      </c>
      <c r="CF75" s="100">
        <v>4</v>
      </c>
      <c r="CG75" s="100">
        <v>2572.7999999999997</v>
      </c>
      <c r="CH75" s="100">
        <v>4</v>
      </c>
      <c r="CI75" s="100">
        <v>2572.7999999999997</v>
      </c>
      <c r="CJ75" s="100">
        <v>5</v>
      </c>
      <c r="CK75" s="100">
        <v>3215.9999999999995</v>
      </c>
      <c r="CL75" s="100">
        <v>3.9505161093992571</v>
      </c>
      <c r="CM75" s="100">
        <v>2540.9719615656018</v>
      </c>
      <c r="CN75" s="100">
        <v>1.2623079963753514</v>
      </c>
      <c r="CO75" s="100">
        <v>811.91650326862589</v>
      </c>
      <c r="CP75" s="100">
        <v>5.0538823685365539</v>
      </c>
      <c r="CQ75" s="100">
        <v>3250.657139442711</v>
      </c>
      <c r="CR75" s="100">
        <v>2.5366426626959422</v>
      </c>
      <c r="CS75" s="100">
        <v>1631.5685606460299</v>
      </c>
      <c r="CT75" s="100">
        <v>4.7026584750094003</v>
      </c>
      <c r="CU75" s="100">
        <v>3024.7499311260458</v>
      </c>
    </row>
    <row r="76" spans="2:99">
      <c r="C76" s="99" t="s">
        <v>242</v>
      </c>
      <c r="D76" s="100">
        <v>3.3361877488231939</v>
      </c>
      <c r="E76" s="100">
        <v>2598.2230187835034</v>
      </c>
      <c r="F76" s="100">
        <v>2.0003185401528656</v>
      </c>
      <c r="G76" s="100">
        <v>1557.8480790710516</v>
      </c>
      <c r="H76" s="100">
        <v>3.979109794222802</v>
      </c>
      <c r="I76" s="100">
        <v>3098.9307077407179</v>
      </c>
      <c r="J76" s="100">
        <v>5.5359437955055526</v>
      </c>
      <c r="K76" s="100">
        <v>4311.3930279397246</v>
      </c>
      <c r="L76" s="100">
        <v>3.8417627136335866</v>
      </c>
      <c r="M76" s="100">
        <v>2991.9648013778369</v>
      </c>
      <c r="N76" s="100">
        <v>3.3739441575689276E-4</v>
      </c>
      <c r="O76" s="100">
        <v>0.26276277099146805</v>
      </c>
      <c r="P76" s="100">
        <v>3.4809136923797985</v>
      </c>
      <c r="Q76" s="100">
        <v>2710.9355836253872</v>
      </c>
      <c r="R76" s="100">
        <v>3</v>
      </c>
      <c r="S76" s="100">
        <v>2336.3999999999996</v>
      </c>
      <c r="T76" s="100">
        <v>3.2793726135632748</v>
      </c>
      <c r="U76" s="100">
        <v>2553.9753914430785</v>
      </c>
      <c r="V76" s="100">
        <v>3.3160208262973381</v>
      </c>
      <c r="W76" s="100">
        <v>2582.5170195203668</v>
      </c>
      <c r="X76" s="100">
        <v>3.657370219236685</v>
      </c>
      <c r="Y76" s="100">
        <v>2848.3599267415302</v>
      </c>
      <c r="Z76" s="100">
        <v>3.7163482257695604</v>
      </c>
      <c r="AA76" s="100">
        <v>2894.2919982293333</v>
      </c>
      <c r="AB76" s="100">
        <v>2.4961643223337724</v>
      </c>
      <c r="AC76" s="100">
        <v>1944.0127742335419</v>
      </c>
      <c r="AD76" s="100">
        <v>3.8104509225888714</v>
      </c>
      <c r="AE76" s="100">
        <v>2967.5791785122128</v>
      </c>
      <c r="AF76" s="100">
        <v>3.8296614195230796</v>
      </c>
      <c r="AG76" s="100">
        <v>2982.5403135245742</v>
      </c>
      <c r="AH76" s="100">
        <v>2.9774958015003494</v>
      </c>
      <c r="AI76" s="100">
        <v>2318.8737302084719</v>
      </c>
      <c r="AJ76" s="100">
        <v>2.733663452031549</v>
      </c>
      <c r="AK76" s="100">
        <v>2128.9770964421705</v>
      </c>
      <c r="AL76" s="100">
        <v>5.6061747736705199</v>
      </c>
      <c r="AM76" s="100">
        <v>4366.0889137346003</v>
      </c>
      <c r="AN76" s="100">
        <v>2.7283656546438908</v>
      </c>
      <c r="AO76" s="100">
        <v>2124.8511718366622</v>
      </c>
      <c r="AP76" s="100">
        <v>4</v>
      </c>
      <c r="AQ76" s="100">
        <v>3115.2</v>
      </c>
      <c r="AR76" s="100">
        <v>5</v>
      </c>
      <c r="AS76" s="100">
        <v>3894</v>
      </c>
      <c r="AT76" s="100">
        <v>3</v>
      </c>
      <c r="AU76" s="100">
        <v>2336.3999999999996</v>
      </c>
      <c r="AV76" s="100">
        <v>6</v>
      </c>
      <c r="AW76" s="100">
        <v>4672.7999999999993</v>
      </c>
      <c r="AX76" s="100">
        <v>5.2400870104151345</v>
      </c>
      <c r="AY76" s="100">
        <v>4080.9797637113065</v>
      </c>
      <c r="AZ76" s="100">
        <v>4</v>
      </c>
      <c r="BA76" s="100">
        <v>3115.2</v>
      </c>
      <c r="BB76" s="100">
        <v>5.1227042872583057</v>
      </c>
      <c r="BC76" s="100">
        <v>3989.5620989167683</v>
      </c>
      <c r="BD76" s="100">
        <v>1.2138199536784582</v>
      </c>
      <c r="BE76" s="100">
        <v>945.32297992478323</v>
      </c>
      <c r="BF76" s="100">
        <v>3</v>
      </c>
      <c r="BG76" s="100">
        <v>2336.3999999999996</v>
      </c>
      <c r="BH76" s="100">
        <v>6</v>
      </c>
      <c r="BI76" s="100">
        <v>4672.7999999999993</v>
      </c>
      <c r="BJ76" s="100">
        <v>6.4078871560790116</v>
      </c>
      <c r="BK76" s="100">
        <v>4990.4625171543339</v>
      </c>
      <c r="BL76" s="100">
        <v>3.311752539236382</v>
      </c>
      <c r="BM76" s="100">
        <v>2579.1928775572942</v>
      </c>
      <c r="BN76" s="100">
        <v>2.6994493988698456</v>
      </c>
      <c r="BO76" s="100">
        <v>2102.3311918398358</v>
      </c>
      <c r="BP76" s="100">
        <v>4</v>
      </c>
      <c r="BQ76" s="100">
        <v>3115.2</v>
      </c>
      <c r="BR76" s="100">
        <v>4</v>
      </c>
      <c r="BS76" s="100">
        <v>3115.2</v>
      </c>
      <c r="BT76" s="100">
        <v>4</v>
      </c>
      <c r="BU76" s="100">
        <v>3115.2</v>
      </c>
      <c r="BV76" s="100">
        <v>6</v>
      </c>
      <c r="BW76" s="100">
        <v>4672.7999999999993</v>
      </c>
      <c r="BX76" s="100">
        <v>4</v>
      </c>
      <c r="BY76" s="100">
        <v>3115.2</v>
      </c>
      <c r="BZ76" s="100">
        <v>4.7828331400440351</v>
      </c>
      <c r="CA76" s="100">
        <v>3724.8704494662943</v>
      </c>
      <c r="CB76" s="100">
        <v>4.3520717495781049</v>
      </c>
      <c r="CC76" s="100">
        <v>3389.3934785714277</v>
      </c>
      <c r="CD76" s="100">
        <v>3</v>
      </c>
      <c r="CE76" s="100">
        <v>2336.3999999999996</v>
      </c>
      <c r="CF76" s="100">
        <v>4</v>
      </c>
      <c r="CG76" s="100">
        <v>3115.2</v>
      </c>
      <c r="CH76" s="100">
        <v>5</v>
      </c>
      <c r="CI76" s="100">
        <v>3894</v>
      </c>
      <c r="CJ76" s="100">
        <v>5</v>
      </c>
      <c r="CK76" s="100">
        <v>3894</v>
      </c>
      <c r="CL76" s="100">
        <v>3.9815306265420345</v>
      </c>
      <c r="CM76" s="100">
        <v>3100.8160519509361</v>
      </c>
      <c r="CN76" s="100">
        <v>1.2623079963753514</v>
      </c>
      <c r="CO76" s="100">
        <v>983.08546757712361</v>
      </c>
      <c r="CP76" s="100">
        <v>5.0169492383393735</v>
      </c>
      <c r="CQ76" s="100">
        <v>3907.2000668187038</v>
      </c>
      <c r="CR76" s="100">
        <v>2.5366426626959422</v>
      </c>
      <c r="CS76" s="100">
        <v>1975.5373057075997</v>
      </c>
      <c r="CT76" s="100">
        <v>5.7026584750094003</v>
      </c>
      <c r="CU76" s="100">
        <v>4441.2304203373205</v>
      </c>
    </row>
    <row r="77" spans="2:99">
      <c r="C77" s="99" t="s">
        <v>243</v>
      </c>
      <c r="D77" s="100">
        <v>3.3361877488231939</v>
      </c>
      <c r="E77" s="100">
        <v>928.79466927237706</v>
      </c>
      <c r="F77" s="100">
        <v>1.6669321167940547</v>
      </c>
      <c r="G77" s="100">
        <v>464.07390131546481</v>
      </c>
      <c r="H77" s="100">
        <v>3.979109794222802</v>
      </c>
      <c r="I77" s="100">
        <v>1107.7841667116279</v>
      </c>
      <c r="J77" s="100">
        <v>4.6132864962546272</v>
      </c>
      <c r="K77" s="100">
        <v>1284.3389605572881</v>
      </c>
      <c r="L77" s="100">
        <v>3.8166422248885965</v>
      </c>
      <c r="M77" s="100">
        <v>1062.5531954089852</v>
      </c>
      <c r="N77" s="100">
        <v>3.3739441575689276E-4</v>
      </c>
      <c r="O77" s="100">
        <v>9.3930605346718932E-2</v>
      </c>
      <c r="P77" s="100">
        <v>3.4809136923797985</v>
      </c>
      <c r="Q77" s="100">
        <v>969.08637195853578</v>
      </c>
      <c r="R77" s="100">
        <v>4</v>
      </c>
      <c r="S77" s="100">
        <v>1113.5999999999999</v>
      </c>
      <c r="T77" s="100">
        <v>3.9352471362759296</v>
      </c>
      <c r="U77" s="100">
        <v>1095.5728027392188</v>
      </c>
      <c r="V77" s="100">
        <v>3.3160208262973381</v>
      </c>
      <c r="W77" s="100">
        <v>923.18019804117887</v>
      </c>
      <c r="X77" s="100">
        <v>3.657370219236685</v>
      </c>
      <c r="Y77" s="100">
        <v>1018.211869035493</v>
      </c>
      <c r="Z77" s="100">
        <v>4.4596178709234726</v>
      </c>
      <c r="AA77" s="100">
        <v>1241.5576152650947</v>
      </c>
      <c r="AB77" s="100">
        <v>2.4961643223337724</v>
      </c>
      <c r="AC77" s="100">
        <v>694.9321473377222</v>
      </c>
      <c r="AD77" s="100">
        <v>3.8104509225888714</v>
      </c>
      <c r="AE77" s="100">
        <v>1060.8295368487418</v>
      </c>
      <c r="AF77" s="100">
        <v>3.8296614195230796</v>
      </c>
      <c r="AG77" s="100">
        <v>1066.1777391952253</v>
      </c>
      <c r="AH77" s="100">
        <v>2.3977037258708336</v>
      </c>
      <c r="AI77" s="100">
        <v>667.52071728244005</v>
      </c>
      <c r="AJ77" s="100">
        <v>2.733663452031549</v>
      </c>
      <c r="AK77" s="100">
        <v>761.05190504558323</v>
      </c>
      <c r="AL77" s="100">
        <v>5.6061747736705199</v>
      </c>
      <c r="AM77" s="100">
        <v>1560.7590569898725</v>
      </c>
      <c r="AN77" s="100">
        <v>2.7283656546438908</v>
      </c>
      <c r="AO77" s="100">
        <v>759.57699825285908</v>
      </c>
      <c r="AP77" s="100">
        <v>4</v>
      </c>
      <c r="AQ77" s="100">
        <v>1113.5999999999999</v>
      </c>
      <c r="AR77" s="100">
        <v>5</v>
      </c>
      <c r="AS77" s="100">
        <v>1392</v>
      </c>
      <c r="AT77" s="100">
        <v>3</v>
      </c>
      <c r="AU77" s="100">
        <v>835.19999999999993</v>
      </c>
      <c r="AV77" s="100">
        <v>5</v>
      </c>
      <c r="AW77" s="100">
        <v>1392</v>
      </c>
      <c r="AX77" s="100">
        <v>6.1134348454843241</v>
      </c>
      <c r="AY77" s="100">
        <v>1701.9802609828357</v>
      </c>
      <c r="AZ77" s="100">
        <v>4</v>
      </c>
      <c r="BA77" s="100">
        <v>1113.5999999999999</v>
      </c>
      <c r="BB77" s="100">
        <v>4.2739879310549451</v>
      </c>
      <c r="BC77" s="100">
        <v>1189.8782400056966</v>
      </c>
      <c r="BD77" s="100">
        <v>1.2138199536784582</v>
      </c>
      <c r="BE77" s="100">
        <v>337.92747510408276</v>
      </c>
      <c r="BF77" s="100">
        <v>3</v>
      </c>
      <c r="BG77" s="100">
        <v>835.19999999999993</v>
      </c>
      <c r="BH77" s="100">
        <v>6</v>
      </c>
      <c r="BI77" s="100">
        <v>1670.3999999999999</v>
      </c>
      <c r="BJ77" s="100">
        <v>5.4486758716869126</v>
      </c>
      <c r="BK77" s="100">
        <v>1516.9113626776364</v>
      </c>
      <c r="BL77" s="100">
        <v>3.286537355500796</v>
      </c>
      <c r="BM77" s="100">
        <v>914.97199977142157</v>
      </c>
      <c r="BN77" s="100">
        <v>2.6994493988698456</v>
      </c>
      <c r="BO77" s="100">
        <v>751.52671264536491</v>
      </c>
      <c r="BP77" s="100">
        <v>5</v>
      </c>
      <c r="BQ77" s="100">
        <v>1392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5</v>
      </c>
      <c r="BW77" s="100">
        <v>1392</v>
      </c>
      <c r="BX77" s="100">
        <v>4</v>
      </c>
      <c r="BY77" s="100">
        <v>1113.5999999999999</v>
      </c>
      <c r="BZ77" s="100">
        <v>4.684978997538531</v>
      </c>
      <c r="CA77" s="100">
        <v>1304.2981529147269</v>
      </c>
      <c r="CB77" s="100">
        <v>3.6267264579817544</v>
      </c>
      <c r="CC77" s="100">
        <v>1009.6806459021203</v>
      </c>
      <c r="CD77" s="100">
        <v>3</v>
      </c>
      <c r="CE77" s="100">
        <v>835.19999999999993</v>
      </c>
      <c r="CF77" s="100">
        <v>5</v>
      </c>
      <c r="CG77" s="100">
        <v>1392</v>
      </c>
      <c r="CH77" s="100">
        <v>5</v>
      </c>
      <c r="CI77" s="100">
        <v>1392</v>
      </c>
      <c r="CJ77" s="100">
        <v>5</v>
      </c>
      <c r="CK77" s="100">
        <v>1392</v>
      </c>
      <c r="CL77" s="100">
        <v>3.9815306265420345</v>
      </c>
      <c r="CM77" s="100">
        <v>1108.4581264293024</v>
      </c>
      <c r="CN77" s="100">
        <v>1.2623079963753514</v>
      </c>
      <c r="CO77" s="100">
        <v>351.4265461908978</v>
      </c>
      <c r="CP77" s="100">
        <v>5.0169492383393735</v>
      </c>
      <c r="CQ77" s="100">
        <v>1396.7186679536815</v>
      </c>
      <c r="CR77" s="100">
        <v>2.9594164398119318</v>
      </c>
      <c r="CS77" s="100">
        <v>823.90153684364179</v>
      </c>
      <c r="CT77" s="100">
        <v>5.7963462716773204</v>
      </c>
      <c r="CU77" s="100">
        <v>1613.7028020349658</v>
      </c>
    </row>
    <row r="78" spans="2:99">
      <c r="C78" s="99" t="s">
        <v>244</v>
      </c>
      <c r="D78" s="100">
        <v>4.1702346860289925</v>
      </c>
      <c r="E78" s="100">
        <v>2301.9695466880039</v>
      </c>
      <c r="F78" s="100">
        <v>1.6669321167940547</v>
      </c>
      <c r="G78" s="100">
        <v>920.14652847031823</v>
      </c>
      <c r="H78" s="100">
        <v>3.979109794222802</v>
      </c>
      <c r="I78" s="100">
        <v>2196.4686064109865</v>
      </c>
      <c r="J78" s="100">
        <v>5.5359437955055526</v>
      </c>
      <c r="K78" s="100">
        <v>3055.8409751190652</v>
      </c>
      <c r="L78" s="100">
        <v>3.8417627136335866</v>
      </c>
      <c r="M78" s="100">
        <v>2120.6530179257397</v>
      </c>
      <c r="N78" s="100">
        <v>3.3739441575689276E-4</v>
      </c>
      <c r="O78" s="100">
        <v>0.1862417174978048</v>
      </c>
      <c r="P78" s="100">
        <v>3.4809136923797985</v>
      </c>
      <c r="Q78" s="100">
        <v>1921.4643581936489</v>
      </c>
      <c r="R78" s="100">
        <v>3</v>
      </c>
      <c r="S78" s="100">
        <v>1656</v>
      </c>
      <c r="T78" s="100">
        <v>3.9352471362759296</v>
      </c>
      <c r="U78" s="100">
        <v>2172.256419224313</v>
      </c>
      <c r="V78" s="100">
        <v>3.3160208262973381</v>
      </c>
      <c r="W78" s="100">
        <v>1830.4434961161305</v>
      </c>
      <c r="X78" s="100">
        <v>3.047808516030571</v>
      </c>
      <c r="Y78" s="100">
        <v>1682.3903008488751</v>
      </c>
      <c r="Z78" s="100">
        <v>3.7163482257695604</v>
      </c>
      <c r="AA78" s="100">
        <v>2051.4242206247973</v>
      </c>
      <c r="AB78" s="100">
        <v>2.4961643223337724</v>
      </c>
      <c r="AC78" s="100">
        <v>1377.8827059282423</v>
      </c>
      <c r="AD78" s="100">
        <v>3.8104509225888714</v>
      </c>
      <c r="AE78" s="100">
        <v>2103.368909269057</v>
      </c>
      <c r="AF78" s="100">
        <v>3.8296614195230796</v>
      </c>
      <c r="AG78" s="100">
        <v>2113.97310357674</v>
      </c>
      <c r="AH78" s="100">
        <v>2.4238822003217582</v>
      </c>
      <c r="AI78" s="100">
        <v>1337.9829745776105</v>
      </c>
      <c r="AJ78" s="100">
        <v>2.733663452031549</v>
      </c>
      <c r="AK78" s="100">
        <v>1508.9822255214151</v>
      </c>
      <c r="AL78" s="100">
        <v>4.6718123113921006</v>
      </c>
      <c r="AM78" s="100">
        <v>2578.8403958884396</v>
      </c>
      <c r="AN78" s="100">
        <v>2.7283656546438908</v>
      </c>
      <c r="AO78" s="100">
        <v>1506.0578413634278</v>
      </c>
      <c r="AP78" s="100">
        <v>4</v>
      </c>
      <c r="AQ78" s="100">
        <v>2208</v>
      </c>
      <c r="AR78" s="100">
        <v>5</v>
      </c>
      <c r="AS78" s="100">
        <v>2760</v>
      </c>
      <c r="AT78" s="100">
        <v>3</v>
      </c>
      <c r="AU78" s="100">
        <v>1656</v>
      </c>
      <c r="AV78" s="100">
        <v>5</v>
      </c>
      <c r="AW78" s="100">
        <v>2760</v>
      </c>
      <c r="AX78" s="100">
        <v>5.2400870104151345</v>
      </c>
      <c r="AY78" s="100">
        <v>2892.528029749154</v>
      </c>
      <c r="AZ78" s="100">
        <v>4</v>
      </c>
      <c r="BA78" s="100">
        <v>2208</v>
      </c>
      <c r="BB78" s="100">
        <v>4.2739879310549451</v>
      </c>
      <c r="BC78" s="100">
        <v>2359.2413379423297</v>
      </c>
      <c r="BD78" s="100">
        <v>1.2138199536784582</v>
      </c>
      <c r="BE78" s="100">
        <v>670.02861443050892</v>
      </c>
      <c r="BF78" s="100">
        <v>3</v>
      </c>
      <c r="BG78" s="100">
        <v>1656</v>
      </c>
      <c r="BH78" s="100">
        <v>5</v>
      </c>
      <c r="BI78" s="100">
        <v>2760</v>
      </c>
      <c r="BJ78" s="100">
        <v>5.4894645872948136</v>
      </c>
      <c r="BK78" s="100">
        <v>3030.184452186737</v>
      </c>
      <c r="BL78" s="100">
        <v>3.311752539236382</v>
      </c>
      <c r="BM78" s="100">
        <v>1828.0874016584828</v>
      </c>
      <c r="BN78" s="100">
        <v>2.6994493988698456</v>
      </c>
      <c r="BO78" s="100">
        <v>1490.0960681761549</v>
      </c>
      <c r="BP78" s="100">
        <v>4</v>
      </c>
      <c r="BQ78" s="100">
        <v>2208</v>
      </c>
      <c r="BR78" s="100">
        <v>4</v>
      </c>
      <c r="BS78" s="100">
        <v>2208</v>
      </c>
      <c r="BT78" s="100">
        <v>4</v>
      </c>
      <c r="BU78" s="100">
        <v>2208</v>
      </c>
      <c r="BV78" s="100">
        <v>6</v>
      </c>
      <c r="BW78" s="100">
        <v>3312</v>
      </c>
      <c r="BX78" s="100">
        <v>4</v>
      </c>
      <c r="BY78" s="100">
        <v>2208</v>
      </c>
      <c r="BZ78" s="100">
        <v>4.7339060687912831</v>
      </c>
      <c r="CA78" s="100">
        <v>2613.1161499727882</v>
      </c>
      <c r="CB78" s="100">
        <v>3.6267264579817544</v>
      </c>
      <c r="CC78" s="100">
        <v>2001.9530048059285</v>
      </c>
      <c r="CD78" s="100">
        <v>3</v>
      </c>
      <c r="CE78" s="100">
        <v>1656</v>
      </c>
      <c r="CF78" s="100">
        <v>4</v>
      </c>
      <c r="CG78" s="100">
        <v>2208</v>
      </c>
      <c r="CH78" s="100">
        <v>5</v>
      </c>
      <c r="CI78" s="100">
        <v>2760</v>
      </c>
      <c r="CJ78" s="100">
        <v>5</v>
      </c>
      <c r="CK78" s="100">
        <v>2760</v>
      </c>
      <c r="CL78" s="100">
        <v>4.012545143684811</v>
      </c>
      <c r="CM78" s="100">
        <v>2214.9249193140158</v>
      </c>
      <c r="CN78" s="100">
        <v>1.2623079963753514</v>
      </c>
      <c r="CO78" s="100">
        <v>696.79401399919402</v>
      </c>
      <c r="CP78" s="100">
        <v>5.0169492383393735</v>
      </c>
      <c r="CQ78" s="100">
        <v>2769.3559795633341</v>
      </c>
      <c r="CR78" s="100">
        <v>2.5366426626959422</v>
      </c>
      <c r="CS78" s="100">
        <v>1400.2267498081601</v>
      </c>
      <c r="CT78" s="100">
        <v>5.7026584750094003</v>
      </c>
      <c r="CU78" s="100">
        <v>3147.8674782051889</v>
      </c>
    </row>
    <row r="79" spans="2:99">
      <c r="C79" s="99" t="s">
        <v>245</v>
      </c>
      <c r="D79" s="100">
        <v>3.3361877488231939</v>
      </c>
      <c r="E79" s="100">
        <v>2526.1613634089222</v>
      </c>
      <c r="F79" s="100">
        <v>1.6669321167940547</v>
      </c>
      <c r="G79" s="100">
        <v>1262.2009988364582</v>
      </c>
      <c r="H79" s="100">
        <v>3.979109794222802</v>
      </c>
      <c r="I79" s="100">
        <v>3012.9819361855052</v>
      </c>
      <c r="J79" s="100">
        <v>4.6132864962546272</v>
      </c>
      <c r="K79" s="100">
        <v>3493.1805349640035</v>
      </c>
      <c r="L79" s="100">
        <v>3.8417627136335866</v>
      </c>
      <c r="M79" s="100">
        <v>2908.9827267633514</v>
      </c>
      <c r="N79" s="100">
        <v>3.3739441575689276E-4</v>
      </c>
      <c r="O79" s="100">
        <v>0.25547505161111916</v>
      </c>
      <c r="P79" s="100">
        <v>3.0933767406612347</v>
      </c>
      <c r="Q79" s="100">
        <v>2342.3048680286865</v>
      </c>
      <c r="R79" s="100">
        <v>3</v>
      </c>
      <c r="S79" s="100">
        <v>2271.6</v>
      </c>
      <c r="T79" s="100">
        <v>3.2793726135632748</v>
      </c>
      <c r="U79" s="100">
        <v>2483.1409429901114</v>
      </c>
      <c r="V79" s="100">
        <v>3.5474748763121813</v>
      </c>
      <c r="W79" s="100">
        <v>2686.1479763435837</v>
      </c>
      <c r="X79" s="100">
        <v>3.657370219236685</v>
      </c>
      <c r="Y79" s="100">
        <v>2769.3607300060175</v>
      </c>
      <c r="Z79" s="100">
        <v>3.7163482257695604</v>
      </c>
      <c r="AA79" s="100">
        <v>2814.0188765527109</v>
      </c>
      <c r="AB79" s="100">
        <v>2.9953971868005267</v>
      </c>
      <c r="AC79" s="100">
        <v>2268.1147498453588</v>
      </c>
      <c r="AD79" s="100">
        <v>3.8104509225888714</v>
      </c>
      <c r="AE79" s="100">
        <v>2885.2734385842932</v>
      </c>
      <c r="AF79" s="100">
        <v>3.7929539545251894</v>
      </c>
      <c r="AG79" s="100">
        <v>2872.0247343664732</v>
      </c>
      <c r="AH79" s="100">
        <v>2.9513173270494248</v>
      </c>
      <c r="AI79" s="100">
        <v>2234.7374800418243</v>
      </c>
      <c r="AJ79" s="100">
        <v>2.733663452031549</v>
      </c>
      <c r="AK79" s="100">
        <v>2069.9299658782888</v>
      </c>
      <c r="AL79" s="100">
        <v>5.6061747736705199</v>
      </c>
      <c r="AM79" s="100">
        <v>4244.9955386233169</v>
      </c>
      <c r="AN79" s="100">
        <v>2.7283656546438908</v>
      </c>
      <c r="AO79" s="100">
        <v>2065.9184736963539</v>
      </c>
      <c r="AP79" s="100">
        <v>4</v>
      </c>
      <c r="AQ79" s="100">
        <v>3028.7999999999997</v>
      </c>
      <c r="AR79" s="100">
        <v>5</v>
      </c>
      <c r="AS79" s="100">
        <v>3785.9999999999995</v>
      </c>
      <c r="AT79" s="100">
        <v>3</v>
      </c>
      <c r="AU79" s="100">
        <v>2271.6</v>
      </c>
      <c r="AV79" s="100">
        <v>6</v>
      </c>
      <c r="AW79" s="100">
        <v>4543.2</v>
      </c>
      <c r="AX79" s="100">
        <v>5.2400870104151345</v>
      </c>
      <c r="AY79" s="100">
        <v>3967.7938842863396</v>
      </c>
      <c r="AZ79" s="100">
        <v>3</v>
      </c>
      <c r="BA79" s="100">
        <v>2271.6</v>
      </c>
      <c r="BB79" s="100">
        <v>4.334800231131239</v>
      </c>
      <c r="BC79" s="100">
        <v>3282.3107350125738</v>
      </c>
      <c r="BD79" s="100">
        <v>1.2138199536784582</v>
      </c>
      <c r="BE79" s="100">
        <v>919.10446892532843</v>
      </c>
      <c r="BF79" s="100">
        <v>3</v>
      </c>
      <c r="BG79" s="100">
        <v>2271.6</v>
      </c>
      <c r="BH79" s="100">
        <v>5</v>
      </c>
      <c r="BI79" s="100">
        <v>3785.9999999999995</v>
      </c>
      <c r="BJ79" s="100">
        <v>5.4894645872948136</v>
      </c>
      <c r="BK79" s="100">
        <v>4156.6225854996328</v>
      </c>
      <c r="BL79" s="100">
        <v>3.286537355500796</v>
      </c>
      <c r="BM79" s="100">
        <v>2488.5660855852025</v>
      </c>
      <c r="BN79" s="100">
        <v>2.6994493988698456</v>
      </c>
      <c r="BO79" s="100">
        <v>2044.0230848242468</v>
      </c>
      <c r="BP79" s="100">
        <v>4</v>
      </c>
      <c r="BQ79" s="100">
        <v>3028.7999999999997</v>
      </c>
      <c r="BR79" s="100">
        <v>4</v>
      </c>
      <c r="BS79" s="100">
        <v>3028.7999999999997</v>
      </c>
      <c r="BT79" s="100">
        <v>4</v>
      </c>
      <c r="BU79" s="100">
        <v>3028.7999999999997</v>
      </c>
      <c r="BV79" s="100">
        <v>5</v>
      </c>
      <c r="BW79" s="100">
        <v>3785.9999999999995</v>
      </c>
      <c r="BX79" s="100">
        <v>4</v>
      </c>
      <c r="BY79" s="100">
        <v>3028.7999999999997</v>
      </c>
      <c r="BZ79" s="100">
        <v>4.7339060687912831</v>
      </c>
      <c r="CA79" s="100">
        <v>3584.5136752887593</v>
      </c>
      <c r="CB79" s="100">
        <v>3.6267264579817544</v>
      </c>
      <c r="CC79" s="100">
        <v>2746.1572739837843</v>
      </c>
      <c r="CD79" s="100">
        <v>4</v>
      </c>
      <c r="CE79" s="100">
        <v>3028.7999999999997</v>
      </c>
      <c r="CF79" s="100">
        <v>4</v>
      </c>
      <c r="CG79" s="100">
        <v>3028.7999999999997</v>
      </c>
      <c r="CH79" s="100">
        <v>4</v>
      </c>
      <c r="CI79" s="100">
        <v>3028.7999999999997</v>
      </c>
      <c r="CJ79" s="100">
        <v>5</v>
      </c>
      <c r="CK79" s="100">
        <v>3785.9999999999995</v>
      </c>
      <c r="CL79" s="100">
        <v>4.8993769903205999</v>
      </c>
      <c r="CM79" s="100">
        <v>3709.8082570707579</v>
      </c>
      <c r="CN79" s="100">
        <v>1.2623079963753514</v>
      </c>
      <c r="CO79" s="100">
        <v>955.81961485541603</v>
      </c>
      <c r="CP79" s="100">
        <v>5.0169492383393735</v>
      </c>
      <c r="CQ79" s="100">
        <v>3798.8339632705733</v>
      </c>
      <c r="CR79" s="100">
        <v>2.9594164398119318</v>
      </c>
      <c r="CS79" s="100">
        <v>2240.8701282255947</v>
      </c>
      <c r="CT79" s="100">
        <v>4.7026584750094003</v>
      </c>
      <c r="CU79" s="100">
        <v>3560.8529972771175</v>
      </c>
    </row>
    <row r="80" spans="2:99">
      <c r="C80" s="99" t="s">
        <v>246</v>
      </c>
      <c r="D80" s="100">
        <v>4.5441861076269134</v>
      </c>
      <c r="E80" s="100">
        <v>3658.9786538611902</v>
      </c>
      <c r="F80" s="100">
        <v>1.6669321167940547</v>
      </c>
      <c r="G80" s="100">
        <v>1342.2137404425728</v>
      </c>
      <c r="H80" s="100">
        <v>3.979109794222802</v>
      </c>
      <c r="I80" s="100">
        <v>3203.9792063082</v>
      </c>
      <c r="J80" s="100">
        <v>5.5359437955055526</v>
      </c>
      <c r="K80" s="100">
        <v>4457.5419441410704</v>
      </c>
      <c r="L80" s="100">
        <v>3.8166422248885965</v>
      </c>
      <c r="M80" s="100">
        <v>3073.1603194802979</v>
      </c>
      <c r="N80" s="100">
        <v>4.0487329890827127E-4</v>
      </c>
      <c r="O80" s="100">
        <v>0.32600398028094002</v>
      </c>
      <c r="P80" s="100">
        <v>3.9636051637561844</v>
      </c>
      <c r="Q80" s="100">
        <v>3191.4948778564794</v>
      </c>
      <c r="R80" s="100">
        <v>3.2354906206447538</v>
      </c>
      <c r="S80" s="100">
        <v>2605.2170477431555</v>
      </c>
      <c r="T80" s="100">
        <v>3.2793726135632748</v>
      </c>
      <c r="U80" s="100">
        <v>2640.5508284411485</v>
      </c>
      <c r="V80" s="100">
        <v>3.3160208262973381</v>
      </c>
      <c r="W80" s="100">
        <v>2670.0599693346162</v>
      </c>
      <c r="X80" s="100">
        <v>3.047808516030571</v>
      </c>
      <c r="Y80" s="100">
        <v>2454.0954171078156</v>
      </c>
      <c r="Z80" s="100">
        <v>3.7163482257695604</v>
      </c>
      <c r="AA80" s="100">
        <v>2992.4035913896496</v>
      </c>
      <c r="AB80" s="100">
        <v>2.4961643223337724</v>
      </c>
      <c r="AC80" s="100">
        <v>2009.9115123431534</v>
      </c>
      <c r="AD80" s="100">
        <v>3.8104509225888714</v>
      </c>
      <c r="AE80" s="100">
        <v>3068.175082868559</v>
      </c>
      <c r="AF80" s="100">
        <v>3.8296614195230796</v>
      </c>
      <c r="AG80" s="100">
        <v>3083.6433749999833</v>
      </c>
      <c r="AH80" s="100">
        <v>2.3977037258708336</v>
      </c>
      <c r="AI80" s="100">
        <v>1930.631040071195</v>
      </c>
      <c r="AJ80" s="100">
        <v>2.733663452031549</v>
      </c>
      <c r="AK80" s="100">
        <v>2201.1458115758032</v>
      </c>
      <c r="AL80" s="100">
        <v>5.6061747736705199</v>
      </c>
      <c r="AM80" s="100">
        <v>4514.0919277595021</v>
      </c>
      <c r="AN80" s="100">
        <v>2.7283656546438908</v>
      </c>
      <c r="AO80" s="100">
        <v>2196.8800251192606</v>
      </c>
      <c r="AP80" s="100">
        <v>4</v>
      </c>
      <c r="AQ80" s="100">
        <v>3220.7999999999997</v>
      </c>
      <c r="AR80" s="100">
        <v>5</v>
      </c>
      <c r="AS80" s="100">
        <v>4025.9999999999995</v>
      </c>
      <c r="AT80" s="100">
        <v>3</v>
      </c>
      <c r="AU80" s="100">
        <v>2415.6</v>
      </c>
      <c r="AV80" s="100">
        <v>6</v>
      </c>
      <c r="AW80" s="100">
        <v>4831.2</v>
      </c>
      <c r="AX80" s="100">
        <v>5.2400870104151345</v>
      </c>
      <c r="AY80" s="100">
        <v>4219.318060786266</v>
      </c>
      <c r="AZ80" s="100">
        <v>3</v>
      </c>
      <c r="BA80" s="100">
        <v>2415.6</v>
      </c>
      <c r="BB80" s="100">
        <v>4.334800231131239</v>
      </c>
      <c r="BC80" s="100">
        <v>3490.3811461068735</v>
      </c>
      <c r="BD80" s="100">
        <v>1.2138199536784582</v>
      </c>
      <c r="BE80" s="100">
        <v>977.3678267018945</v>
      </c>
      <c r="BF80" s="100">
        <v>3</v>
      </c>
      <c r="BG80" s="100">
        <v>2415.6</v>
      </c>
      <c r="BH80" s="100">
        <v>6</v>
      </c>
      <c r="BI80" s="100">
        <v>4831.2</v>
      </c>
      <c r="BJ80" s="100">
        <v>5.4894645872948136</v>
      </c>
      <c r="BK80" s="100">
        <v>4420.1168856897839</v>
      </c>
      <c r="BL80" s="100">
        <v>3.2613221717652108</v>
      </c>
      <c r="BM80" s="100">
        <v>2626.0166127053476</v>
      </c>
      <c r="BN80" s="100">
        <v>2.6994493988698456</v>
      </c>
      <c r="BO80" s="100">
        <v>2173.5966559699996</v>
      </c>
      <c r="BP80" s="100">
        <v>4</v>
      </c>
      <c r="BQ80" s="100">
        <v>3220.7999999999997</v>
      </c>
      <c r="BR80" s="100">
        <v>4</v>
      </c>
      <c r="BS80" s="100">
        <v>3220.7999999999997</v>
      </c>
      <c r="BT80" s="100">
        <v>4</v>
      </c>
      <c r="BU80" s="100">
        <v>3220.7999999999997</v>
      </c>
      <c r="BV80" s="100">
        <v>6</v>
      </c>
      <c r="BW80" s="100">
        <v>4831.2</v>
      </c>
      <c r="BX80" s="100">
        <v>3</v>
      </c>
      <c r="BY80" s="100">
        <v>2415.6</v>
      </c>
      <c r="BZ80" s="100">
        <v>4.684978997538531</v>
      </c>
      <c r="CA80" s="100">
        <v>3772.345088818025</v>
      </c>
      <c r="CB80" s="100">
        <v>3.6267264579817544</v>
      </c>
      <c r="CC80" s="100">
        <v>2920.2401439669084</v>
      </c>
      <c r="CD80" s="100">
        <v>3</v>
      </c>
      <c r="CE80" s="100">
        <v>2415.6</v>
      </c>
      <c r="CF80" s="100">
        <v>4</v>
      </c>
      <c r="CG80" s="100">
        <v>3220.7999999999997</v>
      </c>
      <c r="CH80" s="100">
        <v>4</v>
      </c>
      <c r="CI80" s="100">
        <v>3220.7999999999997</v>
      </c>
      <c r="CJ80" s="100">
        <v>5</v>
      </c>
      <c r="CK80" s="100">
        <v>4025.9999999999995</v>
      </c>
      <c r="CL80" s="100">
        <v>4.012545143684811</v>
      </c>
      <c r="CM80" s="100">
        <v>3230.9013496950097</v>
      </c>
      <c r="CN80" s="100">
        <v>1.2623079963753514</v>
      </c>
      <c r="CO80" s="100">
        <v>1016.4103986814329</v>
      </c>
      <c r="CP80" s="100">
        <v>5.0169492383393735</v>
      </c>
      <c r="CQ80" s="100">
        <v>4039.6475267108631</v>
      </c>
      <c r="CR80" s="100">
        <v>2.5366426626959422</v>
      </c>
      <c r="CS80" s="100">
        <v>2042.5046720027724</v>
      </c>
      <c r="CT80" s="100">
        <v>5.6558145766754402</v>
      </c>
      <c r="CU80" s="100">
        <v>4554.0618971390641</v>
      </c>
    </row>
    <row r="81" spans="2:99">
      <c r="C81" s="99" t="s">
        <v>247</v>
      </c>
      <c r="D81" s="100">
        <v>4.1702346860289925</v>
      </c>
      <c r="E81" s="100">
        <v>3142.6888593914487</v>
      </c>
      <c r="F81" s="100">
        <v>1.6669321167940547</v>
      </c>
      <c r="G81" s="100">
        <v>1256.2000432159996</v>
      </c>
      <c r="H81" s="100">
        <v>3.979109794222802</v>
      </c>
      <c r="I81" s="100">
        <v>2998.6571409263038</v>
      </c>
      <c r="J81" s="100">
        <v>4.6132864962546272</v>
      </c>
      <c r="K81" s="100">
        <v>3476.5727035774871</v>
      </c>
      <c r="L81" s="100">
        <v>3.7915217361436069</v>
      </c>
      <c r="M81" s="100">
        <v>2857.2907803578223</v>
      </c>
      <c r="N81" s="100">
        <v>3.3739441575689276E-4</v>
      </c>
      <c r="O81" s="100">
        <v>0.25426043171439439</v>
      </c>
      <c r="P81" s="100">
        <v>3.9636051637561844</v>
      </c>
      <c r="Q81" s="100">
        <v>2986.9728514066605</v>
      </c>
      <c r="R81" s="100">
        <v>3</v>
      </c>
      <c r="S81" s="100">
        <v>2260.8000000000002</v>
      </c>
      <c r="T81" s="100">
        <v>3.9352471362759296</v>
      </c>
      <c r="U81" s="100">
        <v>2965.6022418975408</v>
      </c>
      <c r="V81" s="100">
        <v>3.3160208262973381</v>
      </c>
      <c r="W81" s="100">
        <v>2498.9532946976742</v>
      </c>
      <c r="X81" s="100">
        <v>3.657370219236685</v>
      </c>
      <c r="Y81" s="100">
        <v>2756.194197216766</v>
      </c>
      <c r="Z81" s="100">
        <v>3.7163482257695604</v>
      </c>
      <c r="AA81" s="100">
        <v>2800.640022939941</v>
      </c>
      <c r="AB81" s="100">
        <v>2.4961643223337724</v>
      </c>
      <c r="AC81" s="100">
        <v>1881.109433310731</v>
      </c>
      <c r="AD81" s="100">
        <v>4.5725411071066464</v>
      </c>
      <c r="AE81" s="100">
        <v>3445.8669783155688</v>
      </c>
      <c r="AF81" s="100">
        <v>3.7929539545251894</v>
      </c>
      <c r="AG81" s="100">
        <v>2858.3701001301829</v>
      </c>
      <c r="AH81" s="100">
        <v>2.3977037258708336</v>
      </c>
      <c r="AI81" s="100">
        <v>1806.9095278162602</v>
      </c>
      <c r="AJ81" s="100">
        <v>2.733663452031549</v>
      </c>
      <c r="AK81" s="100">
        <v>2060.0887774509756</v>
      </c>
      <c r="AL81" s="100">
        <v>5.6061747736705199</v>
      </c>
      <c r="AM81" s="100">
        <v>4224.8133094381037</v>
      </c>
      <c r="AN81" s="100">
        <v>2.7283656546438908</v>
      </c>
      <c r="AO81" s="100">
        <v>2056.0963573396361</v>
      </c>
      <c r="AP81" s="100">
        <v>5</v>
      </c>
      <c r="AQ81" s="100">
        <v>3768</v>
      </c>
      <c r="AR81" s="100">
        <v>5</v>
      </c>
      <c r="AS81" s="100">
        <v>3768</v>
      </c>
      <c r="AT81" s="100">
        <v>3</v>
      </c>
      <c r="AU81" s="100">
        <v>2260.8000000000002</v>
      </c>
      <c r="AV81" s="100">
        <v>6</v>
      </c>
      <c r="AW81" s="100">
        <v>4521.6000000000004</v>
      </c>
      <c r="AX81" s="100">
        <v>5.2400870104151345</v>
      </c>
      <c r="AY81" s="100">
        <v>3948.9295710488454</v>
      </c>
      <c r="AZ81" s="100">
        <v>3</v>
      </c>
      <c r="BA81" s="100">
        <v>2260.8000000000002</v>
      </c>
      <c r="BB81" s="100">
        <v>4.2739879310549451</v>
      </c>
      <c r="BC81" s="100">
        <v>3220.8773048430066</v>
      </c>
      <c r="BD81" s="100">
        <v>1.2138199536784582</v>
      </c>
      <c r="BE81" s="100">
        <v>914.73471709208616</v>
      </c>
      <c r="BF81" s="100">
        <v>3</v>
      </c>
      <c r="BG81" s="100">
        <v>2260.8000000000002</v>
      </c>
      <c r="BH81" s="100">
        <v>6</v>
      </c>
      <c r="BI81" s="100">
        <v>4521.6000000000004</v>
      </c>
      <c r="BJ81" s="100">
        <v>6.4486758716869126</v>
      </c>
      <c r="BK81" s="100">
        <v>4859.7221369032577</v>
      </c>
      <c r="BL81" s="100">
        <v>3.286537355500796</v>
      </c>
      <c r="BM81" s="100">
        <v>2476.7345511054</v>
      </c>
      <c r="BN81" s="100">
        <v>2.6994493988698456</v>
      </c>
      <c r="BO81" s="100">
        <v>2034.3050669883157</v>
      </c>
      <c r="BP81" s="100">
        <v>4</v>
      </c>
      <c r="BQ81" s="100">
        <v>3014.4</v>
      </c>
      <c r="BR81" s="100">
        <v>4</v>
      </c>
      <c r="BS81" s="100">
        <v>3014.4</v>
      </c>
      <c r="BT81" s="100">
        <v>4</v>
      </c>
      <c r="BU81" s="100">
        <v>3014.4</v>
      </c>
      <c r="BV81" s="100">
        <v>6</v>
      </c>
      <c r="BW81" s="100">
        <v>4521.6000000000004</v>
      </c>
      <c r="BX81" s="100">
        <v>4</v>
      </c>
      <c r="BY81" s="100">
        <v>3014.4</v>
      </c>
      <c r="BZ81" s="100">
        <v>4.684978997538531</v>
      </c>
      <c r="CA81" s="100">
        <v>3530.6001725450369</v>
      </c>
      <c r="CB81" s="100">
        <v>3.6267264579817544</v>
      </c>
      <c r="CC81" s="100">
        <v>2733.1010587350502</v>
      </c>
      <c r="CD81" s="100">
        <v>3</v>
      </c>
      <c r="CE81" s="100">
        <v>2260.8000000000002</v>
      </c>
      <c r="CF81" s="100">
        <v>5</v>
      </c>
      <c r="CG81" s="100">
        <v>3768</v>
      </c>
      <c r="CH81" s="100">
        <v>4</v>
      </c>
      <c r="CI81" s="100">
        <v>3014.4</v>
      </c>
      <c r="CJ81" s="100">
        <v>5</v>
      </c>
      <c r="CK81" s="100">
        <v>3768</v>
      </c>
      <c r="CL81" s="100">
        <v>3.9815306265420345</v>
      </c>
      <c r="CM81" s="100">
        <v>3000.4814801620773</v>
      </c>
      <c r="CN81" s="100">
        <v>1.2623079963753514</v>
      </c>
      <c r="CO81" s="100">
        <v>951.27530606846483</v>
      </c>
      <c r="CP81" s="100">
        <v>5.9243129474945766</v>
      </c>
      <c r="CQ81" s="100">
        <v>4464.5622372319131</v>
      </c>
      <c r="CR81" s="100">
        <v>2.5366426626959422</v>
      </c>
      <c r="CS81" s="100">
        <v>1911.6139106076621</v>
      </c>
      <c r="CT81" s="100">
        <v>4.7026584750094003</v>
      </c>
      <c r="CU81" s="100">
        <v>3543.923426767084</v>
      </c>
    </row>
    <row r="82" spans="2:99">
      <c r="C82" s="99" t="s">
        <v>248</v>
      </c>
      <c r="D82" s="100">
        <v>3.7932394863317644</v>
      </c>
      <c r="E82" s="100">
        <v>1930.0002506456015</v>
      </c>
      <c r="F82" s="100">
        <v>1.6669321167940547</v>
      </c>
      <c r="G82" s="100">
        <v>848.13506102481483</v>
      </c>
      <c r="H82" s="100">
        <v>3.979109794222802</v>
      </c>
      <c r="I82" s="100">
        <v>2024.5710633005613</v>
      </c>
      <c r="J82" s="100">
        <v>4.6132864962546272</v>
      </c>
      <c r="K82" s="100">
        <v>2347.240169294354</v>
      </c>
      <c r="L82" s="100">
        <v>3.8417627136335866</v>
      </c>
      <c r="M82" s="100">
        <v>1954.6888686967684</v>
      </c>
      <c r="N82" s="100">
        <v>3.3739441575689276E-4</v>
      </c>
      <c r="O82" s="100">
        <v>0.17166627873710699</v>
      </c>
      <c r="P82" s="100">
        <v>3.4809136923797985</v>
      </c>
      <c r="Q82" s="100">
        <v>1771.0888866828411</v>
      </c>
      <c r="R82" s="100">
        <v>3</v>
      </c>
      <c r="S82" s="100">
        <v>1526.3999999999996</v>
      </c>
      <c r="T82" s="100">
        <v>3.9352471362759296</v>
      </c>
      <c r="U82" s="100">
        <v>2002.2537429371926</v>
      </c>
      <c r="V82" s="100">
        <v>3.3160208262973381</v>
      </c>
      <c r="W82" s="100">
        <v>1687.1913964200853</v>
      </c>
      <c r="X82" s="100">
        <v>3.657370219236685</v>
      </c>
      <c r="Y82" s="100">
        <v>1860.869967547625</v>
      </c>
      <c r="Z82" s="100">
        <v>3.7163482257695604</v>
      </c>
      <c r="AA82" s="100">
        <v>1890.877977271552</v>
      </c>
      <c r="AB82" s="100">
        <v>2.4961643223337724</v>
      </c>
      <c r="AC82" s="100">
        <v>1270.048407203423</v>
      </c>
      <c r="AD82" s="100">
        <v>3.8104509225888714</v>
      </c>
      <c r="AE82" s="100">
        <v>1938.7574294132173</v>
      </c>
      <c r="AF82" s="100">
        <v>3.8296614195230796</v>
      </c>
      <c r="AG82" s="100">
        <v>1948.5317302533424</v>
      </c>
      <c r="AH82" s="100">
        <v>2.4238822003217582</v>
      </c>
      <c r="AI82" s="100">
        <v>1233.2712635237103</v>
      </c>
      <c r="AJ82" s="100">
        <v>2.2780528766929575</v>
      </c>
      <c r="AK82" s="100">
        <v>1159.0733036613765</v>
      </c>
      <c r="AL82" s="100">
        <v>5.6061747736705199</v>
      </c>
      <c r="AM82" s="100">
        <v>2852.4217248435598</v>
      </c>
      <c r="AN82" s="100">
        <v>2.1826925237151129</v>
      </c>
      <c r="AO82" s="100">
        <v>1110.5539560662492</v>
      </c>
      <c r="AP82" s="100">
        <v>4</v>
      </c>
      <c r="AQ82" s="100">
        <v>2035.1999999999996</v>
      </c>
      <c r="AR82" s="100">
        <v>5</v>
      </c>
      <c r="AS82" s="100">
        <v>2543.9999999999995</v>
      </c>
      <c r="AT82" s="100">
        <v>4</v>
      </c>
      <c r="AU82" s="100">
        <v>2035.1999999999996</v>
      </c>
      <c r="AV82" s="100">
        <v>6</v>
      </c>
      <c r="AW82" s="100">
        <v>3052.7999999999993</v>
      </c>
      <c r="AX82" s="100">
        <v>5.2400870104151345</v>
      </c>
      <c r="AY82" s="100">
        <v>2666.1562708992201</v>
      </c>
      <c r="AZ82" s="100">
        <v>4</v>
      </c>
      <c r="BA82" s="100">
        <v>2035.1999999999996</v>
      </c>
      <c r="BB82" s="100">
        <v>5.1227042872583057</v>
      </c>
      <c r="BC82" s="100">
        <v>2606.4319413570256</v>
      </c>
      <c r="BD82" s="100">
        <v>1.2138199536784582</v>
      </c>
      <c r="BE82" s="100">
        <v>617.59159243159945</v>
      </c>
      <c r="BF82" s="100">
        <v>3</v>
      </c>
      <c r="BG82" s="100">
        <v>1526.3999999999996</v>
      </c>
      <c r="BH82" s="100">
        <v>5</v>
      </c>
      <c r="BI82" s="100">
        <v>2543.9999999999995</v>
      </c>
      <c r="BJ82" s="100">
        <v>6.4486758716869126</v>
      </c>
      <c r="BK82" s="100">
        <v>3281.0862835143002</v>
      </c>
      <c r="BL82" s="100">
        <v>3.286537355500796</v>
      </c>
      <c r="BM82" s="100">
        <v>1672.1902064788046</v>
      </c>
      <c r="BN82" s="100">
        <v>2.6994493988698456</v>
      </c>
      <c r="BO82" s="100">
        <v>1373.4798541449773</v>
      </c>
      <c r="BP82" s="100">
        <v>4</v>
      </c>
      <c r="BQ82" s="100">
        <v>2035.1999999999996</v>
      </c>
      <c r="BR82" s="100">
        <v>4</v>
      </c>
      <c r="BS82" s="100">
        <v>2035.1999999999996</v>
      </c>
      <c r="BT82" s="100">
        <v>4</v>
      </c>
      <c r="BU82" s="100">
        <v>2035.1999999999996</v>
      </c>
      <c r="BV82" s="100">
        <v>6</v>
      </c>
      <c r="BW82" s="100">
        <v>3052.7999999999993</v>
      </c>
      <c r="BX82" s="100">
        <v>4</v>
      </c>
      <c r="BY82" s="100">
        <v>2035.1999999999996</v>
      </c>
      <c r="BZ82" s="100">
        <v>4.7828331400440351</v>
      </c>
      <c r="CA82" s="100">
        <v>2433.5055016544047</v>
      </c>
      <c r="CB82" s="100">
        <v>4.3520717495781049</v>
      </c>
      <c r="CC82" s="100">
        <v>2214.3341061853394</v>
      </c>
      <c r="CD82" s="100">
        <v>3</v>
      </c>
      <c r="CE82" s="100">
        <v>1526.3999999999996</v>
      </c>
      <c r="CF82" s="100">
        <v>4</v>
      </c>
      <c r="CG82" s="100">
        <v>2035.1999999999996</v>
      </c>
      <c r="CH82" s="100">
        <v>4</v>
      </c>
      <c r="CI82" s="100">
        <v>2035.1999999999996</v>
      </c>
      <c r="CJ82" s="100">
        <v>5</v>
      </c>
      <c r="CK82" s="100">
        <v>2543.9999999999995</v>
      </c>
      <c r="CL82" s="100">
        <v>4.012545143684811</v>
      </c>
      <c r="CM82" s="100">
        <v>2041.5829691068313</v>
      </c>
      <c r="CN82" s="100">
        <v>1.2623079963753514</v>
      </c>
      <c r="CO82" s="100">
        <v>642.26230855577865</v>
      </c>
      <c r="CP82" s="100">
        <v>5.0538823685365539</v>
      </c>
      <c r="CQ82" s="100">
        <v>2571.415349111398</v>
      </c>
      <c r="CR82" s="100">
        <v>2.9594164398119318</v>
      </c>
      <c r="CS82" s="100">
        <v>1505.7510845763106</v>
      </c>
      <c r="CT82" s="100">
        <v>4.7026584750094003</v>
      </c>
      <c r="CU82" s="100">
        <v>2392.7126320847824</v>
      </c>
    </row>
    <row r="83" spans="2:99">
      <c r="C83" s="99" t="s">
        <v>249</v>
      </c>
      <c r="D83" s="100">
        <v>3.3361877488231939</v>
      </c>
      <c r="E83" s="100">
        <v>2870.4559390874761</v>
      </c>
      <c r="F83" s="100">
        <v>1.6669321167940547</v>
      </c>
      <c r="G83" s="100">
        <v>1434.2283932896046</v>
      </c>
      <c r="H83" s="100">
        <v>3.979109794222802</v>
      </c>
      <c r="I83" s="100">
        <v>3423.6260669492985</v>
      </c>
      <c r="J83" s="100">
        <v>4.6132864962546272</v>
      </c>
      <c r="K83" s="100">
        <v>3969.2717013774809</v>
      </c>
      <c r="L83" s="100">
        <v>3.8417627136335866</v>
      </c>
      <c r="M83" s="100">
        <v>3305.4526388103377</v>
      </c>
      <c r="N83" s="100">
        <v>3.3739441575689276E-4</v>
      </c>
      <c r="O83" s="100">
        <v>0.29029415531723052</v>
      </c>
      <c r="P83" s="100">
        <v>3.4809136923797985</v>
      </c>
      <c r="Q83" s="100">
        <v>2994.9781409235784</v>
      </c>
      <c r="R83" s="100">
        <v>3</v>
      </c>
      <c r="S83" s="100">
        <v>2581.1999999999998</v>
      </c>
      <c r="T83" s="100">
        <v>3.9352471362759296</v>
      </c>
      <c r="U83" s="100">
        <v>3385.8866360518095</v>
      </c>
      <c r="V83" s="100">
        <v>3.3160208262973381</v>
      </c>
      <c r="W83" s="100">
        <v>2853.1043189462298</v>
      </c>
      <c r="X83" s="100">
        <v>3.657370219236685</v>
      </c>
      <c r="Y83" s="100">
        <v>3146.8013366312439</v>
      </c>
      <c r="Z83" s="100">
        <v>3.7163482257695604</v>
      </c>
      <c r="AA83" s="100">
        <v>3197.5460134521295</v>
      </c>
      <c r="AB83" s="100">
        <v>2.4961643223337724</v>
      </c>
      <c r="AC83" s="100">
        <v>2147.6997829359775</v>
      </c>
      <c r="AD83" s="100">
        <v>3.8104509225888714</v>
      </c>
      <c r="AE83" s="100">
        <v>3278.5119737954647</v>
      </c>
      <c r="AF83" s="100">
        <v>2.9640147271370338</v>
      </c>
      <c r="AG83" s="100">
        <v>2550.238271228704</v>
      </c>
      <c r="AH83" s="100">
        <v>2.4500606747726827</v>
      </c>
      <c r="AI83" s="100">
        <v>2108.032204574416</v>
      </c>
      <c r="AJ83" s="100">
        <v>2.733663452031549</v>
      </c>
      <c r="AK83" s="100">
        <v>2352.0440341279445</v>
      </c>
      <c r="AL83" s="100">
        <v>5.6061747736705199</v>
      </c>
      <c r="AM83" s="100">
        <v>4823.5527752661155</v>
      </c>
      <c r="AN83" s="100">
        <v>2.7283656546438908</v>
      </c>
      <c r="AO83" s="100">
        <v>2347.4858092556037</v>
      </c>
      <c r="AP83" s="100">
        <v>4</v>
      </c>
      <c r="AQ83" s="100">
        <v>3441.6</v>
      </c>
      <c r="AR83" s="100">
        <v>4</v>
      </c>
      <c r="AS83" s="100">
        <v>3441.6</v>
      </c>
      <c r="AT83" s="100">
        <v>4</v>
      </c>
      <c r="AU83" s="100">
        <v>3441.6</v>
      </c>
      <c r="AV83" s="100">
        <v>6</v>
      </c>
      <c r="AW83" s="100">
        <v>5162.3999999999996</v>
      </c>
      <c r="AX83" s="100">
        <v>5.2400870104151345</v>
      </c>
      <c r="AY83" s="100">
        <v>4508.5708637611815</v>
      </c>
      <c r="AZ83" s="100">
        <v>3</v>
      </c>
      <c r="BA83" s="100">
        <v>2581.1999999999998</v>
      </c>
      <c r="BB83" s="100">
        <v>4.3043940810930916</v>
      </c>
      <c r="BC83" s="100">
        <v>3703.5006673724961</v>
      </c>
      <c r="BD83" s="100">
        <v>1.2138199536784582</v>
      </c>
      <c r="BE83" s="100">
        <v>1044.3706881449455</v>
      </c>
      <c r="BF83" s="100">
        <v>3</v>
      </c>
      <c r="BG83" s="100">
        <v>2581.1999999999998</v>
      </c>
      <c r="BH83" s="100">
        <v>5</v>
      </c>
      <c r="BI83" s="100">
        <v>4302</v>
      </c>
      <c r="BJ83" s="100">
        <v>6.4486758716869126</v>
      </c>
      <c r="BK83" s="100">
        <v>5548.4407199994193</v>
      </c>
      <c r="BL83" s="100">
        <v>3.0848158856161114</v>
      </c>
      <c r="BM83" s="100">
        <v>2654.1755879841021</v>
      </c>
      <c r="BN83" s="100">
        <v>2.6994493988698456</v>
      </c>
      <c r="BO83" s="100">
        <v>2322.6062627876149</v>
      </c>
      <c r="BP83" s="100">
        <v>4</v>
      </c>
      <c r="BQ83" s="100">
        <v>3441.6</v>
      </c>
      <c r="BR83" s="100">
        <v>4</v>
      </c>
      <c r="BS83" s="100">
        <v>3441.6</v>
      </c>
      <c r="BT83" s="100">
        <v>3</v>
      </c>
      <c r="BU83" s="100">
        <v>2581.1999999999998</v>
      </c>
      <c r="BV83" s="100">
        <v>5</v>
      </c>
      <c r="BW83" s="100">
        <v>4302</v>
      </c>
      <c r="BX83" s="100">
        <v>4</v>
      </c>
      <c r="BY83" s="100">
        <v>3441.6</v>
      </c>
      <c r="BZ83" s="100">
        <v>4.7828331400440351</v>
      </c>
      <c r="CA83" s="100">
        <v>4115.1496336938881</v>
      </c>
      <c r="CB83" s="100">
        <v>4.3520717495781049</v>
      </c>
      <c r="CC83" s="100">
        <v>3744.5225333370013</v>
      </c>
      <c r="CD83" s="100">
        <v>3</v>
      </c>
      <c r="CE83" s="100">
        <v>2581.1999999999998</v>
      </c>
      <c r="CF83" s="100">
        <v>4</v>
      </c>
      <c r="CG83" s="100">
        <v>3441.6</v>
      </c>
      <c r="CH83" s="100">
        <v>4</v>
      </c>
      <c r="CI83" s="100">
        <v>3441.6</v>
      </c>
      <c r="CJ83" s="100">
        <v>5</v>
      </c>
      <c r="CK83" s="100">
        <v>4302</v>
      </c>
      <c r="CL83" s="100">
        <v>4.012545143684811</v>
      </c>
      <c r="CM83" s="100">
        <v>3452.3938416264114</v>
      </c>
      <c r="CN83" s="100">
        <v>1.2623079963753514</v>
      </c>
      <c r="CO83" s="100">
        <v>1086.0898000813522</v>
      </c>
      <c r="CP83" s="100">
        <v>5.0169492383393735</v>
      </c>
      <c r="CQ83" s="100">
        <v>4316.5831246671969</v>
      </c>
      <c r="CR83" s="100">
        <v>2.5366426626959422</v>
      </c>
      <c r="CS83" s="100">
        <v>2182.5273469835888</v>
      </c>
      <c r="CT83" s="100">
        <v>5.7026584750094003</v>
      </c>
      <c r="CU83" s="100">
        <v>4906.5673518980875</v>
      </c>
    </row>
    <row r="84" spans="2:99">
      <c r="C84" s="99" t="s">
        <v>250</v>
      </c>
      <c r="D84" s="100">
        <v>3.7516893283764401</v>
      </c>
      <c r="E84" s="100">
        <v>2930.8197033276747</v>
      </c>
      <c r="F84" s="100">
        <v>1.6669321167940547</v>
      </c>
      <c r="G84" s="100">
        <v>1302.2073696395155</v>
      </c>
      <c r="H84" s="100">
        <v>3.979109794222802</v>
      </c>
      <c r="I84" s="100">
        <v>3108.4805712468528</v>
      </c>
      <c r="J84" s="100">
        <v>4.6132864962546272</v>
      </c>
      <c r="K84" s="100">
        <v>3603.8994108741144</v>
      </c>
      <c r="L84" s="100">
        <v>3.8166422248885965</v>
      </c>
      <c r="M84" s="100">
        <v>2981.5609060829715</v>
      </c>
      <c r="N84" s="100">
        <v>3.3739441575689276E-4</v>
      </c>
      <c r="O84" s="100">
        <v>0.26357251758928457</v>
      </c>
      <c r="P84" s="100">
        <v>3.4809136923797985</v>
      </c>
      <c r="Q84" s="100">
        <v>2719.2897764870982</v>
      </c>
      <c r="R84" s="100">
        <v>3</v>
      </c>
      <c r="S84" s="100">
        <v>2343.6</v>
      </c>
      <c r="T84" s="100">
        <v>3.9352471362759296</v>
      </c>
      <c r="U84" s="100">
        <v>3074.215062858756</v>
      </c>
      <c r="V84" s="100">
        <v>3.3160208262973381</v>
      </c>
      <c r="W84" s="100">
        <v>2590.4754695034803</v>
      </c>
      <c r="X84" s="100">
        <v>3.047808516030571</v>
      </c>
      <c r="Y84" s="100">
        <v>2380.9480127230818</v>
      </c>
      <c r="Z84" s="100">
        <v>3.7163482257695604</v>
      </c>
      <c r="AA84" s="100">
        <v>2903.2112339711803</v>
      </c>
      <c r="AB84" s="100">
        <v>2.4961643223337724</v>
      </c>
      <c r="AC84" s="100">
        <v>1950.0035686071428</v>
      </c>
      <c r="AD84" s="100">
        <v>3.8104509225888714</v>
      </c>
      <c r="AE84" s="100">
        <v>2976.7242607264261</v>
      </c>
      <c r="AF84" s="100">
        <v>3.8296614195230796</v>
      </c>
      <c r="AG84" s="100">
        <v>2991.7315009314293</v>
      </c>
      <c r="AH84" s="100">
        <v>2.9513173270494248</v>
      </c>
      <c r="AI84" s="100">
        <v>2305.5690958910104</v>
      </c>
      <c r="AJ84" s="100">
        <v>2.733663452031549</v>
      </c>
      <c r="AK84" s="100">
        <v>2135.5378887270458</v>
      </c>
      <c r="AL84" s="100">
        <v>5.6061747736705199</v>
      </c>
      <c r="AM84" s="100">
        <v>4379.54373319141</v>
      </c>
      <c r="AN84" s="100">
        <v>2.7283656546438908</v>
      </c>
      <c r="AO84" s="100">
        <v>2131.3992494078075</v>
      </c>
      <c r="AP84" s="100">
        <v>4</v>
      </c>
      <c r="AQ84" s="100">
        <v>3124.7999999999997</v>
      </c>
      <c r="AR84" s="100">
        <v>5</v>
      </c>
      <c r="AS84" s="100">
        <v>3905.9999999999995</v>
      </c>
      <c r="AT84" s="100">
        <v>3</v>
      </c>
      <c r="AU84" s="100">
        <v>2343.6</v>
      </c>
      <c r="AV84" s="100">
        <v>6</v>
      </c>
      <c r="AW84" s="100">
        <v>4687.2</v>
      </c>
      <c r="AX84" s="100">
        <v>6.1134348454843241</v>
      </c>
      <c r="AY84" s="100">
        <v>4775.815301292354</v>
      </c>
      <c r="AZ84" s="100">
        <v>3</v>
      </c>
      <c r="BA84" s="100">
        <v>2343.6</v>
      </c>
      <c r="BB84" s="100">
        <v>5.0922981372201583</v>
      </c>
      <c r="BC84" s="100">
        <v>3978.1033047963874</v>
      </c>
      <c r="BD84" s="100">
        <v>1.2138199536784582</v>
      </c>
      <c r="BE84" s="100">
        <v>948.23614781361141</v>
      </c>
      <c r="BF84" s="100">
        <v>3</v>
      </c>
      <c r="BG84" s="100">
        <v>2343.6</v>
      </c>
      <c r="BH84" s="100">
        <v>5</v>
      </c>
      <c r="BI84" s="100">
        <v>3905.9999999999995</v>
      </c>
      <c r="BJ84" s="100">
        <v>6.4078871560790116</v>
      </c>
      <c r="BK84" s="100">
        <v>5005.8414463289237</v>
      </c>
      <c r="BL84" s="100">
        <v>3.286537355500796</v>
      </c>
      <c r="BM84" s="100">
        <v>2567.4429821172216</v>
      </c>
      <c r="BN84" s="100">
        <v>2.1595595190958767</v>
      </c>
      <c r="BO84" s="100">
        <v>1687.0478963176988</v>
      </c>
      <c r="BP84" s="100">
        <v>4</v>
      </c>
      <c r="BQ84" s="100">
        <v>3124.7999999999997</v>
      </c>
      <c r="BR84" s="100">
        <v>4</v>
      </c>
      <c r="BS84" s="100">
        <v>3124.7999999999997</v>
      </c>
      <c r="BT84" s="100">
        <v>3</v>
      </c>
      <c r="BU84" s="100">
        <v>2343.6</v>
      </c>
      <c r="BV84" s="100">
        <v>6</v>
      </c>
      <c r="BW84" s="100">
        <v>4687.2</v>
      </c>
      <c r="BX84" s="100">
        <v>4</v>
      </c>
      <c r="BY84" s="100">
        <v>3124.7999999999997</v>
      </c>
      <c r="BZ84" s="100">
        <v>4.7828331400440351</v>
      </c>
      <c r="CA84" s="100">
        <v>3736.3492490024</v>
      </c>
      <c r="CB84" s="100">
        <v>4.3520717495781049</v>
      </c>
      <c r="CC84" s="100">
        <v>3399.8384507704154</v>
      </c>
      <c r="CD84" s="100">
        <v>3</v>
      </c>
      <c r="CE84" s="100">
        <v>2343.6</v>
      </c>
      <c r="CF84" s="100">
        <v>5</v>
      </c>
      <c r="CG84" s="100">
        <v>3905.9999999999995</v>
      </c>
      <c r="CH84" s="100">
        <v>4</v>
      </c>
      <c r="CI84" s="100">
        <v>3124.7999999999997</v>
      </c>
      <c r="CJ84" s="100">
        <v>5</v>
      </c>
      <c r="CK84" s="100">
        <v>3905.9999999999995</v>
      </c>
      <c r="CL84" s="100">
        <v>3.9815306265420345</v>
      </c>
      <c r="CM84" s="100">
        <v>3110.3717254546373</v>
      </c>
      <c r="CN84" s="100">
        <v>1.2623079963753514</v>
      </c>
      <c r="CO84" s="100">
        <v>986.11500676842445</v>
      </c>
      <c r="CP84" s="100">
        <v>5.961246077691758</v>
      </c>
      <c r="CQ84" s="100">
        <v>4656.925435892801</v>
      </c>
      <c r="CR84" s="100">
        <v>2.5366426626959422</v>
      </c>
      <c r="CS84" s="100">
        <v>1981.62524809807</v>
      </c>
      <c r="CT84" s="100">
        <v>4.7026584750094003</v>
      </c>
      <c r="CU84" s="100">
        <v>3673.7168006773431</v>
      </c>
    </row>
    <row r="85" spans="2:99">
      <c r="C85" s="99" t="s">
        <v>251</v>
      </c>
      <c r="D85" s="100">
        <v>3.3361877488231939</v>
      </c>
      <c r="E85" s="100">
        <v>500.42816232347911</v>
      </c>
      <c r="F85" s="100">
        <v>1.6669321167940547</v>
      </c>
      <c r="G85" s="100">
        <v>250.0398175191082</v>
      </c>
      <c r="H85" s="100">
        <v>3.979109794222802</v>
      </c>
      <c r="I85" s="100">
        <v>596.86646913342031</v>
      </c>
      <c r="J85" s="100">
        <v>4.6132864962546272</v>
      </c>
      <c r="K85" s="100">
        <v>691.9929744381941</v>
      </c>
      <c r="L85" s="100">
        <v>3.8417627136335866</v>
      </c>
      <c r="M85" s="100">
        <v>576.26440704503796</v>
      </c>
      <c r="N85" s="100">
        <v>3.3739441575689276E-4</v>
      </c>
      <c r="O85" s="100">
        <v>5.0609162363533911E-2</v>
      </c>
      <c r="P85" s="100">
        <v>3.4809136923797985</v>
      </c>
      <c r="Q85" s="100">
        <v>522.13705385696983</v>
      </c>
      <c r="R85" s="100">
        <v>3</v>
      </c>
      <c r="S85" s="100">
        <v>450</v>
      </c>
      <c r="T85" s="100">
        <v>3.9352471362759296</v>
      </c>
      <c r="U85" s="100">
        <v>590.28707044138946</v>
      </c>
      <c r="V85" s="100">
        <v>4.2106790415716491</v>
      </c>
      <c r="W85" s="100">
        <v>631.60185623574739</v>
      </c>
      <c r="X85" s="100">
        <v>3.657370219236685</v>
      </c>
      <c r="Y85" s="100">
        <v>548.60553288550273</v>
      </c>
      <c r="Z85" s="100">
        <v>3.7163482257695604</v>
      </c>
      <c r="AA85" s="100">
        <v>557.4522338654341</v>
      </c>
      <c r="AB85" s="100">
        <v>2.4961643223337724</v>
      </c>
      <c r="AC85" s="100">
        <v>374.42464835006587</v>
      </c>
      <c r="AD85" s="100">
        <v>3.8104509225888714</v>
      </c>
      <c r="AE85" s="100">
        <v>571.56763838833069</v>
      </c>
      <c r="AF85" s="100">
        <v>3.8296614195230796</v>
      </c>
      <c r="AG85" s="100">
        <v>574.44921292846198</v>
      </c>
      <c r="AH85" s="100">
        <v>2.4500606747726827</v>
      </c>
      <c r="AI85" s="100">
        <v>367.50910121590243</v>
      </c>
      <c r="AJ85" s="100">
        <v>2.733663452031549</v>
      </c>
      <c r="AK85" s="100">
        <v>410.04951780473237</v>
      </c>
      <c r="AL85" s="100">
        <v>5.6061747736705199</v>
      </c>
      <c r="AM85" s="100">
        <v>840.92621605057798</v>
      </c>
      <c r="AN85" s="100">
        <v>2.7283656546438908</v>
      </c>
      <c r="AO85" s="100">
        <v>409.25484819658362</v>
      </c>
      <c r="AP85" s="100">
        <v>5</v>
      </c>
      <c r="AQ85" s="100">
        <v>750</v>
      </c>
      <c r="AR85" s="100">
        <v>5</v>
      </c>
      <c r="AS85" s="100">
        <v>750</v>
      </c>
      <c r="AT85" s="100">
        <v>4</v>
      </c>
      <c r="AU85" s="100">
        <v>600</v>
      </c>
      <c r="AV85" s="100">
        <v>6</v>
      </c>
      <c r="AW85" s="100">
        <v>900</v>
      </c>
      <c r="AX85" s="100">
        <v>5.2400870104151345</v>
      </c>
      <c r="AY85" s="100">
        <v>786.01305156227022</v>
      </c>
      <c r="AZ85" s="100">
        <v>3</v>
      </c>
      <c r="BA85" s="100">
        <v>450</v>
      </c>
      <c r="BB85" s="100">
        <v>5.1531104372964522</v>
      </c>
      <c r="BC85" s="100">
        <v>772.96656559446785</v>
      </c>
      <c r="BD85" s="100">
        <v>1.2138199536784582</v>
      </c>
      <c r="BE85" s="100">
        <v>182.07299305176872</v>
      </c>
      <c r="BF85" s="100">
        <v>3</v>
      </c>
      <c r="BG85" s="100">
        <v>450</v>
      </c>
      <c r="BH85" s="100">
        <v>5</v>
      </c>
      <c r="BI85" s="100">
        <v>750</v>
      </c>
      <c r="BJ85" s="100">
        <v>6.4894645872948136</v>
      </c>
      <c r="BK85" s="100">
        <v>973.41968809422201</v>
      </c>
      <c r="BL85" s="100">
        <v>3.286537355500796</v>
      </c>
      <c r="BM85" s="100">
        <v>492.98060332511938</v>
      </c>
      <c r="BN85" s="100">
        <v>2.6994493988698456</v>
      </c>
      <c r="BO85" s="100">
        <v>404.91740983047686</v>
      </c>
      <c r="BP85" s="100">
        <v>4</v>
      </c>
      <c r="BQ85" s="100">
        <v>600</v>
      </c>
      <c r="BR85" s="100">
        <v>4</v>
      </c>
      <c r="BS85" s="100">
        <v>600</v>
      </c>
      <c r="BT85" s="100">
        <v>3</v>
      </c>
      <c r="BU85" s="100">
        <v>450</v>
      </c>
      <c r="BV85" s="100">
        <v>6</v>
      </c>
      <c r="BW85" s="100">
        <v>900</v>
      </c>
      <c r="BX85" s="100">
        <v>4</v>
      </c>
      <c r="BY85" s="100">
        <v>600</v>
      </c>
      <c r="BZ85" s="100">
        <v>4.7339060687912831</v>
      </c>
      <c r="CA85" s="100">
        <v>710.08591031869241</v>
      </c>
      <c r="CB85" s="100">
        <v>4.3520717495781049</v>
      </c>
      <c r="CC85" s="100">
        <v>652.81076243671578</v>
      </c>
      <c r="CD85" s="100">
        <v>4</v>
      </c>
      <c r="CE85" s="100">
        <v>600</v>
      </c>
      <c r="CF85" s="100">
        <v>5</v>
      </c>
      <c r="CG85" s="100">
        <v>750</v>
      </c>
      <c r="CH85" s="100">
        <v>5</v>
      </c>
      <c r="CI85" s="100">
        <v>750</v>
      </c>
      <c r="CJ85" s="100">
        <v>5</v>
      </c>
      <c r="CK85" s="100">
        <v>750</v>
      </c>
      <c r="CL85" s="100">
        <v>4.8683624731778234</v>
      </c>
      <c r="CM85" s="100">
        <v>730.2543709766735</v>
      </c>
      <c r="CN85" s="100">
        <v>1.5778849954691891</v>
      </c>
      <c r="CO85" s="100">
        <v>236.68274932037838</v>
      </c>
      <c r="CP85" s="100">
        <v>5.9981792078889384</v>
      </c>
      <c r="CQ85" s="100">
        <v>899.72688118334077</v>
      </c>
      <c r="CR85" s="100">
        <v>2.5366426626959422</v>
      </c>
      <c r="CS85" s="100">
        <v>380.49639940439135</v>
      </c>
      <c r="CT85" s="100">
        <v>5.7495023733433595</v>
      </c>
      <c r="CU85" s="100">
        <v>862.42535600150393</v>
      </c>
    </row>
    <row r="86" spans="2:99">
      <c r="C86" s="99" t="s">
        <v>252</v>
      </c>
      <c r="D86" s="100">
        <v>4.6272864235375639</v>
      </c>
      <c r="E86" s="100">
        <v>2498.7346687102845</v>
      </c>
      <c r="F86" s="100">
        <v>1.6669321167940547</v>
      </c>
      <c r="G86" s="100">
        <v>900.14334306878959</v>
      </c>
      <c r="H86" s="100">
        <v>3.979109794222802</v>
      </c>
      <c r="I86" s="100">
        <v>2148.7192888803129</v>
      </c>
      <c r="J86" s="100">
        <v>4.6132864962546272</v>
      </c>
      <c r="K86" s="100">
        <v>2491.1747079774987</v>
      </c>
      <c r="L86" s="100">
        <v>3.8417627136335866</v>
      </c>
      <c r="M86" s="100">
        <v>2074.5518653621366</v>
      </c>
      <c r="N86" s="100">
        <v>4.0487329890827127E-4</v>
      </c>
      <c r="O86" s="100">
        <v>0.21863158141046649</v>
      </c>
      <c r="P86" s="100">
        <v>3.4809136923797985</v>
      </c>
      <c r="Q86" s="100">
        <v>1879.6933938850912</v>
      </c>
      <c r="R86" s="100">
        <v>3</v>
      </c>
      <c r="S86" s="100">
        <v>1620</v>
      </c>
      <c r="T86" s="100">
        <v>3.9352471362759296</v>
      </c>
      <c r="U86" s="100">
        <v>2125.033453589002</v>
      </c>
      <c r="V86" s="100">
        <v>3.5474748763121813</v>
      </c>
      <c r="W86" s="100">
        <v>1915.636433208578</v>
      </c>
      <c r="X86" s="100">
        <v>3.047808516030571</v>
      </c>
      <c r="Y86" s="100">
        <v>1645.8165986565084</v>
      </c>
      <c r="Z86" s="100">
        <v>4.4596178709234726</v>
      </c>
      <c r="AA86" s="100">
        <v>2408.193650298675</v>
      </c>
      <c r="AB86" s="100">
        <v>2.9953971868005267</v>
      </c>
      <c r="AC86" s="100">
        <v>1617.5144808722844</v>
      </c>
      <c r="AD86" s="100">
        <v>3.8104509225888714</v>
      </c>
      <c r="AE86" s="100">
        <v>2057.6434981979905</v>
      </c>
      <c r="AF86" s="100">
        <v>3.4625867695441821</v>
      </c>
      <c r="AG86" s="100">
        <v>1869.7968555538582</v>
      </c>
      <c r="AH86" s="100">
        <v>2.9251388525985007</v>
      </c>
      <c r="AI86" s="100">
        <v>1579.5749804031905</v>
      </c>
      <c r="AJ86" s="100">
        <v>2.733663452031549</v>
      </c>
      <c r="AK86" s="100">
        <v>1476.1782640970364</v>
      </c>
      <c r="AL86" s="100">
        <v>5.6061747736705199</v>
      </c>
      <c r="AM86" s="100">
        <v>3027.3343777820805</v>
      </c>
      <c r="AN86" s="100">
        <v>2.1826925237151129</v>
      </c>
      <c r="AO86" s="100">
        <v>1178.653962806161</v>
      </c>
      <c r="AP86" s="100">
        <v>5</v>
      </c>
      <c r="AQ86" s="100">
        <v>2700</v>
      </c>
      <c r="AR86" s="100">
        <v>5</v>
      </c>
      <c r="AS86" s="100">
        <v>2700</v>
      </c>
      <c r="AT86" s="100">
        <v>3</v>
      </c>
      <c r="AU86" s="100">
        <v>1620</v>
      </c>
      <c r="AV86" s="100">
        <v>6</v>
      </c>
      <c r="AW86" s="100">
        <v>3240</v>
      </c>
      <c r="AX86" s="100">
        <v>5.2400870104151345</v>
      </c>
      <c r="AY86" s="100">
        <v>2829.6469856241724</v>
      </c>
      <c r="AZ86" s="100">
        <v>3</v>
      </c>
      <c r="BA86" s="100">
        <v>1620</v>
      </c>
      <c r="BB86" s="100">
        <v>4.3043940810930916</v>
      </c>
      <c r="BC86" s="100">
        <v>2324.3728037902697</v>
      </c>
      <c r="BD86" s="100">
        <v>1.2138199536784582</v>
      </c>
      <c r="BE86" s="100">
        <v>655.46277498636744</v>
      </c>
      <c r="BF86" s="100">
        <v>3</v>
      </c>
      <c r="BG86" s="100">
        <v>1620</v>
      </c>
      <c r="BH86" s="100">
        <v>5</v>
      </c>
      <c r="BI86" s="100">
        <v>2700</v>
      </c>
      <c r="BJ86" s="100">
        <v>5.4078871560790116</v>
      </c>
      <c r="BK86" s="100">
        <v>2920.2590642826663</v>
      </c>
      <c r="BL86" s="100">
        <v>3.286537355500796</v>
      </c>
      <c r="BM86" s="100">
        <v>1774.7301719704299</v>
      </c>
      <c r="BN86" s="100">
        <v>2.6994493988698456</v>
      </c>
      <c r="BO86" s="100">
        <v>1457.7026753897167</v>
      </c>
      <c r="BP86" s="100">
        <v>4</v>
      </c>
      <c r="BQ86" s="100">
        <v>2160</v>
      </c>
      <c r="BR86" s="100">
        <v>4</v>
      </c>
      <c r="BS86" s="100">
        <v>2160</v>
      </c>
      <c r="BT86" s="100">
        <v>3</v>
      </c>
      <c r="BU86" s="100">
        <v>1620</v>
      </c>
      <c r="BV86" s="100">
        <v>5</v>
      </c>
      <c r="BW86" s="100">
        <v>2700</v>
      </c>
      <c r="BX86" s="100">
        <v>4</v>
      </c>
      <c r="BY86" s="100">
        <v>2160</v>
      </c>
      <c r="BZ86" s="100">
        <v>4.684978997538531</v>
      </c>
      <c r="CA86" s="100">
        <v>2529.8886586708068</v>
      </c>
      <c r="CB86" s="100">
        <v>4.3520717495781049</v>
      </c>
      <c r="CC86" s="100">
        <v>2350.1187447721768</v>
      </c>
      <c r="CD86" s="100">
        <v>3</v>
      </c>
      <c r="CE86" s="100">
        <v>1620</v>
      </c>
      <c r="CF86" s="100">
        <v>5</v>
      </c>
      <c r="CG86" s="100">
        <v>2700</v>
      </c>
      <c r="CH86" s="100">
        <v>4</v>
      </c>
      <c r="CI86" s="100">
        <v>2160</v>
      </c>
      <c r="CJ86" s="100">
        <v>5</v>
      </c>
      <c r="CK86" s="100">
        <v>2700</v>
      </c>
      <c r="CL86" s="100">
        <v>3.9815306265420345</v>
      </c>
      <c r="CM86" s="100">
        <v>2150.0265383326987</v>
      </c>
      <c r="CN86" s="100">
        <v>1.2623079963753514</v>
      </c>
      <c r="CO86" s="100">
        <v>681.64631804268981</v>
      </c>
      <c r="CP86" s="100">
        <v>5.9981792078889384</v>
      </c>
      <c r="CQ86" s="100">
        <v>3239.0167722600268</v>
      </c>
      <c r="CR86" s="100">
        <v>2.9594164398119318</v>
      </c>
      <c r="CS86" s="100">
        <v>1598.0848774984431</v>
      </c>
      <c r="CT86" s="100">
        <v>5.6558145766754402</v>
      </c>
      <c r="CU86" s="100">
        <v>3054.1398714047377</v>
      </c>
    </row>
    <row r="87" spans="2:99">
      <c r="B87" s="99" t="s">
        <v>131</v>
      </c>
      <c r="C87" s="99" t="s">
        <v>253</v>
      </c>
      <c r="D87" s="100">
        <v>3.6917361779760727</v>
      </c>
      <c r="E87" s="100">
        <v>3964.924655146302</v>
      </c>
      <c r="F87" s="100">
        <v>2.8757160746345027</v>
      </c>
      <c r="G87" s="100">
        <v>3088.5190641574559</v>
      </c>
      <c r="H87" s="100">
        <v>2.1670057675382135</v>
      </c>
      <c r="I87" s="100">
        <v>2327.3641943360412</v>
      </c>
      <c r="J87" s="100">
        <v>2.4976002353996938</v>
      </c>
      <c r="K87" s="100">
        <v>2682.4226528192712</v>
      </c>
      <c r="L87" s="100">
        <v>2.1075373763163054</v>
      </c>
      <c r="M87" s="100">
        <v>2263.495142163712</v>
      </c>
      <c r="N87" s="100">
        <v>1.4657332568921555</v>
      </c>
      <c r="O87" s="100">
        <v>1574.1975179021749</v>
      </c>
      <c r="P87" s="100">
        <v>2.587349597360983</v>
      </c>
      <c r="Q87" s="100">
        <v>2778.8134675656956</v>
      </c>
      <c r="R87" s="100">
        <v>2.2239174148547387</v>
      </c>
      <c r="S87" s="100">
        <v>2388.4873035539895</v>
      </c>
      <c r="T87" s="100">
        <v>2.5316828341645228</v>
      </c>
      <c r="U87" s="100">
        <v>2719.0273638926974</v>
      </c>
      <c r="V87" s="100">
        <v>3.0254645420923518</v>
      </c>
      <c r="W87" s="100">
        <v>3249.3489182071858</v>
      </c>
      <c r="X87" s="100">
        <v>1.8457659913750761</v>
      </c>
      <c r="Y87" s="100">
        <v>1982.3526747368317</v>
      </c>
      <c r="Z87" s="100">
        <v>1.5105770599478456</v>
      </c>
      <c r="AA87" s="100">
        <v>1622.3597623839862</v>
      </c>
      <c r="AB87" s="100">
        <v>1.4531213021391363</v>
      </c>
      <c r="AC87" s="100">
        <v>1560.6522784974322</v>
      </c>
      <c r="AD87" s="100">
        <v>2.9009128189049229</v>
      </c>
      <c r="AE87" s="100">
        <v>3115.5803675038874</v>
      </c>
      <c r="AF87" s="100">
        <v>3.1443949919379759</v>
      </c>
      <c r="AG87" s="100">
        <v>3377.0802213413863</v>
      </c>
      <c r="AH87" s="100">
        <v>3.2657037280539098</v>
      </c>
      <c r="AI87" s="100">
        <v>3507.3658039298994</v>
      </c>
      <c r="AJ87" s="100">
        <v>0.26889182080751506</v>
      </c>
      <c r="AK87" s="100">
        <v>288.78981554727119</v>
      </c>
      <c r="AL87" s="100">
        <v>5</v>
      </c>
      <c r="AM87" s="100">
        <v>5370</v>
      </c>
      <c r="AN87" s="100">
        <v>6.0551740548582771</v>
      </c>
      <c r="AO87" s="100">
        <v>6503.2569349177893</v>
      </c>
      <c r="AP87" s="100">
        <v>3.1407627552738462</v>
      </c>
      <c r="AQ87" s="100">
        <v>3373.1791991641107</v>
      </c>
      <c r="AR87" s="100">
        <v>3.0063498365652386</v>
      </c>
      <c r="AS87" s="100">
        <v>3228.8197244710664</v>
      </c>
      <c r="AT87" s="100">
        <v>2.3320196602344234</v>
      </c>
      <c r="AU87" s="100">
        <v>2504.589115091771</v>
      </c>
      <c r="AV87" s="100">
        <v>0.29784940150986289</v>
      </c>
      <c r="AW87" s="100">
        <v>319.89025722159272</v>
      </c>
      <c r="AX87" s="100">
        <v>6.3485647353145245</v>
      </c>
      <c r="AY87" s="100">
        <v>6818.3585257277991</v>
      </c>
      <c r="AZ87" s="100">
        <v>2.2834693093044023</v>
      </c>
      <c r="BA87" s="100">
        <v>2452.446038192928</v>
      </c>
      <c r="BB87" s="100">
        <v>2.8489926825852399</v>
      </c>
      <c r="BC87" s="100">
        <v>3059.8181410965476</v>
      </c>
      <c r="BD87" s="100">
        <v>6</v>
      </c>
      <c r="BE87" s="100">
        <v>6444</v>
      </c>
      <c r="BF87" s="100">
        <v>2.7767040115108443</v>
      </c>
      <c r="BG87" s="100">
        <v>2982.1801083626469</v>
      </c>
      <c r="BH87" s="100">
        <v>3.1967523830817108</v>
      </c>
      <c r="BI87" s="100">
        <v>3433.3120594297575</v>
      </c>
      <c r="BJ87" s="100">
        <v>2.815356604091535</v>
      </c>
      <c r="BK87" s="100">
        <v>3023.6929927943088</v>
      </c>
      <c r="BL87" s="100">
        <v>0.3020742157156765</v>
      </c>
      <c r="BM87" s="100">
        <v>324.42770767863658</v>
      </c>
      <c r="BN87" s="100">
        <v>6</v>
      </c>
      <c r="BO87" s="100">
        <v>6444</v>
      </c>
      <c r="BP87" s="100">
        <v>5</v>
      </c>
      <c r="BQ87" s="100">
        <v>5370</v>
      </c>
      <c r="BR87" s="100">
        <v>4.7627293579134484</v>
      </c>
      <c r="BS87" s="100">
        <v>5115.1713303990437</v>
      </c>
      <c r="BT87" s="100">
        <v>2.9940559743592563</v>
      </c>
      <c r="BU87" s="100">
        <v>3215.6161164618411</v>
      </c>
      <c r="BV87" s="100">
        <v>3.0222404273168868</v>
      </c>
      <c r="BW87" s="100">
        <v>3245.8862189383362</v>
      </c>
      <c r="BX87" s="100">
        <v>4.2772175075114127</v>
      </c>
      <c r="BY87" s="100">
        <v>4593.7316030672573</v>
      </c>
      <c r="BZ87" s="100">
        <v>3.5366128414500588</v>
      </c>
      <c r="CA87" s="100">
        <v>3798.3221917173632</v>
      </c>
      <c r="CB87" s="100">
        <v>2.7420639471880022</v>
      </c>
      <c r="CC87" s="100">
        <v>2944.9766792799142</v>
      </c>
      <c r="CD87" s="100">
        <v>2.8727342882734499</v>
      </c>
      <c r="CE87" s="100">
        <v>3085.3166256056852</v>
      </c>
      <c r="CF87" s="100">
        <v>3.8444466661142877E-4</v>
      </c>
      <c r="CG87" s="100">
        <v>0.4128935719406745</v>
      </c>
      <c r="CH87" s="100">
        <v>2.8226421021394836</v>
      </c>
      <c r="CI87" s="100">
        <v>3031.5176176978052</v>
      </c>
      <c r="CJ87" s="100">
        <v>2.8145530444186835</v>
      </c>
      <c r="CK87" s="100">
        <v>3022.8299697056659</v>
      </c>
      <c r="CL87" s="100">
        <v>4.1254225844825916</v>
      </c>
      <c r="CM87" s="100">
        <v>4430.703855734303</v>
      </c>
      <c r="CN87" s="100">
        <v>0.28623968021445151</v>
      </c>
      <c r="CO87" s="100">
        <v>307.42141655032094</v>
      </c>
      <c r="CP87" s="100">
        <v>5</v>
      </c>
      <c r="CQ87" s="100">
        <v>5370</v>
      </c>
      <c r="CR87" s="100">
        <v>5.0833826784424705</v>
      </c>
      <c r="CS87" s="100">
        <v>5459.5529966472131</v>
      </c>
      <c r="CT87" s="100">
        <v>4.0575830824332977</v>
      </c>
      <c r="CU87" s="100">
        <v>4357.844230533362</v>
      </c>
    </row>
    <row r="88" spans="2:99">
      <c r="C88" s="99" t="s">
        <v>254</v>
      </c>
      <c r="D88" s="100">
        <v>4.4247051450617727</v>
      </c>
      <c r="E88" s="100">
        <v>4391.0773859593028</v>
      </c>
      <c r="F88" s="100">
        <v>2.9019849548887198</v>
      </c>
      <c r="G88" s="100">
        <v>2879.9298692315656</v>
      </c>
      <c r="H88" s="100">
        <v>2.6796206562265641</v>
      </c>
      <c r="I88" s="100">
        <v>2659.2555392392424</v>
      </c>
      <c r="J88" s="100">
        <v>2.4976002353996938</v>
      </c>
      <c r="K88" s="100">
        <v>2478.6184736106561</v>
      </c>
      <c r="L88" s="100">
        <v>2.1075373763163054</v>
      </c>
      <c r="M88" s="100">
        <v>2091.5200922563013</v>
      </c>
      <c r="N88" s="100">
        <v>1.4657332568921555</v>
      </c>
      <c r="O88" s="100">
        <v>1454.5936841397752</v>
      </c>
      <c r="P88" s="100">
        <v>2.587349597360983</v>
      </c>
      <c r="Q88" s="100">
        <v>2567.6857404210396</v>
      </c>
      <c r="R88" s="100">
        <v>2.2483245634410638</v>
      </c>
      <c r="S88" s="100">
        <v>2231.2372967589117</v>
      </c>
      <c r="T88" s="100">
        <v>2.5514963507338737</v>
      </c>
      <c r="U88" s="100">
        <v>2532.1049784682964</v>
      </c>
      <c r="V88" s="100">
        <v>3.0254645420923518</v>
      </c>
      <c r="W88" s="100">
        <v>3002.4710115724497</v>
      </c>
      <c r="X88" s="100">
        <v>2.3909069780626004</v>
      </c>
      <c r="Y88" s="100">
        <v>2372.7360850293248</v>
      </c>
      <c r="Z88" s="100">
        <v>1.7930237412994339</v>
      </c>
      <c r="AA88" s="100">
        <v>1779.3967608655582</v>
      </c>
      <c r="AB88" s="100">
        <v>1.8164016276739201</v>
      </c>
      <c r="AC88" s="100">
        <v>1802.5969753035984</v>
      </c>
      <c r="AD88" s="100">
        <v>2.9009128189049229</v>
      </c>
      <c r="AE88" s="100">
        <v>2878.8658814812457</v>
      </c>
      <c r="AF88" s="100">
        <v>3.1443949919379759</v>
      </c>
      <c r="AG88" s="100">
        <v>3120.4975899992473</v>
      </c>
      <c r="AH88" s="100">
        <v>3.2752771905303004</v>
      </c>
      <c r="AI88" s="100">
        <v>3250.38508388227</v>
      </c>
      <c r="AJ88" s="100">
        <v>0.26889182080751506</v>
      </c>
      <c r="AK88" s="100">
        <v>266.84824296937796</v>
      </c>
      <c r="AL88" s="100">
        <v>5</v>
      </c>
      <c r="AM88" s="100">
        <v>4962</v>
      </c>
      <c r="AN88" s="100">
        <v>5.1901491898785226</v>
      </c>
      <c r="AO88" s="100">
        <v>5150.7040560354453</v>
      </c>
      <c r="AP88" s="100">
        <v>3.9259534440923081</v>
      </c>
      <c r="AQ88" s="100">
        <v>3896.1161979172066</v>
      </c>
      <c r="AR88" s="100">
        <v>3.0063498365652386</v>
      </c>
      <c r="AS88" s="100">
        <v>2983.5015778073425</v>
      </c>
      <c r="AT88" s="100">
        <v>2.353002249760157</v>
      </c>
      <c r="AU88" s="100">
        <v>2335.1194326619798</v>
      </c>
      <c r="AV88" s="100">
        <v>0.29784940150986289</v>
      </c>
      <c r="AW88" s="100">
        <v>295.58574605838794</v>
      </c>
      <c r="AX88" s="100">
        <v>5.3485647353145245</v>
      </c>
      <c r="AY88" s="100">
        <v>5307.9156433261342</v>
      </c>
      <c r="AZ88" s="100">
        <v>2.3009333676138382</v>
      </c>
      <c r="BA88" s="100">
        <v>2283.4462740199729</v>
      </c>
      <c r="BB88" s="100">
        <v>2.8489926825852399</v>
      </c>
      <c r="BC88" s="100">
        <v>2827.3403381975918</v>
      </c>
      <c r="BD88" s="100">
        <v>5</v>
      </c>
      <c r="BE88" s="100">
        <v>4962</v>
      </c>
      <c r="BF88" s="100">
        <v>3.4708800143885554</v>
      </c>
      <c r="BG88" s="100">
        <v>3444.5013262792022</v>
      </c>
      <c r="BH88" s="100">
        <v>3.7105444497407727</v>
      </c>
      <c r="BI88" s="100">
        <v>3682.3443119227427</v>
      </c>
      <c r="BJ88" s="100">
        <v>2.8080630969006415</v>
      </c>
      <c r="BK88" s="100">
        <v>2786.7218173641963</v>
      </c>
      <c r="BL88" s="100">
        <v>0.3020742157156765</v>
      </c>
      <c r="BM88" s="100">
        <v>299.77845167623735</v>
      </c>
      <c r="BN88" s="100">
        <v>6</v>
      </c>
      <c r="BO88" s="100">
        <v>5954.4</v>
      </c>
      <c r="BP88" s="100">
        <v>5</v>
      </c>
      <c r="BQ88" s="100">
        <v>4962</v>
      </c>
      <c r="BR88" s="100">
        <v>4.7627293579134484</v>
      </c>
      <c r="BS88" s="100">
        <v>4726.5326147933065</v>
      </c>
      <c r="BT88" s="100">
        <v>3.4834243109941165</v>
      </c>
      <c r="BU88" s="100">
        <v>3456.9502862305612</v>
      </c>
      <c r="BV88" s="100">
        <v>2.9979950560381852</v>
      </c>
      <c r="BW88" s="100">
        <v>2975.2102936122951</v>
      </c>
      <c r="BX88" s="100">
        <v>3.5654847212118583</v>
      </c>
      <c r="BY88" s="100">
        <v>3538.3870373306481</v>
      </c>
      <c r="BZ88" s="100">
        <v>3.5143683834360946</v>
      </c>
      <c r="CA88" s="100">
        <v>3487.6591837219803</v>
      </c>
      <c r="CB88" s="100">
        <v>2.7420639471880022</v>
      </c>
      <c r="CC88" s="100">
        <v>2721.2242611893735</v>
      </c>
      <c r="CD88" s="100">
        <v>2.8727342882734499</v>
      </c>
      <c r="CE88" s="100">
        <v>2850.9015076825717</v>
      </c>
      <c r="CF88" s="100">
        <v>3.295239999526532E-4</v>
      </c>
      <c r="CG88" s="100">
        <v>0.32701961755301301</v>
      </c>
      <c r="CH88" s="100">
        <v>2.8485220338673378</v>
      </c>
      <c r="CI88" s="100">
        <v>2826.8732664099462</v>
      </c>
      <c r="CJ88" s="100">
        <v>3.2836452184884637</v>
      </c>
      <c r="CK88" s="100">
        <v>3258.6895148279514</v>
      </c>
      <c r="CL88" s="100">
        <v>3.4620581694103651</v>
      </c>
      <c r="CM88" s="100">
        <v>3435.7465273228463</v>
      </c>
      <c r="CN88" s="100">
        <v>0.34348761625734181</v>
      </c>
      <c r="CO88" s="100">
        <v>340.87711037378602</v>
      </c>
      <c r="CP88" s="100">
        <v>6</v>
      </c>
      <c r="CQ88" s="100">
        <v>5954.4</v>
      </c>
      <c r="CR88" s="100">
        <v>5.0833826784424705</v>
      </c>
      <c r="CS88" s="100">
        <v>5044.748970086308</v>
      </c>
      <c r="CT88" s="100">
        <v>3.4779283563713972</v>
      </c>
      <c r="CU88" s="100">
        <v>3451.4961008629743</v>
      </c>
    </row>
    <row r="89" spans="2:99">
      <c r="C89" s="99" t="s">
        <v>255</v>
      </c>
      <c r="D89" s="100">
        <v>3.6917361779760727</v>
      </c>
      <c r="E89" s="100">
        <v>3920.6238210105894</v>
      </c>
      <c r="F89" s="100">
        <v>2.9019849548887198</v>
      </c>
      <c r="G89" s="100">
        <v>3081.9080220918204</v>
      </c>
      <c r="H89" s="100">
        <v>2.1670057675382135</v>
      </c>
      <c r="I89" s="100">
        <v>2301.3601251255827</v>
      </c>
      <c r="J89" s="100">
        <v>2.4976002353996938</v>
      </c>
      <c r="K89" s="100">
        <v>2652.4514499944748</v>
      </c>
      <c r="L89" s="100">
        <v>2.1075373763163054</v>
      </c>
      <c r="M89" s="100">
        <v>2238.2046936479164</v>
      </c>
      <c r="N89" s="100">
        <v>1.2281127159593053</v>
      </c>
      <c r="O89" s="100">
        <v>1304.2557043487823</v>
      </c>
      <c r="P89" s="100">
        <v>1.8240461472471301</v>
      </c>
      <c r="Q89" s="100">
        <v>1937.1370083764521</v>
      </c>
      <c r="R89" s="100">
        <v>2.2239174148547387</v>
      </c>
      <c r="S89" s="100">
        <v>2361.8002945757326</v>
      </c>
      <c r="T89" s="100">
        <v>2.5316828341645228</v>
      </c>
      <c r="U89" s="100">
        <v>2688.6471698827231</v>
      </c>
      <c r="V89" s="100">
        <v>3.0254645420923518</v>
      </c>
      <c r="W89" s="100">
        <v>3213.0433437020774</v>
      </c>
      <c r="X89" s="100">
        <v>1.8457659913750761</v>
      </c>
      <c r="Y89" s="100">
        <v>1960.2034828403309</v>
      </c>
      <c r="Z89" s="100">
        <v>1.8070728346122773</v>
      </c>
      <c r="AA89" s="100">
        <v>1919.1113503582385</v>
      </c>
      <c r="AB89" s="100">
        <v>1.546806599311904</v>
      </c>
      <c r="AC89" s="100">
        <v>1642.7086084692421</v>
      </c>
      <c r="AD89" s="100">
        <v>2.9009128189049229</v>
      </c>
      <c r="AE89" s="100">
        <v>3080.7694136770283</v>
      </c>
      <c r="AF89" s="100">
        <v>3.1443949919379759</v>
      </c>
      <c r="AG89" s="100">
        <v>3339.3474814381302</v>
      </c>
      <c r="AH89" s="100">
        <v>3.2752771905303004</v>
      </c>
      <c r="AI89" s="100">
        <v>3478.3443763431792</v>
      </c>
      <c r="AJ89" s="100">
        <v>0.26889182080751506</v>
      </c>
      <c r="AK89" s="100">
        <v>285.563113697581</v>
      </c>
      <c r="AL89" s="100">
        <v>5</v>
      </c>
      <c r="AM89" s="100">
        <v>5310</v>
      </c>
      <c r="AN89" s="100">
        <v>5.1901491898785226</v>
      </c>
      <c r="AO89" s="100">
        <v>5511.9384396509913</v>
      </c>
      <c r="AP89" s="100">
        <v>3.9259534440923081</v>
      </c>
      <c r="AQ89" s="100">
        <v>4169.362557626031</v>
      </c>
      <c r="AR89" s="100">
        <v>3.5074081426594454</v>
      </c>
      <c r="AS89" s="100">
        <v>3724.8674475043313</v>
      </c>
      <c r="AT89" s="100">
        <v>2.3320196602344234</v>
      </c>
      <c r="AU89" s="100">
        <v>2476.6048791689577</v>
      </c>
      <c r="AV89" s="100">
        <v>0.29784940150986289</v>
      </c>
      <c r="AW89" s="100">
        <v>316.3160644034744</v>
      </c>
      <c r="AX89" s="100">
        <v>6.3485647353145245</v>
      </c>
      <c r="AY89" s="100">
        <v>6742.1757489040247</v>
      </c>
      <c r="AZ89" s="100">
        <v>2.2834693093044023</v>
      </c>
      <c r="BA89" s="100">
        <v>2425.044406481275</v>
      </c>
      <c r="BB89" s="100">
        <v>2.1367445119389297</v>
      </c>
      <c r="BC89" s="100">
        <v>2269.2226716791433</v>
      </c>
      <c r="BD89" s="100">
        <v>6</v>
      </c>
      <c r="BE89" s="100">
        <v>6372</v>
      </c>
      <c r="BF89" s="100">
        <v>3.4708800143885554</v>
      </c>
      <c r="BG89" s="100">
        <v>3686.0745752806461</v>
      </c>
      <c r="BH89" s="100">
        <v>3.7268301616161064</v>
      </c>
      <c r="BI89" s="100">
        <v>3957.8936316363051</v>
      </c>
      <c r="BJ89" s="100">
        <v>2.8080630969006415</v>
      </c>
      <c r="BK89" s="100">
        <v>2982.1630089084811</v>
      </c>
      <c r="BL89" s="100">
        <v>0.3020742157156765</v>
      </c>
      <c r="BM89" s="100">
        <v>320.80281709004845</v>
      </c>
      <c r="BN89" s="100">
        <v>6</v>
      </c>
      <c r="BO89" s="100">
        <v>6372</v>
      </c>
      <c r="BP89" s="100">
        <v>5</v>
      </c>
      <c r="BQ89" s="100">
        <v>5310</v>
      </c>
      <c r="BR89" s="100">
        <v>4.7627293579134484</v>
      </c>
      <c r="BS89" s="100">
        <v>5058.0185781040818</v>
      </c>
      <c r="BT89" s="100">
        <v>3.4641423261440836</v>
      </c>
      <c r="BU89" s="100">
        <v>3678.9191503650168</v>
      </c>
      <c r="BV89" s="100">
        <v>3.0222404273168868</v>
      </c>
      <c r="BW89" s="100">
        <v>3209.6193338105336</v>
      </c>
      <c r="BX89" s="100">
        <v>4.2772175075114127</v>
      </c>
      <c r="BY89" s="100">
        <v>4542.4049929771199</v>
      </c>
      <c r="BZ89" s="100">
        <v>2.8381880563656332</v>
      </c>
      <c r="CA89" s="100">
        <v>3014.1557158603023</v>
      </c>
      <c r="CB89" s="100">
        <v>2.2135093535789627</v>
      </c>
      <c r="CC89" s="100">
        <v>2350.7469335008586</v>
      </c>
      <c r="CD89" s="100">
        <v>2.8727342882734499</v>
      </c>
      <c r="CE89" s="100">
        <v>3050.8438141464039</v>
      </c>
      <c r="CF89" s="100">
        <v>3.295239999526532E-4</v>
      </c>
      <c r="CG89" s="100">
        <v>0.34995448794971767</v>
      </c>
      <c r="CH89" s="100">
        <v>2.16874144006032</v>
      </c>
      <c r="CI89" s="100">
        <v>2303.2034093440598</v>
      </c>
      <c r="CJ89" s="100">
        <v>3.2836452184884637</v>
      </c>
      <c r="CK89" s="100">
        <v>3487.2312220347485</v>
      </c>
      <c r="CL89" s="100">
        <v>3.4620581694103651</v>
      </c>
      <c r="CM89" s="100">
        <v>3676.7057759138079</v>
      </c>
      <c r="CN89" s="100">
        <v>0.28623968021445151</v>
      </c>
      <c r="CO89" s="100">
        <v>303.98654038774748</v>
      </c>
      <c r="CP89" s="100">
        <v>5</v>
      </c>
      <c r="CQ89" s="100">
        <v>5310</v>
      </c>
      <c r="CR89" s="100">
        <v>5.0833826784424705</v>
      </c>
      <c r="CS89" s="100">
        <v>5398.5524045059037</v>
      </c>
      <c r="CT89" s="100">
        <v>4.0575830824332977</v>
      </c>
      <c r="CU89" s="100">
        <v>4309.1532335441625</v>
      </c>
    </row>
    <row r="90" spans="2:99">
      <c r="C90" s="99" t="s">
        <v>256</v>
      </c>
      <c r="D90" s="100">
        <v>4.4247051450617727</v>
      </c>
      <c r="E90" s="100">
        <v>4906.1130648444932</v>
      </c>
      <c r="F90" s="100">
        <v>2.9019849548887198</v>
      </c>
      <c r="G90" s="100">
        <v>3217.7209179806123</v>
      </c>
      <c r="H90" s="100">
        <v>2.6796206562265641</v>
      </c>
      <c r="I90" s="100">
        <v>2971.1633836240139</v>
      </c>
      <c r="J90" s="100">
        <v>2.4976002353996938</v>
      </c>
      <c r="K90" s="100">
        <v>2769.3391410111803</v>
      </c>
      <c r="L90" s="100">
        <v>2.1075373763163054</v>
      </c>
      <c r="M90" s="100">
        <v>2336.8374428595193</v>
      </c>
      <c r="N90" s="100">
        <v>1.2347810511751482</v>
      </c>
      <c r="O90" s="100">
        <v>1369.1252295430043</v>
      </c>
      <c r="P90" s="100">
        <v>2.4320615296628403</v>
      </c>
      <c r="Q90" s="100">
        <v>2696.6698240901574</v>
      </c>
      <c r="R90" s="100">
        <v>2.2239174148547387</v>
      </c>
      <c r="S90" s="100">
        <v>2465.8796295909342</v>
      </c>
      <c r="T90" s="100">
        <v>2.5514963507338737</v>
      </c>
      <c r="U90" s="100">
        <v>2829.099153693719</v>
      </c>
      <c r="V90" s="100">
        <v>3.51973190086875</v>
      </c>
      <c r="W90" s="100">
        <v>3902.6787316832697</v>
      </c>
      <c r="X90" s="100">
        <v>1.8194731124610135</v>
      </c>
      <c r="Y90" s="100">
        <v>2017.4317870967716</v>
      </c>
      <c r="Z90" s="100">
        <v>1.5105770599478456</v>
      </c>
      <c r="AA90" s="100">
        <v>1674.9278440701712</v>
      </c>
      <c r="AB90" s="100">
        <v>1.546806599311904</v>
      </c>
      <c r="AC90" s="100">
        <v>1715.099157317039</v>
      </c>
      <c r="AD90" s="100">
        <v>2.9009128189049229</v>
      </c>
      <c r="AE90" s="100">
        <v>3216.5321336017782</v>
      </c>
      <c r="AF90" s="100">
        <v>3.1443949919379759</v>
      </c>
      <c r="AG90" s="100">
        <v>3486.5051670608277</v>
      </c>
      <c r="AH90" s="100">
        <v>3.2657037280539098</v>
      </c>
      <c r="AI90" s="100">
        <v>3621.0122936661751</v>
      </c>
      <c r="AJ90" s="100">
        <v>0.26889182080751506</v>
      </c>
      <c r="AK90" s="100">
        <v>298.14725091137268</v>
      </c>
      <c r="AL90" s="100">
        <v>5</v>
      </c>
      <c r="AM90" s="100">
        <v>5544</v>
      </c>
      <c r="AN90" s="100">
        <v>6.0551740548582771</v>
      </c>
      <c r="AO90" s="100">
        <v>6713.9769920268573</v>
      </c>
      <c r="AP90" s="100">
        <v>3.1407627552738462</v>
      </c>
      <c r="AQ90" s="100">
        <v>3482.4777430476406</v>
      </c>
      <c r="AR90" s="100">
        <v>3.0063498365652386</v>
      </c>
      <c r="AS90" s="100">
        <v>3333.4406987835364</v>
      </c>
      <c r="AT90" s="100">
        <v>2.3320196602344234</v>
      </c>
      <c r="AU90" s="100">
        <v>2585.7433992679285</v>
      </c>
      <c r="AV90" s="100">
        <v>0.29784940150986289</v>
      </c>
      <c r="AW90" s="100">
        <v>330.25541639413598</v>
      </c>
      <c r="AX90" s="100">
        <v>5.3983596975023138</v>
      </c>
      <c r="AY90" s="100">
        <v>5985.7012325905653</v>
      </c>
      <c r="AZ90" s="100">
        <v>2.2834693093044023</v>
      </c>
      <c r="BA90" s="100">
        <v>2531.9107701567214</v>
      </c>
      <c r="BB90" s="100">
        <v>2.8489926825852399</v>
      </c>
      <c r="BC90" s="100">
        <v>3158.9630864505139</v>
      </c>
      <c r="BD90" s="100">
        <v>5</v>
      </c>
      <c r="BE90" s="100">
        <v>5544</v>
      </c>
      <c r="BF90" s="100">
        <v>3.4708800143885554</v>
      </c>
      <c r="BG90" s="100">
        <v>3848.5117599540299</v>
      </c>
      <c r="BH90" s="100">
        <v>3.2130380949570445</v>
      </c>
      <c r="BI90" s="100">
        <v>3562.6166396883709</v>
      </c>
      <c r="BJ90" s="100">
        <v>2.815356604091535</v>
      </c>
      <c r="BK90" s="100">
        <v>3121.6674026166938</v>
      </c>
      <c r="BL90" s="100">
        <v>0.2517285130963971</v>
      </c>
      <c r="BM90" s="100">
        <v>279.1165753212851</v>
      </c>
      <c r="BN90" s="100">
        <v>5</v>
      </c>
      <c r="BO90" s="100">
        <v>5544</v>
      </c>
      <c r="BP90" s="100">
        <v>5</v>
      </c>
      <c r="BQ90" s="100">
        <v>5544</v>
      </c>
      <c r="BR90" s="100">
        <v>4.7627293579134484</v>
      </c>
      <c r="BS90" s="100">
        <v>5280.9143120544313</v>
      </c>
      <c r="BT90" s="100">
        <v>3.4641423261440836</v>
      </c>
      <c r="BU90" s="100">
        <v>3841.0410112285599</v>
      </c>
      <c r="BV90" s="100">
        <v>2.9979950560381852</v>
      </c>
      <c r="BW90" s="100">
        <v>3324.1769181351397</v>
      </c>
      <c r="BX90" s="100">
        <v>3.5645103226812749</v>
      </c>
      <c r="BY90" s="100">
        <v>3952.3290457889975</v>
      </c>
      <c r="BZ90" s="100">
        <v>3.5366128414500588</v>
      </c>
      <c r="CA90" s="100">
        <v>3921.396318599825</v>
      </c>
      <c r="CB90" s="100">
        <v>2.1993249279871336</v>
      </c>
      <c r="CC90" s="100">
        <v>2438.6114801521335</v>
      </c>
      <c r="CD90" s="100">
        <v>2.8727342882734499</v>
      </c>
      <c r="CE90" s="100">
        <v>3185.2877788376013</v>
      </c>
      <c r="CF90" s="100">
        <v>3.295239999526532E-4</v>
      </c>
      <c r="CG90" s="100">
        <v>0.36537621114750185</v>
      </c>
      <c r="CH90" s="100">
        <v>2.8485220338673378</v>
      </c>
      <c r="CI90" s="100">
        <v>3158.4412311521041</v>
      </c>
      <c r="CJ90" s="100">
        <v>2.8145530444186835</v>
      </c>
      <c r="CK90" s="100">
        <v>3120.7764156514363</v>
      </c>
      <c r="CL90" s="100">
        <v>4.1254225844825916</v>
      </c>
      <c r="CM90" s="100">
        <v>4574.2685616742974</v>
      </c>
      <c r="CN90" s="100">
        <v>0.34348761625734181</v>
      </c>
      <c r="CO90" s="100">
        <v>380.85906890614058</v>
      </c>
      <c r="CP90" s="100">
        <v>6</v>
      </c>
      <c r="CQ90" s="100">
        <v>6652.7999999999993</v>
      </c>
      <c r="CR90" s="100">
        <v>5.0833826784424705</v>
      </c>
      <c r="CS90" s="100">
        <v>5636.4547138570115</v>
      </c>
      <c r="CT90" s="100">
        <v>4.0575830824332977</v>
      </c>
      <c r="CU90" s="100">
        <v>4499.0481218020404</v>
      </c>
    </row>
    <row r="91" spans="2:99">
      <c r="C91" s="99" t="s">
        <v>257</v>
      </c>
      <c r="D91" s="100">
        <v>4.3978138025141975</v>
      </c>
      <c r="E91" s="100">
        <v>4997.6756051771335</v>
      </c>
      <c r="F91" s="100">
        <v>2.8757160746345027</v>
      </c>
      <c r="G91" s="100">
        <v>3267.9637472146487</v>
      </c>
      <c r="H91" s="100">
        <v>2.1670057675382135</v>
      </c>
      <c r="I91" s="100">
        <v>2462.5853542304253</v>
      </c>
      <c r="J91" s="100">
        <v>2.4615125206977986</v>
      </c>
      <c r="K91" s="100">
        <v>2797.262828520978</v>
      </c>
      <c r="L91" s="100">
        <v>2.1075373763163054</v>
      </c>
      <c r="M91" s="100">
        <v>2395.0054744458494</v>
      </c>
      <c r="N91" s="100">
        <v>1.472401592107998</v>
      </c>
      <c r="O91" s="100">
        <v>1673.2371692715287</v>
      </c>
      <c r="P91" s="100">
        <v>1.9571502052741097</v>
      </c>
      <c r="Q91" s="100">
        <v>2224.1054932734978</v>
      </c>
      <c r="R91" s="100">
        <v>1.7411595069000292</v>
      </c>
      <c r="S91" s="100">
        <v>1978.6536636411929</v>
      </c>
      <c r="T91" s="100">
        <v>2.5514963507338737</v>
      </c>
      <c r="U91" s="100">
        <v>2899.5204529739735</v>
      </c>
      <c r="V91" s="100">
        <v>3.0254645420923518</v>
      </c>
      <c r="W91" s="100">
        <v>3438.1379056337482</v>
      </c>
      <c r="X91" s="100">
        <v>2.3909069780626004</v>
      </c>
      <c r="Y91" s="100">
        <v>2717.0266898703389</v>
      </c>
      <c r="Z91" s="100">
        <v>1.7930237412994339</v>
      </c>
      <c r="AA91" s="100">
        <v>2037.5921796126763</v>
      </c>
      <c r="AB91" s="100">
        <v>1.8996774473830471</v>
      </c>
      <c r="AC91" s="100">
        <v>2158.7934512060947</v>
      </c>
      <c r="AD91" s="100">
        <v>2.9009128189049229</v>
      </c>
      <c r="AE91" s="100">
        <v>3296.5973274035541</v>
      </c>
      <c r="AF91" s="100">
        <v>3.1736458812258377</v>
      </c>
      <c r="AG91" s="100">
        <v>3606.5311794250415</v>
      </c>
      <c r="AH91" s="100">
        <v>3.2657037280539098</v>
      </c>
      <c r="AI91" s="100">
        <v>3711.1457165604629</v>
      </c>
      <c r="AJ91" s="100">
        <v>0.26889182080751506</v>
      </c>
      <c r="AK91" s="100">
        <v>305.56866516566009</v>
      </c>
      <c r="AL91" s="100">
        <v>4</v>
      </c>
      <c r="AM91" s="100">
        <v>4545.5999999999995</v>
      </c>
      <c r="AN91" s="100">
        <v>5.1901491898785226</v>
      </c>
      <c r="AO91" s="100">
        <v>5898.085539377952</v>
      </c>
      <c r="AP91" s="100">
        <v>3.9259534440923081</v>
      </c>
      <c r="AQ91" s="100">
        <v>4461.4534938664983</v>
      </c>
      <c r="AR91" s="100">
        <v>3.5074081426594454</v>
      </c>
      <c r="AS91" s="100">
        <v>3985.8186133181935</v>
      </c>
      <c r="AT91" s="100">
        <v>2.3320196602344234</v>
      </c>
      <c r="AU91" s="100">
        <v>2650.1071418903985</v>
      </c>
      <c r="AV91" s="100">
        <v>0.29784940150986289</v>
      </c>
      <c r="AW91" s="100">
        <v>338.47605987580812</v>
      </c>
      <c r="AX91" s="100">
        <v>6.3485647353145245</v>
      </c>
      <c r="AY91" s="100">
        <v>7214.5089652114248</v>
      </c>
      <c r="AZ91" s="100">
        <v>2.3009333676138382</v>
      </c>
      <c r="BA91" s="100">
        <v>2614.7806789563656</v>
      </c>
      <c r="BB91" s="100">
        <v>2.8489926825852399</v>
      </c>
      <c r="BC91" s="100">
        <v>3237.5952844898661</v>
      </c>
      <c r="BD91" s="100">
        <v>6</v>
      </c>
      <c r="BE91" s="100">
        <v>6818.4</v>
      </c>
      <c r="BF91" s="100">
        <v>2.7767040115108443</v>
      </c>
      <c r="BG91" s="100">
        <v>3155.4464386809232</v>
      </c>
      <c r="BH91" s="100">
        <v>3.7105444497407727</v>
      </c>
      <c r="BI91" s="100">
        <v>4216.6627126854137</v>
      </c>
      <c r="BJ91" s="100">
        <v>2.815356604091535</v>
      </c>
      <c r="BK91" s="100">
        <v>3199.3712448896199</v>
      </c>
      <c r="BL91" s="100">
        <v>0.2517285130963971</v>
      </c>
      <c r="BM91" s="100">
        <v>286.06428228274564</v>
      </c>
      <c r="BN91" s="100">
        <v>5</v>
      </c>
      <c r="BO91" s="100">
        <v>5681.9999999999991</v>
      </c>
      <c r="BP91" s="100">
        <v>5</v>
      </c>
      <c r="BQ91" s="100">
        <v>5681.9999999999991</v>
      </c>
      <c r="BR91" s="100">
        <v>4.7627293579134484</v>
      </c>
      <c r="BS91" s="100">
        <v>5412.3656423328421</v>
      </c>
      <c r="BT91" s="100">
        <v>2.9940559743592563</v>
      </c>
      <c r="BU91" s="100">
        <v>3402.4452092618585</v>
      </c>
      <c r="BV91" s="100">
        <v>3.0222404273168868</v>
      </c>
      <c r="BW91" s="100">
        <v>3434.4740216029099</v>
      </c>
      <c r="BX91" s="100">
        <v>3.5645103226812749</v>
      </c>
      <c r="BY91" s="100">
        <v>4050.7095306950005</v>
      </c>
      <c r="BZ91" s="100">
        <v>2.8604325143795974</v>
      </c>
      <c r="CA91" s="100">
        <v>3250.5955093409743</v>
      </c>
      <c r="CB91" s="100">
        <v>2.1993249279871336</v>
      </c>
      <c r="CC91" s="100">
        <v>2499.3128481645786</v>
      </c>
      <c r="CD91" s="100">
        <v>2.2981874306187602</v>
      </c>
      <c r="CE91" s="100">
        <v>2611.6601961551587</v>
      </c>
      <c r="CF91" s="100">
        <v>3.8444466661142877E-4</v>
      </c>
      <c r="CG91" s="100">
        <v>0.4368829191372276</v>
      </c>
      <c r="CH91" s="100">
        <v>2.8226421021394836</v>
      </c>
      <c r="CI91" s="100">
        <v>3207.6504848713089</v>
      </c>
      <c r="CJ91" s="100">
        <v>3.2836452184884637</v>
      </c>
      <c r="CK91" s="100">
        <v>3731.5344262902895</v>
      </c>
      <c r="CL91" s="100">
        <v>4.1254225844825916</v>
      </c>
      <c r="CM91" s="100">
        <v>4688.1302250060162</v>
      </c>
      <c r="CN91" s="100">
        <v>0.34348761625734181</v>
      </c>
      <c r="CO91" s="100">
        <v>390.33932711484317</v>
      </c>
      <c r="CP91" s="100">
        <v>5</v>
      </c>
      <c r="CQ91" s="100">
        <v>5681.9999999999991</v>
      </c>
      <c r="CR91" s="100">
        <v>5.0833826784424705</v>
      </c>
      <c r="CS91" s="100">
        <v>5776.7560757820229</v>
      </c>
      <c r="CT91" s="100">
        <v>3.4779283563713972</v>
      </c>
      <c r="CU91" s="100">
        <v>3952.3177841804554</v>
      </c>
    </row>
    <row r="92" spans="2:99">
      <c r="C92" s="99" t="s">
        <v>258</v>
      </c>
      <c r="D92" s="100">
        <v>3.6917361779760727</v>
      </c>
      <c r="E92" s="100">
        <v>2897.2745524756215</v>
      </c>
      <c r="F92" s="100">
        <v>3.456113065612247</v>
      </c>
      <c r="G92" s="100">
        <v>2712.3575338924911</v>
      </c>
      <c r="H92" s="100">
        <v>2.1670057675382135</v>
      </c>
      <c r="I92" s="100">
        <v>1700.6661263639899</v>
      </c>
      <c r="J92" s="100">
        <v>2.4976002353996938</v>
      </c>
      <c r="K92" s="100">
        <v>1960.1166647416796</v>
      </c>
      <c r="L92" s="100">
        <v>2.0852466521655155</v>
      </c>
      <c r="M92" s="100">
        <v>1636.5015726194965</v>
      </c>
      <c r="N92" s="100">
        <v>1.2347810511751482</v>
      </c>
      <c r="O92" s="100">
        <v>969.05616896225627</v>
      </c>
      <c r="P92" s="100">
        <v>2.4320615296628403</v>
      </c>
      <c r="Q92" s="100">
        <v>1908.681888479397</v>
      </c>
      <c r="R92" s="100">
        <v>1.7411595069000292</v>
      </c>
      <c r="S92" s="100">
        <v>1366.4619810151428</v>
      </c>
      <c r="T92" s="100">
        <v>2.5514963507338737</v>
      </c>
      <c r="U92" s="100">
        <v>2002.414336055944</v>
      </c>
      <c r="V92" s="100">
        <v>3.51973190086875</v>
      </c>
      <c r="W92" s="100">
        <v>2762.2855958017949</v>
      </c>
      <c r="X92" s="100">
        <v>2.3646140991485383</v>
      </c>
      <c r="Y92" s="100">
        <v>1855.7491450117727</v>
      </c>
      <c r="Z92" s="100">
        <v>1.7930237412994339</v>
      </c>
      <c r="AA92" s="100">
        <v>1407.1650321717957</v>
      </c>
      <c r="AB92" s="100">
        <v>1.546806599311904</v>
      </c>
      <c r="AC92" s="100">
        <v>1213.9338191399822</v>
      </c>
      <c r="AD92" s="100">
        <v>2.9009128189049229</v>
      </c>
      <c r="AE92" s="100">
        <v>2276.6363802765832</v>
      </c>
      <c r="AF92" s="100">
        <v>3.1443949919379759</v>
      </c>
      <c r="AG92" s="100">
        <v>2467.7211896729232</v>
      </c>
      <c r="AH92" s="100">
        <v>3.2752771905303004</v>
      </c>
      <c r="AI92" s="100">
        <v>2570.4375391281797</v>
      </c>
      <c r="AJ92" s="100">
        <v>0.26889182080751506</v>
      </c>
      <c r="AK92" s="100">
        <v>211.0263009697378</v>
      </c>
      <c r="AL92" s="100">
        <v>5</v>
      </c>
      <c r="AM92" s="100">
        <v>3924</v>
      </c>
      <c r="AN92" s="100">
        <v>5.1901491898785226</v>
      </c>
      <c r="AO92" s="100">
        <v>4073.2290842166644</v>
      </c>
      <c r="AP92" s="100">
        <v>3.1407627552738462</v>
      </c>
      <c r="AQ92" s="100">
        <v>2464.8706103389145</v>
      </c>
      <c r="AR92" s="100">
        <v>3.5074081426594454</v>
      </c>
      <c r="AS92" s="100">
        <v>2752.6139103591327</v>
      </c>
      <c r="AT92" s="100">
        <v>2.3320196602344234</v>
      </c>
      <c r="AU92" s="100">
        <v>1830.1690293519755</v>
      </c>
      <c r="AV92" s="100">
        <v>0.29784940150986289</v>
      </c>
      <c r="AW92" s="100">
        <v>233.75221030494038</v>
      </c>
      <c r="AX92" s="100">
        <v>6.3485647353145245</v>
      </c>
      <c r="AY92" s="100">
        <v>4982.3536042748383</v>
      </c>
      <c r="AZ92" s="100">
        <v>2.3009333676138382</v>
      </c>
      <c r="BA92" s="100">
        <v>1805.7725069033402</v>
      </c>
      <c r="BB92" s="100">
        <v>2.8489926825852399</v>
      </c>
      <c r="BC92" s="100">
        <v>2235.8894572928962</v>
      </c>
      <c r="BD92" s="100">
        <v>5</v>
      </c>
      <c r="BE92" s="100">
        <v>3924</v>
      </c>
      <c r="BF92" s="100">
        <v>3.4708800143885554</v>
      </c>
      <c r="BG92" s="100">
        <v>2723.9466352921381</v>
      </c>
      <c r="BH92" s="100">
        <v>3.2130380949570445</v>
      </c>
      <c r="BI92" s="100">
        <v>2521.5922969222884</v>
      </c>
      <c r="BJ92" s="100">
        <v>2.8080630969006415</v>
      </c>
      <c r="BK92" s="100">
        <v>2203.7679184476233</v>
      </c>
      <c r="BL92" s="100">
        <v>0.3020742157156765</v>
      </c>
      <c r="BM92" s="100">
        <v>237.0678444936629</v>
      </c>
      <c r="BN92" s="100">
        <v>5</v>
      </c>
      <c r="BO92" s="100">
        <v>3924</v>
      </c>
      <c r="BP92" s="100">
        <v>5</v>
      </c>
      <c r="BQ92" s="100">
        <v>3924</v>
      </c>
      <c r="BR92" s="100">
        <v>4.7627293579134484</v>
      </c>
      <c r="BS92" s="100">
        <v>3737.7900000904742</v>
      </c>
      <c r="BT92" s="100">
        <v>3.0133379592092893</v>
      </c>
      <c r="BU92" s="100">
        <v>2364.8676303874499</v>
      </c>
      <c r="BV92" s="100">
        <v>2.9979950560381852</v>
      </c>
      <c r="BW92" s="100">
        <v>2352.8265199787675</v>
      </c>
      <c r="BX92" s="100">
        <v>3.5645103226812749</v>
      </c>
      <c r="BY92" s="100">
        <v>2797.4277012402645</v>
      </c>
      <c r="BZ92" s="100">
        <v>3.5366128414500588</v>
      </c>
      <c r="CA92" s="100">
        <v>2775.5337579700058</v>
      </c>
      <c r="CB92" s="100">
        <v>2.2135093535789627</v>
      </c>
      <c r="CC92" s="100">
        <v>1737.1621406887698</v>
      </c>
      <c r="CD92" s="100">
        <v>2.8727342882734499</v>
      </c>
      <c r="CE92" s="100">
        <v>2254.5218694370033</v>
      </c>
      <c r="CF92" s="100">
        <v>3.295239999526532E-4</v>
      </c>
      <c r="CG92" s="100">
        <v>0.25861043516284221</v>
      </c>
      <c r="CH92" s="100">
        <v>2.8485220338673378</v>
      </c>
      <c r="CI92" s="100">
        <v>2235.5200921790865</v>
      </c>
      <c r="CJ92" s="100">
        <v>2.8145530444186835</v>
      </c>
      <c r="CK92" s="100">
        <v>2208.8612292597827</v>
      </c>
      <c r="CL92" s="100">
        <v>3.4459208256271174</v>
      </c>
      <c r="CM92" s="100">
        <v>2704.3586639521618</v>
      </c>
      <c r="CN92" s="100">
        <v>0.34348761625734181</v>
      </c>
      <c r="CO92" s="100">
        <v>269.56908123876184</v>
      </c>
      <c r="CP92" s="100">
        <v>5</v>
      </c>
      <c r="CQ92" s="100">
        <v>3924</v>
      </c>
      <c r="CR92" s="100">
        <v>5.0833826784424705</v>
      </c>
      <c r="CS92" s="100">
        <v>3989.4387260416506</v>
      </c>
      <c r="CT92" s="100">
        <v>4.0575830824332977</v>
      </c>
      <c r="CU92" s="100">
        <v>3184.3912030936517</v>
      </c>
    </row>
    <row r="93" spans="2:99">
      <c r="C93" s="99" t="s">
        <v>259</v>
      </c>
      <c r="D93" s="100">
        <v>4.3978138025141975</v>
      </c>
      <c r="E93" s="100">
        <v>3050.3236534238476</v>
      </c>
      <c r="F93" s="100">
        <v>3.403575305103812</v>
      </c>
      <c r="G93" s="100">
        <v>2360.7198316200042</v>
      </c>
      <c r="H93" s="100">
        <v>2.6796206562265641</v>
      </c>
      <c r="I93" s="100">
        <v>1858.584887158745</v>
      </c>
      <c r="J93" s="100">
        <v>3.2699874560297668</v>
      </c>
      <c r="K93" s="100">
        <v>2268.0632995022465</v>
      </c>
      <c r="L93" s="100">
        <v>2.1075373763163054</v>
      </c>
      <c r="M93" s="100">
        <v>1461.7879242129895</v>
      </c>
      <c r="N93" s="100">
        <v>1.2347810511751482</v>
      </c>
      <c r="O93" s="100">
        <v>856.44413709508285</v>
      </c>
      <c r="P93" s="100">
        <v>2.4320615296628403</v>
      </c>
      <c r="Q93" s="100">
        <v>1686.8778769741461</v>
      </c>
      <c r="R93" s="100">
        <v>2.2483245634410638</v>
      </c>
      <c r="S93" s="100">
        <v>1559.4379172027218</v>
      </c>
      <c r="T93" s="100">
        <v>2.5514963507338737</v>
      </c>
      <c r="U93" s="100">
        <v>1769.7178688690149</v>
      </c>
      <c r="V93" s="100">
        <v>3.51973190086875</v>
      </c>
      <c r="W93" s="100">
        <v>2441.2860464425653</v>
      </c>
      <c r="X93" s="100">
        <v>2.3909069780626004</v>
      </c>
      <c r="Y93" s="100">
        <v>1658.3330799842197</v>
      </c>
      <c r="Z93" s="100">
        <v>1.7930237412994339</v>
      </c>
      <c r="AA93" s="100">
        <v>1243.6412669652873</v>
      </c>
      <c r="AB93" s="100">
        <v>1.9100869248466881</v>
      </c>
      <c r="AC93" s="100">
        <v>1324.8362910736628</v>
      </c>
      <c r="AD93" s="100">
        <v>2.9009128189049229</v>
      </c>
      <c r="AE93" s="100">
        <v>2012.0731311924546</v>
      </c>
      <c r="AF93" s="100">
        <v>3.1443949919379759</v>
      </c>
      <c r="AG93" s="100">
        <v>2180.9523664081803</v>
      </c>
      <c r="AH93" s="100">
        <v>3.2752771905303004</v>
      </c>
      <c r="AI93" s="100">
        <v>2271.7322593518165</v>
      </c>
      <c r="AJ93" s="100">
        <v>0.26889182080751506</v>
      </c>
      <c r="AK93" s="100">
        <v>186.50336691209245</v>
      </c>
      <c r="AL93" s="100">
        <v>5</v>
      </c>
      <c r="AM93" s="100">
        <v>3468</v>
      </c>
      <c r="AN93" s="100">
        <v>5.1901491898785226</v>
      </c>
      <c r="AO93" s="100">
        <v>3599.8874780997435</v>
      </c>
      <c r="AP93" s="100">
        <v>3.9259534440923081</v>
      </c>
      <c r="AQ93" s="100">
        <v>2723.041308822425</v>
      </c>
      <c r="AR93" s="100">
        <v>3.5074081426594454</v>
      </c>
      <c r="AS93" s="100">
        <v>2432.7382877485916</v>
      </c>
      <c r="AT93" s="100">
        <v>2.353002249760157</v>
      </c>
      <c r="AU93" s="100">
        <v>1632.0423604336449</v>
      </c>
      <c r="AV93" s="100">
        <v>0.29784940150986289</v>
      </c>
      <c r="AW93" s="100">
        <v>206.58834488724091</v>
      </c>
      <c r="AX93" s="100">
        <v>6.3485647353145245</v>
      </c>
      <c r="AY93" s="100">
        <v>4403.3645004141545</v>
      </c>
      <c r="AZ93" s="100">
        <v>2.2660052509949669</v>
      </c>
      <c r="BA93" s="100">
        <v>1571.701242090109</v>
      </c>
      <c r="BB93" s="100">
        <v>2.8489926825852399</v>
      </c>
      <c r="BC93" s="100">
        <v>1976.0613246411224</v>
      </c>
      <c r="BD93" s="100">
        <v>6</v>
      </c>
      <c r="BE93" s="100">
        <v>4161.6000000000004</v>
      </c>
      <c r="BF93" s="100">
        <v>2.7767040115108443</v>
      </c>
      <c r="BG93" s="100">
        <v>1925.9219023839216</v>
      </c>
      <c r="BH93" s="100">
        <v>3.2130380949570445</v>
      </c>
      <c r="BI93" s="100">
        <v>2228.563222662206</v>
      </c>
      <c r="BJ93" s="100">
        <v>2.8007695897097471</v>
      </c>
      <c r="BK93" s="100">
        <v>1942.6137874226806</v>
      </c>
      <c r="BL93" s="100">
        <v>0.3020742157156765</v>
      </c>
      <c r="BM93" s="100">
        <v>209.51867602039323</v>
      </c>
      <c r="BN93" s="100">
        <v>6</v>
      </c>
      <c r="BO93" s="100">
        <v>4161.6000000000004</v>
      </c>
      <c r="BP93" s="100">
        <v>5</v>
      </c>
      <c r="BQ93" s="100">
        <v>3468</v>
      </c>
      <c r="BR93" s="100">
        <v>4.7627293579134484</v>
      </c>
      <c r="BS93" s="100">
        <v>3303.4290826487681</v>
      </c>
      <c r="BT93" s="100">
        <v>3.9535106627789438</v>
      </c>
      <c r="BU93" s="100">
        <v>2742.1549957034754</v>
      </c>
      <c r="BV93" s="100">
        <v>2.9979950560381852</v>
      </c>
      <c r="BW93" s="100">
        <v>2079.4093708680853</v>
      </c>
      <c r="BX93" s="100">
        <v>3.5654847212118583</v>
      </c>
      <c r="BY93" s="100">
        <v>2473.0202026325451</v>
      </c>
      <c r="BZ93" s="100">
        <v>3.5366128414500588</v>
      </c>
      <c r="CA93" s="100">
        <v>2452.9946668297607</v>
      </c>
      <c r="CB93" s="100">
        <v>2.2135093535789627</v>
      </c>
      <c r="CC93" s="100">
        <v>1535.2900876423687</v>
      </c>
      <c r="CD93" s="100">
        <v>2.8727342882734499</v>
      </c>
      <c r="CE93" s="100">
        <v>1992.5285023464648</v>
      </c>
      <c r="CF93" s="100">
        <v>3.295239999526532E-4</v>
      </c>
      <c r="CG93" s="100">
        <v>0.22855784636716026</v>
      </c>
      <c r="CH93" s="100">
        <v>2.8744019655951911</v>
      </c>
      <c r="CI93" s="100">
        <v>1993.6852033368245</v>
      </c>
      <c r="CJ93" s="100">
        <v>3.2836452184884637</v>
      </c>
      <c r="CK93" s="100">
        <v>2277.5363235435984</v>
      </c>
      <c r="CL93" s="100">
        <v>4.1254225844825916</v>
      </c>
      <c r="CM93" s="100">
        <v>2861.3931045971258</v>
      </c>
      <c r="CN93" s="100">
        <v>0.34348761625734181</v>
      </c>
      <c r="CO93" s="100">
        <v>238.24301063609229</v>
      </c>
      <c r="CP93" s="100">
        <v>6</v>
      </c>
      <c r="CQ93" s="100">
        <v>4161.6000000000004</v>
      </c>
      <c r="CR93" s="100">
        <v>5.8095802039342512</v>
      </c>
      <c r="CS93" s="100">
        <v>4029.5248294487969</v>
      </c>
      <c r="CT93" s="100">
        <v>4.0575830824332977</v>
      </c>
      <c r="CU93" s="100">
        <v>2814.3396259757355</v>
      </c>
    </row>
    <row r="94" spans="2:99">
      <c r="C94" s="99" t="s">
        <v>260</v>
      </c>
      <c r="D94" s="100">
        <v>3.718627520523647</v>
      </c>
      <c r="E94" s="100">
        <v>4435.5789064806058</v>
      </c>
      <c r="F94" s="100">
        <v>3.4298441853580295</v>
      </c>
      <c r="G94" s="100">
        <v>4091.1181442950574</v>
      </c>
      <c r="H94" s="100">
        <v>2.6796206562265641</v>
      </c>
      <c r="I94" s="100">
        <v>3196.2515187470453</v>
      </c>
      <c r="J94" s="100">
        <v>3.2338997413278712</v>
      </c>
      <c r="K94" s="100">
        <v>3857.3956114558846</v>
      </c>
      <c r="L94" s="100">
        <v>2.1075373763163054</v>
      </c>
      <c r="M94" s="100">
        <v>2513.8705824700892</v>
      </c>
      <c r="N94" s="100">
        <v>1.2347810511751482</v>
      </c>
      <c r="O94" s="100">
        <v>1472.8468378417167</v>
      </c>
      <c r="P94" s="100">
        <v>2.587349597360983</v>
      </c>
      <c r="Q94" s="100">
        <v>3086.1905997321805</v>
      </c>
      <c r="R94" s="100">
        <v>1.7167523583137041</v>
      </c>
      <c r="S94" s="100">
        <v>2047.7422129965862</v>
      </c>
      <c r="T94" s="100">
        <v>2.5514963507338737</v>
      </c>
      <c r="U94" s="100">
        <v>3043.4248471553647</v>
      </c>
      <c r="V94" s="100">
        <v>3.51973190086875</v>
      </c>
      <c r="W94" s="100">
        <v>4198.3362113562453</v>
      </c>
      <c r="X94" s="100">
        <v>1.8194731124610135</v>
      </c>
      <c r="Y94" s="100">
        <v>2170.2675285434966</v>
      </c>
      <c r="Z94" s="100">
        <v>1.5105770599478456</v>
      </c>
      <c r="AA94" s="100">
        <v>1801.8163171057902</v>
      </c>
      <c r="AB94" s="100">
        <v>1.546806599311904</v>
      </c>
      <c r="AC94" s="100">
        <v>1845.0309116592391</v>
      </c>
      <c r="AD94" s="100">
        <v>2.9009128189049229</v>
      </c>
      <c r="AE94" s="100">
        <v>3460.2088103897918</v>
      </c>
      <c r="AF94" s="100">
        <v>3.1443949919379759</v>
      </c>
      <c r="AG94" s="100">
        <v>3750.6343463836174</v>
      </c>
      <c r="AH94" s="100">
        <v>2.6240511374147966</v>
      </c>
      <c r="AI94" s="100">
        <v>3129.9681967083693</v>
      </c>
      <c r="AJ94" s="100">
        <v>0.26889182080751506</v>
      </c>
      <c r="AK94" s="100">
        <v>320.73416385920393</v>
      </c>
      <c r="AL94" s="100">
        <v>5</v>
      </c>
      <c r="AM94" s="100">
        <v>5964</v>
      </c>
      <c r="AN94" s="100">
        <v>5.1901491898785226</v>
      </c>
      <c r="AO94" s="100">
        <v>6190.8099536871014</v>
      </c>
      <c r="AP94" s="100">
        <v>3.9259534440923081</v>
      </c>
      <c r="AQ94" s="100">
        <v>4682.877268113305</v>
      </c>
      <c r="AR94" s="100">
        <v>3.5074081426594454</v>
      </c>
      <c r="AS94" s="100">
        <v>4183.6364325641862</v>
      </c>
      <c r="AT94" s="100">
        <v>2.353002249760157</v>
      </c>
      <c r="AU94" s="100">
        <v>2806.6610835139154</v>
      </c>
      <c r="AV94" s="100">
        <v>0.29784940150986289</v>
      </c>
      <c r="AW94" s="100">
        <v>355.27476612096444</v>
      </c>
      <c r="AX94" s="100">
        <v>6.3983596975023138</v>
      </c>
      <c r="AY94" s="100">
        <v>7631.9634471807594</v>
      </c>
      <c r="AZ94" s="100">
        <v>2.2660052509949669</v>
      </c>
      <c r="BA94" s="100">
        <v>2702.8910633867963</v>
      </c>
      <c r="BB94" s="100">
        <v>2.8489926825852399</v>
      </c>
      <c r="BC94" s="100">
        <v>3398.2784717876739</v>
      </c>
      <c r="BD94" s="100">
        <v>5</v>
      </c>
      <c r="BE94" s="100">
        <v>5964</v>
      </c>
      <c r="BF94" s="100">
        <v>2.7767040115108443</v>
      </c>
      <c r="BG94" s="100">
        <v>3312.0525449301349</v>
      </c>
      <c r="BH94" s="100">
        <v>3.2130380949570445</v>
      </c>
      <c r="BI94" s="100">
        <v>3832.5118396647626</v>
      </c>
      <c r="BJ94" s="100">
        <v>2.8007695897097471</v>
      </c>
      <c r="BK94" s="100">
        <v>3340.7579666057864</v>
      </c>
      <c r="BL94" s="100">
        <v>0.3020742157156765</v>
      </c>
      <c r="BM94" s="100">
        <v>360.31412450565892</v>
      </c>
      <c r="BN94" s="100">
        <v>5</v>
      </c>
      <c r="BO94" s="100">
        <v>5964</v>
      </c>
      <c r="BP94" s="100">
        <v>5</v>
      </c>
      <c r="BQ94" s="100">
        <v>5964</v>
      </c>
      <c r="BR94" s="100">
        <v>4.7627293579134484</v>
      </c>
      <c r="BS94" s="100">
        <v>5680.9835781191614</v>
      </c>
      <c r="BT94" s="100">
        <v>3.4834243109941165</v>
      </c>
      <c r="BU94" s="100">
        <v>4155.028518153782</v>
      </c>
      <c r="BV94" s="100">
        <v>2.9979950560381852</v>
      </c>
      <c r="BW94" s="100">
        <v>3576.0085028423473</v>
      </c>
      <c r="BX94" s="100">
        <v>3.5654847212118583</v>
      </c>
      <c r="BY94" s="100">
        <v>4252.9101754615049</v>
      </c>
      <c r="BZ94" s="100">
        <v>2.8604325143795974</v>
      </c>
      <c r="CA94" s="100">
        <v>3411.9239031519837</v>
      </c>
      <c r="CB94" s="100">
        <v>2.2135093535789627</v>
      </c>
      <c r="CC94" s="100">
        <v>2640.2739569489868</v>
      </c>
      <c r="CD94" s="100">
        <v>2.8727342882734499</v>
      </c>
      <c r="CE94" s="100">
        <v>3426.5974590525707</v>
      </c>
      <c r="CF94" s="100">
        <v>3.295239999526532E-4</v>
      </c>
      <c r="CG94" s="100">
        <v>0.39305622714352473</v>
      </c>
      <c r="CH94" s="100">
        <v>2.8226421021394836</v>
      </c>
      <c r="CI94" s="100">
        <v>3366.8474994319758</v>
      </c>
      <c r="CJ94" s="100">
        <v>2.8145530444186835</v>
      </c>
      <c r="CK94" s="100">
        <v>3357.1988713826054</v>
      </c>
      <c r="CL94" s="100">
        <v>4.1254225844825916</v>
      </c>
      <c r="CM94" s="100">
        <v>4920.8040587708347</v>
      </c>
      <c r="CN94" s="100">
        <v>0.28623968021445151</v>
      </c>
      <c r="CO94" s="100">
        <v>341.42669055979775</v>
      </c>
      <c r="CP94" s="100">
        <v>5</v>
      </c>
      <c r="CQ94" s="100">
        <v>5964</v>
      </c>
      <c r="CR94" s="100">
        <v>5.8095802039342512</v>
      </c>
      <c r="CS94" s="100">
        <v>6929.6672672527748</v>
      </c>
      <c r="CT94" s="100">
        <v>4.0575830824332977</v>
      </c>
      <c r="CU94" s="100">
        <v>4839.8851007264375</v>
      </c>
    </row>
    <row r="95" spans="2:99">
      <c r="B95" s="99" t="s">
        <v>132</v>
      </c>
      <c r="C95" s="99" t="s">
        <v>261</v>
      </c>
      <c r="D95" s="100">
        <v>3.772410205618796</v>
      </c>
      <c r="E95" s="100">
        <v>1240.3684756074601</v>
      </c>
      <c r="F95" s="100">
        <v>3.6950146132851684</v>
      </c>
      <c r="G95" s="100">
        <v>1214.9208048481635</v>
      </c>
      <c r="H95" s="100">
        <v>4.1009191095068029</v>
      </c>
      <c r="I95" s="100">
        <v>1348.382203205837</v>
      </c>
      <c r="J95" s="100">
        <v>5.5510614032180889</v>
      </c>
      <c r="K95" s="100">
        <v>1825.1889893781076</v>
      </c>
      <c r="L95" s="100">
        <v>2.5396861427545256</v>
      </c>
      <c r="M95" s="100">
        <v>835.0488037376881</v>
      </c>
      <c r="N95" s="100">
        <v>2.3762054093284997</v>
      </c>
      <c r="O95" s="100">
        <v>781.2963385872107</v>
      </c>
      <c r="P95" s="100">
        <v>5.0637791463661497</v>
      </c>
      <c r="Q95" s="100">
        <v>1664.9705833251901</v>
      </c>
      <c r="R95" s="100">
        <v>4.0573204523282733</v>
      </c>
      <c r="S95" s="100">
        <v>1334.0469647255363</v>
      </c>
      <c r="T95" s="100">
        <v>3.9754011716997004</v>
      </c>
      <c r="U95" s="100">
        <v>1307.1119052548615</v>
      </c>
      <c r="V95" s="100">
        <v>3.4798249745794432</v>
      </c>
      <c r="W95" s="100">
        <v>1144.1664516417209</v>
      </c>
      <c r="X95" s="100">
        <v>4.5451780458986386</v>
      </c>
      <c r="Y95" s="100">
        <v>1494.4545414914724</v>
      </c>
      <c r="Z95" s="100">
        <v>1.5667734331992196</v>
      </c>
      <c r="AA95" s="100">
        <v>515.15510483590344</v>
      </c>
      <c r="AB95" s="100">
        <v>3.3632082269858241</v>
      </c>
      <c r="AC95" s="100">
        <v>1105.822865032939</v>
      </c>
      <c r="AD95" s="100">
        <v>5.2597658697137799</v>
      </c>
      <c r="AE95" s="100">
        <v>1729.4110179618908</v>
      </c>
      <c r="AF95" s="100">
        <v>4.7604688218387565</v>
      </c>
      <c r="AG95" s="100">
        <v>1565.2421486205833</v>
      </c>
      <c r="AH95" s="100">
        <v>5.2098084249240308</v>
      </c>
      <c r="AI95" s="100">
        <v>1712.9850101150214</v>
      </c>
      <c r="AJ95" s="100">
        <v>0.43022691329202412</v>
      </c>
      <c r="AK95" s="100">
        <v>141.45860909041753</v>
      </c>
      <c r="AL95" s="100">
        <v>10</v>
      </c>
      <c r="AM95" s="100">
        <v>3288</v>
      </c>
      <c r="AN95" s="100">
        <v>6.9201989198380307</v>
      </c>
      <c r="AO95" s="100">
        <v>2275.3614048427444</v>
      </c>
      <c r="AP95" s="100">
        <v>4.7111441329107695</v>
      </c>
      <c r="AQ95" s="100">
        <v>1549.024190901061</v>
      </c>
      <c r="AR95" s="100">
        <v>5.0105830609420643</v>
      </c>
      <c r="AS95" s="100">
        <v>1647.4797104377508</v>
      </c>
      <c r="AT95" s="100">
        <v>5.6516971396173226</v>
      </c>
      <c r="AU95" s="100">
        <v>1858.2780195061757</v>
      </c>
      <c r="AV95" s="100">
        <v>0.34749096842817334</v>
      </c>
      <c r="AW95" s="100">
        <v>114.2550304191834</v>
      </c>
      <c r="AX95" s="100">
        <v>7.3983596975023138</v>
      </c>
      <c r="AY95" s="100">
        <v>2432.5806685387611</v>
      </c>
      <c r="AZ95" s="100">
        <v>2.9768098983272733</v>
      </c>
      <c r="BA95" s="100">
        <v>978.77509457000747</v>
      </c>
      <c r="BB95" s="100">
        <v>5.6979853651704797</v>
      </c>
      <c r="BC95" s="100">
        <v>1873.4975880680538</v>
      </c>
      <c r="BD95" s="100">
        <v>11</v>
      </c>
      <c r="BE95" s="100">
        <v>3616.8</v>
      </c>
      <c r="BF95" s="100">
        <v>6.9417600287771108</v>
      </c>
      <c r="BG95" s="100">
        <v>2282.4506974619139</v>
      </c>
      <c r="BH95" s="100">
        <v>5.3170634972192943</v>
      </c>
      <c r="BI95" s="100">
        <v>1748.250477885704</v>
      </c>
      <c r="BJ95" s="100">
        <v>5.5431911218923435</v>
      </c>
      <c r="BK95" s="100">
        <v>1822.6012408782026</v>
      </c>
      <c r="BL95" s="100">
        <v>0.40276562095423535</v>
      </c>
      <c r="BM95" s="100">
        <v>132.42933616975259</v>
      </c>
      <c r="BN95" s="100">
        <v>8</v>
      </c>
      <c r="BO95" s="100">
        <v>2630.4</v>
      </c>
      <c r="BP95" s="100">
        <v>8</v>
      </c>
      <c r="BQ95" s="100">
        <v>2630.4</v>
      </c>
      <c r="BR95" s="100">
        <v>5.5565175842323562</v>
      </c>
      <c r="BS95" s="100">
        <v>1826.9829816955987</v>
      </c>
      <c r="BT95" s="100">
        <v>5.1709498696331018</v>
      </c>
      <c r="BU95" s="100">
        <v>1700.2083171353638</v>
      </c>
      <c r="BV95" s="100">
        <v>4.8646791292414626</v>
      </c>
      <c r="BW95" s="100">
        <v>1599.506497694593</v>
      </c>
      <c r="BX95" s="100">
        <v>4.2703967177973308</v>
      </c>
      <c r="BY95" s="100">
        <v>1404.1064408117625</v>
      </c>
      <c r="BZ95" s="100">
        <v>4.7332622894932301</v>
      </c>
      <c r="CA95" s="100">
        <v>1556.2966407853742</v>
      </c>
      <c r="CB95" s="100">
        <v>5.9559447856177261</v>
      </c>
      <c r="CC95" s="100">
        <v>1958.3146455111084</v>
      </c>
      <c r="CD95" s="100">
        <v>6.32001543420159</v>
      </c>
      <c r="CE95" s="100">
        <v>2078.0210747654828</v>
      </c>
      <c r="CF95" s="100">
        <v>3.8444466661142877E-4</v>
      </c>
      <c r="CG95" s="100">
        <v>0.12640540638183778</v>
      </c>
      <c r="CH95" s="100">
        <v>5.541764477367555</v>
      </c>
      <c r="CI95" s="100">
        <v>1822.1321601584521</v>
      </c>
      <c r="CJ95" s="100">
        <v>5.629106088837367</v>
      </c>
      <c r="CK95" s="100">
        <v>1850.8500820097263</v>
      </c>
      <c r="CL95" s="100">
        <v>4.7645809838799469</v>
      </c>
      <c r="CM95" s="100">
        <v>1566.5942274997267</v>
      </c>
      <c r="CN95" s="100">
        <v>0.34348761625734181</v>
      </c>
      <c r="CO95" s="100">
        <v>112.938728225414</v>
      </c>
      <c r="CP95" s="100">
        <v>9</v>
      </c>
      <c r="CQ95" s="100">
        <v>2959.2000000000003</v>
      </c>
      <c r="CR95" s="100">
        <v>5.8095802039342512</v>
      </c>
      <c r="CS95" s="100">
        <v>1910.1899710535818</v>
      </c>
      <c r="CT95" s="100">
        <v>4.6872724328096798</v>
      </c>
      <c r="CU95" s="100">
        <v>1541.1751759078227</v>
      </c>
    </row>
    <row r="96" spans="2:99">
      <c r="C96" s="99" t="s">
        <v>262</v>
      </c>
      <c r="D96" s="100">
        <v>3.772410205618796</v>
      </c>
      <c r="E96" s="100">
        <v>2621.0706108639392</v>
      </c>
      <c r="F96" s="100">
        <v>3.6950146132851684</v>
      </c>
      <c r="G96" s="100">
        <v>2567.2961533105349</v>
      </c>
      <c r="H96" s="100">
        <v>4.1009191095068029</v>
      </c>
      <c r="I96" s="100">
        <v>2849.3185972853266</v>
      </c>
      <c r="J96" s="100">
        <v>5.5510614032180889</v>
      </c>
      <c r="K96" s="100">
        <v>3856.877462955928</v>
      </c>
      <c r="L96" s="100">
        <v>3.0387070816451152</v>
      </c>
      <c r="M96" s="100">
        <v>2111.2936803270259</v>
      </c>
      <c r="N96" s="100">
        <v>1.9009643274627996</v>
      </c>
      <c r="O96" s="100">
        <v>1320.7900147211531</v>
      </c>
      <c r="P96" s="100">
        <v>5.6496105191106958</v>
      </c>
      <c r="Q96" s="100">
        <v>3925.3493886781112</v>
      </c>
      <c r="R96" s="100">
        <v>4.5644855088693079</v>
      </c>
      <c r="S96" s="100">
        <v>3171.4045315623948</v>
      </c>
      <c r="T96" s="100">
        <v>3.9754011716997004</v>
      </c>
      <c r="U96" s="100">
        <v>2762.1087340969516</v>
      </c>
      <c r="V96" s="100">
        <v>3.4798249745794432</v>
      </c>
      <c r="W96" s="100">
        <v>2417.7823923377969</v>
      </c>
      <c r="X96" s="100">
        <v>4.0000370592111132</v>
      </c>
      <c r="Y96" s="100">
        <v>2779.2257487398811</v>
      </c>
      <c r="Z96" s="100">
        <v>1.5667734331992196</v>
      </c>
      <c r="AA96" s="100">
        <v>1088.5941813868176</v>
      </c>
      <c r="AB96" s="100">
        <v>3.2695229298130566</v>
      </c>
      <c r="AC96" s="100">
        <v>2271.6645316341114</v>
      </c>
      <c r="AD96" s="100">
        <v>5.2394138211993173</v>
      </c>
      <c r="AE96" s="100">
        <v>3640.3447229692856</v>
      </c>
      <c r="AF96" s="100">
        <v>4.7604688218387565</v>
      </c>
      <c r="AG96" s="100">
        <v>3307.5737374135679</v>
      </c>
      <c r="AH96" s="100">
        <v>5.2098084249240308</v>
      </c>
      <c r="AI96" s="100">
        <v>3619.7748936372163</v>
      </c>
      <c r="AJ96" s="100">
        <v>0.37644854913052112</v>
      </c>
      <c r="AK96" s="100">
        <v>261.55645193588606</v>
      </c>
      <c r="AL96" s="100">
        <v>9</v>
      </c>
      <c r="AM96" s="100">
        <v>6253.2</v>
      </c>
      <c r="AN96" s="100">
        <v>6.0551740548582771</v>
      </c>
      <c r="AO96" s="100">
        <v>4207.1349333155304</v>
      </c>
      <c r="AP96" s="100">
        <v>5.4963348217292305</v>
      </c>
      <c r="AQ96" s="100">
        <v>3818.8534341374693</v>
      </c>
      <c r="AR96" s="100">
        <v>4.5095247548478588</v>
      </c>
      <c r="AS96" s="100">
        <v>3133.2177996682922</v>
      </c>
      <c r="AT96" s="100">
        <v>5.6726797291430575</v>
      </c>
      <c r="AU96" s="100">
        <v>3941.3778758085959</v>
      </c>
      <c r="AV96" s="100">
        <v>0.34749096842817334</v>
      </c>
      <c r="AW96" s="100">
        <v>241.43672486389482</v>
      </c>
      <c r="AX96" s="100">
        <v>6.3983596975023138</v>
      </c>
      <c r="AY96" s="100">
        <v>4445.5803178246069</v>
      </c>
      <c r="AZ96" s="100">
        <v>2.9768098983272733</v>
      </c>
      <c r="BA96" s="100">
        <v>2068.2875173577895</v>
      </c>
      <c r="BB96" s="100">
        <v>4.9857371945241695</v>
      </c>
      <c r="BC96" s="100">
        <v>3464.090202755393</v>
      </c>
      <c r="BD96" s="100">
        <v>10</v>
      </c>
      <c r="BE96" s="100">
        <v>6948</v>
      </c>
      <c r="BF96" s="100">
        <v>6.2475840258993998</v>
      </c>
      <c r="BG96" s="100">
        <v>4340.8213811949026</v>
      </c>
      <c r="BH96" s="100">
        <v>5.1379206665906239</v>
      </c>
      <c r="BI96" s="100">
        <v>3569.8272791471654</v>
      </c>
      <c r="BJ96" s="100">
        <v>4.8539389852512471</v>
      </c>
      <c r="BK96" s="100">
        <v>3372.5168069525662</v>
      </c>
      <c r="BL96" s="100">
        <v>0.40276562095423535</v>
      </c>
      <c r="BM96" s="100">
        <v>279.84155343900272</v>
      </c>
      <c r="BN96" s="100">
        <v>8</v>
      </c>
      <c r="BO96" s="100">
        <v>5558.4</v>
      </c>
      <c r="BP96" s="100">
        <v>7</v>
      </c>
      <c r="BQ96" s="100">
        <v>4863.5999999999995</v>
      </c>
      <c r="BR96" s="100">
        <v>4.7627293579134484</v>
      </c>
      <c r="BS96" s="100">
        <v>3309.1443578782637</v>
      </c>
      <c r="BT96" s="100">
        <v>4.9129653511986318</v>
      </c>
      <c r="BU96" s="100">
        <v>3413.528326012809</v>
      </c>
      <c r="BV96" s="100">
        <v>5.0908994227570847</v>
      </c>
      <c r="BW96" s="100">
        <v>3537.1569189316224</v>
      </c>
      <c r="BX96" s="100">
        <v>4.2703967177973308</v>
      </c>
      <c r="BY96" s="100">
        <v>2967.0716395255854</v>
      </c>
      <c r="BZ96" s="100">
        <v>4.7332622894932301</v>
      </c>
      <c r="CA96" s="100">
        <v>3288.6706387398963</v>
      </c>
      <c r="CB96" s="100">
        <v>5.8141005296994335</v>
      </c>
      <c r="CC96" s="100">
        <v>4039.6370480351661</v>
      </c>
      <c r="CD96" s="100">
        <v>5.1709217188922096</v>
      </c>
      <c r="CE96" s="100">
        <v>3592.7564102863071</v>
      </c>
      <c r="CF96" s="100">
        <v>3.8444466661142877E-4</v>
      </c>
      <c r="CG96" s="100">
        <v>0.26711215436162067</v>
      </c>
      <c r="CH96" s="100">
        <v>5.4900046139118484</v>
      </c>
      <c r="CI96" s="100">
        <v>3814.4552057459518</v>
      </c>
      <c r="CJ96" s="100">
        <v>4.9042529681652844</v>
      </c>
      <c r="CK96" s="100">
        <v>3407.4749622812392</v>
      </c>
      <c r="CL96" s="100">
        <v>4.0850792250244723</v>
      </c>
      <c r="CM96" s="100">
        <v>2838.3130455470032</v>
      </c>
      <c r="CN96" s="100">
        <v>0.34348761625734181</v>
      </c>
      <c r="CO96" s="100">
        <v>238.65519577560107</v>
      </c>
      <c r="CP96" s="100">
        <v>9</v>
      </c>
      <c r="CQ96" s="100">
        <v>6253.2</v>
      </c>
      <c r="CR96" s="100">
        <v>6.5357777294260329</v>
      </c>
      <c r="CS96" s="100">
        <v>4541.0583664052074</v>
      </c>
      <c r="CT96" s="100">
        <v>4.0575830824332977</v>
      </c>
      <c r="CU96" s="100">
        <v>2819.2087256746549</v>
      </c>
    </row>
    <row r="97" spans="2:99">
      <c r="C97" s="99" t="s">
        <v>263</v>
      </c>
      <c r="D97" s="100">
        <v>4.4784878301569213</v>
      </c>
      <c r="E97" s="100">
        <v>1757.3586245535757</v>
      </c>
      <c r="F97" s="100">
        <v>3.6950146132851684</v>
      </c>
      <c r="G97" s="100">
        <v>1449.9237342531001</v>
      </c>
      <c r="H97" s="100">
        <v>4.1009191095068029</v>
      </c>
      <c r="I97" s="100">
        <v>1609.2006585704694</v>
      </c>
      <c r="J97" s="100">
        <v>5.5510614032180889</v>
      </c>
      <c r="K97" s="100">
        <v>2178.2364946227781</v>
      </c>
      <c r="L97" s="100">
        <v>2.5619768669053151</v>
      </c>
      <c r="M97" s="100">
        <v>1005.3197225736455</v>
      </c>
      <c r="N97" s="100">
        <v>2.1385848683956499</v>
      </c>
      <c r="O97" s="100">
        <v>839.180702358453</v>
      </c>
      <c r="P97" s="100">
        <v>5.0637791463661497</v>
      </c>
      <c r="Q97" s="100">
        <v>1987.026937034077</v>
      </c>
      <c r="R97" s="100">
        <v>4.5644855088693079</v>
      </c>
      <c r="S97" s="100">
        <v>1791.1041136803162</v>
      </c>
      <c r="T97" s="100">
        <v>3.9754011716997004</v>
      </c>
      <c r="U97" s="100">
        <v>1559.9474197749623</v>
      </c>
      <c r="V97" s="100">
        <v>3.4598715114347889</v>
      </c>
      <c r="W97" s="100">
        <v>1357.6535810870112</v>
      </c>
      <c r="X97" s="100">
        <v>4.5451780458986386</v>
      </c>
      <c r="Y97" s="100">
        <v>1783.5278652106256</v>
      </c>
      <c r="Z97" s="100">
        <v>1.8351710212379644</v>
      </c>
      <c r="AA97" s="100">
        <v>720.12110873377719</v>
      </c>
      <c r="AB97" s="100">
        <v>3.2695229298130566</v>
      </c>
      <c r="AC97" s="100">
        <v>1282.9607976586433</v>
      </c>
      <c r="AD97" s="100">
        <v>5.2190617726848547</v>
      </c>
      <c r="AE97" s="100">
        <v>2047.9598396015369</v>
      </c>
      <c r="AF97" s="100">
        <v>4.7653439700534008</v>
      </c>
      <c r="AG97" s="100">
        <v>1869.9209738489544</v>
      </c>
      <c r="AH97" s="100">
        <v>4.5681558342849176</v>
      </c>
      <c r="AI97" s="100">
        <v>1792.5443493734015</v>
      </c>
      <c r="AJ97" s="100">
        <v>0.43022691329202412</v>
      </c>
      <c r="AK97" s="100">
        <v>168.82104077579027</v>
      </c>
      <c r="AL97" s="100">
        <v>10</v>
      </c>
      <c r="AM97" s="100">
        <v>3924</v>
      </c>
      <c r="AN97" s="100">
        <v>7.7852237848177843</v>
      </c>
      <c r="AO97" s="100">
        <v>3054.9218131624984</v>
      </c>
      <c r="AP97" s="100">
        <v>5.4963348217292305</v>
      </c>
      <c r="AQ97" s="100">
        <v>2156.76178404655</v>
      </c>
      <c r="AR97" s="100">
        <v>5.0105830609420643</v>
      </c>
      <c r="AS97" s="100">
        <v>1966.1527931136659</v>
      </c>
      <c r="AT97" s="100">
        <v>6.2189651125316283</v>
      </c>
      <c r="AU97" s="100">
        <v>2440.3219101574109</v>
      </c>
      <c r="AV97" s="100">
        <v>0.34749096842817334</v>
      </c>
      <c r="AW97" s="100">
        <v>136.35545601121521</v>
      </c>
      <c r="AX97" s="100">
        <v>6.3983596975023138</v>
      </c>
      <c r="AY97" s="100">
        <v>2510.716345299908</v>
      </c>
      <c r="AZ97" s="100">
        <v>2.9768098983272733</v>
      </c>
      <c r="BA97" s="100">
        <v>1168.100204103622</v>
      </c>
      <c r="BB97" s="100">
        <v>5.6979853651704797</v>
      </c>
      <c r="BC97" s="100">
        <v>2235.8894572928962</v>
      </c>
      <c r="BD97" s="100">
        <v>10</v>
      </c>
      <c r="BE97" s="100">
        <v>3924</v>
      </c>
      <c r="BF97" s="100">
        <v>6.9417600287771108</v>
      </c>
      <c r="BG97" s="100">
        <v>2723.9466352921381</v>
      </c>
      <c r="BH97" s="100">
        <v>4.8032714305602324</v>
      </c>
      <c r="BI97" s="100">
        <v>1884.8037093518351</v>
      </c>
      <c r="BJ97" s="100">
        <v>5.5286041075105556</v>
      </c>
      <c r="BK97" s="100">
        <v>2169.4242517871421</v>
      </c>
      <c r="BL97" s="100">
        <v>0.45311132357351475</v>
      </c>
      <c r="BM97" s="100">
        <v>177.80088337024716</v>
      </c>
      <c r="BN97" s="100">
        <v>9</v>
      </c>
      <c r="BO97" s="100">
        <v>3531.6</v>
      </c>
      <c r="BP97" s="100">
        <v>7</v>
      </c>
      <c r="BQ97" s="100">
        <v>2746.7999999999997</v>
      </c>
      <c r="BR97" s="100">
        <v>4.7627293579134484</v>
      </c>
      <c r="BS97" s="100">
        <v>1868.8950000452371</v>
      </c>
      <c r="BT97" s="100">
        <v>5.8531380547682863</v>
      </c>
      <c r="BU97" s="100">
        <v>2296.7713726910756</v>
      </c>
      <c r="BV97" s="100">
        <v>5.0908994227570847</v>
      </c>
      <c r="BW97" s="100">
        <v>1997.6689334898799</v>
      </c>
      <c r="BX97" s="100">
        <v>4.9821295040968856</v>
      </c>
      <c r="BY97" s="100">
        <v>1954.9876174076178</v>
      </c>
      <c r="BZ97" s="100">
        <v>4.9779513276468403</v>
      </c>
      <c r="CA97" s="100">
        <v>1953.34810096862</v>
      </c>
      <c r="CB97" s="100">
        <v>5.9559447856177261</v>
      </c>
      <c r="CC97" s="100">
        <v>2337.1127338763954</v>
      </c>
      <c r="CD97" s="100">
        <v>5.7454685765468998</v>
      </c>
      <c r="CE97" s="100">
        <v>2254.5218694370033</v>
      </c>
      <c r="CF97" s="100">
        <v>3.8444466661142877E-4</v>
      </c>
      <c r="CG97" s="100">
        <v>0.15085608717832463</v>
      </c>
      <c r="CH97" s="100">
        <v>5.2312052966333136</v>
      </c>
      <c r="CI97" s="100">
        <v>2052.7249583989123</v>
      </c>
      <c r="CJ97" s="100">
        <v>5.3733451422350651</v>
      </c>
      <c r="CK97" s="100">
        <v>2108.5006338130393</v>
      </c>
      <c r="CL97" s="100">
        <v>4.7484436400967001</v>
      </c>
      <c r="CM97" s="100">
        <v>1863.2892843739451</v>
      </c>
      <c r="CN97" s="100">
        <v>0.34348761625734181</v>
      </c>
      <c r="CO97" s="100">
        <v>134.78454061938092</v>
      </c>
      <c r="CP97" s="100">
        <v>10</v>
      </c>
      <c r="CQ97" s="100">
        <v>3924</v>
      </c>
      <c r="CR97" s="100">
        <v>6.5357777294260329</v>
      </c>
      <c r="CS97" s="100">
        <v>2564.6391810267751</v>
      </c>
      <c r="CT97" s="100">
        <v>4.6372378084951968</v>
      </c>
      <c r="CU97" s="100">
        <v>1819.6521160535151</v>
      </c>
    </row>
    <row r="98" spans="2:99">
      <c r="C98" s="99" t="s">
        <v>264</v>
      </c>
      <c r="D98" s="100">
        <v>4.5053791727044956</v>
      </c>
      <c r="E98" s="100">
        <v>2368.027293173483</v>
      </c>
      <c r="F98" s="100">
        <v>3.1671553828158583</v>
      </c>
      <c r="G98" s="100">
        <v>1664.6568692080152</v>
      </c>
      <c r="H98" s="100">
        <v>4.1009191095068029</v>
      </c>
      <c r="I98" s="100">
        <v>2155.4430839567758</v>
      </c>
      <c r="J98" s="100">
        <v>4.886937326693702</v>
      </c>
      <c r="K98" s="100">
        <v>2568.5742589102097</v>
      </c>
      <c r="L98" s="100">
        <v>2.5619768669053151</v>
      </c>
      <c r="M98" s="100">
        <v>1346.5750412454338</v>
      </c>
      <c r="N98" s="100">
        <v>2.1385848683956499</v>
      </c>
      <c r="O98" s="100">
        <v>1124.0402068287535</v>
      </c>
      <c r="P98" s="100">
        <v>5.041595136694986</v>
      </c>
      <c r="Q98" s="100">
        <v>2649.8624038468847</v>
      </c>
      <c r="R98" s="100">
        <v>4.5644855088693079</v>
      </c>
      <c r="S98" s="100">
        <v>2399.0935834617085</v>
      </c>
      <c r="T98" s="100">
        <v>3.9754011716997004</v>
      </c>
      <c r="U98" s="100">
        <v>2089.4708558453626</v>
      </c>
      <c r="V98" s="100">
        <v>3.4798249745794432</v>
      </c>
      <c r="W98" s="100">
        <v>1828.9960066389554</v>
      </c>
      <c r="X98" s="100">
        <v>4.0000370592111132</v>
      </c>
      <c r="Y98" s="100">
        <v>2102.4194783213611</v>
      </c>
      <c r="Z98" s="100">
        <v>1.5527243398863761</v>
      </c>
      <c r="AA98" s="100">
        <v>816.11191304427939</v>
      </c>
      <c r="AB98" s="100">
        <v>3.2695229298130566</v>
      </c>
      <c r="AC98" s="100">
        <v>1718.4612519097427</v>
      </c>
      <c r="AD98" s="100">
        <v>5.2190617726848547</v>
      </c>
      <c r="AE98" s="100">
        <v>2743.1388677231598</v>
      </c>
      <c r="AF98" s="100">
        <v>4.755593673624114</v>
      </c>
      <c r="AG98" s="100">
        <v>2499.5400348568346</v>
      </c>
      <c r="AH98" s="100">
        <v>5.2098084249240308</v>
      </c>
      <c r="AI98" s="100">
        <v>2738.2753081400706</v>
      </c>
      <c r="AJ98" s="100">
        <v>0.37644854913052112</v>
      </c>
      <c r="AK98" s="100">
        <v>197.86135742300192</v>
      </c>
      <c r="AL98" s="100">
        <v>11</v>
      </c>
      <c r="AM98" s="100">
        <v>5781.6</v>
      </c>
      <c r="AN98" s="100">
        <v>6.9201989198380307</v>
      </c>
      <c r="AO98" s="100">
        <v>3637.2565522668692</v>
      </c>
      <c r="AP98" s="100">
        <v>5.4963348217292305</v>
      </c>
      <c r="AQ98" s="100">
        <v>2888.8735823008838</v>
      </c>
      <c r="AR98" s="100">
        <v>5.0105830609420643</v>
      </c>
      <c r="AS98" s="100">
        <v>2633.5624568311491</v>
      </c>
      <c r="AT98" s="100">
        <v>5.6516971396173226</v>
      </c>
      <c r="AU98" s="100">
        <v>2970.5320165828648</v>
      </c>
      <c r="AV98" s="100">
        <v>0.39713253534648379</v>
      </c>
      <c r="AW98" s="100">
        <v>208.73286057811188</v>
      </c>
      <c r="AX98" s="100">
        <v>7.4481546596901032</v>
      </c>
      <c r="AY98" s="100">
        <v>3914.7500891331183</v>
      </c>
      <c r="AZ98" s="100">
        <v>2.9768098983272733</v>
      </c>
      <c r="BA98" s="100">
        <v>1564.611282560815</v>
      </c>
      <c r="BB98" s="100">
        <v>4.9857371945241695</v>
      </c>
      <c r="BC98" s="100">
        <v>2620.5034694419037</v>
      </c>
      <c r="BD98" s="100">
        <v>11</v>
      </c>
      <c r="BE98" s="100">
        <v>5781.6</v>
      </c>
      <c r="BF98" s="100">
        <v>7.6359360316548228</v>
      </c>
      <c r="BG98" s="100">
        <v>4013.4479782377753</v>
      </c>
      <c r="BH98" s="100">
        <v>4.819557142435567</v>
      </c>
      <c r="BI98" s="100">
        <v>2533.1592340641341</v>
      </c>
      <c r="BJ98" s="100">
        <v>4.8466454780603527</v>
      </c>
      <c r="BK98" s="100">
        <v>2547.3968632685214</v>
      </c>
      <c r="BL98" s="100">
        <v>0.45311132357351475</v>
      </c>
      <c r="BM98" s="100">
        <v>238.15531167023937</v>
      </c>
      <c r="BN98" s="100">
        <v>8</v>
      </c>
      <c r="BO98" s="100">
        <v>4204.8</v>
      </c>
      <c r="BP98" s="100">
        <v>8</v>
      </c>
      <c r="BQ98" s="100">
        <v>4204.8</v>
      </c>
      <c r="BR98" s="100">
        <v>4.7627293579134484</v>
      </c>
      <c r="BS98" s="100">
        <v>2503.2905505193085</v>
      </c>
      <c r="BT98" s="100">
        <v>4.7008635178482745</v>
      </c>
      <c r="BU98" s="100">
        <v>2470.7738649810531</v>
      </c>
      <c r="BV98" s="100">
        <v>5.0908994227570847</v>
      </c>
      <c r="BW98" s="100">
        <v>2675.776736601124</v>
      </c>
      <c r="BX98" s="100">
        <v>4.9821295040968856</v>
      </c>
      <c r="BY98" s="100">
        <v>2618.6072673533231</v>
      </c>
      <c r="BZ98" s="100">
        <v>4.7332622894932301</v>
      </c>
      <c r="CA98" s="100">
        <v>2487.8026593576419</v>
      </c>
      <c r="CB98" s="100">
        <v>5.9559447856177261</v>
      </c>
      <c r="CC98" s="100">
        <v>3130.4445793206769</v>
      </c>
      <c r="CD98" s="100">
        <v>5.7454685765468998</v>
      </c>
      <c r="CE98" s="100">
        <v>3019.8182838330508</v>
      </c>
      <c r="CF98" s="100">
        <v>4.5087668074464421E-4</v>
      </c>
      <c r="CG98" s="100">
        <v>0.236980783399385</v>
      </c>
      <c r="CH98" s="100">
        <v>5.4900046139118484</v>
      </c>
      <c r="CI98" s="100">
        <v>2885.5464250720674</v>
      </c>
      <c r="CJ98" s="100">
        <v>4.9042529681652844</v>
      </c>
      <c r="CK98" s="100">
        <v>2577.6753600676734</v>
      </c>
      <c r="CL98" s="100">
        <v>4.7565123119883239</v>
      </c>
      <c r="CM98" s="100">
        <v>2500.0228711810632</v>
      </c>
      <c r="CN98" s="100">
        <v>0.34348761625734181</v>
      </c>
      <c r="CO98" s="100">
        <v>180.53709110485886</v>
      </c>
      <c r="CP98" s="100">
        <v>8</v>
      </c>
      <c r="CQ98" s="100">
        <v>4204.8</v>
      </c>
      <c r="CR98" s="100">
        <v>6.5357777294260329</v>
      </c>
      <c r="CS98" s="100">
        <v>3435.2047745863229</v>
      </c>
      <c r="CT98" s="100">
        <v>4.6872724328096798</v>
      </c>
      <c r="CU98" s="100">
        <v>2463.6303906847679</v>
      </c>
    </row>
    <row r="99" spans="2:99">
      <c r="C99" s="99" t="s">
        <v>265</v>
      </c>
      <c r="D99" s="100">
        <v>3.7455188630712217</v>
      </c>
      <c r="E99" s="100">
        <v>15762.641583348928</v>
      </c>
      <c r="F99" s="100">
        <v>3.1671553828158583</v>
      </c>
      <c r="G99" s="100">
        <v>13328.656713042257</v>
      </c>
      <c r="H99" s="100">
        <v>3.0756893321301026</v>
      </c>
      <c r="I99" s="100">
        <v>12943.730985336322</v>
      </c>
      <c r="J99" s="100">
        <v>4.042374676659839</v>
      </c>
      <c r="K99" s="100">
        <v>17011.929589255265</v>
      </c>
      <c r="L99" s="100">
        <v>2.5173954186037362</v>
      </c>
      <c r="M99" s="100">
        <v>10594.206879651962</v>
      </c>
      <c r="N99" s="100">
        <v>1.9009643274627996</v>
      </c>
      <c r="O99" s="100">
        <v>8000.018275694445</v>
      </c>
      <c r="P99" s="100">
        <v>4.3892117349369499</v>
      </c>
      <c r="Q99" s="100">
        <v>18471.558665308658</v>
      </c>
      <c r="R99" s="100">
        <v>3.5501553957872392</v>
      </c>
      <c r="S99" s="100">
        <v>14940.473967631016</v>
      </c>
      <c r="T99" s="100">
        <v>3.4611391982390551</v>
      </c>
      <c r="U99" s="100">
        <v>14565.858201869238</v>
      </c>
      <c r="V99" s="100">
        <v>2.9855576158030441</v>
      </c>
      <c r="W99" s="100">
        <v>12564.420670345529</v>
      </c>
      <c r="X99" s="100">
        <v>3.428603193609526</v>
      </c>
      <c r="Y99" s="100">
        <v>14428.933679986329</v>
      </c>
      <c r="Z99" s="100">
        <v>1.2421794719091011</v>
      </c>
      <c r="AA99" s="100">
        <v>5227.5880895822602</v>
      </c>
      <c r="AB99" s="100">
        <v>2.1796819532087044</v>
      </c>
      <c r="AC99" s="100">
        <v>9172.9735318835101</v>
      </c>
      <c r="AD99" s="100">
        <v>3.7482533147179296</v>
      </c>
      <c r="AE99" s="100">
        <v>15774.149249658933</v>
      </c>
      <c r="AF99" s="100">
        <v>3.9304937399224702</v>
      </c>
      <c r="AG99" s="100">
        <v>16541.089855089722</v>
      </c>
      <c r="AH99" s="100">
        <v>3.9169297811694137</v>
      </c>
      <c r="AI99" s="100">
        <v>16484.007291073358</v>
      </c>
      <c r="AJ99" s="100">
        <v>0.32267018496901811</v>
      </c>
      <c r="AK99" s="100">
        <v>1357.9252064236157</v>
      </c>
      <c r="AL99" s="100">
        <v>8</v>
      </c>
      <c r="AM99" s="100">
        <v>33667.199999999997</v>
      </c>
      <c r="AN99" s="100">
        <v>6.0551740548582771</v>
      </c>
      <c r="AO99" s="100">
        <v>25482.594492465571</v>
      </c>
      <c r="AP99" s="100">
        <v>4.7111441329107695</v>
      </c>
      <c r="AQ99" s="100">
        <v>19826.378968941681</v>
      </c>
      <c r="AR99" s="100">
        <v>4.0084664487536514</v>
      </c>
      <c r="AS99" s="100">
        <v>16869.230202934865</v>
      </c>
      <c r="AT99" s="100">
        <v>5.0844291667030177</v>
      </c>
      <c r="AU99" s="100">
        <v>21397.311705152977</v>
      </c>
      <c r="AV99" s="100">
        <v>0.34749096842817334</v>
      </c>
      <c r="AW99" s="100">
        <v>1462.3809915331246</v>
      </c>
      <c r="AX99" s="100">
        <v>5.3485647353145245</v>
      </c>
      <c r="AY99" s="100">
        <v>22508.899832097643</v>
      </c>
      <c r="AZ99" s="100">
        <v>2.551551341423377</v>
      </c>
      <c r="BA99" s="100">
        <v>10737.948665246138</v>
      </c>
      <c r="BB99" s="100">
        <v>4.2734890238778593</v>
      </c>
      <c r="BC99" s="100">
        <v>17984.551208087581</v>
      </c>
      <c r="BD99" s="100">
        <v>8</v>
      </c>
      <c r="BE99" s="100">
        <v>33667.199999999997</v>
      </c>
      <c r="BF99" s="100">
        <v>6.2475840258993998</v>
      </c>
      <c r="BG99" s="100">
        <v>26292.33261459503</v>
      </c>
      <c r="BH99" s="100">
        <v>4.1103365332724993</v>
      </c>
      <c r="BI99" s="100">
        <v>17297.940266623984</v>
      </c>
      <c r="BJ99" s="100">
        <v>4.8466454780603527</v>
      </c>
      <c r="BK99" s="100">
        <v>20396.622829869186</v>
      </c>
      <c r="BL99" s="100">
        <v>0.35241991833495595</v>
      </c>
      <c r="BM99" s="100">
        <v>1483.1239843208284</v>
      </c>
      <c r="BN99" s="100">
        <v>7</v>
      </c>
      <c r="BO99" s="100">
        <v>29458.799999999996</v>
      </c>
      <c r="BP99" s="100">
        <v>7</v>
      </c>
      <c r="BQ99" s="100">
        <v>29458.799999999996</v>
      </c>
      <c r="BR99" s="100">
        <v>3.9689411315945406</v>
      </c>
      <c r="BS99" s="100">
        <v>16702.891858202463</v>
      </c>
      <c r="BT99" s="100">
        <v>4.2307771660634472</v>
      </c>
      <c r="BU99" s="100">
        <v>17804.80262566141</v>
      </c>
      <c r="BV99" s="100">
        <v>3.959588439922177</v>
      </c>
      <c r="BW99" s="100">
        <v>16663.531990568488</v>
      </c>
      <c r="BX99" s="100">
        <v>3.5586639314977755</v>
      </c>
      <c r="BY99" s="100">
        <v>14976.281289315237</v>
      </c>
      <c r="BZ99" s="100">
        <v>3.3809016353523074</v>
      </c>
      <c r="CA99" s="100">
        <v>14228.186442216649</v>
      </c>
      <c r="CB99" s="100">
        <v>4.34191215360695</v>
      </c>
      <c r="CC99" s="100">
        <v>18272.503107239489</v>
      </c>
      <c r="CD99" s="100">
        <v>4.5963748612375204</v>
      </c>
      <c r="CE99" s="100">
        <v>19343.383966031979</v>
      </c>
      <c r="CF99" s="100">
        <v>3.295239999526532E-4</v>
      </c>
      <c r="CG99" s="100">
        <v>1.3867688014007455</v>
      </c>
      <c r="CH99" s="100">
        <v>4.1563233580256664</v>
      </c>
      <c r="CI99" s="100">
        <v>17491.471219915213</v>
      </c>
      <c r="CJ99" s="100">
        <v>4.221829566628025</v>
      </c>
      <c r="CK99" s="100">
        <v>17767.147548197379</v>
      </c>
      <c r="CL99" s="100">
        <v>3.4055774661689981</v>
      </c>
      <c r="CM99" s="100">
        <v>14332.032208625611</v>
      </c>
      <c r="CN99" s="100">
        <v>0.28623968021445151</v>
      </c>
      <c r="CO99" s="100">
        <v>1204.6110702144977</v>
      </c>
      <c r="CP99" s="100">
        <v>7</v>
      </c>
      <c r="CQ99" s="100">
        <v>29458.799999999996</v>
      </c>
      <c r="CR99" s="100">
        <v>5.8095802039342512</v>
      </c>
      <c r="CS99" s="100">
        <v>24449.037330236901</v>
      </c>
      <c r="CT99" s="100">
        <v>3.5208151772123824</v>
      </c>
      <c r="CU99" s="100">
        <v>14816.998591780588</v>
      </c>
    </row>
    <row r="100" spans="2:99">
      <c r="C100" s="99" t="s">
        <v>266</v>
      </c>
      <c r="D100" s="100">
        <v>4.5053791727044956</v>
      </c>
      <c r="E100" s="100">
        <v>1459.7428519562566</v>
      </c>
      <c r="F100" s="100">
        <v>3.6950146132851684</v>
      </c>
      <c r="G100" s="100">
        <v>1197.1847347043945</v>
      </c>
      <c r="H100" s="100">
        <v>4.6135339981951544</v>
      </c>
      <c r="I100" s="100">
        <v>1494.78501541523</v>
      </c>
      <c r="J100" s="100">
        <v>5.5510614032180889</v>
      </c>
      <c r="K100" s="100">
        <v>1798.5438946426609</v>
      </c>
      <c r="L100" s="100">
        <v>2.5619768669053151</v>
      </c>
      <c r="M100" s="100">
        <v>830.08050487732214</v>
      </c>
      <c r="N100" s="100">
        <v>1.9009643274627996</v>
      </c>
      <c r="O100" s="100">
        <v>615.91244209794706</v>
      </c>
      <c r="P100" s="100">
        <v>5.6496105191106958</v>
      </c>
      <c r="Q100" s="100">
        <v>1830.4738081918654</v>
      </c>
      <c r="R100" s="100">
        <v>4.5644855088693079</v>
      </c>
      <c r="S100" s="100">
        <v>1478.8933048736558</v>
      </c>
      <c r="T100" s="100">
        <v>4.4302225954522916</v>
      </c>
      <c r="U100" s="100">
        <v>1435.3921209265425</v>
      </c>
      <c r="V100" s="100">
        <v>3.4798249745794432</v>
      </c>
      <c r="W100" s="100">
        <v>1127.4632917637396</v>
      </c>
      <c r="X100" s="100">
        <v>4.5451780458986386</v>
      </c>
      <c r="Y100" s="100">
        <v>1472.6376868711588</v>
      </c>
      <c r="Z100" s="100">
        <v>1.5667734331992196</v>
      </c>
      <c r="AA100" s="100">
        <v>507.63459235654716</v>
      </c>
      <c r="AB100" s="100">
        <v>2.9999279014510396</v>
      </c>
      <c r="AC100" s="100">
        <v>971.9766400701368</v>
      </c>
      <c r="AD100" s="100">
        <v>4.4938335679586237</v>
      </c>
      <c r="AE100" s="100">
        <v>1456.0020760185942</v>
      </c>
      <c r="AF100" s="100">
        <v>4.7604688218387565</v>
      </c>
      <c r="AG100" s="100">
        <v>1542.3918982757571</v>
      </c>
      <c r="AH100" s="100">
        <v>5.2098084249240308</v>
      </c>
      <c r="AI100" s="100">
        <v>1687.9779296753859</v>
      </c>
      <c r="AJ100" s="100">
        <v>0.48400527745352712</v>
      </c>
      <c r="AK100" s="100">
        <v>156.81770989494279</v>
      </c>
      <c r="AL100" s="100">
        <v>11</v>
      </c>
      <c r="AM100" s="100">
        <v>3564</v>
      </c>
      <c r="AN100" s="100">
        <v>6.9201989198380307</v>
      </c>
      <c r="AO100" s="100">
        <v>2242.144450027522</v>
      </c>
      <c r="AP100" s="100">
        <v>5.4963348217292305</v>
      </c>
      <c r="AQ100" s="100">
        <v>1780.8124822402706</v>
      </c>
      <c r="AR100" s="100">
        <v>5.5116413670362716</v>
      </c>
      <c r="AS100" s="100">
        <v>1785.771802919752</v>
      </c>
      <c r="AT100" s="100">
        <v>5.6516971396173226</v>
      </c>
      <c r="AU100" s="100">
        <v>1831.1498732360126</v>
      </c>
      <c r="AV100" s="100">
        <v>0.39713253534648379</v>
      </c>
      <c r="AW100" s="100">
        <v>128.67094145226076</v>
      </c>
      <c r="AX100" s="100">
        <v>7.3983596975023138</v>
      </c>
      <c r="AY100" s="100">
        <v>2397.0685419907495</v>
      </c>
      <c r="AZ100" s="100">
        <v>2.9768098983272733</v>
      </c>
      <c r="BA100" s="100">
        <v>964.48640705803655</v>
      </c>
      <c r="BB100" s="100">
        <v>4.9857371945241695</v>
      </c>
      <c r="BC100" s="100">
        <v>1615.378851025831</v>
      </c>
      <c r="BD100" s="100">
        <v>10</v>
      </c>
      <c r="BE100" s="100">
        <v>3240</v>
      </c>
      <c r="BF100" s="100">
        <v>7.6359360316548228</v>
      </c>
      <c r="BG100" s="100">
        <v>2474.0432742561625</v>
      </c>
      <c r="BH100" s="100">
        <v>5.3170634972192943</v>
      </c>
      <c r="BI100" s="100">
        <v>1722.7285730990513</v>
      </c>
      <c r="BJ100" s="100">
        <v>5.5358976147014491</v>
      </c>
      <c r="BK100" s="100">
        <v>1793.6308271632695</v>
      </c>
      <c r="BL100" s="100">
        <v>0.35241991833495595</v>
      </c>
      <c r="BM100" s="100">
        <v>114.18405354052572</v>
      </c>
      <c r="BN100" s="100">
        <v>9</v>
      </c>
      <c r="BO100" s="100">
        <v>2916</v>
      </c>
      <c r="BP100" s="100">
        <v>8</v>
      </c>
      <c r="BQ100" s="100">
        <v>2592</v>
      </c>
      <c r="BR100" s="100">
        <v>5.5565175842323562</v>
      </c>
      <c r="BS100" s="100">
        <v>1800.3116972912835</v>
      </c>
      <c r="BT100" s="100">
        <v>4.7008635178482745</v>
      </c>
      <c r="BU100" s="100">
        <v>1523.0797797828409</v>
      </c>
      <c r="BV100" s="100">
        <v>5.0908994227570847</v>
      </c>
      <c r="BW100" s="100">
        <v>1649.4514129732954</v>
      </c>
      <c r="BX100" s="100">
        <v>4.9821295040968856</v>
      </c>
      <c r="BY100" s="100">
        <v>1614.2099593273908</v>
      </c>
      <c r="BZ100" s="100">
        <v>5.4094426165636911</v>
      </c>
      <c r="CA100" s="100">
        <v>1752.6594077666359</v>
      </c>
      <c r="CB100" s="100">
        <v>5.4273901920086871</v>
      </c>
      <c r="CC100" s="100">
        <v>1758.4744222108147</v>
      </c>
      <c r="CD100" s="100">
        <v>5.1709217188922096</v>
      </c>
      <c r="CE100" s="100">
        <v>1675.3786369210759</v>
      </c>
      <c r="CF100" s="100">
        <v>4.3936533327020429E-4</v>
      </c>
      <c r="CG100" s="100">
        <v>0.14235436797954618</v>
      </c>
      <c r="CH100" s="100">
        <v>6.195665139446719</v>
      </c>
      <c r="CI100" s="100">
        <v>2007.395505180737</v>
      </c>
      <c r="CJ100" s="100">
        <v>5.629106088837367</v>
      </c>
      <c r="CK100" s="100">
        <v>1823.830372783307</v>
      </c>
      <c r="CL100" s="100">
        <v>4.0931478969160962</v>
      </c>
      <c r="CM100" s="100">
        <v>1326.1799186008152</v>
      </c>
      <c r="CN100" s="100">
        <v>0.34348761625734181</v>
      </c>
      <c r="CO100" s="100">
        <v>111.28998766737875</v>
      </c>
      <c r="CP100" s="100">
        <v>10</v>
      </c>
      <c r="CQ100" s="100">
        <v>3240</v>
      </c>
      <c r="CR100" s="100">
        <v>7.2619752549178145</v>
      </c>
      <c r="CS100" s="100">
        <v>2352.879982593372</v>
      </c>
      <c r="CT100" s="100">
        <v>4.6872724328096798</v>
      </c>
      <c r="CU100" s="100">
        <v>1518.6762682303363</v>
      </c>
    </row>
    <row r="101" spans="2:99">
      <c r="C101" s="99" t="s">
        <v>267</v>
      </c>
      <c r="D101" s="100">
        <v>3.7993015481663708</v>
      </c>
      <c r="E101" s="100">
        <v>2749.1746002531859</v>
      </c>
      <c r="F101" s="100">
        <v>3.6950146132851684</v>
      </c>
      <c r="G101" s="100">
        <v>2673.7125741731479</v>
      </c>
      <c r="H101" s="100">
        <v>4.1009191095068029</v>
      </c>
      <c r="I101" s="100">
        <v>2967.4250676391225</v>
      </c>
      <c r="J101" s="100">
        <v>5.5149736885161937</v>
      </c>
      <c r="K101" s="100">
        <v>3990.634961010318</v>
      </c>
      <c r="L101" s="100">
        <v>2.5619768669053151</v>
      </c>
      <c r="M101" s="100">
        <v>1853.8464608926861</v>
      </c>
      <c r="N101" s="100">
        <v>2.1385848683956499</v>
      </c>
      <c r="O101" s="100">
        <v>1547.4800107710923</v>
      </c>
      <c r="P101" s="100">
        <v>5.6717945287818594</v>
      </c>
      <c r="Q101" s="100">
        <v>4104.1105210265532</v>
      </c>
      <c r="R101" s="100">
        <v>4.5644855088693079</v>
      </c>
      <c r="S101" s="100">
        <v>3302.8617142178314</v>
      </c>
      <c r="T101" s="100">
        <v>3.955587655130349</v>
      </c>
      <c r="U101" s="100">
        <v>2862.2632272523206</v>
      </c>
      <c r="V101" s="100">
        <v>3.4598715114347889</v>
      </c>
      <c r="W101" s="100">
        <v>2503.5630256742133</v>
      </c>
      <c r="X101" s="100">
        <v>4.0263299381251754</v>
      </c>
      <c r="Y101" s="100">
        <v>2913.4523432273768</v>
      </c>
      <c r="Z101" s="100">
        <v>1.8492201145508078</v>
      </c>
      <c r="AA101" s="100">
        <v>1338.0956748889646</v>
      </c>
      <c r="AB101" s="100">
        <v>2.9062426042782725</v>
      </c>
      <c r="AC101" s="100">
        <v>2102.9571484557582</v>
      </c>
      <c r="AD101" s="100">
        <v>4.5141856164730871</v>
      </c>
      <c r="AE101" s="100">
        <v>3266.4647120799259</v>
      </c>
      <c r="AF101" s="100">
        <v>4.755593673624114</v>
      </c>
      <c r="AG101" s="100">
        <v>3441.1475822344091</v>
      </c>
      <c r="AH101" s="100">
        <v>4.5585823718085274</v>
      </c>
      <c r="AI101" s="100">
        <v>3298.5902042406506</v>
      </c>
      <c r="AJ101" s="100">
        <v>0.37644854913052112</v>
      </c>
      <c r="AK101" s="100">
        <v>272.39817015084509</v>
      </c>
      <c r="AL101" s="100">
        <v>11</v>
      </c>
      <c r="AM101" s="100">
        <v>7959.6</v>
      </c>
      <c r="AN101" s="100">
        <v>7.7852237848177843</v>
      </c>
      <c r="AO101" s="100">
        <v>5633.387930694149</v>
      </c>
      <c r="AP101" s="100">
        <v>4.7111441329107695</v>
      </c>
      <c r="AQ101" s="100">
        <v>3408.9838945742331</v>
      </c>
      <c r="AR101" s="100">
        <v>4.5095247548478588</v>
      </c>
      <c r="AS101" s="100">
        <v>3263.0921126079106</v>
      </c>
      <c r="AT101" s="100">
        <v>5.6726797291430575</v>
      </c>
      <c r="AU101" s="100">
        <v>4104.7510520079168</v>
      </c>
      <c r="AV101" s="100">
        <v>0.39713253534648379</v>
      </c>
      <c r="AW101" s="100">
        <v>287.36510257671569</v>
      </c>
      <c r="AX101" s="100">
        <v>6.3983596975023138</v>
      </c>
      <c r="AY101" s="100">
        <v>4629.8530771126743</v>
      </c>
      <c r="AZ101" s="100">
        <v>3.4020684552311695</v>
      </c>
      <c r="BA101" s="100">
        <v>2461.7367342052744</v>
      </c>
      <c r="BB101" s="100">
        <v>5.6979853651704797</v>
      </c>
      <c r="BC101" s="100">
        <v>4123.0622102373591</v>
      </c>
      <c r="BD101" s="100">
        <v>9</v>
      </c>
      <c r="BE101" s="100">
        <v>6512.4000000000005</v>
      </c>
      <c r="BF101" s="100">
        <v>7.6359360316548228</v>
      </c>
      <c r="BG101" s="100">
        <v>5525.3633125054303</v>
      </c>
      <c r="BH101" s="100">
        <v>4.819557142435567</v>
      </c>
      <c r="BI101" s="100">
        <v>3487.4315482663765</v>
      </c>
      <c r="BJ101" s="100">
        <v>5.5286041075105556</v>
      </c>
      <c r="BK101" s="100">
        <v>4000.497932194638</v>
      </c>
      <c r="BL101" s="100">
        <v>0.35241991833495595</v>
      </c>
      <c r="BM101" s="100">
        <v>255.01105290717413</v>
      </c>
      <c r="BN101" s="100">
        <v>9</v>
      </c>
      <c r="BO101" s="100">
        <v>6512.4000000000005</v>
      </c>
      <c r="BP101" s="100">
        <v>7</v>
      </c>
      <c r="BQ101" s="100">
        <v>5065.2</v>
      </c>
      <c r="BR101" s="100">
        <v>5.5565175842323562</v>
      </c>
      <c r="BS101" s="100">
        <v>4020.6961239505331</v>
      </c>
      <c r="BT101" s="100">
        <v>4.7008635178482745</v>
      </c>
      <c r="BU101" s="100">
        <v>3401.5448415150117</v>
      </c>
      <c r="BV101" s="100">
        <v>4.8404337579627601</v>
      </c>
      <c r="BW101" s="100">
        <v>3502.5378672618535</v>
      </c>
      <c r="BX101" s="100">
        <v>4.2703967177973308</v>
      </c>
      <c r="BY101" s="100">
        <v>3090.0590649981486</v>
      </c>
      <c r="BZ101" s="100">
        <v>4.2795265425624143</v>
      </c>
      <c r="CA101" s="100">
        <v>3096.6654061981631</v>
      </c>
      <c r="CB101" s="100">
        <v>5.4273901920086871</v>
      </c>
      <c r="CC101" s="100">
        <v>3927.259542937486</v>
      </c>
      <c r="CD101" s="100">
        <v>5.1709217188922096</v>
      </c>
      <c r="CE101" s="100">
        <v>3741.6789557904031</v>
      </c>
      <c r="CF101" s="100">
        <v>4.4943776231033922E-4</v>
      </c>
      <c r="CG101" s="100">
        <v>0.32521316480776147</v>
      </c>
      <c r="CH101" s="100">
        <v>5.5158845456397012</v>
      </c>
      <c r="CI101" s="100">
        <v>3991.2940572248881</v>
      </c>
      <c r="CJ101" s="100">
        <v>5.8230435683532562</v>
      </c>
      <c r="CK101" s="100">
        <v>4213.5543260604163</v>
      </c>
      <c r="CL101" s="100">
        <v>4.7565123119883239</v>
      </c>
      <c r="CM101" s="100">
        <v>3441.8123089547512</v>
      </c>
      <c r="CN101" s="100">
        <v>0.40073555230023211</v>
      </c>
      <c r="CO101" s="100">
        <v>289.97224564444798</v>
      </c>
      <c r="CP101" s="100">
        <v>10</v>
      </c>
      <c r="CQ101" s="100">
        <v>7236</v>
      </c>
      <c r="CR101" s="100">
        <v>6.5357777294260329</v>
      </c>
      <c r="CS101" s="100">
        <v>4729.2887650126777</v>
      </c>
      <c r="CT101" s="100">
        <v>4.1076177067477797</v>
      </c>
      <c r="CU101" s="100">
        <v>2972.2721726026934</v>
      </c>
    </row>
    <row r="102" spans="2:99">
      <c r="C102" s="99" t="s">
        <v>268</v>
      </c>
      <c r="D102" s="100">
        <v>4.4784878301569213</v>
      </c>
      <c r="E102" s="100">
        <v>2380.7641305114194</v>
      </c>
      <c r="F102" s="100">
        <v>3.1671553828158583</v>
      </c>
      <c r="G102" s="100">
        <v>1683.6598015049103</v>
      </c>
      <c r="H102" s="100">
        <v>4.1009191095068029</v>
      </c>
      <c r="I102" s="100">
        <v>2180.0485986138165</v>
      </c>
      <c r="J102" s="100">
        <v>5.5871491179199833</v>
      </c>
      <c r="K102" s="100">
        <v>2970.1284710862633</v>
      </c>
      <c r="L102" s="100">
        <v>2.5619768669053151</v>
      </c>
      <c r="M102" s="100">
        <v>1361.9469024468656</v>
      </c>
      <c r="N102" s="100">
        <v>2.1385848683956499</v>
      </c>
      <c r="O102" s="100">
        <v>1136.8717160391275</v>
      </c>
      <c r="P102" s="100">
        <v>6.2576259015264073</v>
      </c>
      <c r="Q102" s="100">
        <v>3326.5539292514381</v>
      </c>
      <c r="R102" s="100">
        <v>4.5644855088693079</v>
      </c>
      <c r="S102" s="100">
        <v>2426.4804965149242</v>
      </c>
      <c r="T102" s="100">
        <v>3.955587655130349</v>
      </c>
      <c r="U102" s="100">
        <v>2102.7903974672936</v>
      </c>
      <c r="V102" s="100">
        <v>3.4598715114347889</v>
      </c>
      <c r="W102" s="100">
        <v>1839.2676954787339</v>
      </c>
      <c r="X102" s="100">
        <v>4.0000370592111132</v>
      </c>
      <c r="Y102" s="100">
        <v>2126.4197006766281</v>
      </c>
      <c r="Z102" s="100">
        <v>1.4122334067579412</v>
      </c>
      <c r="AA102" s="100">
        <v>750.74327903252151</v>
      </c>
      <c r="AB102" s="100">
        <v>3.3527987495221829</v>
      </c>
      <c r="AC102" s="100">
        <v>1782.3478152459925</v>
      </c>
      <c r="AD102" s="100">
        <v>5.2394138211993173</v>
      </c>
      <c r="AE102" s="100">
        <v>2785.272387349557</v>
      </c>
      <c r="AF102" s="100">
        <v>3.9743700738542631</v>
      </c>
      <c r="AG102" s="100">
        <v>2112.7751312609262</v>
      </c>
      <c r="AH102" s="100">
        <v>4.5681558342849176</v>
      </c>
      <c r="AI102" s="100">
        <v>2428.4316415058624</v>
      </c>
      <c r="AJ102" s="100">
        <v>0.43022691329202412</v>
      </c>
      <c r="AK102" s="100">
        <v>228.70862710604004</v>
      </c>
      <c r="AL102" s="100">
        <v>10</v>
      </c>
      <c r="AM102" s="100">
        <v>5316</v>
      </c>
      <c r="AN102" s="100">
        <v>6.9201989198380307</v>
      </c>
      <c r="AO102" s="100">
        <v>3678.7777457858974</v>
      </c>
      <c r="AP102" s="100">
        <v>5.4963348217292305</v>
      </c>
      <c r="AQ102" s="100">
        <v>2921.8515912312591</v>
      </c>
      <c r="AR102" s="100">
        <v>5.0105830609420643</v>
      </c>
      <c r="AS102" s="100">
        <v>2663.6259551968014</v>
      </c>
      <c r="AT102" s="100">
        <v>5.6726797291430575</v>
      </c>
      <c r="AU102" s="100">
        <v>3015.5965440124496</v>
      </c>
      <c r="AV102" s="100">
        <v>0.39713253534648379</v>
      </c>
      <c r="AW102" s="100">
        <v>211.1156557901908</v>
      </c>
      <c r="AX102" s="100">
        <v>6.4481546596901032</v>
      </c>
      <c r="AY102" s="100">
        <v>3427.8390170912589</v>
      </c>
      <c r="AZ102" s="100">
        <v>2.9768098983272733</v>
      </c>
      <c r="BA102" s="100">
        <v>1582.4721419507785</v>
      </c>
      <c r="BB102" s="100">
        <v>4.9857371945241695</v>
      </c>
      <c r="BC102" s="100">
        <v>2650.4178926090485</v>
      </c>
      <c r="BD102" s="100">
        <v>10</v>
      </c>
      <c r="BE102" s="100">
        <v>5316</v>
      </c>
      <c r="BF102" s="100">
        <v>7.6359360316548228</v>
      </c>
      <c r="BG102" s="100">
        <v>4059.263594427704</v>
      </c>
      <c r="BH102" s="100">
        <v>4.8032714305602324</v>
      </c>
      <c r="BI102" s="100">
        <v>2553.4190924858199</v>
      </c>
      <c r="BJ102" s="100">
        <v>4.8539389852512471</v>
      </c>
      <c r="BK102" s="100">
        <v>2580.3539645595629</v>
      </c>
      <c r="BL102" s="100">
        <v>0.45311132357351475</v>
      </c>
      <c r="BM102" s="100">
        <v>240.87397961168045</v>
      </c>
      <c r="BN102" s="100">
        <v>9</v>
      </c>
      <c r="BO102" s="100">
        <v>4784.4000000000005</v>
      </c>
      <c r="BP102" s="100">
        <v>8</v>
      </c>
      <c r="BQ102" s="100">
        <v>4252.8</v>
      </c>
      <c r="BR102" s="100">
        <v>4.7627293579134484</v>
      </c>
      <c r="BS102" s="100">
        <v>2531.8669266667894</v>
      </c>
      <c r="BT102" s="100">
        <v>5.1709498696331018</v>
      </c>
      <c r="BU102" s="100">
        <v>2748.876950696957</v>
      </c>
      <c r="BV102" s="100">
        <v>5.0908994227570847</v>
      </c>
      <c r="BW102" s="100">
        <v>2706.3221331376662</v>
      </c>
      <c r="BX102" s="100">
        <v>4.9821295040968856</v>
      </c>
      <c r="BY102" s="100">
        <v>2648.5000443779045</v>
      </c>
      <c r="BZ102" s="100">
        <v>4.7332622894932301</v>
      </c>
      <c r="CA102" s="100">
        <v>2516.2022330946011</v>
      </c>
      <c r="CB102" s="100">
        <v>5.9559447856177261</v>
      </c>
      <c r="CC102" s="100">
        <v>3166.1802480343831</v>
      </c>
      <c r="CD102" s="100">
        <v>5.1709217188922096</v>
      </c>
      <c r="CE102" s="100">
        <v>2748.8619857630988</v>
      </c>
      <c r="CF102" s="100">
        <v>3.8444466661142877E-4</v>
      </c>
      <c r="CG102" s="100">
        <v>0.20437078477063556</v>
      </c>
      <c r="CH102" s="100">
        <v>5.5676444090954078</v>
      </c>
      <c r="CI102" s="100">
        <v>2959.759767875119</v>
      </c>
      <c r="CJ102" s="100">
        <v>5.8230435683532562</v>
      </c>
      <c r="CK102" s="100">
        <v>3095.5299609365911</v>
      </c>
      <c r="CL102" s="100">
        <v>4.0931478969160962</v>
      </c>
      <c r="CM102" s="100">
        <v>2175.9174220005966</v>
      </c>
      <c r="CN102" s="100">
        <v>0.34348761625734181</v>
      </c>
      <c r="CO102" s="100">
        <v>182.59801680240292</v>
      </c>
      <c r="CP102" s="100">
        <v>8</v>
      </c>
      <c r="CQ102" s="100">
        <v>4252.8</v>
      </c>
      <c r="CR102" s="100">
        <v>6.5357777294260329</v>
      </c>
      <c r="CS102" s="100">
        <v>3474.4194409628794</v>
      </c>
      <c r="CT102" s="100">
        <v>4.6872724328096798</v>
      </c>
      <c r="CU102" s="100">
        <v>2491.7540252816257</v>
      </c>
    </row>
    <row r="103" spans="2:99">
      <c r="C103" s="99" t="s">
        <v>269</v>
      </c>
      <c r="D103" s="100">
        <v>4.4784878301569213</v>
      </c>
      <c r="E103" s="100">
        <v>2638.7250295284575</v>
      </c>
      <c r="F103" s="100">
        <v>3.6950146132851684</v>
      </c>
      <c r="G103" s="100">
        <v>2177.1026101476209</v>
      </c>
      <c r="H103" s="100">
        <v>4.6135339981951544</v>
      </c>
      <c r="I103" s="100">
        <v>2718.2942317365846</v>
      </c>
      <c r="J103" s="100">
        <v>5.5510614032180889</v>
      </c>
      <c r="K103" s="100">
        <v>3270.6853787760974</v>
      </c>
      <c r="L103" s="100">
        <v>3.0387070816451152</v>
      </c>
      <c r="M103" s="100">
        <v>1790.4062125053017</v>
      </c>
      <c r="N103" s="100">
        <v>2.3762054093284997</v>
      </c>
      <c r="O103" s="100">
        <v>1400.0602271763519</v>
      </c>
      <c r="P103" s="100">
        <v>5.6496105191106958</v>
      </c>
      <c r="Q103" s="100">
        <v>3328.7505178600218</v>
      </c>
      <c r="R103" s="100">
        <v>4.5644855088693079</v>
      </c>
      <c r="S103" s="100">
        <v>2689.3948618257959</v>
      </c>
      <c r="T103" s="100">
        <v>3.955587655130349</v>
      </c>
      <c r="U103" s="100">
        <v>2330.6322464028012</v>
      </c>
      <c r="V103" s="100">
        <v>3.4598715114347889</v>
      </c>
      <c r="W103" s="100">
        <v>2038.5562945373774</v>
      </c>
      <c r="X103" s="100">
        <v>4.0000370592111132</v>
      </c>
      <c r="Y103" s="100">
        <v>2356.8218352871877</v>
      </c>
      <c r="Z103" s="100">
        <v>1.8492201145508078</v>
      </c>
      <c r="AA103" s="100">
        <v>1089.5604914933358</v>
      </c>
      <c r="AB103" s="100">
        <v>2.9062426042782725</v>
      </c>
      <c r="AC103" s="100">
        <v>1712.358142440758</v>
      </c>
      <c r="AD103" s="100">
        <v>5.2394138211993173</v>
      </c>
      <c r="AE103" s="100">
        <v>3087.0626234506376</v>
      </c>
      <c r="AF103" s="100">
        <v>4.755593673624114</v>
      </c>
      <c r="AG103" s="100">
        <v>2801.9957924993278</v>
      </c>
      <c r="AH103" s="100">
        <v>5.2098084249240308</v>
      </c>
      <c r="AI103" s="100">
        <v>3069.6191239652385</v>
      </c>
      <c r="AJ103" s="100">
        <v>0.37644854913052112</v>
      </c>
      <c r="AK103" s="100">
        <v>221.80348514770301</v>
      </c>
      <c r="AL103" s="100">
        <v>9</v>
      </c>
      <c r="AM103" s="100">
        <v>5302.7999999999993</v>
      </c>
      <c r="AN103" s="100">
        <v>6.9201989198380307</v>
      </c>
      <c r="AO103" s="100">
        <v>4077.3812035685673</v>
      </c>
      <c r="AP103" s="100">
        <v>5.4963348217292305</v>
      </c>
      <c r="AQ103" s="100">
        <v>3238.4404769628622</v>
      </c>
      <c r="AR103" s="100">
        <v>5.0105830609420643</v>
      </c>
      <c r="AS103" s="100">
        <v>2952.235539507064</v>
      </c>
      <c r="AT103" s="100">
        <v>5.6516971396173226</v>
      </c>
      <c r="AU103" s="100">
        <v>3329.9799546625259</v>
      </c>
      <c r="AV103" s="100">
        <v>0.39713253534648379</v>
      </c>
      <c r="AW103" s="100">
        <v>233.99048982614823</v>
      </c>
      <c r="AX103" s="100">
        <v>6.3983596975023138</v>
      </c>
      <c r="AY103" s="100">
        <v>3769.9135337683629</v>
      </c>
      <c r="AZ103" s="100">
        <v>3.4020684552311695</v>
      </c>
      <c r="BA103" s="100">
        <v>2004.4987338222049</v>
      </c>
      <c r="BB103" s="100">
        <v>5.6979853651704797</v>
      </c>
      <c r="BC103" s="100">
        <v>3357.2529771584464</v>
      </c>
      <c r="BD103" s="100">
        <v>10</v>
      </c>
      <c r="BE103" s="100">
        <v>5891.9999999999991</v>
      </c>
      <c r="BF103" s="100">
        <v>7.6359360316548228</v>
      </c>
      <c r="BG103" s="100">
        <v>4499.0935098510208</v>
      </c>
      <c r="BH103" s="100">
        <v>5.3170634972192943</v>
      </c>
      <c r="BI103" s="100">
        <v>3132.8138125616078</v>
      </c>
      <c r="BJ103" s="100">
        <v>5.5286041075105556</v>
      </c>
      <c r="BK103" s="100">
        <v>3257.453540145219</v>
      </c>
      <c r="BL103" s="100">
        <v>0.45311132357351475</v>
      </c>
      <c r="BM103" s="100">
        <v>266.97319184951488</v>
      </c>
      <c r="BN103" s="100">
        <v>8</v>
      </c>
      <c r="BO103" s="100">
        <v>4713.5999999999995</v>
      </c>
      <c r="BP103" s="100">
        <v>7</v>
      </c>
      <c r="BQ103" s="100">
        <v>4124.3999999999996</v>
      </c>
      <c r="BR103" s="100">
        <v>5.5565175842323562</v>
      </c>
      <c r="BS103" s="100">
        <v>3273.9001606297038</v>
      </c>
      <c r="BT103" s="100">
        <v>4.7008635178482745</v>
      </c>
      <c r="BU103" s="100">
        <v>2769.7487847162029</v>
      </c>
      <c r="BV103" s="100">
        <v>5.0908994227570847</v>
      </c>
      <c r="BW103" s="100">
        <v>2999.5579398884738</v>
      </c>
      <c r="BX103" s="100">
        <v>4.9821295040968856</v>
      </c>
      <c r="BY103" s="100">
        <v>2935.4707038138845</v>
      </c>
      <c r="BZ103" s="100">
        <v>4.9557068696328761</v>
      </c>
      <c r="CA103" s="100">
        <v>2919.9024875876903</v>
      </c>
      <c r="CB103" s="100">
        <v>5.4273901920086871</v>
      </c>
      <c r="CC103" s="100">
        <v>3197.8183011315182</v>
      </c>
      <c r="CD103" s="100">
        <v>5.7454685765468998</v>
      </c>
      <c r="CE103" s="100">
        <v>3385.2300853014331</v>
      </c>
      <c r="CF103" s="100">
        <v>4.3936533327020429E-4</v>
      </c>
      <c r="CG103" s="100">
        <v>0.25887405436280436</v>
      </c>
      <c r="CH103" s="100">
        <v>4.8878638152883909</v>
      </c>
      <c r="CI103" s="100">
        <v>2879.9293599679195</v>
      </c>
      <c r="CJ103" s="100">
        <v>5.1600139147675854</v>
      </c>
      <c r="CK103" s="100">
        <v>3040.2801985810611</v>
      </c>
      <c r="CL103" s="100">
        <v>4.0850792250244723</v>
      </c>
      <c r="CM103" s="100">
        <v>2406.928679384419</v>
      </c>
      <c r="CN103" s="100">
        <v>0.40073555230023211</v>
      </c>
      <c r="CO103" s="100">
        <v>236.11338741529673</v>
      </c>
      <c r="CP103" s="100">
        <v>9</v>
      </c>
      <c r="CQ103" s="100">
        <v>5302.7999999999993</v>
      </c>
      <c r="CR103" s="100">
        <v>6.5357777294260329</v>
      </c>
      <c r="CS103" s="100">
        <v>3850.8802381778182</v>
      </c>
      <c r="CT103" s="100">
        <v>4.1076177067477797</v>
      </c>
      <c r="CU103" s="100">
        <v>2420.2083528157914</v>
      </c>
    </row>
    <row r="104" spans="2:99">
      <c r="C104" s="99" t="s">
        <v>270</v>
      </c>
      <c r="D104" s="100">
        <v>4.4784878301569213</v>
      </c>
      <c r="E104" s="100">
        <v>2832.1957037912371</v>
      </c>
      <c r="F104" s="100">
        <v>3.6950146132851684</v>
      </c>
      <c r="G104" s="100">
        <v>2336.7272414415406</v>
      </c>
      <c r="H104" s="100">
        <v>3.5883042208184532</v>
      </c>
      <c r="I104" s="100">
        <v>2269.2435892455896</v>
      </c>
      <c r="J104" s="100">
        <v>5.5149736885161937</v>
      </c>
      <c r="K104" s="100">
        <v>3487.6693606176409</v>
      </c>
      <c r="L104" s="100">
        <v>2.5619768669053151</v>
      </c>
      <c r="M104" s="100">
        <v>1620.1941706309212</v>
      </c>
      <c r="N104" s="100">
        <v>2.1385848683956499</v>
      </c>
      <c r="O104" s="100">
        <v>1352.4410707734089</v>
      </c>
      <c r="P104" s="100">
        <v>5.6496105191106958</v>
      </c>
      <c r="Q104" s="100">
        <v>3572.8136922856038</v>
      </c>
      <c r="R104" s="100">
        <v>4.5644855088693079</v>
      </c>
      <c r="S104" s="100">
        <v>2886.5806358089503</v>
      </c>
      <c r="T104" s="100">
        <v>3.955587655130349</v>
      </c>
      <c r="U104" s="100">
        <v>2501.5136331044328</v>
      </c>
      <c r="V104" s="100">
        <v>2.9855576158030441</v>
      </c>
      <c r="W104" s="100">
        <v>1888.066636233845</v>
      </c>
      <c r="X104" s="100">
        <v>4.0000370592111132</v>
      </c>
      <c r="Y104" s="100">
        <v>2529.6234362451078</v>
      </c>
      <c r="Z104" s="100">
        <v>1.6946800881095292</v>
      </c>
      <c r="AA104" s="100">
        <v>1071.7156877204661</v>
      </c>
      <c r="AB104" s="100">
        <v>3.2695229298130566</v>
      </c>
      <c r="AC104" s="100">
        <v>2067.6463008137771</v>
      </c>
      <c r="AD104" s="100">
        <v>5.9646420259255475</v>
      </c>
      <c r="AE104" s="100">
        <v>3772.0396171953162</v>
      </c>
      <c r="AF104" s="100">
        <v>4.755593673624114</v>
      </c>
      <c r="AG104" s="100">
        <v>3007.4374391998895</v>
      </c>
      <c r="AH104" s="100">
        <v>4.5585823718085274</v>
      </c>
      <c r="AI104" s="100">
        <v>2882.8474919317127</v>
      </c>
      <c r="AJ104" s="100">
        <v>0.37644854913052112</v>
      </c>
      <c r="AK104" s="100">
        <v>238.06606247014153</v>
      </c>
      <c r="AL104" s="100">
        <v>10</v>
      </c>
      <c r="AM104" s="100">
        <v>6324</v>
      </c>
      <c r="AN104" s="100">
        <v>6.9201989198380307</v>
      </c>
      <c r="AO104" s="100">
        <v>4376.3337969055701</v>
      </c>
      <c r="AP104" s="100">
        <v>4.7111441329107695</v>
      </c>
      <c r="AQ104" s="100">
        <v>2979.3275496527704</v>
      </c>
      <c r="AR104" s="100">
        <v>5.5116413670362716</v>
      </c>
      <c r="AS104" s="100">
        <v>3485.562000513738</v>
      </c>
      <c r="AT104" s="100">
        <v>6.2189651125316283</v>
      </c>
      <c r="AU104" s="100">
        <v>3932.8735371650014</v>
      </c>
      <c r="AV104" s="100">
        <v>0.34749096842817334</v>
      </c>
      <c r="AW104" s="100">
        <v>219.75328843397682</v>
      </c>
      <c r="AX104" s="100">
        <v>6.3983596975023138</v>
      </c>
      <c r="AY104" s="100">
        <v>4046.322672700463</v>
      </c>
      <c r="AZ104" s="100">
        <v>2.9768098983272733</v>
      </c>
      <c r="BA104" s="100">
        <v>1882.5345797021675</v>
      </c>
      <c r="BB104" s="100">
        <v>4.9857371945241695</v>
      </c>
      <c r="BC104" s="100">
        <v>3152.9802018170849</v>
      </c>
      <c r="BD104" s="100">
        <v>10</v>
      </c>
      <c r="BE104" s="100">
        <v>6324</v>
      </c>
      <c r="BF104" s="100">
        <v>6.9417600287771108</v>
      </c>
      <c r="BG104" s="100">
        <v>4389.9690421986452</v>
      </c>
      <c r="BH104" s="100">
        <v>4.819557142435567</v>
      </c>
      <c r="BI104" s="100">
        <v>3047.8879368762523</v>
      </c>
      <c r="BJ104" s="100">
        <v>6.2251497513425456</v>
      </c>
      <c r="BK104" s="100">
        <v>3936.7847027490257</v>
      </c>
      <c r="BL104" s="100">
        <v>0.35241991833495595</v>
      </c>
      <c r="BM104" s="100">
        <v>222.87035635502613</v>
      </c>
      <c r="BN104" s="100">
        <v>8</v>
      </c>
      <c r="BO104" s="100">
        <v>5059.2</v>
      </c>
      <c r="BP104" s="100">
        <v>7</v>
      </c>
      <c r="BQ104" s="100">
        <v>4426.8</v>
      </c>
      <c r="BR104" s="100">
        <v>4.7627293579134484</v>
      </c>
      <c r="BS104" s="100">
        <v>3011.9500459444648</v>
      </c>
      <c r="BT104" s="100">
        <v>4.9129653511986318</v>
      </c>
      <c r="BU104" s="100">
        <v>3106.9592880980144</v>
      </c>
      <c r="BV104" s="100">
        <v>4.8404337579627601</v>
      </c>
      <c r="BW104" s="100">
        <v>3061.0903085356495</v>
      </c>
      <c r="BX104" s="100">
        <v>4.2703967177973308</v>
      </c>
      <c r="BY104" s="100">
        <v>2700.5988843350319</v>
      </c>
      <c r="BZ104" s="100">
        <v>4.7332622894932301</v>
      </c>
      <c r="CA104" s="100">
        <v>2993.3150718755187</v>
      </c>
      <c r="CB104" s="100">
        <v>5.4132057664168585</v>
      </c>
      <c r="CC104" s="100">
        <v>3423.311326682021</v>
      </c>
      <c r="CD104" s="100">
        <v>5.1709217188922096</v>
      </c>
      <c r="CE104" s="100">
        <v>3270.0908950274334</v>
      </c>
      <c r="CF104" s="100">
        <v>4.5087668074464421E-4</v>
      </c>
      <c r="CG104" s="100">
        <v>0.28513441290291297</v>
      </c>
      <c r="CH104" s="100">
        <v>6.1697852077188653</v>
      </c>
      <c r="CI104" s="100">
        <v>3901.7721653614103</v>
      </c>
      <c r="CJ104" s="100">
        <v>4.8848592202136949</v>
      </c>
      <c r="CK104" s="100">
        <v>3089.1849708631407</v>
      </c>
      <c r="CL104" s="100">
        <v>4.7565123119883239</v>
      </c>
      <c r="CM104" s="100">
        <v>3008.0183861014161</v>
      </c>
      <c r="CN104" s="100">
        <v>0.40073555230023211</v>
      </c>
      <c r="CO104" s="100">
        <v>253.42516327466677</v>
      </c>
      <c r="CP104" s="100">
        <v>9</v>
      </c>
      <c r="CQ104" s="100">
        <v>5691.5999999999995</v>
      </c>
      <c r="CR104" s="100">
        <v>6.5357777294260329</v>
      </c>
      <c r="CS104" s="100">
        <v>4133.2258360890228</v>
      </c>
      <c r="CT104" s="100">
        <v>4.6372378084951968</v>
      </c>
      <c r="CU104" s="100">
        <v>2932.5891900923625</v>
      </c>
    </row>
    <row r="105" spans="2:99">
      <c r="C105" s="99" t="s">
        <v>271</v>
      </c>
      <c r="D105" s="100">
        <v>3.772410205618796</v>
      </c>
      <c r="E105" s="100">
        <v>2100.4780024885454</v>
      </c>
      <c r="F105" s="100">
        <v>3.1671553828158583</v>
      </c>
      <c r="G105" s="100">
        <v>1763.4721171518697</v>
      </c>
      <c r="H105" s="100">
        <v>4.1009191095068029</v>
      </c>
      <c r="I105" s="100">
        <v>2283.3917601733879</v>
      </c>
      <c r="J105" s="100">
        <v>4.7786741825880164</v>
      </c>
      <c r="K105" s="100">
        <v>2660.7657848650074</v>
      </c>
      <c r="L105" s="100">
        <v>2.5619768669053151</v>
      </c>
      <c r="M105" s="100">
        <v>1426.5087194928794</v>
      </c>
      <c r="N105" s="100">
        <v>2.1385848683956499</v>
      </c>
      <c r="O105" s="100">
        <v>1190.7640547226977</v>
      </c>
      <c r="P105" s="100">
        <v>5.6496105191106958</v>
      </c>
      <c r="Q105" s="100">
        <v>3145.7031370408354</v>
      </c>
      <c r="R105" s="100">
        <v>4.0573204523282733</v>
      </c>
      <c r="S105" s="100">
        <v>2259.1160278563825</v>
      </c>
      <c r="T105" s="100">
        <v>3.955587655130349</v>
      </c>
      <c r="U105" s="100">
        <v>2202.4712063765783</v>
      </c>
      <c r="V105" s="100">
        <v>3.4798249745794432</v>
      </c>
      <c r="W105" s="100">
        <v>1937.5665458458338</v>
      </c>
      <c r="X105" s="100">
        <v>4.0000370592111132</v>
      </c>
      <c r="Y105" s="100">
        <v>2227.2206345687478</v>
      </c>
      <c r="Z105" s="100">
        <v>1.8492201145508078</v>
      </c>
      <c r="AA105" s="100">
        <v>1029.6457597818896</v>
      </c>
      <c r="AB105" s="100">
        <v>2.9062426042782725</v>
      </c>
      <c r="AC105" s="100">
        <v>1618.1958820621421</v>
      </c>
      <c r="AD105" s="100">
        <v>4.5141856164730871</v>
      </c>
      <c r="AE105" s="100">
        <v>2513.4985512522148</v>
      </c>
      <c r="AF105" s="100">
        <v>4.755593673624114</v>
      </c>
      <c r="AG105" s="100">
        <v>2647.9145574739064</v>
      </c>
      <c r="AH105" s="100">
        <v>5.2193818874004219</v>
      </c>
      <c r="AI105" s="100">
        <v>2906.1518349045546</v>
      </c>
      <c r="AJ105" s="100">
        <v>0.43022691329202412</v>
      </c>
      <c r="AK105" s="100">
        <v>239.55034532099901</v>
      </c>
      <c r="AL105" s="100">
        <v>11</v>
      </c>
      <c r="AM105" s="100">
        <v>6124.7999999999993</v>
      </c>
      <c r="AN105" s="100">
        <v>6.9201989198380307</v>
      </c>
      <c r="AO105" s="100">
        <v>3853.1667585658151</v>
      </c>
      <c r="AP105" s="100">
        <v>5.4963348217292305</v>
      </c>
      <c r="AQ105" s="100">
        <v>3060.3592287388351</v>
      </c>
      <c r="AR105" s="100">
        <v>5.5116413670362716</v>
      </c>
      <c r="AS105" s="100">
        <v>3068.8819131657956</v>
      </c>
      <c r="AT105" s="100">
        <v>5.6516971396173226</v>
      </c>
      <c r="AU105" s="100">
        <v>3146.864967338925</v>
      </c>
      <c r="AV105" s="100">
        <v>0.34749096842817334</v>
      </c>
      <c r="AW105" s="100">
        <v>193.48297122080689</v>
      </c>
      <c r="AX105" s="100">
        <v>7.3485647353145245</v>
      </c>
      <c r="AY105" s="100">
        <v>4091.6808446231271</v>
      </c>
      <c r="AZ105" s="100">
        <v>2.9768098983272733</v>
      </c>
      <c r="BA105" s="100">
        <v>1657.4877513886256</v>
      </c>
      <c r="BB105" s="100">
        <v>4.9857371945241695</v>
      </c>
      <c r="BC105" s="100">
        <v>2776.0584699110573</v>
      </c>
      <c r="BD105" s="100">
        <v>9</v>
      </c>
      <c r="BE105" s="100">
        <v>5011.2</v>
      </c>
      <c r="BF105" s="100">
        <v>7.6359360316548228</v>
      </c>
      <c r="BG105" s="100">
        <v>4251.6891824254053</v>
      </c>
      <c r="BH105" s="100">
        <v>5.3170634972192943</v>
      </c>
      <c r="BI105" s="100">
        <v>2960.5409552517026</v>
      </c>
      <c r="BJ105" s="100">
        <v>5.5358976147014491</v>
      </c>
      <c r="BK105" s="100">
        <v>3082.3877918657668</v>
      </c>
      <c r="BL105" s="100">
        <v>0.35241991833495595</v>
      </c>
      <c r="BM105" s="100">
        <v>196.22741052890345</v>
      </c>
      <c r="BN105" s="100">
        <v>8</v>
      </c>
      <c r="BO105" s="100">
        <v>4454.3999999999996</v>
      </c>
      <c r="BP105" s="100">
        <v>7</v>
      </c>
      <c r="BQ105" s="100">
        <v>3897.5999999999995</v>
      </c>
      <c r="BR105" s="100">
        <v>4.7627293579134484</v>
      </c>
      <c r="BS105" s="100">
        <v>2651.8877064862077</v>
      </c>
      <c r="BT105" s="100">
        <v>4.7008635178482745</v>
      </c>
      <c r="BU105" s="100">
        <v>2617.440806737919</v>
      </c>
      <c r="BV105" s="100">
        <v>5.4303346206589174</v>
      </c>
      <c r="BW105" s="100">
        <v>3023.6103167828851</v>
      </c>
      <c r="BX105" s="100">
        <v>4.9821295040968856</v>
      </c>
      <c r="BY105" s="100">
        <v>2774.0497078811459</v>
      </c>
      <c r="BZ105" s="100">
        <v>4.7332622894932301</v>
      </c>
      <c r="CA105" s="100">
        <v>2635.4804427898302</v>
      </c>
      <c r="CB105" s="100">
        <v>5.9559447856177261</v>
      </c>
      <c r="CC105" s="100">
        <v>3316.2700566319495</v>
      </c>
      <c r="CD105" s="100">
        <v>5.1709217188922096</v>
      </c>
      <c r="CE105" s="100">
        <v>2879.1692130791821</v>
      </c>
      <c r="CF105" s="100">
        <v>3.9451709565156365E-4</v>
      </c>
      <c r="CG105" s="100">
        <v>0.21966711885879062</v>
      </c>
      <c r="CH105" s="100">
        <v>5.5158845456397012</v>
      </c>
      <c r="CI105" s="100">
        <v>3071.2445150121853</v>
      </c>
      <c r="CJ105" s="100">
        <v>5.3539513942834756</v>
      </c>
      <c r="CK105" s="100">
        <v>2981.0801363370388</v>
      </c>
      <c r="CL105" s="100">
        <v>4.0850792250244723</v>
      </c>
      <c r="CM105" s="100">
        <v>2274.5721124936258</v>
      </c>
      <c r="CN105" s="100">
        <v>0.34348761625734181</v>
      </c>
      <c r="CO105" s="100">
        <v>191.2539047320879</v>
      </c>
      <c r="CP105" s="100">
        <v>9</v>
      </c>
      <c r="CQ105" s="100">
        <v>5011.2</v>
      </c>
      <c r="CR105" s="100">
        <v>6.5357777294260329</v>
      </c>
      <c r="CS105" s="100">
        <v>3639.1210397444147</v>
      </c>
      <c r="CT105" s="100">
        <v>4.1076177067477797</v>
      </c>
      <c r="CU105" s="100">
        <v>2287.1215391171636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269.72002906656371</v>
      </c>
      <c r="E109" s="100">
        <f>SUM(L$6:L$19)+SUM(N$6:N$19)+SUM(P$6:P$19)+SUM(R$6:R$19)</f>
        <v>251.67237174954562</v>
      </c>
      <c r="F109" s="100">
        <f>SUM(T$6:T$19)+SUM(V$6:V$19)+SUM(X$6:X$19)+SUM(Z$6:Z$19)</f>
        <v>230.63207605128025</v>
      </c>
      <c r="G109" s="100">
        <f>SUM(AB$6:AB$19)+SUM(AD$6:AD$19)+SUM(AF$6:AF$19)+SUM(AH$6:AH$19)</f>
        <v>334</v>
      </c>
      <c r="H109" s="100">
        <f>SUM(AJ$6:AJ$19)+SUM(AL$6:AL$19)+SUM(AN$6:AN$19)+SUM(AP$6:AP$19)</f>
        <v>465.08654329775379</v>
      </c>
      <c r="I109" s="100">
        <f>SUM(AR$6:AR$19)+SUM(AT$6:AT$19)+SUM(AV$6:AV$19)+SUM(AX$6:AX$19)</f>
        <v>326.59985487636453</v>
      </c>
      <c r="J109" s="100">
        <f>SUM(AZ$6:AZ$19)+SUM(BB$6:BB$19)+SUM(BD$6:BD$19)+SUM(BF$6:BF$19)</f>
        <v>382.7207744656248</v>
      </c>
      <c r="K109" s="100">
        <f>SUM(BH$6:BH$19)+SUM(BJ$6:BJ$19)+SUM(BL$6:BL$19)+SUM(BN$6:BN$19)</f>
        <v>357.66161398740485</v>
      </c>
      <c r="L109" s="100">
        <f>SUM(BP$6:BP$19)+SUM(BR$6:BR$19)+SUM(BT$6:BT$19)+SUM(BV$6:BV$19)</f>
        <v>285.7053192309383</v>
      </c>
      <c r="M109" s="100">
        <f>SUM(BX$6:BX$19)+SUM(BZ$6:BZ$19)+SUM(CB$6:CB$19)+SUM(CD$6:CD$19)</f>
        <v>414.94824854751778</v>
      </c>
      <c r="N109" s="100">
        <f>SUM(CF$6:CF$19)+SUM(CH$6:CH$19)+SUM(CJ$6:CJ$19)+SUM(CL$6:CL$19)</f>
        <v>266.94512484606742</v>
      </c>
      <c r="O109" s="100">
        <f>SUM(CN$6:CN$19)+SUM(CP$6:CP$19)+SUM(CR$6:CR$19)+SUM(CT$6:CT$19)</f>
        <v>423.33701040390253</v>
      </c>
    </row>
    <row r="110" spans="2:99">
      <c r="C110" s="99" t="s">
        <v>127</v>
      </c>
      <c r="D110" s="100">
        <f>SUM(D$20:D$36)+SUM(F$20:F$36)+SUM(H$20:H$36)+SUM(J$20:J$36)</f>
        <v>524.90484418529149</v>
      </c>
      <c r="E110" s="100">
        <f>SUM(L$20:L$36)+SUM(N$20:N$36)+SUM(P$20:P$36)+SUM(R$20:R$36)</f>
        <v>521.57501230389562</v>
      </c>
      <c r="F110" s="100">
        <f>SUM(T$20:T$36)+SUM(V$20:V$36)+SUM(X$20:X$36)+SUM(Z$20:Z$36)</f>
        <v>613.25930522844897</v>
      </c>
      <c r="G110" s="100">
        <f>SUM(AB$20:AB$36)+SUM(AD$20:AD$36)+SUM(AF$20:AF$36)+SUM(AH$20:AH$36)</f>
        <v>678</v>
      </c>
      <c r="H110" s="100">
        <f>SUM(AJ$20:AJ$36)+SUM(AL$20:AL$36)+SUM(AN$20:AN$36)+SUM(AP$20:AP$36)</f>
        <v>800.26721113396366</v>
      </c>
      <c r="I110" s="100">
        <f>SUM(AR$20:AR$36)+SUM(AT$20:AT$36)+SUM(AV$20:AV$36)+SUM(AX$20:AX$36)</f>
        <v>550.64409228604529</v>
      </c>
      <c r="J110" s="100">
        <f>SUM(AZ$20:AZ$36)+SUM(BB$20:BB$36)+SUM(BD$20:BD$36)+SUM(BF$20:BF$36)</f>
        <v>655.07359969719209</v>
      </c>
      <c r="K110" s="100">
        <f>SUM(BH$20:BH$36)+SUM(BJ$20:BJ$36)+SUM(BL$20:BL$36)+SUM(BN$20:BN$36)</f>
        <v>963.82930088091302</v>
      </c>
      <c r="L110" s="100">
        <f>SUM(BP$20:BP$36)+SUM(BR$20:BR$36)+SUM(BT$20:BT$36)+SUM(BV$20:BV$36)</f>
        <v>607.47953425953062</v>
      </c>
      <c r="M110" s="100">
        <f>SUM(BX$20:BX$36)+SUM(BZ$20:BZ$36)+SUM(CB$20:CB$36)+SUM(CD$20:CD$36)</f>
        <v>880.04409517157842</v>
      </c>
      <c r="N110" s="100">
        <f>SUM(CF$20:CF$36)+SUM(CH$20:CH$36)+SUM(CJ$20:CJ$36)+SUM(CL$20:CL$36)</f>
        <v>394.83633916412748</v>
      </c>
      <c r="O110" s="100">
        <f>SUM(CN$20:CN$36)+SUM(CP$20:CP$36)+SUM(CR$20:CR$36)+SUM(CT$20:CT$36)</f>
        <v>958.93983538623729</v>
      </c>
    </row>
    <row r="111" spans="2:99">
      <c r="C111" s="99" t="s">
        <v>128</v>
      </c>
      <c r="D111" s="100">
        <f>SUM(D$37:D$48)+SUM(F$37:F$48)+SUM(H$37:H$48)+SUM(J$37:J$48)</f>
        <v>247.4295532991747</v>
      </c>
      <c r="E111" s="100">
        <f>SUM(L$37:L$48)+SUM(N$37:N$48)+SUM(P$37:P$48)+SUM(R$37:R$48)</f>
        <v>242.47863624052195</v>
      </c>
      <c r="F111" s="100">
        <f>SUM(T$37:T$48)+SUM(V$37:V$48)+SUM(X$37:X$48)+SUM(Z$37:Z$48)</f>
        <v>208.03120675925561</v>
      </c>
      <c r="G111" s="100">
        <f>SUM(AB$37:AB$48)+SUM(AD$37:AD$48)+SUM(AF$37:AF$48)+SUM(AH$37:AH$48)</f>
        <v>314</v>
      </c>
      <c r="H111" s="100">
        <f>SUM(AJ$37:AJ$48)+SUM(AL$37:AL$48)+SUM(AN$37:AN$48)+SUM(AP$37:AP$48)</f>
        <v>367.04042868361364</v>
      </c>
      <c r="I111" s="100">
        <f>SUM(AR$37:AR$48)+SUM(AT$37:AT$48)+SUM(AV$37:AV$48)+SUM(AX$37:AX$48)</f>
        <v>322.64398641585922</v>
      </c>
      <c r="J111" s="100">
        <f>SUM(AZ$37:AZ$48)+SUM(BB$37:BB$48)+SUM(BD$37:BD$48)+SUM(BF$37:BF$48)</f>
        <v>274.64688104450227</v>
      </c>
      <c r="K111" s="100">
        <f>SUM(BH$37:BH$48)+SUM(BJ$37:BJ$48)+SUM(BL$37:BL$48)+SUM(BN$37:BN$48)</f>
        <v>363.35645302918465</v>
      </c>
      <c r="L111" s="100">
        <f>SUM(BP$37:BP$48)+SUM(BR$37:BR$48)+SUM(BT$37:BT$48)+SUM(BV$37:BV$48)</f>
        <v>244.61555422719215</v>
      </c>
      <c r="M111" s="100">
        <f>SUM(BX$37:BX$48)+SUM(BZ$37:BZ$48)+SUM(CB$37:CB$48)+SUM(CD$37:CD$48)</f>
        <v>380.67881296355813</v>
      </c>
      <c r="N111" s="100">
        <f>SUM(CF$37:CF$48)+SUM(CH$37:CH$48)+SUM(CJ$37:CJ$48)+SUM(CL$37:CL$48)</f>
        <v>206.79676892218629</v>
      </c>
      <c r="O111" s="100">
        <f>SUM(CN$37:CN$48)+SUM(CP$37:CP$48)+SUM(CR$37:CR$48)+SUM(CT$37:CT$48)</f>
        <v>349.45747419184397</v>
      </c>
    </row>
    <row r="112" spans="2:99">
      <c r="C112" s="99" t="s">
        <v>129</v>
      </c>
      <c r="D112" s="100">
        <f>SUM(D$49:D$70)+SUM(F$49:F$70)+SUM(H$49:H$70)+SUM(J$49:J$70)</f>
        <v>311.3212507843707</v>
      </c>
      <c r="E112" s="100">
        <f>SUM(L$49:L$70)+SUM(N$49:N$70)+SUM(P$49:P$70)+SUM(R$49:R$70)</f>
        <v>314.27105009170089</v>
      </c>
      <c r="F112" s="100">
        <f>SUM(T$49:T$70)+SUM(V$49:V$70)+SUM(X$49:X$70)+SUM(Z$49:Z$70)</f>
        <v>335.48644763733228</v>
      </c>
      <c r="G112" s="100">
        <f>SUM(AB$49:AB$70)+SUM(AD$49:AD$70)+SUM(AF$49:AF$70)+SUM(AH$49:AH$70)</f>
        <v>482.40396466027551</v>
      </c>
      <c r="H112" s="100">
        <f>SUM(AJ$49:AJ$70)+SUM(AL$49:AL$70)+SUM(AN$49:AN$70)+SUM(AP$49:AP$70)</f>
        <v>410.36604444595781</v>
      </c>
      <c r="I112" s="100">
        <f>SUM(AR$49:AR$70)+SUM(AT$49:AT$70)+SUM(AV$49:AV$70)+SUM(AX$49:AX$70)</f>
        <v>368.89795724701838</v>
      </c>
      <c r="J112" s="100">
        <f>SUM(AZ$49:AZ$70)+SUM(BB$49:BB$70)+SUM(BD$49:BD$70)+SUM(BF$49:BF$70)</f>
        <v>377.05574188848846</v>
      </c>
      <c r="K112" s="100">
        <f>SUM(BH$49:BH$70)+SUM(BJ$49:BJ$70)+SUM(BL$49:BL$70)+SUM(BN$49:BN$70)</f>
        <v>351.37409365931092</v>
      </c>
      <c r="L112" s="100">
        <f>SUM(BP$49:BP$70)+SUM(BR$49:BR$70)+SUM(BT$49:BT$70)+SUM(BV$49:BV$70)</f>
        <v>367.53097840909766</v>
      </c>
      <c r="M112" s="100">
        <f>SUM(BX$49:BX$70)+SUM(BZ$49:BZ$70)+SUM(CB$49:CB$70)+SUM(CD$49:CD$70)</f>
        <v>432.74872545375905</v>
      </c>
      <c r="N112" s="100">
        <f>SUM(CF$49:CF$70)+SUM(CH$49:CH$70)+SUM(CJ$49:CJ$70)+SUM(CL$49:CL$70)</f>
        <v>231.634457111176</v>
      </c>
      <c r="O112" s="100">
        <f>SUM(CN$49:CN$70)+SUM(CP$49:CP$70)+SUM(CR$49:CR$70)+SUM(CT$49:CT$70)</f>
        <v>446.55604768061357</v>
      </c>
    </row>
    <row r="113" spans="2:15">
      <c r="C113" s="99" t="s">
        <v>130</v>
      </c>
      <c r="D113" s="100">
        <f>SUM(D$71:D$86)+SUM(F$71:F$86)+SUM(H$71:H$86)+SUM(J$71:J$86)</f>
        <v>232.14541349340874</v>
      </c>
      <c r="E113" s="100">
        <f>SUM(L$71:L$86)+SUM(N$71:N$86)+SUM(P$71:P$86)+SUM(R$71:R$86)</f>
        <v>167.04154201239083</v>
      </c>
      <c r="F113" s="100">
        <f>SUM(T$71:T$86)+SUM(V$71:V$86)+SUM(X$71:X$86)+SUM(Z$71:Z$86)</f>
        <v>234.09909101135131</v>
      </c>
      <c r="G113" s="100">
        <f>SUM(AB$71:AB$86)+SUM(AD$71:AD$86)+SUM(AF$71:AF$86)+SUM(AH$71:AH$86)</f>
        <v>207.79618322027054</v>
      </c>
      <c r="H113" s="100">
        <f>SUM(AJ$71:AJ$86)+SUM(AL$71:AL$86)+SUM(AN$71:AN$86)+SUM(AP$71:AP$86)</f>
        <v>240.60737537352603</v>
      </c>
      <c r="I113" s="100">
        <f>SUM(AR$71:AR$86)+SUM(AT$71:AT$86)+SUM(AV$71:AV$86)+SUM(AX$71:AX$86)</f>
        <v>309.58808783678057</v>
      </c>
      <c r="J113" s="100">
        <f>SUM(AZ$71:AZ$86)+SUM(BB$71:BB$86)+SUM(BD$71:BD$86)+SUM(BF$71:BF$86)</f>
        <v>195.32216328709458</v>
      </c>
      <c r="K113" s="100">
        <f>SUM(BH$71:BH$86)+SUM(BJ$71:BJ$86)+SUM(BL$71:BL$86)+SUM(BN$71:BN$86)</f>
        <v>273.3060074220092</v>
      </c>
      <c r="L113" s="100">
        <f>SUM(BP$71:BP$86)+SUM(BR$71:BR$86)+SUM(BT$71:BT$86)+SUM(BV$71:BV$86)</f>
        <v>278</v>
      </c>
      <c r="M113" s="100">
        <f>SUM(BX$71:BX$86)+SUM(BZ$71:BZ$86)+SUM(CB$71:CB$86)+SUM(CD$71:CD$86)</f>
        <v>255.42610154738111</v>
      </c>
      <c r="N113" s="100">
        <f>SUM(CF$71:CF$86)+SUM(CH$71:CH$86)+SUM(CJ$71:CJ$86)+SUM(CL$71:CL$86)</f>
        <v>285.48904363315103</v>
      </c>
      <c r="O113" s="100">
        <f>SUM(CN$71:CN$86)+SUM(CP$71:CP$86)+SUM(CR$71:CR$86)+SUM(CT$71:CT$86)</f>
        <v>234.61016144747481</v>
      </c>
    </row>
    <row r="114" spans="2:15">
      <c r="C114" s="99" t="s">
        <v>131</v>
      </c>
      <c r="D114" s="100">
        <f>SUM(D$87:D$94)+SUM(F$87:F$94)+SUM(H$87:H$94)+SUM(J$87:J$94)</f>
        <v>98.025700109726074</v>
      </c>
      <c r="E114" s="100">
        <f>SUM(L$87:L$94)+SUM(N$87:N$94)+SUM(P$87:P$94)+SUM(R$87:R$94)</f>
        <v>62.616015790084674</v>
      </c>
      <c r="F114" s="100">
        <f>SUM(T$87:T$94)+SUM(V$87:V$94)+SUM(X$87:X$94)+SUM(Z$87:Z$94)</f>
        <v>76.931841765238758</v>
      </c>
      <c r="G114" s="100">
        <f>SUM(AB$87:AB$94)+SUM(AD$87:AD$94)+SUM(AF$87:AF$94)+SUM(AH$87:AH$94)</f>
        <v>87.180498159019194</v>
      </c>
      <c r="H114" s="100">
        <f>SUM(AJ$87:AJ$94)+SUM(AL$87:AL$94)+SUM(AN$87:AN$94)+SUM(AP$87:AP$94)</f>
        <v>113.45443330173089</v>
      </c>
      <c r="I114" s="100">
        <f>SUM(AR$87:AR$94)+SUM(AT$87:AT$94)+SUM(AV$87:AV$94)+SUM(AX$87:AX$94)</f>
        <v>96.546098292416218</v>
      </c>
      <c r="J114" s="100">
        <f>SUM(AZ$87:AZ$94)+SUM(BB$87:BB$94)+SUM(BD$87:BD$94)+SUM(BF$87:BF$94)</f>
        <v>109.35524792637787</v>
      </c>
      <c r="K114" s="100">
        <f>SUM(BH$87:BH$94)+SUM(BJ$87:BJ$94)+SUM(BL$87:BL$94)+SUM(BN$87:BN$94)</f>
        <v>95.984524426890431</v>
      </c>
      <c r="L114" s="100">
        <f>SUM(BP$87:BP$94)+SUM(BR$87:BR$94)+SUM(BT$87:BT$94)+SUM(BV$87:BV$94)</f>
        <v>129.00862527043233</v>
      </c>
      <c r="M114" s="100">
        <f>SUM(BX$87:BX$94)+SUM(BZ$87:BZ$94)+SUM(CB$87:CB$94)+SUM(CD$87:CD$94)</f>
        <v>97.30843559426242</v>
      </c>
      <c r="N114" s="100">
        <f>SUM(CF$87:CF$94)+SUM(CH$87:CH$94)+SUM(CJ$87:CJ$94)+SUM(CL$87:CL$94)</f>
        <v>77.449324985498293</v>
      </c>
      <c r="O114" s="100">
        <f>SUM(CN$87:CN$94)+SUM(CP$87:CP$94)+SUM(CR$87:CR$94)+SUM(CT$87:CT$94)</f>
        <v>118.99696880779597</v>
      </c>
    </row>
    <row r="115" spans="2:15">
      <c r="C115" s="99" t="s">
        <v>132</v>
      </c>
      <c r="D115" s="100">
        <f>SUM(D$95:D$105)+SUM(F$95:F$105)+SUM(H$95:H$105)+SUM(J$95:J$105)</f>
        <v>186.99836953126112</v>
      </c>
      <c r="E115" s="100">
        <f>SUM(L$95:L$105)+SUM(N$95:N$105)+SUM(P$95:P$105)+SUM(R$95:R$105)</f>
        <v>160.27166536602923</v>
      </c>
      <c r="F115" s="100">
        <f>SUM(T$95:T$105)+SUM(V$95:V$105)+SUM(X$95:X$105)+SUM(Z$95:Z$105)</f>
        <v>143.85628950223264</v>
      </c>
      <c r="G115" s="100">
        <f>SUM(AB$95:AB$105)+SUM(AD$95:AD$105)+SUM(AF$95:AF$105)+SUM(AH$95:AH$105)</f>
        <v>192.51208020632836</v>
      </c>
      <c r="H115" s="100">
        <f>SUM(AJ$95:AJ$105)+SUM(AL$95:AL$105)+SUM(AN$95:AN$105)+SUM(AP$95:AP$105)</f>
        <v>247.85093426320924</v>
      </c>
      <c r="I115" s="100">
        <f>SUM(AR$95:AR$105)+SUM(AT$95:AT$105)+SUM(AV$95:AV$105)+SUM(AX$95:AX$105)</f>
        <v>194.86680480137747</v>
      </c>
      <c r="J115" s="100">
        <f>SUM(AZ$95:AZ$105)+SUM(BB$95:BB$105)+SUM(BD$95:BD$105)+SUM(BF$95:BF$105)</f>
        <v>277.28608541826776</v>
      </c>
      <c r="K115" s="100">
        <f>SUM(BH$95:BH$105)+SUM(BJ$95:BJ$105)+SUM(BL$95:BL$105)+SUM(BN$95:BN$105)</f>
        <v>208.78891895683742</v>
      </c>
      <c r="L115" s="100">
        <f>SUM(BP$95:BP$105)+SUM(BR$95:BR$105)+SUM(BT$95:BT$105)+SUM(BV$95:BV$105)</f>
        <v>244.00831711003181</v>
      </c>
      <c r="M115" s="100">
        <f>SUM(BX$95:BX$105)+SUM(BZ$95:BZ$105)+SUM(CB$95:CB$105)+SUM(CD$95:CD$105)</f>
        <v>222.74556984825693</v>
      </c>
      <c r="N115" s="100">
        <f>SUM(CF$95:CF$105)+SUM(CH$95:CH$105)+SUM(CJ$95:CJ$105)+SUM(CL$95:CL$105)</f>
        <v>165.10299874808732</v>
      </c>
      <c r="O115" s="100">
        <f>SUM(CN$95:CN$105)+SUM(CP$95:CP$105)+SUM(CR$95:CR$105)+SUM(CT$95:CT$105)</f>
        <v>220.98503387722926</v>
      </c>
    </row>
    <row r="116" spans="2:15">
      <c r="C116" s="99" t="s">
        <v>278</v>
      </c>
      <c r="D116" s="100">
        <f t="shared" ref="D116:O116" si="0">SUM(D$109:D$115)</f>
        <v>1870.5451604697964</v>
      </c>
      <c r="E116" s="100">
        <f t="shared" si="0"/>
        <v>1719.926293554169</v>
      </c>
      <c r="F116" s="100">
        <f t="shared" si="0"/>
        <v>1842.2962579551397</v>
      </c>
      <c r="G116" s="100">
        <f t="shared" si="0"/>
        <v>2295.8927262458938</v>
      </c>
      <c r="H116" s="100">
        <f t="shared" si="0"/>
        <v>2644.6729704997547</v>
      </c>
      <c r="I116" s="100">
        <f t="shared" si="0"/>
        <v>2169.7868817558619</v>
      </c>
      <c r="J116" s="100">
        <f t="shared" si="0"/>
        <v>2271.4604937275476</v>
      </c>
      <c r="K116" s="100">
        <f t="shared" si="0"/>
        <v>2614.3009123625502</v>
      </c>
      <c r="L116" s="100">
        <f t="shared" si="0"/>
        <v>2156.348328507223</v>
      </c>
      <c r="M116" s="100">
        <f t="shared" si="0"/>
        <v>2683.8999891263138</v>
      </c>
      <c r="N116" s="100">
        <f t="shared" si="0"/>
        <v>1628.2540574102936</v>
      </c>
      <c r="O116" s="100">
        <f t="shared" si="0"/>
        <v>2752.8825317950973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2049872.2209058842</v>
      </c>
      <c r="E120" s="100">
        <f>E109*pricing!E24*2000</f>
        <v>1912710.0252965465</v>
      </c>
      <c r="F120" s="100">
        <f>F109*pricing!F24*2000</f>
        <v>1752803.7779897298</v>
      </c>
      <c r="G120" s="100">
        <f>G109*pricing!G24*2000</f>
        <v>2538400</v>
      </c>
      <c r="H120" s="100">
        <f>H109*pricing!H24*2000</f>
        <v>3534657.7290629288</v>
      </c>
      <c r="I120" s="100">
        <f>I109*pricing!I24*2000</f>
        <v>2482158.8970603701</v>
      </c>
      <c r="J120" s="100">
        <f>J109*pricing!J24*2000</f>
        <v>2908677.8859387483</v>
      </c>
      <c r="K120" s="100">
        <f>K109*pricing!K24*2000</f>
        <v>2718228.2663042764</v>
      </c>
      <c r="L120" s="100">
        <f>L109*pricing!L24*2000</f>
        <v>2171360.4261551308</v>
      </c>
      <c r="M120" s="100">
        <f>M109*pricing!M24*2000</f>
        <v>3153606.6889611348</v>
      </c>
      <c r="N120" s="100">
        <f>N109*pricing!N24*2000</f>
        <v>2028782.9488301121</v>
      </c>
      <c r="O120" s="100">
        <f>O109*pricing!O24*2000</f>
        <v>3217361.2790696588</v>
      </c>
    </row>
    <row r="121" spans="2:15">
      <c r="C121" s="99" t="s">
        <v>127</v>
      </c>
      <c r="D121" s="100">
        <f>D110*pricing!D25*2000</f>
        <v>3989276.8158082152</v>
      </c>
      <c r="E121" s="100">
        <f>E110*pricing!E25*2000</f>
        <v>3963970.0935096066</v>
      </c>
      <c r="F121" s="100">
        <f>F110*pricing!F25*2000</f>
        <v>4660770.7197362119</v>
      </c>
      <c r="G121" s="100">
        <f>G110*pricing!G25*2000</f>
        <v>5152800</v>
      </c>
      <c r="H121" s="100">
        <f>H110*pricing!H25*2000</f>
        <v>6082030.8046181239</v>
      </c>
      <c r="I121" s="100">
        <f>I110*pricing!I25*2000</f>
        <v>4184895.1013739444</v>
      </c>
      <c r="J121" s="100">
        <f>J110*pricing!J25*2000</f>
        <v>4978559.3576986594</v>
      </c>
      <c r="K121" s="100">
        <f>K110*pricing!K25*2000</f>
        <v>7325102.6866949387</v>
      </c>
      <c r="L121" s="100">
        <f>L110*pricing!L25*2000</f>
        <v>4616844.4603724331</v>
      </c>
      <c r="M121" s="100">
        <f>M110*pricing!M25*2000</f>
        <v>6688335.1233039955</v>
      </c>
      <c r="N121" s="100">
        <f>N110*pricing!N25*2000</f>
        <v>3000756.1776473685</v>
      </c>
      <c r="O121" s="100">
        <f>O110*pricing!O25*2000</f>
        <v>7287942.7489354033</v>
      </c>
    </row>
    <row r="122" spans="2:15">
      <c r="C122" s="99" t="s">
        <v>128</v>
      </c>
      <c r="D122" s="100">
        <f>D111*pricing!D26*2000</f>
        <v>1880464.6050737277</v>
      </c>
      <c r="E122" s="100">
        <f>E111*pricing!E26*2000</f>
        <v>1842837.6354279667</v>
      </c>
      <c r="F122" s="100">
        <f>F111*pricing!F26*2000</f>
        <v>1581037.1713703426</v>
      </c>
      <c r="G122" s="100">
        <f>G111*pricing!G26*2000</f>
        <v>2386400</v>
      </c>
      <c r="H122" s="100">
        <f>H111*pricing!H26*2000</f>
        <v>2789507.2579954634</v>
      </c>
      <c r="I122" s="100">
        <f>I111*pricing!I26*2000</f>
        <v>2452094.2967605302</v>
      </c>
      <c r="J122" s="100">
        <f>J111*pricing!J26*2000</f>
        <v>2087316.2959382171</v>
      </c>
      <c r="K122" s="100">
        <f>K111*pricing!K26*2000</f>
        <v>2761509.0430218033</v>
      </c>
      <c r="L122" s="100">
        <f>L111*pricing!L26*2000</f>
        <v>1859078.2121266602</v>
      </c>
      <c r="M122" s="100">
        <f>M111*pricing!M26*2000</f>
        <v>2893158.9785230416</v>
      </c>
      <c r="N122" s="100">
        <f>N111*pricing!N26*2000</f>
        <v>1571655.4438086157</v>
      </c>
      <c r="O122" s="100">
        <f>O111*pricing!O26*2000</f>
        <v>2655876.8038580143</v>
      </c>
    </row>
    <row r="123" spans="2:15">
      <c r="C123" s="99" t="s">
        <v>129</v>
      </c>
      <c r="D123" s="100">
        <f>D112*pricing!D27*2000</f>
        <v>2366041.5059612175</v>
      </c>
      <c r="E123" s="100">
        <f>E112*pricing!E27*2000</f>
        <v>2388459.9806969268</v>
      </c>
      <c r="F123" s="100">
        <f>F112*pricing!F27*2000</f>
        <v>2549697.002043725</v>
      </c>
      <c r="G123" s="100">
        <f>G112*pricing!G27*2000</f>
        <v>3666270.1314180936</v>
      </c>
      <c r="H123" s="100">
        <f>H112*pricing!H27*2000</f>
        <v>3118781.937789279</v>
      </c>
      <c r="I123" s="100">
        <f>I112*pricing!I27*2000</f>
        <v>2803624.4750773394</v>
      </c>
      <c r="J123" s="100">
        <f>J112*pricing!J27*2000</f>
        <v>2865623.6383525119</v>
      </c>
      <c r="K123" s="100">
        <f>K112*pricing!K27*2000</f>
        <v>2670443.1118107629</v>
      </c>
      <c r="L123" s="100">
        <f>L112*pricing!L27*2000</f>
        <v>2793235.4359091418</v>
      </c>
      <c r="M123" s="100">
        <f>M112*pricing!M27*2000</f>
        <v>3288890.3134485688</v>
      </c>
      <c r="N123" s="100">
        <f>N112*pricing!N27*2000</f>
        <v>1760421.8740449375</v>
      </c>
      <c r="O123" s="100">
        <f>O112*pricing!O27*2000</f>
        <v>3393825.962372663</v>
      </c>
    </row>
    <row r="124" spans="2:15">
      <c r="C124" s="99" t="s">
        <v>130</v>
      </c>
      <c r="D124" s="100">
        <f>D113*pricing!D28*2000</f>
        <v>1764305.1425499064</v>
      </c>
      <c r="E124" s="100">
        <f>E113*pricing!E28*2000</f>
        <v>1269515.7192941704</v>
      </c>
      <c r="F124" s="100">
        <f>F113*pricing!F28*2000</f>
        <v>1779153.0916862697</v>
      </c>
      <c r="G124" s="100">
        <f>G113*pricing!G28*2000</f>
        <v>1579250.9924740558</v>
      </c>
      <c r="H124" s="100">
        <f>H113*pricing!H28*2000</f>
        <v>1828616.0528387977</v>
      </c>
      <c r="I124" s="100">
        <f>I113*pricing!I28*2000</f>
        <v>2352869.4675595323</v>
      </c>
      <c r="J124" s="100">
        <f>J113*pricing!J28*2000</f>
        <v>1484448.4409819187</v>
      </c>
      <c r="K124" s="100">
        <f>K113*pricing!K28*2000</f>
        <v>2077125.6564072696</v>
      </c>
      <c r="L124" s="100">
        <f>L113*pricing!L28*2000</f>
        <v>2112799.9999999995</v>
      </c>
      <c r="M124" s="100">
        <f>M113*pricing!M28*2000</f>
        <v>1941238.3717600962</v>
      </c>
      <c r="N124" s="100">
        <f>N113*pricing!N28*2000</f>
        <v>2169716.7316119475</v>
      </c>
      <c r="O124" s="100">
        <f>O113*pricing!O28*2000</f>
        <v>1783037.2270008086</v>
      </c>
    </row>
    <row r="125" spans="2:15">
      <c r="C125" s="99" t="s">
        <v>131</v>
      </c>
      <c r="D125" s="100">
        <f>D114*pricing!D29*2000</f>
        <v>744995.32083391806</v>
      </c>
      <c r="E125" s="100">
        <f>E114*pricing!E29*2000</f>
        <v>475881.72000464349</v>
      </c>
      <c r="F125" s="100">
        <f>F114*pricing!F29*2000</f>
        <v>584681.99741581455</v>
      </c>
      <c r="G125" s="100">
        <f>G114*pricing!G29*2000</f>
        <v>662571.78600854578</v>
      </c>
      <c r="H125" s="100">
        <f>H114*pricing!H29*2000</f>
        <v>862253.6930931547</v>
      </c>
      <c r="I125" s="100">
        <f>I114*pricing!I29*2000</f>
        <v>733750.34702236322</v>
      </c>
      <c r="J125" s="100">
        <f>J114*pricing!J29*2000</f>
        <v>831099.88424047176</v>
      </c>
      <c r="K125" s="100">
        <f>K114*pricing!K29*2000</f>
        <v>729482.3856443672</v>
      </c>
      <c r="L125" s="100">
        <f>L114*pricing!L29*2000</f>
        <v>980465.55205528566</v>
      </c>
      <c r="M125" s="100">
        <f>M114*pricing!M29*2000</f>
        <v>739544.11051639426</v>
      </c>
      <c r="N125" s="100">
        <f>N114*pricing!N29*2000</f>
        <v>588614.86988978693</v>
      </c>
      <c r="O125" s="100">
        <f>O114*pricing!O29*2000</f>
        <v>904376.96293924935</v>
      </c>
    </row>
    <row r="126" spans="2:15">
      <c r="C126" s="99" t="s">
        <v>132</v>
      </c>
      <c r="D126" s="100">
        <f>D115*pricing!D30*2000</f>
        <v>1421187.6084375845</v>
      </c>
      <c r="E126" s="100">
        <f>E115*pricing!E30*2000</f>
        <v>1218064.6567818222</v>
      </c>
      <c r="F126" s="100">
        <f>F115*pricing!F30*2000</f>
        <v>1093307.8002169679</v>
      </c>
      <c r="G126" s="100">
        <f>G115*pricing!G30*2000</f>
        <v>1463091.8095680955</v>
      </c>
      <c r="H126" s="100">
        <f>H115*pricing!H30*2000</f>
        <v>1883667.1004003901</v>
      </c>
      <c r="I126" s="100">
        <f>I115*pricing!I30*2000</f>
        <v>1480987.7164904687</v>
      </c>
      <c r="J126" s="100">
        <f>J115*pricing!J30*2000</f>
        <v>2107374.2491788347</v>
      </c>
      <c r="K126" s="100">
        <f>K115*pricing!K30*2000</f>
        <v>1586795.7840719644</v>
      </c>
      <c r="L126" s="100">
        <f>L115*pricing!L30*2000</f>
        <v>1854463.2100362417</v>
      </c>
      <c r="M126" s="100">
        <f>M115*pricing!M30*2000</f>
        <v>1692866.3308467525</v>
      </c>
      <c r="N126" s="100">
        <f>N115*pricing!N30*2000</f>
        <v>1254782.7904854636</v>
      </c>
      <c r="O126" s="100">
        <f>O115*pricing!O30*2000</f>
        <v>1679486.2574669423</v>
      </c>
    </row>
    <row r="127" spans="2:15">
      <c r="C127" s="99" t="s">
        <v>278</v>
      </c>
      <c r="D127" s="100">
        <f t="shared" ref="D127:O127" si="1">SUM(D$120:D$126)</f>
        <v>14216143.219570452</v>
      </c>
      <c r="E127" s="100">
        <f t="shared" si="1"/>
        <v>13071439.831011685</v>
      </c>
      <c r="F127" s="100">
        <f t="shared" si="1"/>
        <v>14001451.560459059</v>
      </c>
      <c r="G127" s="100">
        <f t="shared" si="1"/>
        <v>17448784.719468791</v>
      </c>
      <c r="H127" s="100">
        <f t="shared" si="1"/>
        <v>20099514.575798139</v>
      </c>
      <c r="I127" s="100">
        <f t="shared" si="1"/>
        <v>16490380.301344547</v>
      </c>
      <c r="J127" s="100">
        <f t="shared" si="1"/>
        <v>17263099.752329361</v>
      </c>
      <c r="K127" s="100">
        <f t="shared" si="1"/>
        <v>19868686.933955383</v>
      </c>
      <c r="L127" s="100">
        <f t="shared" si="1"/>
        <v>16388247.296654895</v>
      </c>
      <c r="M127" s="100">
        <f t="shared" si="1"/>
        <v>20397639.917359985</v>
      </c>
      <c r="N127" s="100">
        <f t="shared" si="1"/>
        <v>12374730.836318234</v>
      </c>
      <c r="O127" s="100">
        <f t="shared" si="1"/>
        <v>20921907.241642736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136392.0952269343</v>
      </c>
      <c r="E131" s="106">
        <f>SUM(M$6:M$19)+SUM(O$6:O$19)+SUM(Q$6:Q$19)+SUM(S$6:S$19)</f>
        <v>127458.82205047613</v>
      </c>
      <c r="F131" s="106">
        <f>SUM(U$6:U$19)+SUM(W$6:W$19)+SUM(Y$6:Y$19)+SUM(AA$6:AA$19)</f>
        <v>116524.35210500492</v>
      </c>
      <c r="G131" s="106">
        <f>SUM(AC$6:AC$19)+SUM(AE$6:AE$19)+SUM(AG$6:AG$19)+SUM(AI$6:AI$19)</f>
        <v>169136.40000000002</v>
      </c>
      <c r="H131" s="106">
        <f>SUM(AK$6:AK$19)+SUM(AM$6:AM$19)+SUM(AO$6:AO$19)+SUM(AQ$6:AQ$19)</f>
        <v>236664.97422441375</v>
      </c>
      <c r="I131" s="106">
        <f>SUM(AS$6:AS$19)+SUM(AU$6:AU$19)+SUM(AW$6:AW$19)+SUM(AY$6:AY$19)</f>
        <v>163803.96379596897</v>
      </c>
      <c r="J131" s="106">
        <f>SUM(BA$6:BA$19)+SUM(BC$6:BC$19)+SUM(BE$6:BE$19)+SUM(BG$6:BG$19)</f>
        <v>193928.26729642513</v>
      </c>
      <c r="K131" s="106">
        <f>SUM(BI$6:BI$19)+SUM(BK$6:BK$19)+SUM(BM$6:BM$19)+SUM(BO$6:BO$19)</f>
        <v>180086.3765973807</v>
      </c>
      <c r="L131" s="106">
        <f>SUM(BQ$6:BQ$19)+SUM(BS$6:BS$19)+SUM(BU$6:BU$19)+SUM(BW$6:BW$19)</f>
        <v>145283.11309482594</v>
      </c>
      <c r="M131" s="106">
        <f>SUM(BY$6:BY$19)+SUM(CA$6:CA$19)+SUM(CC$6:CC$19)+SUM(CE$6:CE$19)</f>
        <v>209232.35208345775</v>
      </c>
      <c r="N131" s="106">
        <f>SUM(CG$6:CG$19)+SUM(CI$6:CI$19)+SUM(CK$6:CK$19)+SUM(CM$6:CM$19)</f>
        <v>135119.83192614719</v>
      </c>
      <c r="O131" s="106">
        <f>SUM(CO$6:CO$19)+SUM(CQ$6:CQ$19)+SUM(CS$6:CS$19)+SUM(CU$6:CU$19)</f>
        <v>214980.2976750521</v>
      </c>
    </row>
    <row r="132" spans="2:15">
      <c r="C132" s="105" t="s">
        <v>127</v>
      </c>
      <c r="D132" s="106">
        <f>SUM(E$20:E$36)+SUM(G$20:G$36)+SUM(I$20:I$36)+SUM(K$20:K$36)</f>
        <v>223088.05592859146</v>
      </c>
      <c r="E132" s="106">
        <f>SUM(M$20:M$36)+SUM(O$20:O$36)+SUM(Q$20:Q$36)+SUM(S$20:S$36)</f>
        <v>222305.51708627085</v>
      </c>
      <c r="F132" s="106">
        <f>SUM(U$20:U$36)+SUM(W$20:W$36)+SUM(Y$20:Y$36)+SUM(AA$20:AA$36)</f>
        <v>263108.97455968498</v>
      </c>
      <c r="G132" s="106">
        <f>SUM(AC$20:AC$36)+SUM(AE$20:AE$36)+SUM(AG$20:AG$36)+SUM(AI$20:AI$36)</f>
        <v>291832.8</v>
      </c>
      <c r="H132" s="106">
        <f>SUM(AK$20:AK$36)+SUM(AM$20:AM$36)+SUM(AO$20:AO$36)+SUM(AQ$20:AQ$36)</f>
        <v>341945.96989404841</v>
      </c>
      <c r="I132" s="106">
        <f>SUM(AS$20:AS$36)+SUM(AU$20:AU$36)+SUM(AW$20:AW$36)+SUM(AY$20:AY$36)</f>
        <v>236469.16498509664</v>
      </c>
      <c r="J132" s="106">
        <f>SUM(BA$20:BA$36)+SUM(BC$20:BC$36)+SUM(BE$20:BE$36)+SUM(BG$20:BG$36)</f>
        <v>279799.52436316316</v>
      </c>
      <c r="K132" s="106">
        <f>SUM(BI$20:BI$36)+SUM(BK$20:BK$36)+SUM(BM$20:BM$36)+SUM(BO$20:BO$36)</f>
        <v>413396.30622929329</v>
      </c>
      <c r="L132" s="106">
        <f>SUM(BQ$20:BQ$36)+SUM(BS$20:BS$36)+SUM(BU$20:BU$36)+SUM(BW$20:BW$36)</f>
        <v>260533.25826220284</v>
      </c>
      <c r="M132" s="106">
        <f>SUM(BY$20:BY$36)+SUM(CA$20:CA$36)+SUM(CC$20:CC$36)+SUM(CE$20:CE$36)</f>
        <v>380625.07260083815</v>
      </c>
      <c r="N132" s="106">
        <f>SUM(CG$20:CG$36)+SUM(CI$20:CI$36)+SUM(CK$20:CK$36)+SUM(CM$20:CM$36)</f>
        <v>168368.88054582491</v>
      </c>
      <c r="O132" s="106">
        <f>SUM(CO$20:CO$36)+SUM(CQ$20:CQ$36)+SUM(CS$20:CS$36)+SUM(CU$20:CU$36)</f>
        <v>409736.46870995348</v>
      </c>
    </row>
    <row r="133" spans="2:15">
      <c r="C133" s="105" t="s">
        <v>128</v>
      </c>
      <c r="D133" s="106">
        <f>SUM(E$37:E$48)+SUM(G$37:G$48)+SUM(I$37:I$48)+SUM(K$37:K$48)</f>
        <v>260676.22123474721</v>
      </c>
      <c r="E133" s="106">
        <f>SUM(M$37:M$48)+SUM(O$37:O$48)+SUM(Q$37:Q$48)+SUM(S$37:S$48)</f>
        <v>254588.73980859472</v>
      </c>
      <c r="F133" s="106">
        <f>SUM(U$37:U$48)+SUM(W$37:W$48)+SUM(Y$37:Y$48)+SUM(AA$37:AA$48)</f>
        <v>218434.32181801688</v>
      </c>
      <c r="G133" s="106">
        <f>SUM(AC$37:AC$48)+SUM(AE$37:AE$48)+SUM(AG$37:AG$48)+SUM(AI$37:AI$48)</f>
        <v>330552</v>
      </c>
      <c r="H133" s="106">
        <f>SUM(AK$37:AK$48)+SUM(AM$37:AM$48)+SUM(AO$37:AO$48)+SUM(AQ$37:AQ$48)</f>
        <v>384843.13515036413</v>
      </c>
      <c r="I133" s="106">
        <f>SUM(AS$37:AS$48)+SUM(AU$37:AU$48)+SUM(AW$37:AW$48)+SUM(AY$37:AY$48)</f>
        <v>340376.25717987987</v>
      </c>
      <c r="J133" s="106">
        <f>SUM(BA$37:BA$48)+SUM(BC$37:BC$48)+SUM(BE$37:BE$48)+SUM(BG$37:BG$48)</f>
        <v>287958.03099600878</v>
      </c>
      <c r="K133" s="106">
        <f>SUM(BI$37:BI$48)+SUM(BK$37:BK$48)+SUM(BM$37:BM$48)+SUM(BO$37:BO$48)</f>
        <v>382773.15792955743</v>
      </c>
      <c r="L133" s="106">
        <f>SUM(BQ$37:BQ$48)+SUM(BS$37:BS$48)+SUM(BU$37:BU$48)+SUM(BW$37:BW$48)</f>
        <v>256888.44095067671</v>
      </c>
      <c r="M133" s="106">
        <f>SUM(BY$37:BY$48)+SUM(CA$37:CA$48)+SUM(CC$37:CC$48)+SUM(CE$37:CE$48)</f>
        <v>399959.97588963609</v>
      </c>
      <c r="N133" s="106">
        <f>SUM(CG$37:CG$48)+SUM(CI$37:CI$48)+SUM(CK$37:CK$48)+SUM(CM$37:CM$48)</f>
        <v>216677.80694085889</v>
      </c>
      <c r="O133" s="106">
        <f>SUM(CO$37:CO$48)+SUM(CQ$37:CQ$48)+SUM(CS$37:CS$48)+SUM(CU$37:CU$48)</f>
        <v>366330.88219091977</v>
      </c>
    </row>
    <row r="134" spans="2:15">
      <c r="C134" s="105" t="s">
        <v>129</v>
      </c>
      <c r="D134" s="106">
        <f>SUM(E$49:E$70)+SUM(G$49:G$70)+SUM(I$49:I$70)+SUM(K$49:K$70)</f>
        <v>260231.76866060979</v>
      </c>
      <c r="E134" s="106">
        <f>SUM(M$49:M$70)+SUM(O$49:O$70)+SUM(Q$49:Q$70)+SUM(S$49:S$70)</f>
        <v>257199.50622216403</v>
      </c>
      <c r="F134" s="106">
        <f>SUM(U$49:U$70)+SUM(W$49:W$70)+SUM(Y$49:Y$70)+SUM(AA$49:AA$70)</f>
        <v>278761.08866289322</v>
      </c>
      <c r="G134" s="106">
        <f>SUM(AC$49:AC$70)+SUM(AE$49:AE$70)+SUM(AG$49:AG$70)+SUM(AI$49:AI$70)</f>
        <v>396287.3562670066</v>
      </c>
      <c r="H134" s="106">
        <f>SUM(AK$49:AK$70)+SUM(AM$49:AM$70)+SUM(AO$49:AO$70)+SUM(AQ$49:AQ$70)</f>
        <v>337099.83630678384</v>
      </c>
      <c r="I134" s="106">
        <f>SUM(AS$49:AS$70)+SUM(AU$49:AU$70)+SUM(AW$49:AW$70)+SUM(AY$49:AY$70)</f>
        <v>310206.35032169381</v>
      </c>
      <c r="J134" s="106">
        <f>SUM(BA$49:BA$70)+SUM(BC$49:BC$70)+SUM(BE$49:BE$70)+SUM(BG$49:BG$70)</f>
        <v>315907.02475081349</v>
      </c>
      <c r="K134" s="106">
        <f>SUM(BI$49:BI$70)+SUM(BK$49:BK$70)+SUM(BM$49:BM$70)+SUM(BO$49:BO$70)</f>
        <v>288843.86576925684</v>
      </c>
      <c r="L134" s="106">
        <f>SUM(BQ$49:BQ$70)+SUM(BS$49:BS$70)+SUM(BU$49:BU$70)+SUM(BW$49:BW$70)</f>
        <v>312903.64287853742</v>
      </c>
      <c r="M134" s="106">
        <f>SUM(BY$49:BY$70)+SUM(CA$49:CA$70)+SUM(CC$49:CC$70)+SUM(CE$49:CE$70)</f>
        <v>359266.05095894157</v>
      </c>
      <c r="N134" s="106">
        <f>SUM(CG$49:CG$70)+SUM(CI$49:CI$70)+SUM(CK$49:CK$70)+SUM(CM$49:CM$70)</f>
        <v>198152.69033097755</v>
      </c>
      <c r="O134" s="106">
        <f>SUM(CO$49:CO$70)+SUM(CQ$49:CQ$70)+SUM(CS$49:CS$70)+SUM(CU$49:CU$70)</f>
        <v>364652.16101225524</v>
      </c>
    </row>
    <row r="135" spans="2:15">
      <c r="C135" s="105" t="s">
        <v>130</v>
      </c>
      <c r="D135" s="106">
        <f>SUM(E$71:E$86)+SUM(G$71:G$86)+SUM(I$71:I$86)+SUM(K$71:K$86)</f>
        <v>131039.74743687644</v>
      </c>
      <c r="E135" s="106">
        <f>SUM(M$71:M$86)+SUM(O$71:O$86)+SUM(Q$71:Q$86)+SUM(S$71:S$86)</f>
        <v>93956.073785436136</v>
      </c>
      <c r="F135" s="106">
        <f>SUM(U$71:U$86)+SUM(W$71:W$86)+SUM(Y$71:Y$86)+SUM(AA$71:AA$86)</f>
        <v>130007.7977531252</v>
      </c>
      <c r="G135" s="106">
        <f>SUM(AC$71:AC$86)+SUM(AE$71:AE$86)+SUM(AG$71:AG$86)+SUM(AI$71:AI$86)</f>
        <v>116262.92902495581</v>
      </c>
      <c r="H135" s="106">
        <f>SUM(AK$71:AK$86)+SUM(AM$71:AM$86)+SUM(AO$71:AO$86)+SUM(AQ$71:AQ$86)</f>
        <v>135670.68375963959</v>
      </c>
      <c r="I135" s="106">
        <f>SUM(AS$71:AS$86)+SUM(AU$71:AU$86)+SUM(AW$71:AW$86)+SUM(AY$71:AY$86)</f>
        <v>174260.08729507547</v>
      </c>
      <c r="J135" s="106">
        <f>SUM(BA$71:BA$86)+SUM(BC$71:BC$86)+SUM(BE$71:BE$86)+SUM(BG$71:BG$86)</f>
        <v>109398.27124102914</v>
      </c>
      <c r="K135" s="106">
        <f>SUM(BI$71:BI$86)+SUM(BK$71:BK$86)+SUM(BM$71:BM$86)+SUM(BO$71:BO$86)</f>
        <v>154051.34276153723</v>
      </c>
      <c r="L135" s="106">
        <f>SUM(BQ$71:BQ$86)+SUM(BS$71:BS$86)+SUM(BU$71:BU$86)+SUM(BW$71:BW$86)</f>
        <v>156486</v>
      </c>
      <c r="M135" s="106">
        <f>SUM(BY$71:BY$86)+SUM(CA$71:CA$86)+SUM(CC$71:CC$86)+SUM(CE$71:CE$86)</f>
        <v>142886.50023268137</v>
      </c>
      <c r="N135" s="106">
        <f>SUM(CG$71:CG$86)+SUM(CI$71:CI$86)+SUM(CK$71:CK$86)+SUM(CM$71:CM$86)</f>
        <v>159185.00610804313</v>
      </c>
      <c r="O135" s="106">
        <f>SUM(CO$71:CO$86)+SUM(CQ$71:CQ$86)+SUM(CS$71:CS$86)+SUM(CU$71:CU$86)</f>
        <v>131172.26870406384</v>
      </c>
    </row>
    <row r="136" spans="2:15">
      <c r="C136" s="105" t="s">
        <v>131</v>
      </c>
      <c r="D136" s="106">
        <f>SUM(E$87:E$94)+SUM(G$87:G$94)+SUM(I$87:I$94)+SUM(K$87:K$94)</f>
        <v>98206.73002548299</v>
      </c>
      <c r="E136" s="106">
        <f>SUM(M$87:M$94)+SUM(O$87:O$94)+SUM(Q$87:Q$94)+SUM(S$87:S$94)</f>
        <v>62896.841572027959</v>
      </c>
      <c r="F136" s="106">
        <f>SUM(U$87:U$94)+SUM(W$87:W$94)+SUM(Y$87:Y$94)+SUM(AA$87:AA$94)</f>
        <v>76911.654922037662</v>
      </c>
      <c r="G136" s="106">
        <f>SUM(AC$87:AC$94)+SUM(AE$87:AE$94)+SUM(AG$87:AG$94)+SUM(AI$87:AI$94)</f>
        <v>87470.575749492316</v>
      </c>
      <c r="H136" s="106">
        <f>SUM(AK$87:AK$94)+SUM(AM$87:AM$94)+SUM(AO$87:AO$94)+SUM(AQ$87:AQ$94)</f>
        <v>114146.04777694098</v>
      </c>
      <c r="I136" s="106">
        <f>SUM(AS$87:AS$94)+SUM(AU$87:AU$94)+SUM(AW$87:AW$94)+SUM(AY$87:AY$94)</f>
        <v>96928.9536668332</v>
      </c>
      <c r="J136" s="106">
        <f>SUM(BA$87:BA$94)+SUM(BC$87:BC$94)+SUM(BE$87:BE$94)+SUM(BG$87:BG$94)</f>
        <v>109819.7970469865</v>
      </c>
      <c r="K136" s="106">
        <f>SUM(BI$87:BI$94)+SUM(BK$87:BK$94)+SUM(BM$87:BM$94)+SUM(BO$87:BO$94)</f>
        <v>96399.343332729914</v>
      </c>
      <c r="L136" s="106">
        <f>SUM(BQ$87:BQ$94)+SUM(BS$87:BS$94)+SUM(BU$87:BU$94)+SUM(BW$87:BW$94)</f>
        <v>129593.83923612308</v>
      </c>
      <c r="M136" s="106">
        <f>SUM(BY$87:BY$94)+SUM(CA$87:CA$94)+SUM(CC$87:CC$94)+SUM(CE$87:CE$94)</f>
        <v>97638.757677215966</v>
      </c>
      <c r="N136" s="106">
        <f>SUM(CG$87:CG$94)+SUM(CI$87:CI$94)+SUM(CK$87:CK$94)+SUM(CM$87:CM$94)</f>
        <v>77883.279901406975</v>
      </c>
      <c r="O136" s="106">
        <f>SUM(CO$87:CO$94)+SUM(CQ$87:CQ$94)+SUM(CS$87:CS$94)+SUM(CU$87:CU$94)</f>
        <v>119264.69363010798</v>
      </c>
    </row>
    <row r="137" spans="2:15">
      <c r="C137" s="105" t="s">
        <v>132</v>
      </c>
      <c r="D137" s="106">
        <f>SUM(E$95:E$105)+SUM(G$95:G$105)+SUM(I$95:I$105)+SUM(K$95:K$105)</f>
        <v>150406.35869716079</v>
      </c>
      <c r="E137" s="106">
        <f>SUM(M$95:M$105)+SUM(O$95:O$105)+SUM(Q$95:Q$105)+SUM(S$95:S$105)</f>
        <v>130770.90594416013</v>
      </c>
      <c r="F137" s="106">
        <f>SUM(U$95:U$105)+SUM(W$95:W$105)+SUM(Y$95:Y$105)+SUM(AA$95:AA$105)</f>
        <v>116736.76537343876</v>
      </c>
      <c r="G137" s="106">
        <f>SUM(AC$95:AC$105)+SUM(AE$95:AE$105)+SUM(AG$95:AG$105)+SUM(AI$95:AI$105)</f>
        <v>152580.94280180492</v>
      </c>
      <c r="H137" s="106">
        <f>SUM(AK$95:AK$105)+SUM(AM$95:AM$105)+SUM(AO$95:AO$105)+SUM(AQ$95:AQ$105)</f>
        <v>201138.29533106802</v>
      </c>
      <c r="I137" s="106">
        <f>SUM(AS$95:AS$105)+SUM(AU$95:AU$105)+SUM(AW$95:AW$105)+SUM(AY$95:AY$105)</f>
        <v>157050.59419541396</v>
      </c>
      <c r="J137" s="106">
        <f>SUM(BA$95:BA$105)+SUM(BC$95:BC$105)+SUM(BE$95:BE$105)+SUM(BG$95:BG$105)</f>
        <v>224010.24286281623</v>
      </c>
      <c r="K137" s="106">
        <f>SUM(BI$95:BI$105)+SUM(BK$95:BK$105)+SUM(BM$95:BM$105)+SUM(BO$95:BO$105)</f>
        <v>170329.96475080962</v>
      </c>
      <c r="L137" s="106">
        <f>SUM(BQ$95:BQ$105)+SUM(BS$95:BS$105)+SUM(BU$95:BU$105)+SUM(BW$95:BW$105)</f>
        <v>199034.96342320406</v>
      </c>
      <c r="M137" s="106">
        <f>SUM(BY$95:BY$105)+SUM(CA$95:CA$105)+SUM(CC$95:CC$105)+SUM(CE$95:CE$105)</f>
        <v>175628.70953837511</v>
      </c>
      <c r="N137" s="106">
        <f>SUM(CG$95:CG$105)+SUM(CI$95:CI$105)+SUM(CK$95:CK$105)+SUM(CM$95:CM$105)</f>
        <v>130570.11809374284</v>
      </c>
      <c r="O137" s="106">
        <f>SUM(CO$95:CO$105)+SUM(CQ$95:CQ$105)+SUM(CS$95:CS$105)+SUM(CU$95:CU$105)</f>
        <v>177833.81080560631</v>
      </c>
    </row>
    <row r="138" spans="2:15">
      <c r="C138" s="105" t="s">
        <v>278</v>
      </c>
      <c r="D138" s="100">
        <f t="shared" ref="D138:O138" si="2">SUM(D$131:D$137)</f>
        <v>1260040.9772104032</v>
      </c>
      <c r="E138" s="100">
        <f t="shared" si="2"/>
        <v>1149176.40646913</v>
      </c>
      <c r="F138" s="100">
        <f t="shared" si="2"/>
        <v>1200484.9551942018</v>
      </c>
      <c r="G138" s="100">
        <f t="shared" si="2"/>
        <v>1544123.0038432595</v>
      </c>
      <c r="H138" s="100">
        <f t="shared" si="2"/>
        <v>1751508.9424432586</v>
      </c>
      <c r="I138" s="100">
        <f t="shared" si="2"/>
        <v>1479095.3714399617</v>
      </c>
      <c r="J138" s="100">
        <f t="shared" si="2"/>
        <v>1520821.1585572425</v>
      </c>
      <c r="K138" s="100">
        <f t="shared" si="2"/>
        <v>1685880.3573705652</v>
      </c>
      <c r="L138" s="100">
        <f t="shared" si="2"/>
        <v>1460723.2578455701</v>
      </c>
      <c r="M138" s="100">
        <f t="shared" si="2"/>
        <v>1765237.4189811461</v>
      </c>
      <c r="N138" s="100">
        <f t="shared" si="2"/>
        <v>1085957.6138470015</v>
      </c>
      <c r="O138" s="100">
        <f t="shared" si="2"/>
        <v>1783970.5827279584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5.1403748182860474</v>
      </c>
      <c r="E6" s="100">
        <v>2973.1927948966495</v>
      </c>
      <c r="F6" s="100">
        <v>3.7059610380334537E-4</v>
      </c>
      <c r="G6" s="100">
        <v>0.21435278643985495</v>
      </c>
      <c r="H6" s="100">
        <v>5.0003904757613808</v>
      </c>
      <c r="I6" s="100">
        <v>2892.2258511803825</v>
      </c>
      <c r="J6" s="100">
        <v>4</v>
      </c>
      <c r="K6" s="100">
        <v>2313.6</v>
      </c>
      <c r="L6" s="100">
        <v>4.1315396819425709</v>
      </c>
      <c r="M6" s="100">
        <v>2389.6825520355828</v>
      </c>
      <c r="N6" s="100">
        <v>4.8379141983541718</v>
      </c>
      <c r="O6" s="100">
        <v>2798.2495723280526</v>
      </c>
      <c r="P6" s="100">
        <v>2.3094234698942571</v>
      </c>
      <c r="Q6" s="100">
        <v>1335.7705349868381</v>
      </c>
      <c r="R6" s="100">
        <v>6.8157939147024891</v>
      </c>
      <c r="S6" s="100">
        <v>3942.2552002639195</v>
      </c>
      <c r="T6" s="100">
        <v>3.0005873627889903</v>
      </c>
      <c r="U6" s="100">
        <v>1735.5397306371519</v>
      </c>
      <c r="V6" s="100">
        <v>7.0802585296273228E-4</v>
      </c>
      <c r="W6" s="100">
        <v>0.40952215335364434</v>
      </c>
      <c r="X6" s="100">
        <v>8.0003997077815079</v>
      </c>
      <c r="Y6" s="100">
        <v>4627.4311909808239</v>
      </c>
      <c r="Z6" s="100">
        <v>7</v>
      </c>
      <c r="AA6" s="100">
        <v>4048.7999999999997</v>
      </c>
      <c r="AB6" s="100">
        <v>9</v>
      </c>
      <c r="AC6" s="100">
        <v>5205.5999999999995</v>
      </c>
      <c r="AD6" s="100">
        <v>5.9897720532171626</v>
      </c>
      <c r="AE6" s="100">
        <v>3464.4841555808066</v>
      </c>
      <c r="AF6" s="100">
        <v>8.3729421706689902</v>
      </c>
      <c r="AG6" s="100">
        <v>4842.9097515149433</v>
      </c>
      <c r="AH6" s="100">
        <v>3.885188482930548E-4</v>
      </c>
      <c r="AI6" s="100">
        <v>0.22471930185270289</v>
      </c>
      <c r="AJ6" s="100">
        <v>7</v>
      </c>
      <c r="AK6" s="100">
        <v>4048.7999999999997</v>
      </c>
      <c r="AL6" s="100">
        <v>8</v>
      </c>
      <c r="AM6" s="100">
        <v>4627.2</v>
      </c>
      <c r="AN6" s="100">
        <v>2.5531704749731015</v>
      </c>
      <c r="AO6" s="100">
        <v>1476.7538027244418</v>
      </c>
      <c r="AP6" s="100">
        <v>3.9031648489820154E-4</v>
      </c>
      <c r="AQ6" s="100">
        <v>0.22575905486511977</v>
      </c>
      <c r="AR6" s="100">
        <v>6.0992073614153961</v>
      </c>
      <c r="AS6" s="100">
        <v>3527.7815378426649</v>
      </c>
      <c r="AT6" s="100">
        <v>7</v>
      </c>
      <c r="AU6" s="100">
        <v>4048.7999999999997</v>
      </c>
      <c r="AV6" s="100">
        <v>3.6886090408289975</v>
      </c>
      <c r="AW6" s="100">
        <v>2133.4914692154921</v>
      </c>
      <c r="AX6" s="100">
        <v>3.8188086135763878E-4</v>
      </c>
      <c r="AY6" s="100">
        <v>0.22087989020925827</v>
      </c>
      <c r="AZ6" s="100">
        <v>5.5468687213299024</v>
      </c>
      <c r="BA6" s="100">
        <v>3208.3088684172153</v>
      </c>
      <c r="BB6" s="100">
        <v>7.0386834067732655</v>
      </c>
      <c r="BC6" s="100">
        <v>4071.1744824776565</v>
      </c>
      <c r="BD6" s="100">
        <v>10.17653842853642</v>
      </c>
      <c r="BE6" s="100">
        <v>5886.1098270654647</v>
      </c>
      <c r="BF6" s="100">
        <v>5.0880081586988899</v>
      </c>
      <c r="BG6" s="100">
        <v>2942.9039189914379</v>
      </c>
      <c r="BH6" s="100">
        <v>8</v>
      </c>
      <c r="BI6" s="100">
        <v>4627.2</v>
      </c>
      <c r="BJ6" s="100">
        <v>9</v>
      </c>
      <c r="BK6" s="100">
        <v>5205.5999999999995</v>
      </c>
      <c r="BL6" s="100">
        <v>2.8202558734216119</v>
      </c>
      <c r="BM6" s="100">
        <v>1631.2359971870603</v>
      </c>
      <c r="BN6" s="100">
        <v>5.0112868065637404</v>
      </c>
      <c r="BO6" s="100">
        <v>2898.5282889164673</v>
      </c>
      <c r="BP6" s="100">
        <v>1.7325731600579204</v>
      </c>
      <c r="BQ6" s="100">
        <v>1002.1203157775011</v>
      </c>
      <c r="BR6" s="100">
        <v>8.9674848651671013</v>
      </c>
      <c r="BS6" s="100">
        <v>5186.7932460126513</v>
      </c>
      <c r="BT6" s="100">
        <v>6</v>
      </c>
      <c r="BU6" s="100">
        <v>3470.3999999999996</v>
      </c>
      <c r="BV6" s="100">
        <v>0.96489159184191531</v>
      </c>
      <c r="BW6" s="100">
        <v>558.0932967213638</v>
      </c>
      <c r="BX6" s="100">
        <v>6</v>
      </c>
      <c r="BY6" s="100">
        <v>3470.3999999999996</v>
      </c>
      <c r="BZ6" s="100">
        <v>10</v>
      </c>
      <c r="CA6" s="100">
        <v>5784</v>
      </c>
      <c r="CB6" s="100">
        <v>4.5191987467245882</v>
      </c>
      <c r="CC6" s="100">
        <v>2613.9045551055019</v>
      </c>
      <c r="CD6" s="100">
        <v>4.8995638197975875E-4</v>
      </c>
      <c r="CE6" s="100">
        <v>0.28339077133709245</v>
      </c>
      <c r="CF6" s="100">
        <v>10.073168776739477</v>
      </c>
      <c r="CG6" s="100">
        <v>5826.3208204661132</v>
      </c>
      <c r="CH6" s="100">
        <v>5.2000809244356601E-4</v>
      </c>
      <c r="CI6" s="100">
        <v>0.30077268066935858</v>
      </c>
      <c r="CJ6" s="100">
        <v>7.0003861942895824</v>
      </c>
      <c r="CK6" s="100">
        <v>4049.0233747770944</v>
      </c>
      <c r="CL6" s="100">
        <v>6</v>
      </c>
      <c r="CM6" s="100">
        <v>3470.3999999999996</v>
      </c>
      <c r="CN6" s="100">
        <v>3.4288194727017958</v>
      </c>
      <c r="CO6" s="100">
        <v>1983.2291830107185</v>
      </c>
      <c r="CP6" s="100">
        <v>4.2284814130953121</v>
      </c>
      <c r="CQ6" s="100">
        <v>2445.7536493343287</v>
      </c>
      <c r="CR6" s="100">
        <v>6.645508464458282</v>
      </c>
      <c r="CS6" s="100">
        <v>3843.7620958426701</v>
      </c>
      <c r="CT6" s="100">
        <v>4.343882352477518E-4</v>
      </c>
      <c r="CU6" s="100">
        <v>0.2512501552672996</v>
      </c>
    </row>
    <row r="7" spans="1:99">
      <c r="C7" s="99" t="s">
        <v>173</v>
      </c>
      <c r="D7" s="100">
        <v>4.2836456819050399</v>
      </c>
      <c r="E7" s="100">
        <v>3377.2262556139335</v>
      </c>
      <c r="F7" s="100">
        <v>4.3236212110390294E-4</v>
      </c>
      <c r="G7" s="100">
        <v>0.34087429627831706</v>
      </c>
      <c r="H7" s="100">
        <v>5.000334693509755</v>
      </c>
      <c r="I7" s="100">
        <v>3942.2638723630907</v>
      </c>
      <c r="J7" s="100">
        <v>5</v>
      </c>
      <c r="K7" s="100">
        <v>3942</v>
      </c>
      <c r="L7" s="100">
        <v>4.9578476183310851</v>
      </c>
      <c r="M7" s="100">
        <v>3908.7670622922274</v>
      </c>
      <c r="N7" s="100">
        <v>4.8379141983541718</v>
      </c>
      <c r="O7" s="100">
        <v>3814.211553982429</v>
      </c>
      <c r="P7" s="100">
        <v>2.3094234698942571</v>
      </c>
      <c r="Q7" s="100">
        <v>1820.7494636646322</v>
      </c>
      <c r="R7" s="100">
        <v>7.8157939147024891</v>
      </c>
      <c r="S7" s="100">
        <v>6161.9719223514421</v>
      </c>
      <c r="T7" s="100">
        <v>3.0005873627889903</v>
      </c>
      <c r="U7" s="100">
        <v>2365.6630768228397</v>
      </c>
      <c r="V7" s="100">
        <v>6.2903675822895014E-4</v>
      </c>
      <c r="W7" s="100">
        <v>0.49593258018770425</v>
      </c>
      <c r="X7" s="100">
        <v>8.0003552958057842</v>
      </c>
      <c r="Y7" s="100">
        <v>6307.4801152132804</v>
      </c>
      <c r="Z7" s="100">
        <v>7</v>
      </c>
      <c r="AA7" s="100">
        <v>5518.8</v>
      </c>
      <c r="AB7" s="100">
        <v>9</v>
      </c>
      <c r="AC7" s="100">
        <v>7095.5999999999995</v>
      </c>
      <c r="AD7" s="100">
        <v>5.9897720532171626</v>
      </c>
      <c r="AE7" s="100">
        <v>4722.336286756411</v>
      </c>
      <c r="AF7" s="100">
        <v>8.3729421706689902</v>
      </c>
      <c r="AG7" s="100">
        <v>6601.2276073554312</v>
      </c>
      <c r="AH7" s="100">
        <v>3.885188482930548E-4</v>
      </c>
      <c r="AI7" s="100">
        <v>0.30630825999424438</v>
      </c>
      <c r="AJ7" s="100">
        <v>7</v>
      </c>
      <c r="AK7" s="100">
        <v>5518.8</v>
      </c>
      <c r="AL7" s="100">
        <v>7</v>
      </c>
      <c r="AM7" s="100">
        <v>5518.8</v>
      </c>
      <c r="AN7" s="100">
        <v>2.5531704749731015</v>
      </c>
      <c r="AO7" s="100">
        <v>2012.9196024687931</v>
      </c>
      <c r="AP7" s="100">
        <v>3.8680612544313262E-4</v>
      </c>
      <c r="AQ7" s="100">
        <v>0.30495794929936576</v>
      </c>
      <c r="AR7" s="100">
        <v>6.0992073614153961</v>
      </c>
      <c r="AS7" s="100">
        <v>4808.6150837398982</v>
      </c>
      <c r="AT7" s="100">
        <v>8</v>
      </c>
      <c r="AU7" s="100">
        <v>6307.2</v>
      </c>
      <c r="AV7" s="100">
        <v>3.6886090408289975</v>
      </c>
      <c r="AW7" s="100">
        <v>2908.0993677895817</v>
      </c>
      <c r="AX7" s="100">
        <v>3.8188086135763878E-4</v>
      </c>
      <c r="AY7" s="100">
        <v>0.30107487109436243</v>
      </c>
      <c r="AZ7" s="100">
        <v>5.5468687213299024</v>
      </c>
      <c r="BA7" s="100">
        <v>4373.1512998964945</v>
      </c>
      <c r="BB7" s="100">
        <v>6.295584074204764</v>
      </c>
      <c r="BC7" s="100">
        <v>4963.438484103036</v>
      </c>
      <c r="BD7" s="100">
        <v>9.1765384285364195</v>
      </c>
      <c r="BE7" s="100">
        <v>7234.7828970581131</v>
      </c>
      <c r="BF7" s="100">
        <v>5.0880081586988899</v>
      </c>
      <c r="BG7" s="100">
        <v>4011.3856323182049</v>
      </c>
      <c r="BH7" s="100">
        <v>8</v>
      </c>
      <c r="BI7" s="100">
        <v>6307.2</v>
      </c>
      <c r="BJ7" s="100">
        <v>9</v>
      </c>
      <c r="BK7" s="100">
        <v>7095.5999999999995</v>
      </c>
      <c r="BL7" s="100">
        <v>2.8202558734216119</v>
      </c>
      <c r="BM7" s="100">
        <v>2223.4897306055987</v>
      </c>
      <c r="BN7" s="100">
        <v>5.0112868065637404</v>
      </c>
      <c r="BO7" s="100">
        <v>3950.8985182948527</v>
      </c>
      <c r="BP7" s="100">
        <v>1.7545898561624826</v>
      </c>
      <c r="BQ7" s="100">
        <v>1383.3186425985014</v>
      </c>
      <c r="BR7" s="100">
        <v>9.0884204733129881</v>
      </c>
      <c r="BS7" s="100">
        <v>7165.3107011599595</v>
      </c>
      <c r="BT7" s="100">
        <v>6</v>
      </c>
      <c r="BU7" s="100">
        <v>4730.3999999999996</v>
      </c>
      <c r="BV7" s="100">
        <v>1.0721017687132393</v>
      </c>
      <c r="BW7" s="100">
        <v>845.24503445351786</v>
      </c>
      <c r="BX7" s="100">
        <v>7</v>
      </c>
      <c r="BY7" s="100">
        <v>5518.8</v>
      </c>
      <c r="BZ7" s="100">
        <v>10</v>
      </c>
      <c r="CA7" s="100">
        <v>7884</v>
      </c>
      <c r="CB7" s="100">
        <v>5.4230384960695064</v>
      </c>
      <c r="CC7" s="100">
        <v>4275.5235503011991</v>
      </c>
      <c r="CD7" s="100">
        <v>4.2279487299517365E-4</v>
      </c>
      <c r="CE7" s="100">
        <v>0.33333147786939488</v>
      </c>
      <c r="CF7" s="100">
        <v>11.008655771755357</v>
      </c>
      <c r="CG7" s="100">
        <v>8679.2242104519228</v>
      </c>
      <c r="CH7" s="100">
        <v>5.1921892248294279E-4</v>
      </c>
      <c r="CI7" s="100">
        <v>0.4093521984855521</v>
      </c>
      <c r="CJ7" s="100">
        <v>7.0003861942895824</v>
      </c>
      <c r="CK7" s="100">
        <v>5519.1044755779067</v>
      </c>
      <c r="CL7" s="100">
        <v>6</v>
      </c>
      <c r="CM7" s="100">
        <v>4730.3999999999996</v>
      </c>
      <c r="CN7" s="100">
        <v>3.4288194727017958</v>
      </c>
      <c r="CO7" s="100">
        <v>2703.2812722780959</v>
      </c>
      <c r="CP7" s="100">
        <v>3.7586501449736112</v>
      </c>
      <c r="CQ7" s="100">
        <v>2963.3197742971952</v>
      </c>
      <c r="CR7" s="100">
        <v>7.5948668165237514</v>
      </c>
      <c r="CS7" s="100">
        <v>5987.7929981473253</v>
      </c>
      <c r="CT7" s="100">
        <v>4.343882352477518E-4</v>
      </c>
      <c r="CU7" s="100">
        <v>0.34247168466932748</v>
      </c>
    </row>
    <row r="8" spans="1:99">
      <c r="C8" s="99" t="s">
        <v>174</v>
      </c>
      <c r="D8" s="100">
        <v>6.212503627312624</v>
      </c>
      <c r="E8" s="100">
        <v>1923.3911230159881</v>
      </c>
      <c r="F8" s="100">
        <v>4.3236212110390294E-4</v>
      </c>
      <c r="G8" s="100">
        <v>0.13385931269376833</v>
      </c>
      <c r="H8" s="100">
        <v>5.000334693509755</v>
      </c>
      <c r="I8" s="100">
        <v>1548.10362111062</v>
      </c>
      <c r="J8" s="100">
        <v>5</v>
      </c>
      <c r="K8" s="100">
        <v>1547.9999999999998</v>
      </c>
      <c r="L8" s="100">
        <v>4.9578476183310851</v>
      </c>
      <c r="M8" s="100">
        <v>1534.9496226353037</v>
      </c>
      <c r="N8" s="100">
        <v>4.2331749235599005</v>
      </c>
      <c r="O8" s="100">
        <v>1310.5909563341452</v>
      </c>
      <c r="P8" s="100">
        <v>2.3208532727302154</v>
      </c>
      <c r="Q8" s="100">
        <v>718.53617323727462</v>
      </c>
      <c r="R8" s="100">
        <v>6.9517595671529033</v>
      </c>
      <c r="S8" s="100">
        <v>2152.2647619905388</v>
      </c>
      <c r="T8" s="100">
        <v>3.5006852565871553</v>
      </c>
      <c r="U8" s="100">
        <v>1083.8121554393831</v>
      </c>
      <c r="V8" s="100">
        <v>7.8557694787586131E-4</v>
      </c>
      <c r="W8" s="100">
        <v>0.24321462306236663</v>
      </c>
      <c r="X8" s="100">
        <v>9.0003997077815079</v>
      </c>
      <c r="Y8" s="100">
        <v>2786.5237495291544</v>
      </c>
      <c r="Z8" s="100">
        <v>7</v>
      </c>
      <c r="AA8" s="100">
        <v>2167.1999999999998</v>
      </c>
      <c r="AB8" s="100">
        <v>10</v>
      </c>
      <c r="AC8" s="100">
        <v>3095.9999999999995</v>
      </c>
      <c r="AD8" s="100">
        <v>5.9897720532171626</v>
      </c>
      <c r="AE8" s="100">
        <v>1854.4334276760333</v>
      </c>
      <c r="AF8" s="100">
        <v>7.5356479536020897</v>
      </c>
      <c r="AG8" s="100">
        <v>2333.0366064352065</v>
      </c>
      <c r="AH8" s="100">
        <v>3.885188482930548E-4</v>
      </c>
      <c r="AI8" s="100">
        <v>0.12028543543152975</v>
      </c>
      <c r="AJ8" s="100">
        <v>7</v>
      </c>
      <c r="AK8" s="100">
        <v>2167.1999999999998</v>
      </c>
      <c r="AL8" s="100">
        <v>8</v>
      </c>
      <c r="AM8" s="100">
        <v>2476.7999999999997</v>
      </c>
      <c r="AN8" s="100">
        <v>2.5531704749731015</v>
      </c>
      <c r="AO8" s="100">
        <v>790.46157905167217</v>
      </c>
      <c r="AP8" s="100">
        <v>4.5714663162162145E-4</v>
      </c>
      <c r="AQ8" s="100">
        <v>0.14153259715005398</v>
      </c>
      <c r="AR8" s="100">
        <v>6.0850348812131969</v>
      </c>
      <c r="AS8" s="100">
        <v>1883.9267992236055</v>
      </c>
      <c r="AT8" s="100">
        <v>9</v>
      </c>
      <c r="AU8" s="100">
        <v>2786.3999999999996</v>
      </c>
      <c r="AV8" s="100">
        <v>3.1616648921391404</v>
      </c>
      <c r="AW8" s="100">
        <v>978.85145060627769</v>
      </c>
      <c r="AX8" s="100">
        <v>3.8188086135763878E-4</v>
      </c>
      <c r="AY8" s="100">
        <v>0.11823031467632496</v>
      </c>
      <c r="AZ8" s="100">
        <v>5.5468687213299024</v>
      </c>
      <c r="BA8" s="100">
        <v>1717.3105561237376</v>
      </c>
      <c r="BB8" s="100">
        <v>7.0386834067732655</v>
      </c>
      <c r="BC8" s="100">
        <v>2179.1763827370028</v>
      </c>
      <c r="BD8" s="100">
        <v>9.0458119364768184</v>
      </c>
      <c r="BE8" s="100">
        <v>2800.5833755332228</v>
      </c>
      <c r="BF8" s="100">
        <v>5.0880081586988899</v>
      </c>
      <c r="BG8" s="100">
        <v>1575.2473259331762</v>
      </c>
      <c r="BH8" s="100">
        <v>7</v>
      </c>
      <c r="BI8" s="100">
        <v>2167.1999999999998</v>
      </c>
      <c r="BJ8" s="100">
        <v>10</v>
      </c>
      <c r="BK8" s="100">
        <v>3095.9999999999995</v>
      </c>
      <c r="BL8" s="100">
        <v>3.1336176371351239</v>
      </c>
      <c r="BM8" s="100">
        <v>970.16802045703423</v>
      </c>
      <c r="BN8" s="100">
        <v>5.0070546618803817</v>
      </c>
      <c r="BO8" s="100">
        <v>1550.184123318166</v>
      </c>
      <c r="BP8" s="100">
        <v>2.0139964546993867</v>
      </c>
      <c r="BQ8" s="100">
        <v>623.53330237493003</v>
      </c>
      <c r="BR8" s="100">
        <v>10.967484865167101</v>
      </c>
      <c r="BS8" s="100">
        <v>3395.5333142557342</v>
      </c>
      <c r="BT8" s="100">
        <v>6</v>
      </c>
      <c r="BU8" s="100">
        <v>1857.6</v>
      </c>
      <c r="BV8" s="100">
        <v>1.0721017687132393</v>
      </c>
      <c r="BW8" s="100">
        <v>331.92270759361884</v>
      </c>
      <c r="BX8" s="100">
        <v>6</v>
      </c>
      <c r="BY8" s="100">
        <v>1857.6</v>
      </c>
      <c r="BZ8" s="100">
        <v>9</v>
      </c>
      <c r="CA8" s="100">
        <v>2786.3999999999996</v>
      </c>
      <c r="CB8" s="100">
        <v>5.4230384960695064</v>
      </c>
      <c r="CC8" s="100">
        <v>1678.9727183831189</v>
      </c>
      <c r="CD8" s="100">
        <v>4.8747815459380088E-4</v>
      </c>
      <c r="CE8" s="100">
        <v>0.15092323666224072</v>
      </c>
      <c r="CF8" s="100">
        <v>10.073168776739477</v>
      </c>
      <c r="CG8" s="100">
        <v>3118.6530532785418</v>
      </c>
      <c r="CH8" s="100">
        <v>5.2000809244356601E-4</v>
      </c>
      <c r="CI8" s="100">
        <v>0.16099450542052801</v>
      </c>
      <c r="CJ8" s="100">
        <v>8.0003475748606245</v>
      </c>
      <c r="CK8" s="100">
        <v>2476.9076091768493</v>
      </c>
      <c r="CL8" s="100">
        <v>7</v>
      </c>
      <c r="CM8" s="100">
        <v>2167.1999999999998</v>
      </c>
      <c r="CN8" s="100">
        <v>3.8097994141131064</v>
      </c>
      <c r="CO8" s="100">
        <v>1179.5138986094175</v>
      </c>
      <c r="CP8" s="100">
        <v>3.7586501449736112</v>
      </c>
      <c r="CQ8" s="100">
        <v>1163.6780848838298</v>
      </c>
      <c r="CR8" s="100">
        <v>6.645508464458282</v>
      </c>
      <c r="CS8" s="100">
        <v>2057.4494205962837</v>
      </c>
      <c r="CT8" s="100">
        <v>4.3346317296025211E-4</v>
      </c>
      <c r="CU8" s="100">
        <v>0.13420019834849403</v>
      </c>
    </row>
    <row r="9" spans="1:99">
      <c r="C9" s="99" t="s">
        <v>175</v>
      </c>
      <c r="D9" s="100">
        <v>5.3557744909316165</v>
      </c>
      <c r="E9" s="100">
        <v>3759.7536926339949</v>
      </c>
      <c r="F9" s="100">
        <v>4.3236212110390294E-4</v>
      </c>
      <c r="G9" s="100">
        <v>0.30351820901493987</v>
      </c>
      <c r="H9" s="100">
        <v>6.000334693509755</v>
      </c>
      <c r="I9" s="100">
        <v>4212.2349548438478</v>
      </c>
      <c r="J9" s="100">
        <v>5</v>
      </c>
      <c r="K9" s="100">
        <v>3510</v>
      </c>
      <c r="L9" s="100">
        <v>4.9578476183310851</v>
      </c>
      <c r="M9" s="100">
        <v>3480.4090280684218</v>
      </c>
      <c r="N9" s="100">
        <v>4.2331749235599005</v>
      </c>
      <c r="O9" s="100">
        <v>2971.68879633905</v>
      </c>
      <c r="P9" s="100">
        <v>2.3094234698942571</v>
      </c>
      <c r="Q9" s="100">
        <v>1621.2152758657685</v>
      </c>
      <c r="R9" s="100">
        <v>7.8157939147024891</v>
      </c>
      <c r="S9" s="100">
        <v>5486.6873281211474</v>
      </c>
      <c r="T9" s="100">
        <v>3.0005873627889903</v>
      </c>
      <c r="U9" s="100">
        <v>2106.4123286778713</v>
      </c>
      <c r="V9" s="100">
        <v>7.0658785314207917E-4</v>
      </c>
      <c r="W9" s="100">
        <v>0.49602467290573959</v>
      </c>
      <c r="X9" s="100">
        <v>9.0003997077815079</v>
      </c>
      <c r="Y9" s="100">
        <v>6318.2805948626183</v>
      </c>
      <c r="Z9" s="100">
        <v>8</v>
      </c>
      <c r="AA9" s="100">
        <v>5616</v>
      </c>
      <c r="AB9" s="100">
        <v>8</v>
      </c>
      <c r="AC9" s="100">
        <v>5616</v>
      </c>
      <c r="AD9" s="100">
        <v>5.9897720532171626</v>
      </c>
      <c r="AE9" s="100">
        <v>4204.8199813584479</v>
      </c>
      <c r="AF9" s="100">
        <v>7.5356479536020897</v>
      </c>
      <c r="AG9" s="100">
        <v>5290.0248634286672</v>
      </c>
      <c r="AH9" s="100">
        <v>3.885188482930548E-4</v>
      </c>
      <c r="AI9" s="100">
        <v>0.27274023150172449</v>
      </c>
      <c r="AJ9" s="100">
        <v>8</v>
      </c>
      <c r="AK9" s="100">
        <v>5616</v>
      </c>
      <c r="AL9" s="100">
        <v>8</v>
      </c>
      <c r="AM9" s="100">
        <v>5616</v>
      </c>
      <c r="AN9" s="100">
        <v>2.5531704749731015</v>
      </c>
      <c r="AO9" s="100">
        <v>1792.3256734311171</v>
      </c>
      <c r="AP9" s="100">
        <v>3.9031648489820154E-4</v>
      </c>
      <c r="AQ9" s="100">
        <v>0.27400217239853747</v>
      </c>
      <c r="AR9" s="100">
        <v>5.0992073614153961</v>
      </c>
      <c r="AS9" s="100">
        <v>3579.6435677136083</v>
      </c>
      <c r="AT9" s="100">
        <v>8</v>
      </c>
      <c r="AU9" s="100">
        <v>5616</v>
      </c>
      <c r="AV9" s="100">
        <v>3.6886090408289975</v>
      </c>
      <c r="AW9" s="100">
        <v>2589.4035466619562</v>
      </c>
      <c r="AX9" s="100">
        <v>3.8188086135763878E-4</v>
      </c>
      <c r="AY9" s="100">
        <v>0.2680803646730624</v>
      </c>
      <c r="AZ9" s="100">
        <v>6.24022731149614</v>
      </c>
      <c r="BA9" s="100">
        <v>4380.6395726702904</v>
      </c>
      <c r="BB9" s="100">
        <v>6.9376835937401555</v>
      </c>
      <c r="BC9" s="100">
        <v>4870.2538828055895</v>
      </c>
      <c r="BD9" s="100">
        <v>9.0458119364768184</v>
      </c>
      <c r="BE9" s="100">
        <v>6350.1599794067261</v>
      </c>
      <c r="BF9" s="100">
        <v>5.0880081586988899</v>
      </c>
      <c r="BG9" s="100">
        <v>3571.7817274066206</v>
      </c>
      <c r="BH9" s="100">
        <v>7</v>
      </c>
      <c r="BI9" s="100">
        <v>4914</v>
      </c>
      <c r="BJ9" s="100">
        <v>9</v>
      </c>
      <c r="BK9" s="100">
        <v>6318</v>
      </c>
      <c r="BL9" s="100">
        <v>2.8202558734216119</v>
      </c>
      <c r="BM9" s="100">
        <v>1979.8196231419715</v>
      </c>
      <c r="BN9" s="100">
        <v>5.0112868065637404</v>
      </c>
      <c r="BO9" s="100">
        <v>3517.9233382077459</v>
      </c>
      <c r="BP9" s="100">
        <v>2.0250048027516678</v>
      </c>
      <c r="BQ9" s="100">
        <v>1421.5533715316708</v>
      </c>
      <c r="BR9" s="100">
        <v>10.088420473312988</v>
      </c>
      <c r="BS9" s="100">
        <v>7082.0711722657179</v>
      </c>
      <c r="BT9" s="100">
        <v>6</v>
      </c>
      <c r="BU9" s="100">
        <v>4212</v>
      </c>
      <c r="BV9" s="100">
        <v>1.0721017687132393</v>
      </c>
      <c r="BW9" s="100">
        <v>752.61544163669396</v>
      </c>
      <c r="BX9" s="100">
        <v>6</v>
      </c>
      <c r="BY9" s="100">
        <v>4212</v>
      </c>
      <c r="BZ9" s="100">
        <v>10</v>
      </c>
      <c r="CA9" s="100">
        <v>7020</v>
      </c>
      <c r="CB9" s="100">
        <v>5.4230384960695064</v>
      </c>
      <c r="CC9" s="100">
        <v>3806.9730242407936</v>
      </c>
      <c r="CD9" s="100">
        <v>4.2279487299517365E-4</v>
      </c>
      <c r="CE9" s="100">
        <v>0.29680200084261188</v>
      </c>
      <c r="CF9" s="100">
        <v>10.175782894822426</v>
      </c>
      <c r="CG9" s="100">
        <v>7143.3995921653432</v>
      </c>
      <c r="CH9" s="100">
        <v>6.0496623960281011E-4</v>
      </c>
      <c r="CI9" s="100">
        <v>0.42468630020117271</v>
      </c>
      <c r="CJ9" s="100">
        <v>7.0003475748606245</v>
      </c>
      <c r="CK9" s="100">
        <v>4914.2439975521584</v>
      </c>
      <c r="CL9" s="100">
        <v>6</v>
      </c>
      <c r="CM9" s="100">
        <v>4212</v>
      </c>
      <c r="CN9" s="100">
        <v>3.8097994141131064</v>
      </c>
      <c r="CO9" s="100">
        <v>2674.4791887074007</v>
      </c>
      <c r="CP9" s="100">
        <v>3.7586501449736112</v>
      </c>
      <c r="CQ9" s="100">
        <v>2638.5724017714751</v>
      </c>
      <c r="CR9" s="100">
        <v>7.5636579819270597</v>
      </c>
      <c r="CS9" s="100">
        <v>5309.6879033127962</v>
      </c>
      <c r="CT9" s="100">
        <v>4.343882352477518E-4</v>
      </c>
      <c r="CU9" s="100">
        <v>0.30494054114392177</v>
      </c>
    </row>
    <row r="10" spans="1:99">
      <c r="C10" s="99" t="s">
        <v>176</v>
      </c>
      <c r="D10" s="100">
        <v>5.3557744909316165</v>
      </c>
      <c r="E10" s="100">
        <v>2917.8259426595446</v>
      </c>
      <c r="F10" s="100">
        <v>4.3236212110390294E-4</v>
      </c>
      <c r="G10" s="100">
        <v>0.23555088357740631</v>
      </c>
      <c r="H10" s="100">
        <v>6.0003904757613808</v>
      </c>
      <c r="I10" s="100">
        <v>3269.0127311947999</v>
      </c>
      <c r="J10" s="100">
        <v>4</v>
      </c>
      <c r="K10" s="100">
        <v>2179.1999999999998</v>
      </c>
      <c r="L10" s="100">
        <v>4.9578476183310851</v>
      </c>
      <c r="M10" s="100">
        <v>2701.035382466775</v>
      </c>
      <c r="N10" s="100">
        <v>4.9980995802790442</v>
      </c>
      <c r="O10" s="100">
        <v>2722.9646513360231</v>
      </c>
      <c r="P10" s="100">
        <v>2.0436051418293917</v>
      </c>
      <c r="Q10" s="100">
        <v>1113.3560812686526</v>
      </c>
      <c r="R10" s="100">
        <v>7.8157939147024891</v>
      </c>
      <c r="S10" s="100">
        <v>4258.0445247299158</v>
      </c>
      <c r="T10" s="100">
        <v>3.5006852565871553</v>
      </c>
      <c r="U10" s="100">
        <v>1907.1733277886822</v>
      </c>
      <c r="V10" s="100">
        <v>7.8557694787586131E-4</v>
      </c>
      <c r="W10" s="100">
        <v>0.42798232120276919</v>
      </c>
      <c r="X10" s="100">
        <v>8.0003552958057842</v>
      </c>
      <c r="Y10" s="100">
        <v>4358.5935651549908</v>
      </c>
      <c r="Z10" s="100">
        <v>7</v>
      </c>
      <c r="AA10" s="100">
        <v>3813.5999999999995</v>
      </c>
      <c r="AB10" s="100">
        <v>9</v>
      </c>
      <c r="AC10" s="100">
        <v>4903.2</v>
      </c>
      <c r="AD10" s="100">
        <v>5.9897720532171626</v>
      </c>
      <c r="AE10" s="100">
        <v>3263.2278145927098</v>
      </c>
      <c r="AF10" s="100">
        <v>8.3729421706689902</v>
      </c>
      <c r="AG10" s="100">
        <v>4561.5788945804652</v>
      </c>
      <c r="AH10" s="100">
        <v>3.885188482930548E-4</v>
      </c>
      <c r="AI10" s="100">
        <v>0.21166506855005623</v>
      </c>
      <c r="AJ10" s="100">
        <v>8</v>
      </c>
      <c r="AK10" s="100">
        <v>4358.3999999999996</v>
      </c>
      <c r="AL10" s="100">
        <v>7</v>
      </c>
      <c r="AM10" s="100">
        <v>3813.5999999999995</v>
      </c>
      <c r="AN10" s="100">
        <v>2.5531704749731015</v>
      </c>
      <c r="AO10" s="100">
        <v>1390.9672747653456</v>
      </c>
      <c r="AP10" s="100">
        <v>3.8680612544313262E-4</v>
      </c>
      <c r="AQ10" s="100">
        <v>0.21073197714141864</v>
      </c>
      <c r="AR10" s="100">
        <v>6.0992073614153961</v>
      </c>
      <c r="AS10" s="100">
        <v>3322.8481704991077</v>
      </c>
      <c r="AT10" s="100">
        <v>8</v>
      </c>
      <c r="AU10" s="100">
        <v>4358.3999999999996</v>
      </c>
      <c r="AV10" s="100">
        <v>3.6886090408289975</v>
      </c>
      <c r="AW10" s="100">
        <v>2009.5542054436378</v>
      </c>
      <c r="AX10" s="100">
        <v>3.8531691458930286E-4</v>
      </c>
      <c r="AY10" s="100">
        <v>0.20992065506825219</v>
      </c>
      <c r="AZ10" s="100">
        <v>6.653294794735289</v>
      </c>
      <c r="BA10" s="100">
        <v>3624.715004171785</v>
      </c>
      <c r="BB10" s="100">
        <v>7.6784450596645195</v>
      </c>
      <c r="BC10" s="100">
        <v>4183.2168685052302</v>
      </c>
      <c r="BD10" s="100">
        <v>10.17653842853642</v>
      </c>
      <c r="BE10" s="100">
        <v>5544.1781358666412</v>
      </c>
      <c r="BF10" s="100">
        <v>5.0880081586988899</v>
      </c>
      <c r="BG10" s="100">
        <v>2771.9468448591551</v>
      </c>
      <c r="BH10" s="100">
        <v>8</v>
      </c>
      <c r="BI10" s="100">
        <v>4358.3999999999996</v>
      </c>
      <c r="BJ10" s="100">
        <v>10</v>
      </c>
      <c r="BK10" s="100">
        <v>5448</v>
      </c>
      <c r="BL10" s="100">
        <v>2.8202558734216119</v>
      </c>
      <c r="BM10" s="100">
        <v>1536.475399840094</v>
      </c>
      <c r="BN10" s="100">
        <v>5.0070546618803817</v>
      </c>
      <c r="BO10" s="100">
        <v>2727.8433797924317</v>
      </c>
      <c r="BP10" s="100">
        <v>2.0139964546993867</v>
      </c>
      <c r="BQ10" s="100">
        <v>1097.2252685202259</v>
      </c>
      <c r="BR10" s="100">
        <v>10.088420473312988</v>
      </c>
      <c r="BS10" s="100">
        <v>5496.1714738609153</v>
      </c>
      <c r="BT10" s="100">
        <v>7</v>
      </c>
      <c r="BU10" s="100">
        <v>3813.5999999999995</v>
      </c>
      <c r="BV10" s="100">
        <v>1.0721017687132393</v>
      </c>
      <c r="BW10" s="100">
        <v>584.0810435949727</v>
      </c>
      <c r="BX10" s="100">
        <v>6</v>
      </c>
      <c r="BY10" s="100">
        <v>3268.7999999999997</v>
      </c>
      <c r="BZ10" s="100">
        <v>10</v>
      </c>
      <c r="CA10" s="100">
        <v>5448</v>
      </c>
      <c r="CB10" s="100">
        <v>4.5191987467245882</v>
      </c>
      <c r="CC10" s="100">
        <v>2462.0594772155555</v>
      </c>
      <c r="CD10" s="100">
        <v>4.8995638197975875E-4</v>
      </c>
      <c r="CE10" s="100">
        <v>0.26692823690257256</v>
      </c>
      <c r="CF10" s="100">
        <v>12.046756884854192</v>
      </c>
      <c r="CG10" s="100">
        <v>6563.0731508685631</v>
      </c>
      <c r="CH10" s="100">
        <v>5.2000809244356601E-4</v>
      </c>
      <c r="CI10" s="100">
        <v>0.28330040876325474</v>
      </c>
      <c r="CJ10" s="100">
        <v>8.0004248137185403</v>
      </c>
      <c r="CK10" s="100">
        <v>4358.6314385138603</v>
      </c>
      <c r="CL10" s="100">
        <v>7</v>
      </c>
      <c r="CM10" s="100">
        <v>3813.5999999999995</v>
      </c>
      <c r="CN10" s="100">
        <v>3.8097994141131064</v>
      </c>
      <c r="CO10" s="100">
        <v>2075.57872080882</v>
      </c>
      <c r="CP10" s="100">
        <v>4.2284814130953121</v>
      </c>
      <c r="CQ10" s="100">
        <v>2303.6766738543261</v>
      </c>
      <c r="CR10" s="100">
        <v>7.5636579819270597</v>
      </c>
      <c r="CS10" s="100">
        <v>4120.6808685538617</v>
      </c>
      <c r="CT10" s="100">
        <v>4.343882352477518E-4</v>
      </c>
      <c r="CU10" s="100">
        <v>0.23665471056297516</v>
      </c>
    </row>
    <row r="11" spans="1:99">
      <c r="C11" s="99" t="s">
        <v>177</v>
      </c>
      <c r="D11" s="100">
        <v>5.3557744909316165</v>
      </c>
      <c r="E11" s="100">
        <v>2853.556648768365</v>
      </c>
      <c r="F11" s="100">
        <v>4.3236212110390294E-4</v>
      </c>
      <c r="G11" s="100">
        <v>0.23036253812415947</v>
      </c>
      <c r="H11" s="100">
        <v>6.0003904757613808</v>
      </c>
      <c r="I11" s="100">
        <v>3197.0080454856634</v>
      </c>
      <c r="J11" s="100">
        <v>5</v>
      </c>
      <c r="K11" s="100">
        <v>2664</v>
      </c>
      <c r="L11" s="100">
        <v>4.9578476183310851</v>
      </c>
      <c r="M11" s="100">
        <v>2641.5412110468019</v>
      </c>
      <c r="N11" s="100">
        <v>4.2331749235599005</v>
      </c>
      <c r="O11" s="100">
        <v>2255.4355992727146</v>
      </c>
      <c r="P11" s="100">
        <v>2.3094234698942571</v>
      </c>
      <c r="Q11" s="100">
        <v>1230.46082475966</v>
      </c>
      <c r="R11" s="100">
        <v>7.8157939147024891</v>
      </c>
      <c r="S11" s="100">
        <v>4164.2549977534854</v>
      </c>
      <c r="T11" s="100">
        <v>3.5006852565871553</v>
      </c>
      <c r="U11" s="100">
        <v>1865.1651047096361</v>
      </c>
      <c r="V11" s="100">
        <v>6.2903675822895014E-4</v>
      </c>
      <c r="W11" s="100">
        <v>0.33515078478438459</v>
      </c>
      <c r="X11" s="100">
        <v>9.0003552958057842</v>
      </c>
      <c r="Y11" s="100">
        <v>4795.3893016053216</v>
      </c>
      <c r="Z11" s="100">
        <v>7</v>
      </c>
      <c r="AA11" s="100">
        <v>3729.5999999999995</v>
      </c>
      <c r="AB11" s="100">
        <v>8</v>
      </c>
      <c r="AC11" s="100">
        <v>4262.3999999999996</v>
      </c>
      <c r="AD11" s="100">
        <v>5.9897720532171626</v>
      </c>
      <c r="AE11" s="100">
        <v>3191.3505499541038</v>
      </c>
      <c r="AF11" s="100">
        <v>7.5356479536020897</v>
      </c>
      <c r="AG11" s="100">
        <v>4014.9932296791931</v>
      </c>
      <c r="AH11" s="100">
        <v>3.885188482930548E-4</v>
      </c>
      <c r="AI11" s="100">
        <v>0.20700284237053959</v>
      </c>
      <c r="AJ11" s="100">
        <v>8</v>
      </c>
      <c r="AK11" s="100">
        <v>4262.3999999999996</v>
      </c>
      <c r="AL11" s="100">
        <v>7</v>
      </c>
      <c r="AM11" s="100">
        <v>3729.5999999999995</v>
      </c>
      <c r="AN11" s="100">
        <v>3.0638045699677221</v>
      </c>
      <c r="AO11" s="100">
        <v>1632.3950748788022</v>
      </c>
      <c r="AP11" s="100">
        <v>4.5714663162162145E-4</v>
      </c>
      <c r="AQ11" s="100">
        <v>0.24356772532799989</v>
      </c>
      <c r="AR11" s="100">
        <v>6.0992073614153961</v>
      </c>
      <c r="AS11" s="100">
        <v>3249.6576821621229</v>
      </c>
      <c r="AT11" s="100">
        <v>8</v>
      </c>
      <c r="AU11" s="100">
        <v>4262.3999999999996</v>
      </c>
      <c r="AV11" s="100">
        <v>3.6886090408289975</v>
      </c>
      <c r="AW11" s="100">
        <v>1965.2908969536898</v>
      </c>
      <c r="AX11" s="100">
        <v>4.5069771651950563E-4</v>
      </c>
      <c r="AY11" s="100">
        <v>0.24013174336159257</v>
      </c>
      <c r="AZ11" s="100">
        <v>5.5468687213299024</v>
      </c>
      <c r="BA11" s="100">
        <v>2955.3716547245717</v>
      </c>
      <c r="BB11" s="100">
        <v>7.0340076734849895</v>
      </c>
      <c r="BC11" s="100">
        <v>3747.7192884328019</v>
      </c>
      <c r="BD11" s="100">
        <v>10.17653842853642</v>
      </c>
      <c r="BE11" s="100">
        <v>5422.0596747242034</v>
      </c>
      <c r="BF11" s="100">
        <v>5.0880081586988899</v>
      </c>
      <c r="BG11" s="100">
        <v>2710.8907469547685</v>
      </c>
      <c r="BH11" s="100">
        <v>7</v>
      </c>
      <c r="BI11" s="100">
        <v>3729.5999999999995</v>
      </c>
      <c r="BJ11" s="100">
        <v>10</v>
      </c>
      <c r="BK11" s="100">
        <v>5328</v>
      </c>
      <c r="BL11" s="100">
        <v>3.1227062932352299</v>
      </c>
      <c r="BM11" s="100">
        <v>1663.7779130357303</v>
      </c>
      <c r="BN11" s="100">
        <v>5.5592430716068613</v>
      </c>
      <c r="BO11" s="100">
        <v>2961.9647085521356</v>
      </c>
      <c r="BP11" s="100">
        <v>2.0250048027516678</v>
      </c>
      <c r="BQ11" s="100">
        <v>1078.9225589060886</v>
      </c>
      <c r="BR11" s="100">
        <v>8.9674848651671013</v>
      </c>
      <c r="BS11" s="100">
        <v>4777.8759361610309</v>
      </c>
      <c r="BT11" s="100">
        <v>6</v>
      </c>
      <c r="BU11" s="100">
        <v>3196.7999999999997</v>
      </c>
      <c r="BV11" s="100">
        <v>1.1793119455845631</v>
      </c>
      <c r="BW11" s="100">
        <v>628.33740460745514</v>
      </c>
      <c r="BX11" s="100">
        <v>6</v>
      </c>
      <c r="BY11" s="100">
        <v>3196.7999999999997</v>
      </c>
      <c r="BZ11" s="100">
        <v>9</v>
      </c>
      <c r="CA11" s="100">
        <v>4795.2</v>
      </c>
      <c r="CB11" s="100">
        <v>5.4230384960695064</v>
      </c>
      <c r="CC11" s="100">
        <v>2889.3949107058329</v>
      </c>
      <c r="CD11" s="100">
        <v>4.8747815459380088E-4</v>
      </c>
      <c r="CE11" s="100">
        <v>0.2597283607675771</v>
      </c>
      <c r="CF11" s="100">
        <v>11.008655771755357</v>
      </c>
      <c r="CG11" s="100">
        <v>5865.411795191254</v>
      </c>
      <c r="CH11" s="100">
        <v>6.0496623960281011E-4</v>
      </c>
      <c r="CI11" s="100">
        <v>0.32232601246037718</v>
      </c>
      <c r="CJ11" s="100">
        <v>9.0004248137185403</v>
      </c>
      <c r="CK11" s="100">
        <v>4795.4263407492381</v>
      </c>
      <c r="CL11" s="100">
        <v>6</v>
      </c>
      <c r="CM11" s="100">
        <v>3196.7999999999997</v>
      </c>
      <c r="CN11" s="100">
        <v>4.190779355524417</v>
      </c>
      <c r="CO11" s="100">
        <v>2232.8472406234091</v>
      </c>
      <c r="CP11" s="100">
        <v>3.7586501449736112</v>
      </c>
      <c r="CQ11" s="100">
        <v>2002.6087972419398</v>
      </c>
      <c r="CR11" s="100">
        <v>7.5636579819270597</v>
      </c>
      <c r="CS11" s="100">
        <v>4029.9169727707372</v>
      </c>
      <c r="CT11" s="100">
        <v>4.343882352477518E-4</v>
      </c>
      <c r="CU11" s="100">
        <v>0.23144205174000212</v>
      </c>
    </row>
    <row r="12" spans="1:99">
      <c r="C12" s="99" t="s">
        <v>178</v>
      </c>
      <c r="D12" s="100">
        <v>5.3557744909316165</v>
      </c>
      <c r="E12" s="100">
        <v>3014.2298834963135</v>
      </c>
      <c r="F12" s="100">
        <v>3.7059610380334537E-4</v>
      </c>
      <c r="G12" s="100">
        <v>0.20857148722052277</v>
      </c>
      <c r="H12" s="100">
        <v>5.000334693509755</v>
      </c>
      <c r="I12" s="100">
        <v>2814.1883655072897</v>
      </c>
      <c r="J12" s="100">
        <v>5</v>
      </c>
      <c r="K12" s="100">
        <v>2814</v>
      </c>
      <c r="L12" s="100">
        <v>4.9578476183310851</v>
      </c>
      <c r="M12" s="100">
        <v>2790.2766395967346</v>
      </c>
      <c r="N12" s="100">
        <v>4.2331749235599005</v>
      </c>
      <c r="O12" s="100">
        <v>2382.4308469795119</v>
      </c>
      <c r="P12" s="100">
        <v>2.0321753389934334</v>
      </c>
      <c r="Q12" s="100">
        <v>1143.7082807855043</v>
      </c>
      <c r="R12" s="100">
        <v>7.9517595671529033</v>
      </c>
      <c r="S12" s="100">
        <v>4475.2502843936536</v>
      </c>
      <c r="T12" s="100">
        <v>3.5006852565871553</v>
      </c>
      <c r="U12" s="100">
        <v>1970.1856624072509</v>
      </c>
      <c r="V12" s="100">
        <v>7.0802585296273228E-4</v>
      </c>
      <c r="W12" s="100">
        <v>0.39847695004742567</v>
      </c>
      <c r="X12" s="100">
        <v>10.000399707781508</v>
      </c>
      <c r="Y12" s="100">
        <v>5628.2249555394319</v>
      </c>
      <c r="Z12" s="100">
        <v>7</v>
      </c>
      <c r="AA12" s="100">
        <v>3939.5999999999995</v>
      </c>
      <c r="AB12" s="100">
        <v>8</v>
      </c>
      <c r="AC12" s="100">
        <v>4502.3999999999996</v>
      </c>
      <c r="AD12" s="100">
        <v>5.9897720532171626</v>
      </c>
      <c r="AE12" s="100">
        <v>3371.0437115506188</v>
      </c>
      <c r="AF12" s="100">
        <v>8.3729421706689902</v>
      </c>
      <c r="AG12" s="100">
        <v>4712.2918536525076</v>
      </c>
      <c r="AH12" s="100">
        <v>3.885188482930548E-4</v>
      </c>
      <c r="AI12" s="100">
        <v>0.21865840781933121</v>
      </c>
      <c r="AJ12" s="100">
        <v>8</v>
      </c>
      <c r="AK12" s="100">
        <v>4502.3999999999996</v>
      </c>
      <c r="AL12" s="100">
        <v>7</v>
      </c>
      <c r="AM12" s="100">
        <v>3939.5999999999995</v>
      </c>
      <c r="AN12" s="100">
        <v>2.5531704749731015</v>
      </c>
      <c r="AO12" s="100">
        <v>1436.9243433148613</v>
      </c>
      <c r="AP12" s="100">
        <v>3.832957659880638E-4</v>
      </c>
      <c r="AQ12" s="100">
        <v>0.21571885709808228</v>
      </c>
      <c r="AR12" s="100">
        <v>5.0850348812131969</v>
      </c>
      <c r="AS12" s="100">
        <v>2861.8576311467868</v>
      </c>
      <c r="AT12" s="100">
        <v>7</v>
      </c>
      <c r="AU12" s="100">
        <v>3939.5999999999995</v>
      </c>
      <c r="AV12" s="100">
        <v>3.1616648921391404</v>
      </c>
      <c r="AW12" s="100">
        <v>1779.3850012959081</v>
      </c>
      <c r="AX12" s="100">
        <v>3.7844480812597475E-4</v>
      </c>
      <c r="AY12" s="100">
        <v>0.21298873801329857</v>
      </c>
      <c r="AZ12" s="100">
        <v>5.5468687213299024</v>
      </c>
      <c r="BA12" s="100">
        <v>3121.7777163644687</v>
      </c>
      <c r="BB12" s="100">
        <v>7.579783113275548</v>
      </c>
      <c r="BC12" s="100">
        <v>4265.9019361514784</v>
      </c>
      <c r="BD12" s="100">
        <v>10.045811936476818</v>
      </c>
      <c r="BE12" s="100">
        <v>5653.7829578491528</v>
      </c>
      <c r="BF12" s="100">
        <v>5.0880081586988899</v>
      </c>
      <c r="BG12" s="100">
        <v>2863.5309917157351</v>
      </c>
      <c r="BH12" s="100">
        <v>7</v>
      </c>
      <c r="BI12" s="100">
        <v>3939.5999999999995</v>
      </c>
      <c r="BJ12" s="100">
        <v>9</v>
      </c>
      <c r="BK12" s="100">
        <v>5065.2</v>
      </c>
      <c r="BL12" s="100">
        <v>2.8202558734216119</v>
      </c>
      <c r="BM12" s="100">
        <v>1587.2400055616831</v>
      </c>
      <c r="BN12" s="100">
        <v>5.1715584777531802</v>
      </c>
      <c r="BO12" s="100">
        <v>2910.5531112794897</v>
      </c>
      <c r="BP12" s="100">
        <v>2.0139964546993867</v>
      </c>
      <c r="BQ12" s="100">
        <v>1133.4772047048148</v>
      </c>
      <c r="BR12" s="100">
        <v>10.088420473312988</v>
      </c>
      <c r="BS12" s="100">
        <v>5677.7630423805495</v>
      </c>
      <c r="BT12" s="100">
        <v>7</v>
      </c>
      <c r="BU12" s="100">
        <v>3939.5999999999995</v>
      </c>
      <c r="BV12" s="100">
        <v>1.0721017687132393</v>
      </c>
      <c r="BW12" s="100">
        <v>603.37887543181103</v>
      </c>
      <c r="BX12" s="100">
        <v>6</v>
      </c>
      <c r="BY12" s="100">
        <v>3376.7999999999997</v>
      </c>
      <c r="BZ12" s="100">
        <v>10</v>
      </c>
      <c r="CA12" s="100">
        <v>5628</v>
      </c>
      <c r="CB12" s="100">
        <v>5.4230384960695064</v>
      </c>
      <c r="CC12" s="100">
        <v>3052.0860655879178</v>
      </c>
      <c r="CD12" s="100">
        <v>5.5463966357838592E-4</v>
      </c>
      <c r="CE12" s="100">
        <v>0.31215120266191559</v>
      </c>
      <c r="CF12" s="100">
        <v>11.008655771755357</v>
      </c>
      <c r="CG12" s="100">
        <v>6195.671468343915</v>
      </c>
      <c r="CH12" s="100">
        <v>5.2000809244356601E-4</v>
      </c>
      <c r="CI12" s="100">
        <v>0.29266055442723893</v>
      </c>
      <c r="CJ12" s="100">
        <v>7.0003861942895824</v>
      </c>
      <c r="CK12" s="100">
        <v>3939.8173501461765</v>
      </c>
      <c r="CL12" s="100">
        <v>7</v>
      </c>
      <c r="CM12" s="100">
        <v>3939.5999999999995</v>
      </c>
      <c r="CN12" s="100">
        <v>3.4288194727017958</v>
      </c>
      <c r="CO12" s="100">
        <v>1929.7395992365705</v>
      </c>
      <c r="CP12" s="100">
        <v>3.7586501449736112</v>
      </c>
      <c r="CQ12" s="100">
        <v>2115.3683015911483</v>
      </c>
      <c r="CR12" s="100">
        <v>6.645508464458282</v>
      </c>
      <c r="CS12" s="100">
        <v>3740.092163797121</v>
      </c>
      <c r="CT12" s="100">
        <v>4.9393281407421699E-4</v>
      </c>
      <c r="CU12" s="100">
        <v>0.27798538776096932</v>
      </c>
    </row>
    <row r="13" spans="1:99">
      <c r="C13" s="99" t="s">
        <v>179</v>
      </c>
      <c r="D13" s="100">
        <v>5.1403748182860474</v>
      </c>
      <c r="E13" s="100">
        <v>437.95993451797125</v>
      </c>
      <c r="F13" s="100">
        <v>4.3236212110390294E-4</v>
      </c>
      <c r="G13" s="100">
        <v>3.6837252718052535E-2</v>
      </c>
      <c r="H13" s="100">
        <v>5.0003904757613808</v>
      </c>
      <c r="I13" s="100">
        <v>426.03326853486965</v>
      </c>
      <c r="J13" s="100">
        <v>5</v>
      </c>
      <c r="K13" s="100">
        <v>426</v>
      </c>
      <c r="L13" s="100">
        <v>5.7841555547195993</v>
      </c>
      <c r="M13" s="100">
        <v>492.81005326210988</v>
      </c>
      <c r="N13" s="100">
        <v>4.8379141983541718</v>
      </c>
      <c r="O13" s="100">
        <v>412.19028969977546</v>
      </c>
      <c r="P13" s="100">
        <v>2.3094234698942571</v>
      </c>
      <c r="Q13" s="100">
        <v>196.7628796349907</v>
      </c>
      <c r="R13" s="100">
        <v>7.9517595671529033</v>
      </c>
      <c r="S13" s="100">
        <v>677.48991512142743</v>
      </c>
      <c r="T13" s="100">
        <v>3.5006852565871553</v>
      </c>
      <c r="U13" s="100">
        <v>298.25838386122564</v>
      </c>
      <c r="V13" s="100">
        <v>7.0946385278338538E-4</v>
      </c>
      <c r="W13" s="100">
        <v>6.0446320257144436E-2</v>
      </c>
      <c r="X13" s="100">
        <v>10.000399707781508</v>
      </c>
      <c r="Y13" s="100">
        <v>852.03405510298455</v>
      </c>
      <c r="Z13" s="100">
        <v>8</v>
      </c>
      <c r="AA13" s="100">
        <v>681.6</v>
      </c>
      <c r="AB13" s="100">
        <v>8</v>
      </c>
      <c r="AC13" s="100">
        <v>681.6</v>
      </c>
      <c r="AD13" s="100">
        <v>5.9897720532171626</v>
      </c>
      <c r="AE13" s="100">
        <v>510.32857893410227</v>
      </c>
      <c r="AF13" s="100">
        <v>8.3729421706689902</v>
      </c>
      <c r="AG13" s="100">
        <v>713.37467294099804</v>
      </c>
      <c r="AH13" s="100">
        <v>3.885188482930548E-4</v>
      </c>
      <c r="AI13" s="100">
        <v>3.310180587456827E-2</v>
      </c>
      <c r="AJ13" s="100">
        <v>8</v>
      </c>
      <c r="AK13" s="100">
        <v>681.6</v>
      </c>
      <c r="AL13" s="100">
        <v>9</v>
      </c>
      <c r="AM13" s="100">
        <v>766.80000000000007</v>
      </c>
      <c r="AN13" s="100">
        <v>3.0638045699677221</v>
      </c>
      <c r="AO13" s="100">
        <v>261.03614936124995</v>
      </c>
      <c r="AP13" s="100">
        <v>3.8680612544313262E-4</v>
      </c>
      <c r="AQ13" s="100">
        <v>3.2955881887754897E-2</v>
      </c>
      <c r="AR13" s="100">
        <v>5.0850348812131969</v>
      </c>
      <c r="AS13" s="100">
        <v>433.24497187936441</v>
      </c>
      <c r="AT13" s="100">
        <v>7</v>
      </c>
      <c r="AU13" s="100">
        <v>596.4</v>
      </c>
      <c r="AV13" s="100">
        <v>3.1616648921391404</v>
      </c>
      <c r="AW13" s="100">
        <v>269.37384881025474</v>
      </c>
      <c r="AX13" s="100">
        <v>3.8531691458930286E-4</v>
      </c>
      <c r="AY13" s="100">
        <v>3.2829001123008607E-2</v>
      </c>
      <c r="AZ13" s="100">
        <v>6.24022731149614</v>
      </c>
      <c r="BA13" s="100">
        <v>531.66736693947109</v>
      </c>
      <c r="BB13" s="100">
        <v>8.3228824458440496</v>
      </c>
      <c r="BC13" s="100">
        <v>709.10958438591308</v>
      </c>
      <c r="BD13" s="100">
        <v>10.17653842853642</v>
      </c>
      <c r="BE13" s="100">
        <v>867.04107411130292</v>
      </c>
      <c r="BF13" s="100">
        <v>5.8148664670844452</v>
      </c>
      <c r="BG13" s="100">
        <v>495.42662299559476</v>
      </c>
      <c r="BH13" s="100">
        <v>8</v>
      </c>
      <c r="BI13" s="100">
        <v>681.6</v>
      </c>
      <c r="BJ13" s="100">
        <v>10</v>
      </c>
      <c r="BK13" s="100">
        <v>852</v>
      </c>
      <c r="BL13" s="100">
        <v>2.8202558734216119</v>
      </c>
      <c r="BM13" s="100">
        <v>240.28580041552135</v>
      </c>
      <c r="BN13" s="100">
        <v>5.5592430716068613</v>
      </c>
      <c r="BO13" s="100">
        <v>473.64750970090461</v>
      </c>
      <c r="BP13" s="100">
        <v>2.0139964546993867</v>
      </c>
      <c r="BQ13" s="100">
        <v>171.59249794038774</v>
      </c>
      <c r="BR13" s="100">
        <v>10.967484865167101</v>
      </c>
      <c r="BS13" s="100">
        <v>934.42971051223708</v>
      </c>
      <c r="BT13" s="100">
        <v>8</v>
      </c>
      <c r="BU13" s="100">
        <v>681.6</v>
      </c>
      <c r="BV13" s="100">
        <v>0.96489159184191531</v>
      </c>
      <c r="BW13" s="100">
        <v>82.20876362493118</v>
      </c>
      <c r="BX13" s="100">
        <v>7</v>
      </c>
      <c r="BY13" s="100">
        <v>596.4</v>
      </c>
      <c r="BZ13" s="100">
        <v>11</v>
      </c>
      <c r="CA13" s="100">
        <v>937.2</v>
      </c>
      <c r="CB13" s="100">
        <v>6.3268782454144228</v>
      </c>
      <c r="CC13" s="100">
        <v>539.05002650930885</v>
      </c>
      <c r="CD13" s="100">
        <v>5.5711789096434374E-4</v>
      </c>
      <c r="CE13" s="100">
        <v>4.7466444310162087E-2</v>
      </c>
      <c r="CF13" s="100">
        <v>12.046756884854192</v>
      </c>
      <c r="CG13" s="100">
        <v>1026.3836865895771</v>
      </c>
      <c r="CH13" s="100">
        <v>6.0575540956343333E-4</v>
      </c>
      <c r="CI13" s="100">
        <v>5.1610360894804523E-2</v>
      </c>
      <c r="CJ13" s="100">
        <v>9.0003861942895824</v>
      </c>
      <c r="CK13" s="100">
        <v>766.83290375347246</v>
      </c>
      <c r="CL13" s="100">
        <v>6</v>
      </c>
      <c r="CM13" s="100">
        <v>511.20000000000005</v>
      </c>
      <c r="CN13" s="100">
        <v>3.8097994141131064</v>
      </c>
      <c r="CO13" s="100">
        <v>324.59491008243668</v>
      </c>
      <c r="CP13" s="100">
        <v>4.2284814130953121</v>
      </c>
      <c r="CQ13" s="100">
        <v>360.26661639572063</v>
      </c>
      <c r="CR13" s="100">
        <v>6.645508464458282</v>
      </c>
      <c r="CS13" s="100">
        <v>566.1973211718456</v>
      </c>
      <c r="CT13" s="100">
        <v>4.3531329753525159E-4</v>
      </c>
      <c r="CU13" s="100">
        <v>3.7088692950003437E-2</v>
      </c>
    </row>
    <row r="14" spans="1:99">
      <c r="C14" s="99" t="s">
        <v>180</v>
      </c>
      <c r="D14" s="100">
        <v>5.1403748182860474</v>
      </c>
      <c r="E14" s="100">
        <v>2510.5590612509054</v>
      </c>
      <c r="F14" s="100">
        <v>3.7059610380334537E-4</v>
      </c>
      <c r="G14" s="100">
        <v>0.18099913709755386</v>
      </c>
      <c r="H14" s="100">
        <v>5.0003904757613808</v>
      </c>
      <c r="I14" s="100">
        <v>2442.1907083618585</v>
      </c>
      <c r="J14" s="100">
        <v>5</v>
      </c>
      <c r="K14" s="100">
        <v>2442</v>
      </c>
      <c r="L14" s="100">
        <v>4.9578476183310851</v>
      </c>
      <c r="M14" s="100">
        <v>2421.4127767929017</v>
      </c>
      <c r="N14" s="100">
        <v>4.8379141983541718</v>
      </c>
      <c r="O14" s="100">
        <v>2362.8372944761772</v>
      </c>
      <c r="P14" s="100">
        <v>2.3208532727302154</v>
      </c>
      <c r="Q14" s="100">
        <v>1133.5047384014372</v>
      </c>
      <c r="R14" s="100">
        <v>7.8157939147024891</v>
      </c>
      <c r="S14" s="100">
        <v>3817.2337479406956</v>
      </c>
      <c r="T14" s="100">
        <v>3.5006852565871553</v>
      </c>
      <c r="U14" s="100">
        <v>1709.7346793171666</v>
      </c>
      <c r="V14" s="100">
        <v>6.3047475804960324E-4</v>
      </c>
      <c r="W14" s="100">
        <v>0.30792387183142622</v>
      </c>
      <c r="X14" s="100">
        <v>10.000355295805784</v>
      </c>
      <c r="Y14" s="100">
        <v>4884.1735264715444</v>
      </c>
      <c r="Z14" s="100">
        <v>7</v>
      </c>
      <c r="AA14" s="100">
        <v>3418.7999999999997</v>
      </c>
      <c r="AB14" s="100">
        <v>9</v>
      </c>
      <c r="AC14" s="100">
        <v>4395.5999999999995</v>
      </c>
      <c r="AD14" s="100">
        <v>5.1340903313289958</v>
      </c>
      <c r="AE14" s="100">
        <v>2507.4897178210813</v>
      </c>
      <c r="AF14" s="100">
        <v>7.5356479536020897</v>
      </c>
      <c r="AG14" s="100">
        <v>3680.4104605392604</v>
      </c>
      <c r="AH14" s="100">
        <v>3.885188482930548E-4</v>
      </c>
      <c r="AI14" s="100">
        <v>0.18975260550632794</v>
      </c>
      <c r="AJ14" s="100">
        <v>7</v>
      </c>
      <c r="AK14" s="100">
        <v>3418.7999999999997</v>
      </c>
      <c r="AL14" s="100">
        <v>7</v>
      </c>
      <c r="AM14" s="100">
        <v>3418.7999999999997</v>
      </c>
      <c r="AN14" s="100">
        <v>2.5531704749731015</v>
      </c>
      <c r="AO14" s="100">
        <v>1246.9684599768627</v>
      </c>
      <c r="AP14" s="100">
        <v>4.5363627216655252E-4</v>
      </c>
      <c r="AQ14" s="100">
        <v>0.22155595532614425</v>
      </c>
      <c r="AR14" s="100">
        <v>5.0992073614153961</v>
      </c>
      <c r="AS14" s="100">
        <v>2490.4528753152795</v>
      </c>
      <c r="AT14" s="100">
        <v>7</v>
      </c>
      <c r="AU14" s="100">
        <v>3418.7999999999997</v>
      </c>
      <c r="AV14" s="100">
        <v>3.6886090408289975</v>
      </c>
      <c r="AW14" s="100">
        <v>1801.5166555408823</v>
      </c>
      <c r="AX14" s="100">
        <v>3.8188086135763878E-4</v>
      </c>
      <c r="AY14" s="100">
        <v>0.18651061268707078</v>
      </c>
      <c r="AZ14" s="100">
        <v>5.5468687213299024</v>
      </c>
      <c r="BA14" s="100">
        <v>2709.0906834975244</v>
      </c>
      <c r="BB14" s="100">
        <v>6.9353457270960188</v>
      </c>
      <c r="BC14" s="100">
        <v>3387.2228531136952</v>
      </c>
      <c r="BD14" s="100">
        <v>11.045811936476818</v>
      </c>
      <c r="BE14" s="100">
        <v>5394.7745497752776</v>
      </c>
      <c r="BF14" s="100">
        <v>4.3611498503133337</v>
      </c>
      <c r="BG14" s="100">
        <v>2129.9855868930322</v>
      </c>
      <c r="BH14" s="100">
        <v>7</v>
      </c>
      <c r="BI14" s="100">
        <v>3418.7999999999997</v>
      </c>
      <c r="BJ14" s="100">
        <v>9</v>
      </c>
      <c r="BK14" s="100">
        <v>4395.5999999999995</v>
      </c>
      <c r="BL14" s="100">
        <v>2.5178054536079943</v>
      </c>
      <c r="BM14" s="100">
        <v>1229.6961835421444</v>
      </c>
      <c r="BN14" s="100">
        <v>4.6193700680267016</v>
      </c>
      <c r="BO14" s="100">
        <v>2256.1003412242408</v>
      </c>
      <c r="BP14" s="100">
        <v>2.0250048027516678</v>
      </c>
      <c r="BQ14" s="100">
        <v>989.01234566391452</v>
      </c>
      <c r="BR14" s="100">
        <v>9.9674848651671013</v>
      </c>
      <c r="BS14" s="100">
        <v>4868.1196081476119</v>
      </c>
      <c r="BT14" s="100">
        <v>8</v>
      </c>
      <c r="BU14" s="100">
        <v>3907.2</v>
      </c>
      <c r="BV14" s="100">
        <v>0.96489159184191531</v>
      </c>
      <c r="BW14" s="100">
        <v>471.25305345559144</v>
      </c>
      <c r="BX14" s="100">
        <v>6</v>
      </c>
      <c r="BY14" s="100">
        <v>2930.3999999999996</v>
      </c>
      <c r="BZ14" s="100">
        <v>9</v>
      </c>
      <c r="CA14" s="100">
        <v>4395.5999999999995</v>
      </c>
      <c r="CB14" s="100">
        <v>5.4230384960695064</v>
      </c>
      <c r="CC14" s="100">
        <v>2648.6120014803469</v>
      </c>
      <c r="CD14" s="100">
        <v>4.8995638197975875E-4</v>
      </c>
      <c r="CE14" s="100">
        <v>0.23929469695891417</v>
      </c>
      <c r="CF14" s="100">
        <v>11.111269889838308</v>
      </c>
      <c r="CG14" s="100">
        <v>5426.7442141970296</v>
      </c>
      <c r="CH14" s="100">
        <v>6.0575540956343333E-4</v>
      </c>
      <c r="CI14" s="100">
        <v>0.29585094203078083</v>
      </c>
      <c r="CJ14" s="100">
        <v>7.0004248137185412</v>
      </c>
      <c r="CK14" s="100">
        <v>3419.0074790201352</v>
      </c>
      <c r="CL14" s="100">
        <v>6</v>
      </c>
      <c r="CM14" s="100">
        <v>2930.3999999999996</v>
      </c>
      <c r="CN14" s="100">
        <v>4.190779355524417</v>
      </c>
      <c r="CO14" s="100">
        <v>2046.7766372381252</v>
      </c>
      <c r="CP14" s="100">
        <v>3.7586501449736112</v>
      </c>
      <c r="CQ14" s="100">
        <v>1835.7247308051117</v>
      </c>
      <c r="CR14" s="100">
        <v>7.5636579819270597</v>
      </c>
      <c r="CS14" s="100">
        <v>3694.090558373176</v>
      </c>
      <c r="CT14" s="100">
        <v>4.343882352477518E-4</v>
      </c>
      <c r="CU14" s="100">
        <v>0.21215521409500196</v>
      </c>
    </row>
    <row r="15" spans="1:99">
      <c r="C15" s="99" t="s">
        <v>181</v>
      </c>
      <c r="D15" s="100">
        <v>5.3318411939709973</v>
      </c>
      <c r="E15" s="100">
        <v>4069.2611992386646</v>
      </c>
      <c r="F15" s="100">
        <v>3.7059610380334537E-4</v>
      </c>
      <c r="G15" s="100">
        <v>0.28283894642271318</v>
      </c>
      <c r="H15" s="100">
        <v>5.0003904757613808</v>
      </c>
      <c r="I15" s="100">
        <v>3816.2980111010856</v>
      </c>
      <c r="J15" s="100">
        <v>4</v>
      </c>
      <c r="K15" s="100">
        <v>3052.7999999999997</v>
      </c>
      <c r="L15" s="100">
        <v>4.9578476183310851</v>
      </c>
      <c r="M15" s="100">
        <v>3783.8293023102838</v>
      </c>
      <c r="N15" s="100">
        <v>4.2331749235599005</v>
      </c>
      <c r="O15" s="100">
        <v>3230.7591016609158</v>
      </c>
      <c r="P15" s="100">
        <v>2.0321753389934334</v>
      </c>
      <c r="Q15" s="100">
        <v>1550.9562187197882</v>
      </c>
      <c r="R15" s="100">
        <v>6.8157939147024891</v>
      </c>
      <c r="S15" s="100">
        <v>5201.8139157009391</v>
      </c>
      <c r="T15" s="100">
        <v>3.0005873627889903</v>
      </c>
      <c r="U15" s="100">
        <v>2290.0482752805574</v>
      </c>
      <c r="V15" s="100">
        <v>6.2903675822895014E-4</v>
      </c>
      <c r="W15" s="100">
        <v>0.48008085388033472</v>
      </c>
      <c r="X15" s="100">
        <v>9.0003552958057842</v>
      </c>
      <c r="Y15" s="100">
        <v>6869.0711617589741</v>
      </c>
      <c r="Z15" s="100">
        <v>7</v>
      </c>
      <c r="AA15" s="100">
        <v>5342.4</v>
      </c>
      <c r="AB15" s="100">
        <v>8</v>
      </c>
      <c r="AC15" s="100">
        <v>6105.5999999999995</v>
      </c>
      <c r="AD15" s="100">
        <v>5.1340903313289958</v>
      </c>
      <c r="AE15" s="100">
        <v>3918.3377408702891</v>
      </c>
      <c r="AF15" s="100">
        <v>7.5356479536020897</v>
      </c>
      <c r="AG15" s="100">
        <v>5751.2065181891139</v>
      </c>
      <c r="AH15" s="100">
        <v>3.885188482930548E-4</v>
      </c>
      <c r="AI15" s="100">
        <v>0.29651758501725939</v>
      </c>
      <c r="AJ15" s="100">
        <v>8</v>
      </c>
      <c r="AK15" s="100">
        <v>6105.5999999999995</v>
      </c>
      <c r="AL15" s="100">
        <v>7</v>
      </c>
      <c r="AM15" s="100">
        <v>5342.4</v>
      </c>
      <c r="AN15" s="100">
        <v>2.5531704749731015</v>
      </c>
      <c r="AO15" s="100">
        <v>1948.5797064994708</v>
      </c>
      <c r="AP15" s="100">
        <v>4.6065699107669032E-4</v>
      </c>
      <c r="AQ15" s="100">
        <v>0.35157341558973004</v>
      </c>
      <c r="AR15" s="100">
        <v>5.0850348812131969</v>
      </c>
      <c r="AS15" s="100">
        <v>3880.8986213419116</v>
      </c>
      <c r="AT15" s="100">
        <v>8</v>
      </c>
      <c r="AU15" s="100">
        <v>6105.5999999999995</v>
      </c>
      <c r="AV15" s="100">
        <v>3.6886090408289975</v>
      </c>
      <c r="AW15" s="100">
        <v>2815.1464199606908</v>
      </c>
      <c r="AX15" s="100">
        <v>3.8188086135763878E-4</v>
      </c>
      <c r="AY15" s="100">
        <v>0.29145147338814986</v>
      </c>
      <c r="AZ15" s="100">
        <v>6.24022731149614</v>
      </c>
      <c r="BA15" s="100">
        <v>4762.5414841338534</v>
      </c>
      <c r="BB15" s="100">
        <v>7.5821209799196847</v>
      </c>
      <c r="BC15" s="100">
        <v>5786.674731874703</v>
      </c>
      <c r="BD15" s="100">
        <v>10.045811936476818</v>
      </c>
      <c r="BE15" s="100">
        <v>7666.9636699191069</v>
      </c>
      <c r="BF15" s="100">
        <v>4.3611498503133337</v>
      </c>
      <c r="BG15" s="100">
        <v>3328.429565759136</v>
      </c>
      <c r="BH15" s="100">
        <v>8</v>
      </c>
      <c r="BI15" s="100">
        <v>6105.5999999999995</v>
      </c>
      <c r="BJ15" s="100">
        <v>10</v>
      </c>
      <c r="BK15" s="100">
        <v>7631.9999999999991</v>
      </c>
      <c r="BL15" s="100">
        <v>2.5068941097080994</v>
      </c>
      <c r="BM15" s="100">
        <v>1913.2615845292214</v>
      </c>
      <c r="BN15" s="100">
        <v>5.5592430716068613</v>
      </c>
      <c r="BO15" s="100">
        <v>4242.8143122503561</v>
      </c>
      <c r="BP15" s="100">
        <v>2.0139964546993867</v>
      </c>
      <c r="BQ15" s="100">
        <v>1537.0820942265718</v>
      </c>
      <c r="BR15" s="100">
        <v>10.967484865167101</v>
      </c>
      <c r="BS15" s="100">
        <v>8370.3844490955307</v>
      </c>
      <c r="BT15" s="100">
        <v>6</v>
      </c>
      <c r="BU15" s="100">
        <v>4579.2</v>
      </c>
      <c r="BV15" s="100">
        <v>0.96489159184191531</v>
      </c>
      <c r="BW15" s="100">
        <v>736.40526289374975</v>
      </c>
      <c r="BX15" s="100">
        <v>6</v>
      </c>
      <c r="BY15" s="100">
        <v>4579.2</v>
      </c>
      <c r="BZ15" s="100">
        <v>9</v>
      </c>
      <c r="CA15" s="100">
        <v>6868.7999999999993</v>
      </c>
      <c r="CB15" s="100">
        <v>4.5191987467245882</v>
      </c>
      <c r="CC15" s="100">
        <v>3449.0524835002052</v>
      </c>
      <c r="CD15" s="100">
        <v>4.8995638197975875E-4</v>
      </c>
      <c r="CE15" s="100">
        <v>0.37393471072695184</v>
      </c>
      <c r="CF15" s="100">
        <v>11.111269889838308</v>
      </c>
      <c r="CG15" s="100">
        <v>8480.1211799245957</v>
      </c>
      <c r="CH15" s="100">
        <v>6.0496623960281011E-4</v>
      </c>
      <c r="CI15" s="100">
        <v>0.46171023406486461</v>
      </c>
      <c r="CJ15" s="100">
        <v>7.0003475748606245</v>
      </c>
      <c r="CK15" s="100">
        <v>5342.6652691336285</v>
      </c>
      <c r="CL15" s="100">
        <v>6</v>
      </c>
      <c r="CM15" s="100">
        <v>4579.2</v>
      </c>
      <c r="CN15" s="100">
        <v>4.190779355524417</v>
      </c>
      <c r="CO15" s="100">
        <v>3198.4028041362349</v>
      </c>
      <c r="CP15" s="100">
        <v>3.7586501449736112</v>
      </c>
      <c r="CQ15" s="100">
        <v>2868.6017906438597</v>
      </c>
      <c r="CR15" s="100">
        <v>7.5636579819270597</v>
      </c>
      <c r="CS15" s="100">
        <v>5772.5837718067314</v>
      </c>
      <c r="CT15" s="100">
        <v>4.3346317296025211E-4</v>
      </c>
      <c r="CU15" s="100">
        <v>0.33081909360326439</v>
      </c>
    </row>
    <row r="16" spans="1:99">
      <c r="C16" s="99" t="s">
        <v>182</v>
      </c>
      <c r="D16" s="100">
        <v>5.1403748182860474</v>
      </c>
      <c r="E16" s="100">
        <v>1751.839738071885</v>
      </c>
      <c r="F16" s="100">
        <v>4.3236212110390294E-4</v>
      </c>
      <c r="G16" s="100">
        <v>0.14734901087221014</v>
      </c>
      <c r="H16" s="100">
        <v>5.0003904757613808</v>
      </c>
      <c r="I16" s="100">
        <v>1704.1330741394786</v>
      </c>
      <c r="J16" s="100">
        <v>5</v>
      </c>
      <c r="K16" s="100">
        <v>1704</v>
      </c>
      <c r="L16" s="100">
        <v>5.7841555547195993</v>
      </c>
      <c r="M16" s="100">
        <v>1971.2402130484395</v>
      </c>
      <c r="N16" s="100">
        <v>4.8379141983541718</v>
      </c>
      <c r="O16" s="100">
        <v>1648.7611587991018</v>
      </c>
      <c r="P16" s="100">
        <v>2.0436051418293917</v>
      </c>
      <c r="Q16" s="100">
        <v>696.46063233545669</v>
      </c>
      <c r="R16" s="100">
        <v>7.8157939147024891</v>
      </c>
      <c r="S16" s="100">
        <v>2663.6225661306084</v>
      </c>
      <c r="T16" s="100">
        <v>3.0005873627889903</v>
      </c>
      <c r="U16" s="100">
        <v>1022.600173238488</v>
      </c>
      <c r="V16" s="100">
        <v>7.8557694787586131E-4</v>
      </c>
      <c r="W16" s="100">
        <v>0.26772462383609352</v>
      </c>
      <c r="X16" s="100">
        <v>9.0004441197572298</v>
      </c>
      <c r="Y16" s="100">
        <v>3067.3513560132642</v>
      </c>
      <c r="Z16" s="100">
        <v>8</v>
      </c>
      <c r="AA16" s="100">
        <v>2726.4</v>
      </c>
      <c r="AB16" s="100">
        <v>8</v>
      </c>
      <c r="AC16" s="100">
        <v>2726.4</v>
      </c>
      <c r="AD16" s="100">
        <v>5.9897720532171626</v>
      </c>
      <c r="AE16" s="100">
        <v>2041.3143157364091</v>
      </c>
      <c r="AF16" s="100">
        <v>8.3729421706689902</v>
      </c>
      <c r="AG16" s="100">
        <v>2853.4986917639922</v>
      </c>
      <c r="AH16" s="100">
        <v>4.5327198967523059E-4</v>
      </c>
      <c r="AI16" s="100">
        <v>0.1544750940813186</v>
      </c>
      <c r="AJ16" s="100">
        <v>8</v>
      </c>
      <c r="AK16" s="100">
        <v>2726.4</v>
      </c>
      <c r="AL16" s="100">
        <v>8</v>
      </c>
      <c r="AM16" s="100">
        <v>2726.4</v>
      </c>
      <c r="AN16" s="100">
        <v>2.5531704749731015</v>
      </c>
      <c r="AO16" s="100">
        <v>870.12049787083299</v>
      </c>
      <c r="AP16" s="100">
        <v>3.8680612544313262E-4</v>
      </c>
      <c r="AQ16" s="100">
        <v>0.13182352755101959</v>
      </c>
      <c r="AR16" s="100">
        <v>6.0850348812131969</v>
      </c>
      <c r="AS16" s="100">
        <v>2073.7798875174576</v>
      </c>
      <c r="AT16" s="100">
        <v>8</v>
      </c>
      <c r="AU16" s="100">
        <v>2726.4</v>
      </c>
      <c r="AV16" s="100">
        <v>3.6886090408289975</v>
      </c>
      <c r="AW16" s="100">
        <v>1257.0779611145224</v>
      </c>
      <c r="AX16" s="100">
        <v>4.5069771651950563E-4</v>
      </c>
      <c r="AY16" s="100">
        <v>0.15359778178984754</v>
      </c>
      <c r="AZ16" s="100">
        <v>6.24022731149614</v>
      </c>
      <c r="BA16" s="100">
        <v>2126.6694677578844</v>
      </c>
      <c r="BB16" s="100">
        <v>6.940021460384294</v>
      </c>
      <c r="BC16" s="100">
        <v>2365.1593136989673</v>
      </c>
      <c r="BD16" s="100">
        <v>9.1765384285364195</v>
      </c>
      <c r="BE16" s="100">
        <v>3127.3642964452119</v>
      </c>
      <c r="BF16" s="100">
        <v>5.0880081586988899</v>
      </c>
      <c r="BG16" s="100">
        <v>1733.9931804845817</v>
      </c>
      <c r="BH16" s="100">
        <v>9</v>
      </c>
      <c r="BI16" s="100">
        <v>3067.2000000000003</v>
      </c>
      <c r="BJ16" s="100">
        <v>11</v>
      </c>
      <c r="BK16" s="100">
        <v>3748.8</v>
      </c>
      <c r="BL16" s="100">
        <v>2.8202558734216119</v>
      </c>
      <c r="BM16" s="100">
        <v>961.1432016620854</v>
      </c>
      <c r="BN16" s="100">
        <v>5.5592430716068613</v>
      </c>
      <c r="BO16" s="100">
        <v>1894.5900388036184</v>
      </c>
      <c r="BP16" s="100">
        <v>2.0250048027516678</v>
      </c>
      <c r="BQ16" s="100">
        <v>690.12163677776846</v>
      </c>
      <c r="BR16" s="100">
        <v>10.088420473312988</v>
      </c>
      <c r="BS16" s="100">
        <v>3438.1336973050666</v>
      </c>
      <c r="BT16" s="100">
        <v>7</v>
      </c>
      <c r="BU16" s="100">
        <v>2385.6</v>
      </c>
      <c r="BV16" s="100">
        <v>1.1793119455845631</v>
      </c>
      <c r="BW16" s="100">
        <v>401.90951105521913</v>
      </c>
      <c r="BX16" s="100">
        <v>6</v>
      </c>
      <c r="BY16" s="100">
        <v>2044.8000000000002</v>
      </c>
      <c r="BZ16" s="100">
        <v>11</v>
      </c>
      <c r="CA16" s="100">
        <v>3748.8</v>
      </c>
      <c r="CB16" s="100">
        <v>5.4230384960695064</v>
      </c>
      <c r="CC16" s="100">
        <v>1848.1715194604878</v>
      </c>
      <c r="CD16" s="100">
        <v>5.5463966357838592E-4</v>
      </c>
      <c r="CE16" s="100">
        <v>0.18902119734751394</v>
      </c>
      <c r="CF16" s="100">
        <v>10.175782894822426</v>
      </c>
      <c r="CG16" s="100">
        <v>3467.9068105554829</v>
      </c>
      <c r="CH16" s="100">
        <v>6.0575540956343333E-4</v>
      </c>
      <c r="CI16" s="100">
        <v>0.20644144357921809</v>
      </c>
      <c r="CJ16" s="100">
        <v>8.0003475748606245</v>
      </c>
      <c r="CK16" s="100">
        <v>2726.5184535125009</v>
      </c>
      <c r="CL16" s="100">
        <v>7</v>
      </c>
      <c r="CM16" s="100">
        <v>2385.6</v>
      </c>
      <c r="CN16" s="100">
        <v>3.4288194727017958</v>
      </c>
      <c r="CO16" s="100">
        <v>1168.541676296772</v>
      </c>
      <c r="CP16" s="100">
        <v>3.7586501449736112</v>
      </c>
      <c r="CQ16" s="100">
        <v>1280.9479694070067</v>
      </c>
      <c r="CR16" s="100">
        <v>7.5636579819270597</v>
      </c>
      <c r="CS16" s="100">
        <v>2577.694640240742</v>
      </c>
      <c r="CT16" s="100">
        <v>4.3253811067275226E-4</v>
      </c>
      <c r="CU16" s="100">
        <v>0.14740898811727399</v>
      </c>
    </row>
    <row r="17" spans="2:99">
      <c r="C17" s="99" t="s">
        <v>183</v>
      </c>
      <c r="D17" s="100">
        <v>5.3557744909316165</v>
      </c>
      <c r="E17" s="100">
        <v>2262.2791449695146</v>
      </c>
      <c r="F17" s="100">
        <v>3.7059610380334537E-4</v>
      </c>
      <c r="G17" s="100">
        <v>0.15653979424653308</v>
      </c>
      <c r="H17" s="100">
        <v>5.0003904757613808</v>
      </c>
      <c r="I17" s="100">
        <v>2112.1649369616071</v>
      </c>
      <c r="J17" s="100">
        <v>4</v>
      </c>
      <c r="K17" s="100">
        <v>1689.6</v>
      </c>
      <c r="L17" s="100">
        <v>4.9578476183310851</v>
      </c>
      <c r="M17" s="100">
        <v>2094.1948339830501</v>
      </c>
      <c r="N17" s="100">
        <v>4.2331749235599005</v>
      </c>
      <c r="O17" s="100">
        <v>1788.0930877117019</v>
      </c>
      <c r="P17" s="100">
        <v>2.0321753389934334</v>
      </c>
      <c r="Q17" s="100">
        <v>858.39086319082617</v>
      </c>
      <c r="R17" s="100">
        <v>7.8157939147024891</v>
      </c>
      <c r="S17" s="100">
        <v>3301.3913495703314</v>
      </c>
      <c r="T17" s="100">
        <v>3.5006852565871553</v>
      </c>
      <c r="U17" s="100">
        <v>1478.6894523824144</v>
      </c>
      <c r="V17" s="100">
        <v>6.3047475804960324E-4</v>
      </c>
      <c r="W17" s="100">
        <v>0.2663125378001524</v>
      </c>
      <c r="X17" s="100">
        <v>9.0003997077815079</v>
      </c>
      <c r="Y17" s="100">
        <v>3801.7688365669087</v>
      </c>
      <c r="Z17" s="100">
        <v>7</v>
      </c>
      <c r="AA17" s="100">
        <v>2956.7999999999997</v>
      </c>
      <c r="AB17" s="100">
        <v>8</v>
      </c>
      <c r="AC17" s="100">
        <v>3379.2</v>
      </c>
      <c r="AD17" s="100">
        <v>5.9897720532171626</v>
      </c>
      <c r="AE17" s="100">
        <v>2530.0797152789291</v>
      </c>
      <c r="AF17" s="100">
        <v>8.3729421706689902</v>
      </c>
      <c r="AG17" s="100">
        <v>3536.7307728905812</v>
      </c>
      <c r="AH17" s="100">
        <v>3.885188482930548E-4</v>
      </c>
      <c r="AI17" s="100">
        <v>0.16411036151898634</v>
      </c>
      <c r="AJ17" s="100">
        <v>8</v>
      </c>
      <c r="AK17" s="100">
        <v>3379.2</v>
      </c>
      <c r="AL17" s="100">
        <v>8</v>
      </c>
      <c r="AM17" s="100">
        <v>3379.2</v>
      </c>
      <c r="AN17" s="100">
        <v>3.0638045699677221</v>
      </c>
      <c r="AO17" s="100">
        <v>1294.1510503543657</v>
      </c>
      <c r="AP17" s="100">
        <v>3.8680612544313262E-4</v>
      </c>
      <c r="AQ17" s="100">
        <v>0.1633869073871792</v>
      </c>
      <c r="AR17" s="100">
        <v>6.0850348812131969</v>
      </c>
      <c r="AS17" s="100">
        <v>2570.3187338244543</v>
      </c>
      <c r="AT17" s="100">
        <v>8</v>
      </c>
      <c r="AU17" s="100">
        <v>3379.2</v>
      </c>
      <c r="AV17" s="100">
        <v>3.1616648921391404</v>
      </c>
      <c r="AW17" s="100">
        <v>1335.4872504395728</v>
      </c>
      <c r="AX17" s="100">
        <v>3.8188086135763878E-4</v>
      </c>
      <c r="AY17" s="100">
        <v>0.1613064758374666</v>
      </c>
      <c r="AZ17" s="100">
        <v>6.24022731149614</v>
      </c>
      <c r="BA17" s="100">
        <v>2635.8720163759695</v>
      </c>
      <c r="BB17" s="100">
        <v>6.940021460384294</v>
      </c>
      <c r="BC17" s="100">
        <v>2931.4650648663255</v>
      </c>
      <c r="BD17" s="100">
        <v>11.17653842853642</v>
      </c>
      <c r="BE17" s="100">
        <v>4720.9698322137838</v>
      </c>
      <c r="BF17" s="100">
        <v>5.0880081586988899</v>
      </c>
      <c r="BG17" s="100">
        <v>2149.1746462344108</v>
      </c>
      <c r="BH17" s="100">
        <v>8</v>
      </c>
      <c r="BI17" s="100">
        <v>3379.2</v>
      </c>
      <c r="BJ17" s="100">
        <v>10</v>
      </c>
      <c r="BK17" s="100">
        <v>4224</v>
      </c>
      <c r="BL17" s="100">
        <v>2.8202558734216119</v>
      </c>
      <c r="BM17" s="100">
        <v>1191.2760809332888</v>
      </c>
      <c r="BN17" s="100">
        <v>5.5592430716068613</v>
      </c>
      <c r="BO17" s="100">
        <v>2348.2242734467382</v>
      </c>
      <c r="BP17" s="100">
        <v>2.0029881066471051</v>
      </c>
      <c r="BQ17" s="100">
        <v>846.06217624773717</v>
      </c>
      <c r="BR17" s="100">
        <v>10.209356081458877</v>
      </c>
      <c r="BS17" s="100">
        <v>4312.4320088082295</v>
      </c>
      <c r="BT17" s="100">
        <v>7</v>
      </c>
      <c r="BU17" s="100">
        <v>2956.7999999999997</v>
      </c>
      <c r="BV17" s="100">
        <v>0.96489159184191531</v>
      </c>
      <c r="BW17" s="100">
        <v>407.57020839402503</v>
      </c>
      <c r="BX17" s="100">
        <v>7</v>
      </c>
      <c r="BY17" s="100">
        <v>2956.7999999999997</v>
      </c>
      <c r="BZ17" s="100">
        <v>10</v>
      </c>
      <c r="CA17" s="100">
        <v>4224</v>
      </c>
      <c r="CB17" s="100">
        <v>5.4230384960695064</v>
      </c>
      <c r="CC17" s="100">
        <v>2290.6914607397593</v>
      </c>
      <c r="CD17" s="100">
        <v>5.5463966357838592E-4</v>
      </c>
      <c r="CE17" s="100">
        <v>0.23427979389551021</v>
      </c>
      <c r="CF17" s="100">
        <v>11.944142766771241</v>
      </c>
      <c r="CG17" s="100">
        <v>5045.2059046841723</v>
      </c>
      <c r="CH17" s="100">
        <v>5.2000809244356601E-4</v>
      </c>
      <c r="CI17" s="100">
        <v>0.21965141824816228</v>
      </c>
      <c r="CJ17" s="100">
        <v>8.0003861942895824</v>
      </c>
      <c r="CK17" s="100">
        <v>3379.3631284679195</v>
      </c>
      <c r="CL17" s="100">
        <v>6</v>
      </c>
      <c r="CM17" s="100">
        <v>2534.3999999999996</v>
      </c>
      <c r="CN17" s="100">
        <v>4.190779355524417</v>
      </c>
      <c r="CO17" s="100">
        <v>1770.1851997735137</v>
      </c>
      <c r="CP17" s="100">
        <v>3.7586501449736112</v>
      </c>
      <c r="CQ17" s="100">
        <v>1587.6538212368532</v>
      </c>
      <c r="CR17" s="100">
        <v>6.645508464458282</v>
      </c>
      <c r="CS17" s="100">
        <v>2807.0627753871781</v>
      </c>
      <c r="CT17" s="100">
        <v>4.343882352477518E-4</v>
      </c>
      <c r="CU17" s="100">
        <v>0.18348559056865035</v>
      </c>
    </row>
    <row r="18" spans="2:99">
      <c r="C18" s="99" t="s">
        <v>184</v>
      </c>
      <c r="D18" s="100">
        <v>5.1403748182860474</v>
      </c>
      <c r="E18" s="100">
        <v>3355.6366813771315</v>
      </c>
      <c r="F18" s="100">
        <v>3.7059610380334537E-4</v>
      </c>
      <c r="G18" s="100">
        <v>0.24192513656282383</v>
      </c>
      <c r="H18" s="100">
        <v>5.000334693509755</v>
      </c>
      <c r="I18" s="100">
        <v>3264.2184879231677</v>
      </c>
      <c r="J18" s="100">
        <v>4</v>
      </c>
      <c r="K18" s="100">
        <v>2611.1999999999998</v>
      </c>
      <c r="L18" s="100">
        <v>4.9578476183310851</v>
      </c>
      <c r="M18" s="100">
        <v>3236.482925246532</v>
      </c>
      <c r="N18" s="100">
        <v>4.8379141983541718</v>
      </c>
      <c r="O18" s="100">
        <v>3158.190388685603</v>
      </c>
      <c r="P18" s="100">
        <v>2.3208532727302154</v>
      </c>
      <c r="Q18" s="100">
        <v>1515.0530164382844</v>
      </c>
      <c r="R18" s="100">
        <v>6.8157939147024891</v>
      </c>
      <c r="S18" s="100">
        <v>4449.3502675177842</v>
      </c>
      <c r="T18" s="100">
        <v>3.0005873627889903</v>
      </c>
      <c r="U18" s="100">
        <v>1958.7834304286528</v>
      </c>
      <c r="V18" s="100">
        <v>6.3047475804960324E-4</v>
      </c>
      <c r="W18" s="100">
        <v>0.41157392205478099</v>
      </c>
      <c r="X18" s="100">
        <v>10.000399707781508</v>
      </c>
      <c r="Y18" s="100">
        <v>6528.2609292397683</v>
      </c>
      <c r="Z18" s="100">
        <v>7</v>
      </c>
      <c r="AA18" s="100">
        <v>4569.5999999999995</v>
      </c>
      <c r="AB18" s="100">
        <v>9</v>
      </c>
      <c r="AC18" s="100">
        <v>5875.2</v>
      </c>
      <c r="AD18" s="100">
        <v>5.9897720532171626</v>
      </c>
      <c r="AE18" s="100">
        <v>3910.1231963401633</v>
      </c>
      <c r="AF18" s="100">
        <v>7.5356479536020897</v>
      </c>
      <c r="AG18" s="100">
        <v>4919.2709841114438</v>
      </c>
      <c r="AH18" s="100">
        <v>3.885188482930548E-4</v>
      </c>
      <c r="AI18" s="100">
        <v>0.25362510416570616</v>
      </c>
      <c r="AJ18" s="100">
        <v>7</v>
      </c>
      <c r="AK18" s="100">
        <v>4569.5999999999995</v>
      </c>
      <c r="AL18" s="100">
        <v>8</v>
      </c>
      <c r="AM18" s="100">
        <v>5222.3999999999996</v>
      </c>
      <c r="AN18" s="100">
        <v>2.5531704749731015</v>
      </c>
      <c r="AO18" s="100">
        <v>1666.7096860624406</v>
      </c>
      <c r="AP18" s="100">
        <v>3.9031648489820154E-4</v>
      </c>
      <c r="AQ18" s="100">
        <v>0.25479860134154597</v>
      </c>
      <c r="AR18" s="100">
        <v>6.0850348812131969</v>
      </c>
      <c r="AS18" s="100">
        <v>3972.3107704559748</v>
      </c>
      <c r="AT18" s="100">
        <v>8</v>
      </c>
      <c r="AU18" s="100">
        <v>5222.3999999999996</v>
      </c>
      <c r="AV18" s="100">
        <v>3.6886090408289975</v>
      </c>
      <c r="AW18" s="100">
        <v>2407.9239818531696</v>
      </c>
      <c r="AX18" s="100">
        <v>3.8531691458930286E-4</v>
      </c>
      <c r="AY18" s="100">
        <v>0.25153488184389688</v>
      </c>
      <c r="AZ18" s="100">
        <v>5.5468687213299024</v>
      </c>
      <c r="BA18" s="100">
        <v>3620.99590128416</v>
      </c>
      <c r="BB18" s="100">
        <v>6.9353457270960188</v>
      </c>
      <c r="BC18" s="100">
        <v>4527.3936906482804</v>
      </c>
      <c r="BD18" s="100">
        <v>10.17653842853642</v>
      </c>
      <c r="BE18" s="100">
        <v>6643.2442861485742</v>
      </c>
      <c r="BF18" s="100">
        <v>5.0880081586988899</v>
      </c>
      <c r="BG18" s="100">
        <v>3321.4517259986351</v>
      </c>
      <c r="BH18" s="100">
        <v>7</v>
      </c>
      <c r="BI18" s="100">
        <v>4569.5999999999995</v>
      </c>
      <c r="BJ18" s="100">
        <v>11</v>
      </c>
      <c r="BK18" s="100">
        <v>7180.7999999999993</v>
      </c>
      <c r="BL18" s="100">
        <v>2.5068941097080994</v>
      </c>
      <c r="BM18" s="100">
        <v>1636.5004748174472</v>
      </c>
      <c r="BN18" s="100">
        <v>5.5592430716068613</v>
      </c>
      <c r="BO18" s="100">
        <v>3629.0738771449587</v>
      </c>
      <c r="BP18" s="100">
        <v>1.7545898561624826</v>
      </c>
      <c r="BQ18" s="100">
        <v>1145.3962581028686</v>
      </c>
      <c r="BR18" s="100">
        <v>9.0884204733129881</v>
      </c>
      <c r="BS18" s="100">
        <v>5932.9208849787183</v>
      </c>
      <c r="BT18" s="100">
        <v>7</v>
      </c>
      <c r="BU18" s="100">
        <v>4569.5999999999995</v>
      </c>
      <c r="BV18" s="100">
        <v>1.1793119455845631</v>
      </c>
      <c r="BW18" s="100">
        <v>769.85483807760272</v>
      </c>
      <c r="BX18" s="100">
        <v>6</v>
      </c>
      <c r="BY18" s="100">
        <v>3916.7999999999997</v>
      </c>
      <c r="BZ18" s="100">
        <v>10</v>
      </c>
      <c r="CA18" s="100">
        <v>6528</v>
      </c>
      <c r="CB18" s="100">
        <v>5.4230384960695064</v>
      </c>
      <c r="CC18" s="100">
        <v>3540.1595302341734</v>
      </c>
      <c r="CD18" s="100">
        <v>4.8995638197975875E-4</v>
      </c>
      <c r="CE18" s="100">
        <v>0.3198435261563865</v>
      </c>
      <c r="CF18" s="100">
        <v>11.111269889838308</v>
      </c>
      <c r="CG18" s="100">
        <v>7253.4369840864465</v>
      </c>
      <c r="CH18" s="100">
        <v>6.0575540956343333E-4</v>
      </c>
      <c r="CI18" s="100">
        <v>0.39543713136300923</v>
      </c>
      <c r="CJ18" s="100">
        <v>8.0003861942895824</v>
      </c>
      <c r="CK18" s="100">
        <v>5222.6521076322388</v>
      </c>
      <c r="CL18" s="100">
        <v>7</v>
      </c>
      <c r="CM18" s="100">
        <v>4569.5999999999995</v>
      </c>
      <c r="CN18" s="100">
        <v>3.4288194727017958</v>
      </c>
      <c r="CO18" s="100">
        <v>2238.3333517797323</v>
      </c>
      <c r="CP18" s="100">
        <v>3.7586501449736112</v>
      </c>
      <c r="CQ18" s="100">
        <v>2453.6468146387733</v>
      </c>
      <c r="CR18" s="100">
        <v>6.645508464458282</v>
      </c>
      <c r="CS18" s="100">
        <v>4338.1879255983658</v>
      </c>
      <c r="CT18" s="100">
        <v>4.343882352477518E-4</v>
      </c>
      <c r="CU18" s="100">
        <v>0.28356863996973236</v>
      </c>
    </row>
    <row r="19" spans="2:99">
      <c r="C19" s="99" t="s">
        <v>185</v>
      </c>
      <c r="D19" s="100">
        <v>5.3557744909316165</v>
      </c>
      <c r="E19" s="100">
        <v>1767.4055820074334</v>
      </c>
      <c r="F19" s="100">
        <v>4.3236212110390294E-4</v>
      </c>
      <c r="G19" s="100">
        <v>0.14267949996428797</v>
      </c>
      <c r="H19" s="100">
        <v>5.0003904757613808</v>
      </c>
      <c r="I19" s="100">
        <v>1650.1288570012557</v>
      </c>
      <c r="J19" s="100">
        <v>5</v>
      </c>
      <c r="K19" s="100">
        <v>1650</v>
      </c>
      <c r="L19" s="100">
        <v>4.9578476183310851</v>
      </c>
      <c r="M19" s="100">
        <v>1636.0897140492582</v>
      </c>
      <c r="N19" s="100">
        <v>4.8379141983541718</v>
      </c>
      <c r="O19" s="100">
        <v>1596.5116854568766</v>
      </c>
      <c r="P19" s="100">
        <v>2.0436051418293917</v>
      </c>
      <c r="Q19" s="100">
        <v>674.38969680369928</v>
      </c>
      <c r="R19" s="100">
        <v>6.8157939147024891</v>
      </c>
      <c r="S19" s="100">
        <v>2249.2119918518215</v>
      </c>
      <c r="T19" s="100">
        <v>3.5006852565871553</v>
      </c>
      <c r="U19" s="100">
        <v>1155.2261346737612</v>
      </c>
      <c r="V19" s="100">
        <v>7.0802585296273228E-4</v>
      </c>
      <c r="W19" s="100">
        <v>0.23364853147770165</v>
      </c>
      <c r="X19" s="100">
        <v>10.000355295805784</v>
      </c>
      <c r="Y19" s="100">
        <v>3300.1172476159086</v>
      </c>
      <c r="Z19" s="100">
        <v>8</v>
      </c>
      <c r="AA19" s="100">
        <v>2640</v>
      </c>
      <c r="AB19" s="100">
        <v>9</v>
      </c>
      <c r="AC19" s="100">
        <v>2970</v>
      </c>
      <c r="AD19" s="100">
        <v>5.9897720532171626</v>
      </c>
      <c r="AE19" s="100">
        <v>1976.6247775616637</v>
      </c>
      <c r="AF19" s="100">
        <v>7.5356479536020897</v>
      </c>
      <c r="AG19" s="100">
        <v>2486.7638246886895</v>
      </c>
      <c r="AH19" s="100">
        <v>4.5327198967523059E-4</v>
      </c>
      <c r="AI19" s="100">
        <v>0.1495797565928261</v>
      </c>
      <c r="AJ19" s="100">
        <v>8</v>
      </c>
      <c r="AK19" s="100">
        <v>2640</v>
      </c>
      <c r="AL19" s="100">
        <v>7</v>
      </c>
      <c r="AM19" s="100">
        <v>2310</v>
      </c>
      <c r="AN19" s="100">
        <v>2.5531704749731015</v>
      </c>
      <c r="AO19" s="100">
        <v>842.54625674112344</v>
      </c>
      <c r="AP19" s="100">
        <v>3.8680612544313262E-4</v>
      </c>
      <c r="AQ19" s="100">
        <v>0.12764602139623377</v>
      </c>
      <c r="AR19" s="100">
        <v>6.0850348812131969</v>
      </c>
      <c r="AS19" s="100">
        <v>2008.0615108003549</v>
      </c>
      <c r="AT19" s="100">
        <v>8</v>
      </c>
      <c r="AU19" s="100">
        <v>2640</v>
      </c>
      <c r="AV19" s="100">
        <v>3.1616648921391404</v>
      </c>
      <c r="AW19" s="100">
        <v>1043.3494144059164</v>
      </c>
      <c r="AX19" s="100">
        <v>3.7844480812597475E-4</v>
      </c>
      <c r="AY19" s="100">
        <v>0.12488678668157166</v>
      </c>
      <c r="AZ19" s="100">
        <v>6.24022731149614</v>
      </c>
      <c r="BA19" s="100">
        <v>2059.2750127937261</v>
      </c>
      <c r="BB19" s="100">
        <v>7.5821209799196847</v>
      </c>
      <c r="BC19" s="100">
        <v>2502.099923373496</v>
      </c>
      <c r="BD19" s="100">
        <v>11.045811936476818</v>
      </c>
      <c r="BE19" s="100">
        <v>3645.11793903735</v>
      </c>
      <c r="BF19" s="100">
        <v>5.0880081586988899</v>
      </c>
      <c r="BG19" s="100">
        <v>1679.0426923706336</v>
      </c>
      <c r="BH19" s="100">
        <v>7</v>
      </c>
      <c r="BI19" s="100">
        <v>2310</v>
      </c>
      <c r="BJ19" s="100">
        <v>9</v>
      </c>
      <c r="BK19" s="100">
        <v>2970</v>
      </c>
      <c r="BL19" s="100">
        <v>2.8202558734216119</v>
      </c>
      <c r="BM19" s="100">
        <v>930.68443822913196</v>
      </c>
      <c r="BN19" s="100">
        <v>5.5592430716068613</v>
      </c>
      <c r="BO19" s="100">
        <v>1834.5502136302641</v>
      </c>
      <c r="BP19" s="100">
        <v>2.0139964546993867</v>
      </c>
      <c r="BQ19" s="100">
        <v>664.61883005079767</v>
      </c>
      <c r="BR19" s="100">
        <v>10.088420473312988</v>
      </c>
      <c r="BS19" s="100">
        <v>3329.1787561932861</v>
      </c>
      <c r="BT19" s="100">
        <v>8</v>
      </c>
      <c r="BU19" s="100">
        <v>2640</v>
      </c>
      <c r="BV19" s="100">
        <v>1.0721017687132393</v>
      </c>
      <c r="BW19" s="100">
        <v>353.79358367536895</v>
      </c>
      <c r="BX19" s="100">
        <v>7</v>
      </c>
      <c r="BY19" s="100">
        <v>2310</v>
      </c>
      <c r="BZ19" s="100">
        <v>10</v>
      </c>
      <c r="CA19" s="100">
        <v>3300</v>
      </c>
      <c r="CB19" s="100">
        <v>5.4230384960695064</v>
      </c>
      <c r="CC19" s="100">
        <v>1789.6027037029371</v>
      </c>
      <c r="CD19" s="100">
        <v>4.8995638197975875E-4</v>
      </c>
      <c r="CE19" s="100">
        <v>0.16168560605332039</v>
      </c>
      <c r="CF19" s="100">
        <v>11.111269889838308</v>
      </c>
      <c r="CG19" s="100">
        <v>3666.7190636466416</v>
      </c>
      <c r="CH19" s="100">
        <v>6.0575540956343333E-4</v>
      </c>
      <c r="CI19" s="100">
        <v>0.199899285155933</v>
      </c>
      <c r="CJ19" s="100">
        <v>8.0004248137185403</v>
      </c>
      <c r="CK19" s="100">
        <v>2640.1401885271184</v>
      </c>
      <c r="CL19" s="100">
        <v>6</v>
      </c>
      <c r="CM19" s="100">
        <v>1980</v>
      </c>
      <c r="CN19" s="100">
        <v>4.190779355524417</v>
      </c>
      <c r="CO19" s="100">
        <v>1382.9571873230577</v>
      </c>
      <c r="CP19" s="100">
        <v>3.7586501449736112</v>
      </c>
      <c r="CQ19" s="100">
        <v>1240.3545478412916</v>
      </c>
      <c r="CR19" s="100">
        <v>6.645508464458282</v>
      </c>
      <c r="CS19" s="100">
        <v>2193.0177932712331</v>
      </c>
      <c r="CT19" s="100">
        <v>4.3346317296025211E-4</v>
      </c>
      <c r="CU19" s="100">
        <v>0.1430428470768832</v>
      </c>
    </row>
    <row r="20" spans="2:99">
      <c r="B20" s="99" t="s">
        <v>127</v>
      </c>
      <c r="C20" s="99" t="s">
        <v>186</v>
      </c>
      <c r="D20" s="100">
        <v>5.9971039546670566</v>
      </c>
      <c r="E20" s="100">
        <v>1719.9694141985119</v>
      </c>
      <c r="F20" s="100">
        <v>6.7942619030613328E-4</v>
      </c>
      <c r="G20" s="100">
        <v>0.19485943137979903</v>
      </c>
      <c r="H20" s="100">
        <v>10.000446258013007</v>
      </c>
      <c r="I20" s="100">
        <v>2868.1279867981302</v>
      </c>
      <c r="J20" s="100">
        <v>9</v>
      </c>
      <c r="K20" s="100">
        <v>2581.2000000000003</v>
      </c>
      <c r="L20" s="100">
        <v>4.1315396819425709</v>
      </c>
      <c r="M20" s="100">
        <v>1184.9255807811294</v>
      </c>
      <c r="N20" s="100">
        <v>5.4426534731484431</v>
      </c>
      <c r="O20" s="100">
        <v>1560.9530160989734</v>
      </c>
      <c r="P20" s="100">
        <v>1.8577954336162363</v>
      </c>
      <c r="Q20" s="100">
        <v>532.81573036113662</v>
      </c>
      <c r="R20" s="100">
        <v>8.4956221769545621</v>
      </c>
      <c r="S20" s="100">
        <v>2436.5444403505685</v>
      </c>
      <c r="T20" s="100">
        <v>4.0007831503853204</v>
      </c>
      <c r="U20" s="100">
        <v>1147.42460753051</v>
      </c>
      <c r="V20" s="100">
        <v>4.8975256642987564E-4</v>
      </c>
      <c r="W20" s="100">
        <v>0.14046103605208834</v>
      </c>
      <c r="X20" s="100">
        <v>7.0005329437086763</v>
      </c>
      <c r="Y20" s="100">
        <v>2007.7528482556484</v>
      </c>
      <c r="Z20" s="100">
        <v>7</v>
      </c>
      <c r="AA20" s="100">
        <v>2007.6000000000001</v>
      </c>
      <c r="AB20" s="100">
        <v>10</v>
      </c>
      <c r="AC20" s="100">
        <v>2868</v>
      </c>
      <c r="AD20" s="100">
        <v>8.55681721888166</v>
      </c>
      <c r="AE20" s="100">
        <v>2454.0951783752603</v>
      </c>
      <c r="AF20" s="100">
        <v>5.8610595194682933</v>
      </c>
      <c r="AG20" s="100">
        <v>1680.9518701835066</v>
      </c>
      <c r="AH20" s="100">
        <v>5.1802513105740633E-4</v>
      </c>
      <c r="AI20" s="100">
        <v>0.14856960758726415</v>
      </c>
      <c r="AJ20" s="100">
        <v>11</v>
      </c>
      <c r="AK20" s="100">
        <v>3154.8</v>
      </c>
      <c r="AL20" s="100">
        <v>6</v>
      </c>
      <c r="AM20" s="100">
        <v>1720.8000000000002</v>
      </c>
      <c r="AN20" s="100">
        <v>3.5744386649623423</v>
      </c>
      <c r="AO20" s="100">
        <v>1025.1490091111998</v>
      </c>
      <c r="AP20" s="100">
        <v>6.9976138525270758E-4</v>
      </c>
      <c r="AQ20" s="100">
        <v>0.20069156529047655</v>
      </c>
      <c r="AR20" s="100">
        <v>10.226759683235192</v>
      </c>
      <c r="AS20" s="100">
        <v>2933.0346771518534</v>
      </c>
      <c r="AT20" s="100">
        <v>9</v>
      </c>
      <c r="AU20" s="100">
        <v>2581.2000000000003</v>
      </c>
      <c r="AV20" s="100">
        <v>5.7963856355884236</v>
      </c>
      <c r="AW20" s="100">
        <v>1662.40340028676</v>
      </c>
      <c r="AX20" s="100">
        <v>6.2612801239154395E-4</v>
      </c>
      <c r="AY20" s="100">
        <v>0.17957351395389481</v>
      </c>
      <c r="AZ20" s="100">
        <v>5.4214779206174954</v>
      </c>
      <c r="BA20" s="100">
        <v>1554.8798676330978</v>
      </c>
      <c r="BB20" s="100">
        <v>6.0213831654650756</v>
      </c>
      <c r="BC20" s="100">
        <v>1726.9326918553838</v>
      </c>
      <c r="BD20" s="100">
        <v>11.437991412655624</v>
      </c>
      <c r="BE20" s="100">
        <v>3280.415937149633</v>
      </c>
      <c r="BF20" s="100">
        <v>6.5417247754700014</v>
      </c>
      <c r="BG20" s="100">
        <v>1876.1666656047964</v>
      </c>
      <c r="BH20" s="100">
        <v>7</v>
      </c>
      <c r="BI20" s="100">
        <v>2007.6000000000001</v>
      </c>
      <c r="BJ20" s="100">
        <v>6</v>
      </c>
      <c r="BK20" s="100">
        <v>1720.8000000000002</v>
      </c>
      <c r="BL20" s="100">
        <v>2.9511920002203507</v>
      </c>
      <c r="BM20" s="100">
        <v>846.40186566319665</v>
      </c>
      <c r="BN20" s="100">
        <v>4.8212328582415687</v>
      </c>
      <c r="BO20" s="100">
        <v>1382.729583743682</v>
      </c>
      <c r="BP20" s="100">
        <v>1.7545898561624826</v>
      </c>
      <c r="BQ20" s="100">
        <v>503.21637074740005</v>
      </c>
      <c r="BR20" s="100">
        <v>12.572162905896539</v>
      </c>
      <c r="BS20" s="100">
        <v>3605.6963214111274</v>
      </c>
      <c r="BT20" s="100">
        <v>9</v>
      </c>
      <c r="BU20" s="100">
        <v>2581.2000000000003</v>
      </c>
      <c r="BV20" s="100">
        <v>0.85768141497059136</v>
      </c>
      <c r="BW20" s="100">
        <v>245.98302981356562</v>
      </c>
      <c r="BX20" s="100">
        <v>12</v>
      </c>
      <c r="BY20" s="100">
        <v>3441.6000000000004</v>
      </c>
      <c r="BZ20" s="100">
        <v>11</v>
      </c>
      <c r="CA20" s="100">
        <v>3154.8</v>
      </c>
      <c r="CB20" s="100">
        <v>9.0383974934491764</v>
      </c>
      <c r="CC20" s="100">
        <v>2592.212401121224</v>
      </c>
      <c r="CD20" s="100">
        <v>4.3518600992496298E-4</v>
      </c>
      <c r="CE20" s="100">
        <v>0.12481134764647939</v>
      </c>
      <c r="CF20" s="100">
        <v>9.4455241359724411</v>
      </c>
      <c r="CG20" s="100">
        <v>2708.976322196896</v>
      </c>
      <c r="CH20" s="100">
        <v>6.1759295897278132E-4</v>
      </c>
      <c r="CI20" s="100">
        <v>0.17712566063339369</v>
      </c>
      <c r="CJ20" s="100">
        <v>8.0006179108633315</v>
      </c>
      <c r="CK20" s="100">
        <v>2294.5772168356034</v>
      </c>
      <c r="CL20" s="100">
        <v>9</v>
      </c>
      <c r="CM20" s="100">
        <v>2581.2000000000003</v>
      </c>
      <c r="CN20" s="100">
        <v>3.8097994141131064</v>
      </c>
      <c r="CO20" s="100">
        <v>1092.6504719676389</v>
      </c>
      <c r="CP20" s="100">
        <v>5.1681439493387158</v>
      </c>
      <c r="CQ20" s="100">
        <v>1482.2236846703438</v>
      </c>
      <c r="CR20" s="100">
        <v>7.8133286587005895</v>
      </c>
      <c r="CS20" s="100">
        <v>2240.862659315329</v>
      </c>
      <c r="CT20" s="100">
        <v>5.6180295348818015E-4</v>
      </c>
      <c r="CU20" s="100">
        <v>0.16112508706041007</v>
      </c>
    </row>
    <row r="21" spans="2:99">
      <c r="C21" s="99" t="s">
        <v>187</v>
      </c>
      <c r="D21" s="100">
        <v>5.1403748182860474</v>
      </c>
      <c r="E21" s="100">
        <v>320.75938866104934</v>
      </c>
      <c r="F21" s="100">
        <v>6.176601730055756E-4</v>
      </c>
      <c r="G21" s="100">
        <v>3.8541994795547915E-2</v>
      </c>
      <c r="H21" s="100">
        <v>10.000446258013007</v>
      </c>
      <c r="I21" s="100">
        <v>624.02784650001161</v>
      </c>
      <c r="J21" s="100">
        <v>10</v>
      </c>
      <c r="K21" s="100">
        <v>624</v>
      </c>
      <c r="L21" s="100">
        <v>4.9578476183310851</v>
      </c>
      <c r="M21" s="100">
        <v>309.36969138385973</v>
      </c>
      <c r="N21" s="100">
        <v>5.7630242369981897</v>
      </c>
      <c r="O21" s="100">
        <v>359.61271238868704</v>
      </c>
      <c r="P21" s="100">
        <v>1.8577954336162363</v>
      </c>
      <c r="Q21" s="100">
        <v>115.92643505765315</v>
      </c>
      <c r="R21" s="100">
        <v>8.4956221769545621</v>
      </c>
      <c r="S21" s="100">
        <v>530.12682384196467</v>
      </c>
      <c r="T21" s="100">
        <v>4.500881044183485</v>
      </c>
      <c r="U21" s="100">
        <v>280.85497715704946</v>
      </c>
      <c r="V21" s="100">
        <v>5.6730366134300468E-4</v>
      </c>
      <c r="W21" s="100">
        <v>3.5399748467803492E-2</v>
      </c>
      <c r="X21" s="100">
        <v>8.0005329437086754</v>
      </c>
      <c r="Y21" s="100">
        <v>499.23325568742132</v>
      </c>
      <c r="Z21" s="100">
        <v>8</v>
      </c>
      <c r="AA21" s="100">
        <v>499.2</v>
      </c>
      <c r="AB21" s="100">
        <v>10</v>
      </c>
      <c r="AC21" s="100">
        <v>624</v>
      </c>
      <c r="AD21" s="100">
        <v>9.4124989407698259</v>
      </c>
      <c r="AE21" s="100">
        <v>587.33993390403714</v>
      </c>
      <c r="AF21" s="100">
        <v>7.5356479536020897</v>
      </c>
      <c r="AG21" s="100">
        <v>470.2244323047704</v>
      </c>
      <c r="AH21" s="100">
        <v>5.8277827243958212E-4</v>
      </c>
      <c r="AI21" s="100">
        <v>3.636536420022992E-2</v>
      </c>
      <c r="AJ21" s="100">
        <v>10</v>
      </c>
      <c r="AK21" s="100">
        <v>624</v>
      </c>
      <c r="AL21" s="100">
        <v>7</v>
      </c>
      <c r="AM21" s="100">
        <v>436.8</v>
      </c>
      <c r="AN21" s="100">
        <v>3.0638045699677221</v>
      </c>
      <c r="AO21" s="100">
        <v>191.18140516598586</v>
      </c>
      <c r="AP21" s="100">
        <v>7.8063296979640308E-4</v>
      </c>
      <c r="AQ21" s="100">
        <v>4.8711497315295553E-2</v>
      </c>
      <c r="AR21" s="100">
        <v>9.2125872030329923</v>
      </c>
      <c r="AS21" s="100">
        <v>574.86544146925871</v>
      </c>
      <c r="AT21" s="100">
        <v>8</v>
      </c>
      <c r="AU21" s="100">
        <v>499.2</v>
      </c>
      <c r="AV21" s="100">
        <v>5.7963856355884236</v>
      </c>
      <c r="AW21" s="100">
        <v>361.69446366071764</v>
      </c>
      <c r="AX21" s="100">
        <v>5.5731115722967709E-4</v>
      </c>
      <c r="AY21" s="100">
        <v>3.4776216211131847E-2</v>
      </c>
      <c r="AZ21" s="100">
        <v>6.1664699461886263</v>
      </c>
      <c r="BA21" s="100">
        <v>384.78772464217025</v>
      </c>
      <c r="BB21" s="100">
        <v>5.3839593792179592</v>
      </c>
      <c r="BC21" s="100">
        <v>335.95906526320067</v>
      </c>
      <c r="BD21" s="100">
        <v>11.568717904715227</v>
      </c>
      <c r="BE21" s="100">
        <v>721.88799725423007</v>
      </c>
      <c r="BF21" s="100">
        <v>6.5417247754700014</v>
      </c>
      <c r="BG21" s="100">
        <v>408.20362598932809</v>
      </c>
      <c r="BH21" s="100">
        <v>7</v>
      </c>
      <c r="BI21" s="100">
        <v>436.8</v>
      </c>
      <c r="BJ21" s="100">
        <v>7</v>
      </c>
      <c r="BK21" s="100">
        <v>436.8</v>
      </c>
      <c r="BL21" s="100">
        <v>2.9621033441202447</v>
      </c>
      <c r="BM21" s="100">
        <v>184.83524867310325</v>
      </c>
      <c r="BN21" s="100">
        <v>5.3986541167449067</v>
      </c>
      <c r="BO21" s="100">
        <v>336.87601688488218</v>
      </c>
      <c r="BP21" s="100">
        <v>1.7545898561624826</v>
      </c>
      <c r="BQ21" s="100">
        <v>109.48640702453892</v>
      </c>
      <c r="BR21" s="100">
        <v>12.814034122188314</v>
      </c>
      <c r="BS21" s="100">
        <v>799.59572922455072</v>
      </c>
      <c r="BT21" s="100">
        <v>9</v>
      </c>
      <c r="BU21" s="100">
        <v>561.6</v>
      </c>
      <c r="BV21" s="100">
        <v>0.85768141497059136</v>
      </c>
      <c r="BW21" s="100">
        <v>53.519320294164899</v>
      </c>
      <c r="BX21" s="100">
        <v>12</v>
      </c>
      <c r="BY21" s="100">
        <v>748.8</v>
      </c>
      <c r="BZ21" s="100">
        <v>11</v>
      </c>
      <c r="CA21" s="100">
        <v>686.4</v>
      </c>
      <c r="CB21" s="100">
        <v>8.1345577441042582</v>
      </c>
      <c r="CC21" s="100">
        <v>507.59640323210573</v>
      </c>
      <c r="CD21" s="100">
        <v>4.9986929152359021E-4</v>
      </c>
      <c r="CE21" s="100">
        <v>3.1191843791072028E-2</v>
      </c>
      <c r="CF21" s="100">
        <v>9.4455241359724411</v>
      </c>
      <c r="CG21" s="100">
        <v>589.40070608468034</v>
      </c>
      <c r="CH21" s="100">
        <v>5.3026730193166767E-4</v>
      </c>
      <c r="CI21" s="100">
        <v>3.3088679640536064E-2</v>
      </c>
      <c r="CJ21" s="100">
        <v>8.0006179108633315</v>
      </c>
      <c r="CK21" s="100">
        <v>499.23855763787185</v>
      </c>
      <c r="CL21" s="100">
        <v>10</v>
      </c>
      <c r="CM21" s="100">
        <v>624</v>
      </c>
      <c r="CN21" s="100">
        <v>4.190779355524417</v>
      </c>
      <c r="CO21" s="100">
        <v>261.50463178472364</v>
      </c>
      <c r="CP21" s="100">
        <v>5.1681439493387158</v>
      </c>
      <c r="CQ21" s="100">
        <v>322.49218243873588</v>
      </c>
      <c r="CR21" s="100">
        <v>6.8951791412318117</v>
      </c>
      <c r="CS21" s="100">
        <v>430.25917841286503</v>
      </c>
      <c r="CT21" s="100">
        <v>6.2319765688964492E-4</v>
      </c>
      <c r="CU21" s="100">
        <v>3.8887533789913845E-2</v>
      </c>
    </row>
    <row r="22" spans="2:99">
      <c r="C22" s="99" t="s">
        <v>188</v>
      </c>
      <c r="D22" s="100">
        <v>5.9971039546670566</v>
      </c>
      <c r="E22" s="100">
        <v>1122.6578603136729</v>
      </c>
      <c r="F22" s="100">
        <v>6.176601730055756E-4</v>
      </c>
      <c r="G22" s="100">
        <v>0.11562598438664375</v>
      </c>
      <c r="H22" s="100">
        <v>10.000446258013007</v>
      </c>
      <c r="I22" s="100">
        <v>1872.0835395000347</v>
      </c>
      <c r="J22" s="100">
        <v>10</v>
      </c>
      <c r="K22" s="100">
        <v>1872</v>
      </c>
      <c r="L22" s="100">
        <v>4.9578476183310851</v>
      </c>
      <c r="M22" s="100">
        <v>928.10907415157908</v>
      </c>
      <c r="N22" s="100">
        <v>5.4426534731484431</v>
      </c>
      <c r="O22" s="100">
        <v>1018.8647301733885</v>
      </c>
      <c r="P22" s="100">
        <v>1.591977105551371</v>
      </c>
      <c r="Q22" s="100">
        <v>298.01811415921662</v>
      </c>
      <c r="R22" s="100">
        <v>8.4956221769545621</v>
      </c>
      <c r="S22" s="100">
        <v>1590.3804715258939</v>
      </c>
      <c r="T22" s="100">
        <v>4.500881044183485</v>
      </c>
      <c r="U22" s="100">
        <v>842.56493147114838</v>
      </c>
      <c r="V22" s="100">
        <v>5.6442766170169858E-4</v>
      </c>
      <c r="W22" s="100">
        <v>0.10566085827055798</v>
      </c>
      <c r="X22" s="100">
        <v>8.0005329437086754</v>
      </c>
      <c r="Y22" s="100">
        <v>1497.6997670622638</v>
      </c>
      <c r="Z22" s="100">
        <v>7</v>
      </c>
      <c r="AA22" s="100">
        <v>1310.3999999999999</v>
      </c>
      <c r="AB22" s="100">
        <v>9</v>
      </c>
      <c r="AC22" s="100">
        <v>1684.8</v>
      </c>
      <c r="AD22" s="100">
        <v>9.4124989407698259</v>
      </c>
      <c r="AE22" s="100">
        <v>1762.0198017121113</v>
      </c>
      <c r="AF22" s="100">
        <v>5.8610595194682933</v>
      </c>
      <c r="AG22" s="100">
        <v>1097.1903420444644</v>
      </c>
      <c r="AH22" s="100">
        <v>5.8277827243958212E-4</v>
      </c>
      <c r="AI22" s="100">
        <v>0.10909609260068977</v>
      </c>
      <c r="AJ22" s="100">
        <v>10</v>
      </c>
      <c r="AK22" s="100">
        <v>1872</v>
      </c>
      <c r="AL22" s="100">
        <v>7</v>
      </c>
      <c r="AM22" s="100">
        <v>1310.3999999999999</v>
      </c>
      <c r="AN22" s="100">
        <v>3.0638045699677221</v>
      </c>
      <c r="AO22" s="100">
        <v>573.54421549795757</v>
      </c>
      <c r="AP22" s="100">
        <v>7.0678210416284554E-4</v>
      </c>
      <c r="AQ22" s="100">
        <v>0.13230960989928467</v>
      </c>
      <c r="AR22" s="100">
        <v>9.1842422426285939</v>
      </c>
      <c r="AS22" s="100">
        <v>1719.2901478200727</v>
      </c>
      <c r="AT22" s="100">
        <v>8</v>
      </c>
      <c r="AU22" s="100">
        <v>1497.6</v>
      </c>
      <c r="AV22" s="100">
        <v>6.3233297842782807</v>
      </c>
      <c r="AW22" s="100">
        <v>1183.7273356168942</v>
      </c>
      <c r="AX22" s="100">
        <v>6.2269195915987975E-4</v>
      </c>
      <c r="AY22" s="100">
        <v>0.11656793475472949</v>
      </c>
      <c r="AZ22" s="100">
        <v>4.8535101311636639</v>
      </c>
      <c r="BA22" s="100">
        <v>908.57709655383781</v>
      </c>
      <c r="BB22" s="100">
        <v>5.2829595661848501</v>
      </c>
      <c r="BC22" s="100">
        <v>988.9700307898039</v>
      </c>
      <c r="BD22" s="100">
        <v>11.69944439677483</v>
      </c>
      <c r="BE22" s="100">
        <v>2190.135991076248</v>
      </c>
      <c r="BF22" s="100">
        <v>6.5417247754700014</v>
      </c>
      <c r="BG22" s="100">
        <v>1224.6108779679842</v>
      </c>
      <c r="BH22" s="100">
        <v>7</v>
      </c>
      <c r="BI22" s="100">
        <v>1310.3999999999999</v>
      </c>
      <c r="BJ22" s="100">
        <v>7</v>
      </c>
      <c r="BK22" s="100">
        <v>1310.3999999999999</v>
      </c>
      <c r="BL22" s="100">
        <v>3.2427310761340729</v>
      </c>
      <c r="BM22" s="100">
        <v>607.03925745229844</v>
      </c>
      <c r="BN22" s="100">
        <v>5.3481884191911897</v>
      </c>
      <c r="BO22" s="100">
        <v>1001.1808720725907</v>
      </c>
      <c r="BP22" s="100">
        <v>1.7545898561624826</v>
      </c>
      <c r="BQ22" s="100">
        <v>328.45922107361673</v>
      </c>
      <c r="BR22" s="100">
        <v>10.572162905896539</v>
      </c>
      <c r="BS22" s="100">
        <v>1979.1088959838319</v>
      </c>
      <c r="BT22" s="100">
        <v>8</v>
      </c>
      <c r="BU22" s="100">
        <v>1497.6</v>
      </c>
      <c r="BV22" s="100">
        <v>0.96489159184191531</v>
      </c>
      <c r="BW22" s="100">
        <v>180.62770599280654</v>
      </c>
      <c r="BX22" s="100">
        <v>11</v>
      </c>
      <c r="BY22" s="100">
        <v>2059.1999999999998</v>
      </c>
      <c r="BZ22" s="100">
        <v>11</v>
      </c>
      <c r="CA22" s="100">
        <v>2059.1999999999998</v>
      </c>
      <c r="CB22" s="100">
        <v>8.1345577441042582</v>
      </c>
      <c r="CC22" s="100">
        <v>1522.7892096963171</v>
      </c>
      <c r="CD22" s="100">
        <v>4.3518600992496298E-4</v>
      </c>
      <c r="CE22" s="100">
        <v>8.1466821057953068E-2</v>
      </c>
      <c r="CF22" s="100">
        <v>9.5481382540553899</v>
      </c>
      <c r="CG22" s="100">
        <v>1787.4114811591689</v>
      </c>
      <c r="CH22" s="100">
        <v>6.168037890121581E-4</v>
      </c>
      <c r="CI22" s="100">
        <v>0.11546566930307599</v>
      </c>
      <c r="CJ22" s="100">
        <v>7.0006565302922903</v>
      </c>
      <c r="CK22" s="100">
        <v>1310.5229024707166</v>
      </c>
      <c r="CL22" s="100">
        <v>9</v>
      </c>
      <c r="CM22" s="100">
        <v>1684.8</v>
      </c>
      <c r="CN22" s="100">
        <v>4.190779355524417</v>
      </c>
      <c r="CO22" s="100">
        <v>784.51389535417081</v>
      </c>
      <c r="CP22" s="100">
        <v>5.1681439493387158</v>
      </c>
      <c r="CQ22" s="100">
        <v>967.47654731620753</v>
      </c>
      <c r="CR22" s="100">
        <v>7.7821198241038987</v>
      </c>
      <c r="CS22" s="100">
        <v>1456.8128310722498</v>
      </c>
      <c r="CT22" s="100">
        <v>5.6087789120068041E-4</v>
      </c>
      <c r="CU22" s="100">
        <v>0.10499634123276737</v>
      </c>
    </row>
    <row r="23" spans="2:99">
      <c r="C23" s="99" t="s">
        <v>189</v>
      </c>
      <c r="D23" s="100">
        <v>5.1403748182860474</v>
      </c>
      <c r="E23" s="100">
        <v>1511.270196576098</v>
      </c>
      <c r="F23" s="100">
        <v>6.7942619030613328E-4</v>
      </c>
      <c r="G23" s="100">
        <v>0.19975129995000318</v>
      </c>
      <c r="H23" s="100">
        <v>10.000446258013007</v>
      </c>
      <c r="I23" s="100">
        <v>2940.131199855824</v>
      </c>
      <c r="J23" s="100">
        <v>9</v>
      </c>
      <c r="K23" s="100">
        <v>2646</v>
      </c>
      <c r="L23" s="100">
        <v>4.1315396819425709</v>
      </c>
      <c r="M23" s="100">
        <v>1214.6726664911159</v>
      </c>
      <c r="N23" s="100">
        <v>6.3877866845330695</v>
      </c>
      <c r="O23" s="100">
        <v>1878.0092852527225</v>
      </c>
      <c r="P23" s="100">
        <v>1.8463656307802776</v>
      </c>
      <c r="Q23" s="100">
        <v>542.83149544940159</v>
      </c>
      <c r="R23" s="100">
        <v>8.4956221769545621</v>
      </c>
      <c r="S23" s="100">
        <v>2497.7129200246413</v>
      </c>
      <c r="T23" s="100">
        <v>4.500881044183485</v>
      </c>
      <c r="U23" s="100">
        <v>1323.2590269899447</v>
      </c>
      <c r="V23" s="100">
        <v>4.8975256642987564E-4</v>
      </c>
      <c r="W23" s="100">
        <v>0.14398725453038344</v>
      </c>
      <c r="X23" s="100">
        <v>8.0005329437086754</v>
      </c>
      <c r="Y23" s="100">
        <v>2352.1566854503508</v>
      </c>
      <c r="Z23" s="100">
        <v>7</v>
      </c>
      <c r="AA23" s="100">
        <v>2058</v>
      </c>
      <c r="AB23" s="100">
        <v>9</v>
      </c>
      <c r="AC23" s="100">
        <v>2646</v>
      </c>
      <c r="AD23" s="100">
        <v>7.7011354969934942</v>
      </c>
      <c r="AE23" s="100">
        <v>2264.1338361160874</v>
      </c>
      <c r="AF23" s="100">
        <v>5.8610595194682933</v>
      </c>
      <c r="AG23" s="100">
        <v>1723.1514987236783</v>
      </c>
      <c r="AH23" s="100">
        <v>5.8277827243958212E-4</v>
      </c>
      <c r="AI23" s="100">
        <v>0.17133681209723714</v>
      </c>
      <c r="AJ23" s="100">
        <v>11</v>
      </c>
      <c r="AK23" s="100">
        <v>3234</v>
      </c>
      <c r="AL23" s="100">
        <v>6</v>
      </c>
      <c r="AM23" s="100">
        <v>1764</v>
      </c>
      <c r="AN23" s="100">
        <v>3.0638045699677221</v>
      </c>
      <c r="AO23" s="100">
        <v>900.75854357051026</v>
      </c>
      <c r="AP23" s="100">
        <v>7.7712261034133421E-4</v>
      </c>
      <c r="AQ23" s="100">
        <v>0.22847404744035227</v>
      </c>
      <c r="AR23" s="100">
        <v>9.2267596832351924</v>
      </c>
      <c r="AS23" s="100">
        <v>2712.6673468711465</v>
      </c>
      <c r="AT23" s="100">
        <v>8</v>
      </c>
      <c r="AU23" s="100">
        <v>2352</v>
      </c>
      <c r="AV23" s="100">
        <v>5.7963856355884236</v>
      </c>
      <c r="AW23" s="100">
        <v>1704.1373768629965</v>
      </c>
      <c r="AX23" s="100">
        <v>6.1581985269655169E-4</v>
      </c>
      <c r="AY23" s="100">
        <v>0.18105103669278619</v>
      </c>
      <c r="AZ23" s="100">
        <v>5.4731113560223887</v>
      </c>
      <c r="BA23" s="100">
        <v>1609.0947386705823</v>
      </c>
      <c r="BB23" s="100">
        <v>6.0732877789712942</v>
      </c>
      <c r="BC23" s="100">
        <v>1785.5466070175605</v>
      </c>
      <c r="BD23" s="100">
        <v>13.568717904715227</v>
      </c>
      <c r="BE23" s="100">
        <v>3989.2030639862764</v>
      </c>
      <c r="BF23" s="100">
        <v>7.2685830838555567</v>
      </c>
      <c r="BG23" s="100">
        <v>2136.9634266535336</v>
      </c>
      <c r="BH23" s="100">
        <v>7</v>
      </c>
      <c r="BI23" s="100">
        <v>2058</v>
      </c>
      <c r="BJ23" s="100">
        <v>6</v>
      </c>
      <c r="BK23" s="100">
        <v>1764</v>
      </c>
      <c r="BL23" s="100">
        <v>2.97301468802014</v>
      </c>
      <c r="BM23" s="100">
        <v>874.06631827792114</v>
      </c>
      <c r="BN23" s="100">
        <v>5.3734212679680482</v>
      </c>
      <c r="BO23" s="100">
        <v>1579.7858527826061</v>
      </c>
      <c r="BP23" s="100">
        <v>1.7766065522670449</v>
      </c>
      <c r="BQ23" s="100">
        <v>522.32232636651122</v>
      </c>
      <c r="BR23" s="100">
        <v>12.693098514042427</v>
      </c>
      <c r="BS23" s="100">
        <v>3731.7709631284738</v>
      </c>
      <c r="BT23" s="100">
        <v>9</v>
      </c>
      <c r="BU23" s="100">
        <v>2646</v>
      </c>
      <c r="BV23" s="100">
        <v>0.75047123809926741</v>
      </c>
      <c r="BW23" s="100">
        <v>220.63854400118461</v>
      </c>
      <c r="BX23" s="100">
        <v>12</v>
      </c>
      <c r="BY23" s="100">
        <v>3528</v>
      </c>
      <c r="BZ23" s="100">
        <v>11</v>
      </c>
      <c r="CA23" s="100">
        <v>3234</v>
      </c>
      <c r="CB23" s="100">
        <v>8.1345577441042582</v>
      </c>
      <c r="CC23" s="100">
        <v>2391.5599767666517</v>
      </c>
      <c r="CD23" s="100">
        <v>4.3270778253900506E-4</v>
      </c>
      <c r="CE23" s="100">
        <v>0.12721608806646748</v>
      </c>
      <c r="CF23" s="100">
        <v>10.483625249071274</v>
      </c>
      <c r="CG23" s="100">
        <v>3082.1858232269547</v>
      </c>
      <c r="CH23" s="100">
        <v>5.3263481181353733E-4</v>
      </c>
      <c r="CI23" s="100">
        <v>0.15659463467317997</v>
      </c>
      <c r="CJ23" s="100">
        <v>7.0006565302922903</v>
      </c>
      <c r="CK23" s="100">
        <v>2058.1930199059334</v>
      </c>
      <c r="CL23" s="100">
        <v>10</v>
      </c>
      <c r="CM23" s="100">
        <v>2940</v>
      </c>
      <c r="CN23" s="100">
        <v>3.8097994141131064</v>
      </c>
      <c r="CO23" s="100">
        <v>1120.0810277492533</v>
      </c>
      <c r="CP23" s="100">
        <v>4.698312681217014</v>
      </c>
      <c r="CQ23" s="100">
        <v>1381.303928277802</v>
      </c>
      <c r="CR23" s="100">
        <v>7.7509109895072079</v>
      </c>
      <c r="CS23" s="100">
        <v>2278.7678309151192</v>
      </c>
      <c r="CT23" s="100">
        <v>5.6180295348818015E-4</v>
      </c>
      <c r="CU23" s="100">
        <v>0.16517006832552497</v>
      </c>
    </row>
    <row r="24" spans="2:99">
      <c r="C24" s="99" t="s">
        <v>190</v>
      </c>
      <c r="D24" s="100">
        <v>5.9971039546670566</v>
      </c>
      <c r="E24" s="100">
        <v>2202.1365721537431</v>
      </c>
      <c r="F24" s="100">
        <v>6.7942619030613328E-4</v>
      </c>
      <c r="G24" s="100">
        <v>0.24948529708041214</v>
      </c>
      <c r="H24" s="100">
        <v>11.000502040264633</v>
      </c>
      <c r="I24" s="100">
        <v>4039.3843491851731</v>
      </c>
      <c r="J24" s="100">
        <v>11</v>
      </c>
      <c r="K24" s="100">
        <v>4039.2</v>
      </c>
      <c r="L24" s="100">
        <v>4.9578476183310851</v>
      </c>
      <c r="M24" s="100">
        <v>1820.5216454511744</v>
      </c>
      <c r="N24" s="100">
        <v>6.0473927479427143</v>
      </c>
      <c r="O24" s="100">
        <v>2220.6026170445648</v>
      </c>
      <c r="P24" s="100">
        <v>1.5805473027154127</v>
      </c>
      <c r="Q24" s="100">
        <v>580.37696955709953</v>
      </c>
      <c r="R24" s="100">
        <v>8.4956221769545621</v>
      </c>
      <c r="S24" s="100">
        <v>3119.5924633777149</v>
      </c>
      <c r="T24" s="100">
        <v>4.500881044183485</v>
      </c>
      <c r="U24" s="100">
        <v>1652.7235194241757</v>
      </c>
      <c r="V24" s="100">
        <v>4.8975256642987564E-4</v>
      </c>
      <c r="W24" s="100">
        <v>0.17983714239305032</v>
      </c>
      <c r="X24" s="100">
        <v>8.0006217676601228</v>
      </c>
      <c r="Y24" s="100">
        <v>2937.8283130847972</v>
      </c>
      <c r="Z24" s="100">
        <v>7</v>
      </c>
      <c r="AA24" s="100">
        <v>2570.4</v>
      </c>
      <c r="AB24" s="100">
        <v>9</v>
      </c>
      <c r="AC24" s="100">
        <v>3304.7999999999997</v>
      </c>
      <c r="AD24" s="100">
        <v>8.55681721888166</v>
      </c>
      <c r="AE24" s="100">
        <v>3142.0632827733457</v>
      </c>
      <c r="AF24" s="100">
        <v>6.6983537365351911</v>
      </c>
      <c r="AG24" s="100">
        <v>2459.6354920557219</v>
      </c>
      <c r="AH24" s="100">
        <v>5.1802513105740633E-4</v>
      </c>
      <c r="AI24" s="100">
        <v>0.19021882812427959</v>
      </c>
      <c r="AJ24" s="100">
        <v>11</v>
      </c>
      <c r="AK24" s="100">
        <v>4039.2</v>
      </c>
      <c r="AL24" s="100">
        <v>6</v>
      </c>
      <c r="AM24" s="100">
        <v>2203.1999999999998</v>
      </c>
      <c r="AN24" s="100">
        <v>3.0638045699677221</v>
      </c>
      <c r="AO24" s="100">
        <v>1125.0290380921476</v>
      </c>
      <c r="AP24" s="100">
        <v>7.7361225088626523E-4</v>
      </c>
      <c r="AQ24" s="100">
        <v>0.28407041852543657</v>
      </c>
      <c r="AR24" s="100">
        <v>10.226759683235192</v>
      </c>
      <c r="AS24" s="100">
        <v>3755.2661556839626</v>
      </c>
      <c r="AT24" s="100">
        <v>9</v>
      </c>
      <c r="AU24" s="100">
        <v>3304.7999999999997</v>
      </c>
      <c r="AV24" s="100">
        <v>6.3233297842782807</v>
      </c>
      <c r="AW24" s="100">
        <v>2321.9266967869844</v>
      </c>
      <c r="AX24" s="100">
        <v>5.5043905076634892E-4</v>
      </c>
      <c r="AY24" s="100">
        <v>0.20212121944140332</v>
      </c>
      <c r="AZ24" s="100">
        <v>4.8535101311636639</v>
      </c>
      <c r="BA24" s="100">
        <v>1782.2089201632973</v>
      </c>
      <c r="BB24" s="100">
        <v>6.1200451118540489</v>
      </c>
      <c r="BC24" s="100">
        <v>2247.2805650728069</v>
      </c>
      <c r="BD24" s="100">
        <v>11.568717904715227</v>
      </c>
      <c r="BE24" s="100">
        <v>4248.0332146114315</v>
      </c>
      <c r="BF24" s="100">
        <v>6.5417247754700014</v>
      </c>
      <c r="BG24" s="100">
        <v>2402.1213375525845</v>
      </c>
      <c r="BH24" s="100">
        <v>7</v>
      </c>
      <c r="BI24" s="100">
        <v>2570.4</v>
      </c>
      <c r="BJ24" s="100">
        <v>7</v>
      </c>
      <c r="BK24" s="100">
        <v>2570.4</v>
      </c>
      <c r="BL24" s="100">
        <v>2.9511920002203507</v>
      </c>
      <c r="BM24" s="100">
        <v>1083.6777024809128</v>
      </c>
      <c r="BN24" s="100">
        <v>4.7707671606878517</v>
      </c>
      <c r="BO24" s="100">
        <v>1751.8257014045791</v>
      </c>
      <c r="BP24" s="100">
        <v>1.7766065522670449</v>
      </c>
      <c r="BQ24" s="100">
        <v>652.36992599245889</v>
      </c>
      <c r="BR24" s="100">
        <v>10.572162905896539</v>
      </c>
      <c r="BS24" s="100">
        <v>3882.0982190452087</v>
      </c>
      <c r="BT24" s="100">
        <v>9</v>
      </c>
      <c r="BU24" s="100">
        <v>3304.7999999999997</v>
      </c>
      <c r="BV24" s="100">
        <v>0.85768141497059136</v>
      </c>
      <c r="BW24" s="100">
        <v>314.94061557720113</v>
      </c>
      <c r="BX24" s="100">
        <v>12</v>
      </c>
      <c r="BY24" s="100">
        <v>4406.3999999999996</v>
      </c>
      <c r="BZ24" s="100">
        <v>10</v>
      </c>
      <c r="CA24" s="100">
        <v>3672</v>
      </c>
      <c r="CB24" s="100">
        <v>7.230717994759341</v>
      </c>
      <c r="CC24" s="100">
        <v>2655.1196476756299</v>
      </c>
      <c r="CD24" s="100">
        <v>5.0234751890954814E-4</v>
      </c>
      <c r="CE24" s="100">
        <v>0.18446200894358608</v>
      </c>
      <c r="CF24" s="100">
        <v>9.5481382540553899</v>
      </c>
      <c r="CG24" s="100">
        <v>3506.0763668891391</v>
      </c>
      <c r="CH24" s="100">
        <v>5.31845641852914E-4</v>
      </c>
      <c r="CI24" s="100">
        <v>0.19529371968839002</v>
      </c>
      <c r="CJ24" s="100">
        <v>7.0005792914343736</v>
      </c>
      <c r="CK24" s="100">
        <v>2570.6127158147019</v>
      </c>
      <c r="CL24" s="100">
        <v>9</v>
      </c>
      <c r="CM24" s="100">
        <v>3304.7999999999997</v>
      </c>
      <c r="CN24" s="100">
        <v>4.190779355524417</v>
      </c>
      <c r="CO24" s="100">
        <v>1538.8541793485658</v>
      </c>
      <c r="CP24" s="100">
        <v>4.698312681217014</v>
      </c>
      <c r="CQ24" s="100">
        <v>1725.2204165428875</v>
      </c>
      <c r="CR24" s="100">
        <v>6.863970306635121</v>
      </c>
      <c r="CS24" s="100">
        <v>2520.4498965964162</v>
      </c>
      <c r="CT24" s="100">
        <v>5.6365307806317973E-4</v>
      </c>
      <c r="CU24" s="100">
        <v>0.2069734102647996</v>
      </c>
    </row>
    <row r="25" spans="2:99">
      <c r="C25" s="99" t="s">
        <v>191</v>
      </c>
      <c r="D25" s="100">
        <v>5.9971039546670566</v>
      </c>
      <c r="E25" s="100">
        <v>3180.8639375554067</v>
      </c>
      <c r="F25" s="100">
        <v>6.176601730055756E-4</v>
      </c>
      <c r="G25" s="100">
        <v>0.32760695576215726</v>
      </c>
      <c r="H25" s="100">
        <v>10.000390475761382</v>
      </c>
      <c r="I25" s="100">
        <v>5304.2071083438368</v>
      </c>
      <c r="J25" s="100">
        <v>10</v>
      </c>
      <c r="K25" s="100">
        <v>5304</v>
      </c>
      <c r="L25" s="100">
        <v>4.9578476183310851</v>
      </c>
      <c r="M25" s="100">
        <v>2629.6423767628075</v>
      </c>
      <c r="N25" s="100">
        <v>6.0473927479427143</v>
      </c>
      <c r="O25" s="100">
        <v>3207.5371135088153</v>
      </c>
      <c r="P25" s="100">
        <v>1.591977105551371</v>
      </c>
      <c r="Q25" s="100">
        <v>844.38465678444709</v>
      </c>
      <c r="R25" s="100">
        <v>8.3596565245041479</v>
      </c>
      <c r="S25" s="100">
        <v>4433.961820597</v>
      </c>
      <c r="T25" s="100">
        <v>4.0007831503853204</v>
      </c>
      <c r="U25" s="100">
        <v>2122.0153829643737</v>
      </c>
      <c r="V25" s="100">
        <v>4.8543856696791655E-4</v>
      </c>
      <c r="W25" s="100">
        <v>0.25747661591978294</v>
      </c>
      <c r="X25" s="100">
        <v>8.0004885317329535</v>
      </c>
      <c r="Y25" s="100">
        <v>4243.4591172311584</v>
      </c>
      <c r="Z25" s="100">
        <v>8</v>
      </c>
      <c r="AA25" s="100">
        <v>4243.2</v>
      </c>
      <c r="AB25" s="100">
        <v>9</v>
      </c>
      <c r="AC25" s="100">
        <v>4773.5999999999995</v>
      </c>
      <c r="AD25" s="100">
        <v>8.55681721888166</v>
      </c>
      <c r="AE25" s="100">
        <v>4538.5358528948327</v>
      </c>
      <c r="AF25" s="100">
        <v>5.8610595194682933</v>
      </c>
      <c r="AG25" s="100">
        <v>3108.7059691259828</v>
      </c>
      <c r="AH25" s="100">
        <v>5.1802513105740633E-4</v>
      </c>
      <c r="AI25" s="100">
        <v>0.27476052951284829</v>
      </c>
      <c r="AJ25" s="100">
        <v>10</v>
      </c>
      <c r="AK25" s="100">
        <v>5304</v>
      </c>
      <c r="AL25" s="100">
        <v>6</v>
      </c>
      <c r="AM25" s="100">
        <v>3182.3999999999996</v>
      </c>
      <c r="AN25" s="100">
        <v>3.0638045699677221</v>
      </c>
      <c r="AO25" s="100">
        <v>1625.0419439108798</v>
      </c>
      <c r="AP25" s="100">
        <v>6.2591051961915004E-4</v>
      </c>
      <c r="AQ25" s="100">
        <v>0.33198293960599717</v>
      </c>
      <c r="AR25" s="100">
        <v>8.2267596832351924</v>
      </c>
      <c r="AS25" s="100">
        <v>4363.4733359879456</v>
      </c>
      <c r="AT25" s="100">
        <v>7</v>
      </c>
      <c r="AU25" s="100">
        <v>3712.7999999999997</v>
      </c>
      <c r="AV25" s="100">
        <v>5.2694414868985673</v>
      </c>
      <c r="AW25" s="100">
        <v>2794.9117646509999</v>
      </c>
      <c r="AX25" s="100">
        <v>5.5731115722967709E-4</v>
      </c>
      <c r="AY25" s="100">
        <v>0.29559783779462073</v>
      </c>
      <c r="AZ25" s="100">
        <v>4.728119330451257</v>
      </c>
      <c r="BA25" s="100">
        <v>2507.7944928713464</v>
      </c>
      <c r="BB25" s="100">
        <v>6.0190452988209389</v>
      </c>
      <c r="BC25" s="100">
        <v>3192.5016264946257</v>
      </c>
      <c r="BD25" s="100">
        <v>12.568717904715227</v>
      </c>
      <c r="BE25" s="100">
        <v>6666.4479766609556</v>
      </c>
      <c r="BF25" s="100">
        <v>5.8148664670844452</v>
      </c>
      <c r="BG25" s="100">
        <v>3084.2051741415894</v>
      </c>
      <c r="BH25" s="100">
        <v>7</v>
      </c>
      <c r="BI25" s="100">
        <v>3712.7999999999997</v>
      </c>
      <c r="BJ25" s="100">
        <v>6</v>
      </c>
      <c r="BK25" s="100">
        <v>3182.3999999999996</v>
      </c>
      <c r="BL25" s="100">
        <v>3.231819732234178</v>
      </c>
      <c r="BM25" s="100">
        <v>1714.1571859770079</v>
      </c>
      <c r="BN25" s="100">
        <v>5.3986541167449067</v>
      </c>
      <c r="BO25" s="100">
        <v>2863.4461435214985</v>
      </c>
      <c r="BP25" s="100">
        <v>1.7545898561624826</v>
      </c>
      <c r="BQ25" s="100">
        <v>930.63445970858072</v>
      </c>
      <c r="BR25" s="100">
        <v>11.572162905896539</v>
      </c>
      <c r="BS25" s="100">
        <v>6137.8752052875243</v>
      </c>
      <c r="BT25" s="100">
        <v>9</v>
      </c>
      <c r="BU25" s="100">
        <v>4773.5999999999995</v>
      </c>
      <c r="BV25" s="100">
        <v>0.96489159184191531</v>
      </c>
      <c r="BW25" s="100">
        <v>511.77850031295185</v>
      </c>
      <c r="BX25" s="100">
        <v>12</v>
      </c>
      <c r="BY25" s="100">
        <v>6364.7999999999993</v>
      </c>
      <c r="BZ25" s="100">
        <v>11</v>
      </c>
      <c r="CA25" s="100">
        <v>5834.4</v>
      </c>
      <c r="CB25" s="100">
        <v>9.0383974934491764</v>
      </c>
      <c r="CC25" s="100">
        <v>4793.9660305254429</v>
      </c>
      <c r="CD25" s="100">
        <v>4.3518600992496298E-4</v>
      </c>
      <c r="CE25" s="100">
        <v>0.23082265966420035</v>
      </c>
      <c r="CF25" s="100">
        <v>10.381011130988323</v>
      </c>
      <c r="CG25" s="100">
        <v>5506.0883038762067</v>
      </c>
      <c r="CH25" s="100">
        <v>5.3263481181353733E-4</v>
      </c>
      <c r="CI25" s="100">
        <v>0.28250950418590021</v>
      </c>
      <c r="CJ25" s="100">
        <v>6.0006565302922903</v>
      </c>
      <c r="CK25" s="100">
        <v>3182.7482236670307</v>
      </c>
      <c r="CL25" s="100">
        <v>8</v>
      </c>
      <c r="CM25" s="100">
        <v>4243.2</v>
      </c>
      <c r="CN25" s="100">
        <v>4.190779355524417</v>
      </c>
      <c r="CO25" s="100">
        <v>2222.7893701701505</v>
      </c>
      <c r="CP25" s="100">
        <v>4.698312681217014</v>
      </c>
      <c r="CQ25" s="100">
        <v>2491.9850461175042</v>
      </c>
      <c r="CR25" s="100">
        <v>7.7509109895072079</v>
      </c>
      <c r="CS25" s="100">
        <v>4111.0831888346229</v>
      </c>
      <c r="CT25" s="100">
        <v>5.6180295348818015E-4</v>
      </c>
      <c r="CU25" s="100">
        <v>0.29798028653013076</v>
      </c>
    </row>
    <row r="26" spans="2:99">
      <c r="C26" s="99" t="s">
        <v>192</v>
      </c>
      <c r="D26" s="100">
        <v>5.1403748182860474</v>
      </c>
      <c r="E26" s="100">
        <v>2498.2221616870188</v>
      </c>
      <c r="F26" s="100">
        <v>6.176601730055756E-4</v>
      </c>
      <c r="G26" s="100">
        <v>0.30018284408070972</v>
      </c>
      <c r="H26" s="100">
        <v>10.000390475761382</v>
      </c>
      <c r="I26" s="100">
        <v>4860.1897712200316</v>
      </c>
      <c r="J26" s="100">
        <v>9</v>
      </c>
      <c r="K26" s="100">
        <v>4374</v>
      </c>
      <c r="L26" s="100">
        <v>4.9578476183310851</v>
      </c>
      <c r="M26" s="100">
        <v>2409.5139425089073</v>
      </c>
      <c r="N26" s="100">
        <v>5.4426534731484431</v>
      </c>
      <c r="O26" s="100">
        <v>2645.1295879501431</v>
      </c>
      <c r="P26" s="100">
        <v>1.6034069083873295</v>
      </c>
      <c r="Q26" s="100">
        <v>779.25575747624214</v>
      </c>
      <c r="R26" s="100">
        <v>8.4956221769545621</v>
      </c>
      <c r="S26" s="100">
        <v>4128.8723779999173</v>
      </c>
      <c r="T26" s="100">
        <v>4.500881044183485</v>
      </c>
      <c r="U26" s="100">
        <v>2187.4281874731737</v>
      </c>
      <c r="V26" s="100">
        <v>4.8831456660922265E-4</v>
      </c>
      <c r="W26" s="100">
        <v>0.23732087937208221</v>
      </c>
      <c r="X26" s="100">
        <v>8.0005773556843991</v>
      </c>
      <c r="Y26" s="100">
        <v>3888.2805948626178</v>
      </c>
      <c r="Z26" s="100">
        <v>8</v>
      </c>
      <c r="AA26" s="100">
        <v>3888</v>
      </c>
      <c r="AB26" s="100">
        <v>9</v>
      </c>
      <c r="AC26" s="100">
        <v>4374</v>
      </c>
      <c r="AD26" s="100">
        <v>9.4124989407698259</v>
      </c>
      <c r="AE26" s="100">
        <v>4574.4744852141357</v>
      </c>
      <c r="AF26" s="100">
        <v>6.6983537365351911</v>
      </c>
      <c r="AG26" s="100">
        <v>3255.3999159561026</v>
      </c>
      <c r="AH26" s="100">
        <v>5.1802513105740633E-4</v>
      </c>
      <c r="AI26" s="100">
        <v>0.25176021369389945</v>
      </c>
      <c r="AJ26" s="100">
        <v>10</v>
      </c>
      <c r="AK26" s="100">
        <v>4860</v>
      </c>
      <c r="AL26" s="100">
        <v>7</v>
      </c>
      <c r="AM26" s="100">
        <v>3402</v>
      </c>
      <c r="AN26" s="100">
        <v>3.0638045699677221</v>
      </c>
      <c r="AO26" s="100">
        <v>1489.0090210043129</v>
      </c>
      <c r="AP26" s="100">
        <v>7.0678210416284554E-4</v>
      </c>
      <c r="AQ26" s="100">
        <v>0.34349610262314295</v>
      </c>
      <c r="AR26" s="100">
        <v>9.1842422426285939</v>
      </c>
      <c r="AS26" s="100">
        <v>4463.5417299174969</v>
      </c>
      <c r="AT26" s="100">
        <v>8</v>
      </c>
      <c r="AU26" s="100">
        <v>3888</v>
      </c>
      <c r="AV26" s="100">
        <v>5.7963856355884236</v>
      </c>
      <c r="AW26" s="100">
        <v>2817.0434188959739</v>
      </c>
      <c r="AX26" s="100">
        <v>5.5387510399801301E-4</v>
      </c>
      <c r="AY26" s="100">
        <v>0.2691833005430343</v>
      </c>
      <c r="AZ26" s="100">
        <v>5.4214779206174954</v>
      </c>
      <c r="BA26" s="100">
        <v>2634.8382694201027</v>
      </c>
      <c r="BB26" s="100">
        <v>6.0190452988209389</v>
      </c>
      <c r="BC26" s="100">
        <v>2925.2560152269762</v>
      </c>
      <c r="BD26" s="100">
        <v>12.437991412655624</v>
      </c>
      <c r="BE26" s="100">
        <v>6044.8638265506333</v>
      </c>
      <c r="BF26" s="100">
        <v>6.5417247754700014</v>
      </c>
      <c r="BG26" s="100">
        <v>3179.2782408784205</v>
      </c>
      <c r="BH26" s="100">
        <v>6</v>
      </c>
      <c r="BI26" s="100">
        <v>2916</v>
      </c>
      <c r="BJ26" s="100">
        <v>6</v>
      </c>
      <c r="BK26" s="100">
        <v>2916</v>
      </c>
      <c r="BL26" s="100">
        <v>2.9511920002203507</v>
      </c>
      <c r="BM26" s="100">
        <v>1434.2793121070904</v>
      </c>
      <c r="BN26" s="100">
        <v>4.846465707018428</v>
      </c>
      <c r="BO26" s="100">
        <v>2355.3823336109558</v>
      </c>
      <c r="BP26" s="100">
        <v>2.0250048027516678</v>
      </c>
      <c r="BQ26" s="100">
        <v>984.15233413731062</v>
      </c>
      <c r="BR26" s="100">
        <v>10.572162905896539</v>
      </c>
      <c r="BS26" s="100">
        <v>5138.0711722657179</v>
      </c>
      <c r="BT26" s="100">
        <v>9</v>
      </c>
      <c r="BU26" s="100">
        <v>4374</v>
      </c>
      <c r="BV26" s="100">
        <v>0.96489159184191531</v>
      </c>
      <c r="BW26" s="100">
        <v>468.93731363517082</v>
      </c>
      <c r="BX26" s="100">
        <v>11</v>
      </c>
      <c r="BY26" s="100">
        <v>5346</v>
      </c>
      <c r="BZ26" s="100">
        <v>12</v>
      </c>
      <c r="CA26" s="100">
        <v>5832</v>
      </c>
      <c r="CB26" s="100">
        <v>8.1345577441042582</v>
      </c>
      <c r="CC26" s="100">
        <v>3953.3950636346694</v>
      </c>
      <c r="CD26" s="100">
        <v>4.3518600992496298E-4</v>
      </c>
      <c r="CE26" s="100">
        <v>0.211500400823532</v>
      </c>
      <c r="CF26" s="100">
        <v>9.5481382540553899</v>
      </c>
      <c r="CG26" s="100">
        <v>4640.3951914709196</v>
      </c>
      <c r="CH26" s="100">
        <v>5.3026730193166767E-4</v>
      </c>
      <c r="CI26" s="100">
        <v>0.25770990873879046</v>
      </c>
      <c r="CJ26" s="100">
        <v>7.0006565302922903</v>
      </c>
      <c r="CK26" s="100">
        <v>3402.319073722053</v>
      </c>
      <c r="CL26" s="100">
        <v>9</v>
      </c>
      <c r="CM26" s="100">
        <v>4374</v>
      </c>
      <c r="CN26" s="100">
        <v>4.190779355524417</v>
      </c>
      <c r="CO26" s="100">
        <v>2036.7187667848666</v>
      </c>
      <c r="CP26" s="100">
        <v>5.1681439493387158</v>
      </c>
      <c r="CQ26" s="100">
        <v>2511.7179593786159</v>
      </c>
      <c r="CR26" s="100">
        <v>6.8327614720384293</v>
      </c>
      <c r="CS26" s="100">
        <v>3320.7220754106766</v>
      </c>
      <c r="CT26" s="100">
        <v>5.6180295348818015E-4</v>
      </c>
      <c r="CU26" s="100">
        <v>0.27303623539525557</v>
      </c>
    </row>
    <row r="27" spans="2:99">
      <c r="C27" s="99" t="s">
        <v>193</v>
      </c>
      <c r="D27" s="100">
        <v>5.1403748182860474</v>
      </c>
      <c r="E27" s="100">
        <v>2195.9681223717994</v>
      </c>
      <c r="F27" s="100">
        <v>6.7942619030613328E-4</v>
      </c>
      <c r="G27" s="100">
        <v>0.29025086849878012</v>
      </c>
      <c r="H27" s="100">
        <v>10.000390475761382</v>
      </c>
      <c r="I27" s="100">
        <v>4272.1668112452626</v>
      </c>
      <c r="J27" s="100">
        <v>9</v>
      </c>
      <c r="K27" s="100">
        <v>3844.7999999999997</v>
      </c>
      <c r="L27" s="100">
        <v>4.1315396819425709</v>
      </c>
      <c r="M27" s="100">
        <v>1764.9937521258662</v>
      </c>
      <c r="N27" s="100">
        <v>5.4426534731484431</v>
      </c>
      <c r="O27" s="100">
        <v>2325.1015637290147</v>
      </c>
      <c r="P27" s="100">
        <v>1.6034069083873295</v>
      </c>
      <c r="Q27" s="100">
        <v>684.97543126306709</v>
      </c>
      <c r="R27" s="100">
        <v>7.6315878294049782</v>
      </c>
      <c r="S27" s="100">
        <v>3260.2143207218064</v>
      </c>
      <c r="T27" s="100">
        <v>4.500881044183485</v>
      </c>
      <c r="U27" s="100">
        <v>1922.7763820751848</v>
      </c>
      <c r="V27" s="100">
        <v>5.6298966188104559E-4</v>
      </c>
      <c r="W27" s="100">
        <v>0.24050918355558268</v>
      </c>
      <c r="X27" s="100">
        <v>8.0005773556843991</v>
      </c>
      <c r="Y27" s="100">
        <v>3417.8466463483751</v>
      </c>
      <c r="Z27" s="100">
        <v>7</v>
      </c>
      <c r="AA27" s="100">
        <v>2990.4</v>
      </c>
      <c r="AB27" s="100">
        <v>11</v>
      </c>
      <c r="AC27" s="100">
        <v>4699.2</v>
      </c>
      <c r="AD27" s="100">
        <v>7.7011354969934942</v>
      </c>
      <c r="AE27" s="100">
        <v>3289.9250843156206</v>
      </c>
      <c r="AF27" s="100">
        <v>6.6983537365351911</v>
      </c>
      <c r="AG27" s="100">
        <v>2861.5367162478337</v>
      </c>
      <c r="AH27" s="100">
        <v>4.5327198967523059E-4</v>
      </c>
      <c r="AI27" s="100">
        <v>0.19363779398925851</v>
      </c>
      <c r="AJ27" s="100">
        <v>10</v>
      </c>
      <c r="AK27" s="100">
        <v>4272</v>
      </c>
      <c r="AL27" s="100">
        <v>7</v>
      </c>
      <c r="AM27" s="100">
        <v>2990.4</v>
      </c>
      <c r="AN27" s="100">
        <v>3.0638045699677221</v>
      </c>
      <c r="AO27" s="100">
        <v>1308.8573122902108</v>
      </c>
      <c r="AP27" s="100">
        <v>7.0327174470777645E-4</v>
      </c>
      <c r="AQ27" s="100">
        <v>0.3004376893391621</v>
      </c>
      <c r="AR27" s="100">
        <v>9.2125872030329923</v>
      </c>
      <c r="AS27" s="100">
        <v>3935.6172531356942</v>
      </c>
      <c r="AT27" s="100">
        <v>7</v>
      </c>
      <c r="AU27" s="100">
        <v>2990.4</v>
      </c>
      <c r="AV27" s="100">
        <v>5.7963856355884236</v>
      </c>
      <c r="AW27" s="100">
        <v>2476.2159435233743</v>
      </c>
      <c r="AX27" s="100">
        <v>5.5731115722967709E-4</v>
      </c>
      <c r="AY27" s="100">
        <v>0.23808332636851803</v>
      </c>
      <c r="AZ27" s="100">
        <v>4.8535101311636639</v>
      </c>
      <c r="BA27" s="100">
        <v>2073.4195280331173</v>
      </c>
      <c r="BB27" s="100">
        <v>5.9203833524319665</v>
      </c>
      <c r="BC27" s="100">
        <v>2529.1877681589358</v>
      </c>
      <c r="BD27" s="100">
        <v>12.437991412655624</v>
      </c>
      <c r="BE27" s="100">
        <v>5313.5099314864819</v>
      </c>
      <c r="BF27" s="100">
        <v>5.8148664670844452</v>
      </c>
      <c r="BG27" s="100">
        <v>2484.1109547384749</v>
      </c>
      <c r="BH27" s="100">
        <v>6</v>
      </c>
      <c r="BI27" s="100">
        <v>2563.1999999999998</v>
      </c>
      <c r="BJ27" s="100">
        <v>6</v>
      </c>
      <c r="BK27" s="100">
        <v>2563.1999999999998</v>
      </c>
      <c r="BL27" s="100">
        <v>3.2754651078337575</v>
      </c>
      <c r="BM27" s="100">
        <v>1399.2786940665812</v>
      </c>
      <c r="BN27" s="100">
        <v>4.8212328582415687</v>
      </c>
      <c r="BO27" s="100">
        <v>2059.6306770407982</v>
      </c>
      <c r="BP27" s="100">
        <v>1.7655982042147635</v>
      </c>
      <c r="BQ27" s="100">
        <v>754.26355284054694</v>
      </c>
      <c r="BR27" s="100">
        <v>11.693098514042427</v>
      </c>
      <c r="BS27" s="100">
        <v>4995.2916851989248</v>
      </c>
      <c r="BT27" s="100">
        <v>9</v>
      </c>
      <c r="BU27" s="100">
        <v>3844.7999999999997</v>
      </c>
      <c r="BV27" s="100">
        <v>0.75047123809926741</v>
      </c>
      <c r="BW27" s="100">
        <v>320.60131291600703</v>
      </c>
      <c r="BX27" s="100">
        <v>12</v>
      </c>
      <c r="BY27" s="100">
        <v>5126.3999999999996</v>
      </c>
      <c r="BZ27" s="100">
        <v>12</v>
      </c>
      <c r="CA27" s="100">
        <v>5126.3999999999996</v>
      </c>
      <c r="CB27" s="100">
        <v>8.1345577441042582</v>
      </c>
      <c r="CC27" s="100">
        <v>3475.0830682813389</v>
      </c>
      <c r="CD27" s="100">
        <v>5.0234751890954814E-4</v>
      </c>
      <c r="CE27" s="100">
        <v>0.21460286007815896</v>
      </c>
      <c r="CF27" s="100">
        <v>9.4455241359724411</v>
      </c>
      <c r="CG27" s="100">
        <v>4035.1279108874269</v>
      </c>
      <c r="CH27" s="100">
        <v>6.168037890121581E-4</v>
      </c>
      <c r="CI27" s="100">
        <v>0.26349857866599391</v>
      </c>
      <c r="CJ27" s="100">
        <v>7.0005792914343736</v>
      </c>
      <c r="CK27" s="100">
        <v>2990.6474733007644</v>
      </c>
      <c r="CL27" s="100">
        <v>10</v>
      </c>
      <c r="CM27" s="100">
        <v>4272</v>
      </c>
      <c r="CN27" s="100">
        <v>3.8097994141131064</v>
      </c>
      <c r="CO27" s="100">
        <v>1627.546309709119</v>
      </c>
      <c r="CP27" s="100">
        <v>4.698312681217014</v>
      </c>
      <c r="CQ27" s="100">
        <v>2007.1191774159083</v>
      </c>
      <c r="CR27" s="100">
        <v>7.7821198241038987</v>
      </c>
      <c r="CS27" s="100">
        <v>3324.5215888571856</v>
      </c>
      <c r="CT27" s="100">
        <v>5.6180295348818015E-4</v>
      </c>
      <c r="CU27" s="100">
        <v>0.24000222173015054</v>
      </c>
    </row>
    <row r="28" spans="2:99">
      <c r="C28" s="99" t="s">
        <v>194</v>
      </c>
      <c r="D28" s="100">
        <v>5.9971039546670566</v>
      </c>
      <c r="E28" s="100">
        <v>4425.8627185442874</v>
      </c>
      <c r="F28" s="100">
        <v>5.5589415570501803E-4</v>
      </c>
      <c r="G28" s="100">
        <v>0.41024988691030329</v>
      </c>
      <c r="H28" s="100">
        <v>10.000446258013007</v>
      </c>
      <c r="I28" s="100">
        <v>7380.3293384135986</v>
      </c>
      <c r="J28" s="100">
        <v>10</v>
      </c>
      <c r="K28" s="100">
        <v>7380</v>
      </c>
      <c r="L28" s="100">
        <v>4.1315396819425709</v>
      </c>
      <c r="M28" s="100">
        <v>3049.0762852736175</v>
      </c>
      <c r="N28" s="100">
        <v>6.3477403390518523</v>
      </c>
      <c r="O28" s="100">
        <v>4684.6323702202671</v>
      </c>
      <c r="P28" s="100">
        <v>1.5691174998794539</v>
      </c>
      <c r="Q28" s="100">
        <v>1158.008714911037</v>
      </c>
      <c r="R28" s="100">
        <v>8.4956221769545621</v>
      </c>
      <c r="S28" s="100">
        <v>6269.7691665924667</v>
      </c>
      <c r="T28" s="100">
        <v>4.500881044183485</v>
      </c>
      <c r="U28" s="100">
        <v>3321.6502106074117</v>
      </c>
      <c r="V28" s="100">
        <v>4.1076347169609367E-4</v>
      </c>
      <c r="W28" s="100">
        <v>0.30314344211171712</v>
      </c>
      <c r="X28" s="100">
        <v>7.0005329437086763</v>
      </c>
      <c r="Y28" s="100">
        <v>5166.393312457003</v>
      </c>
      <c r="Z28" s="100">
        <v>6</v>
      </c>
      <c r="AA28" s="100">
        <v>4428</v>
      </c>
      <c r="AB28" s="100">
        <v>9</v>
      </c>
      <c r="AC28" s="100">
        <v>6642</v>
      </c>
      <c r="AD28" s="100">
        <v>8.55681721888166</v>
      </c>
      <c r="AE28" s="100">
        <v>6314.931107534665</v>
      </c>
      <c r="AF28" s="100">
        <v>6.6983537365351911</v>
      </c>
      <c r="AG28" s="100">
        <v>4943.3850575629713</v>
      </c>
      <c r="AH28" s="100">
        <v>5.8277827243958212E-4</v>
      </c>
      <c r="AI28" s="100">
        <v>0.43009036506041159</v>
      </c>
      <c r="AJ28" s="100">
        <v>9</v>
      </c>
      <c r="AK28" s="100">
        <v>6642</v>
      </c>
      <c r="AL28" s="100">
        <v>7</v>
      </c>
      <c r="AM28" s="100">
        <v>5166</v>
      </c>
      <c r="AN28" s="100">
        <v>3.0638045699677221</v>
      </c>
      <c r="AO28" s="100">
        <v>2261.0877726361791</v>
      </c>
      <c r="AP28" s="100">
        <v>7.0678210416284554E-4</v>
      </c>
      <c r="AQ28" s="100">
        <v>0.52160519287217999</v>
      </c>
      <c r="AR28" s="100">
        <v>9.2125872030329923</v>
      </c>
      <c r="AS28" s="100">
        <v>6798.8893558383479</v>
      </c>
      <c r="AT28" s="100">
        <v>8</v>
      </c>
      <c r="AU28" s="100">
        <v>5904</v>
      </c>
      <c r="AV28" s="100">
        <v>5.2694414868985673</v>
      </c>
      <c r="AW28" s="100">
        <v>3888.8478173311428</v>
      </c>
      <c r="AX28" s="100">
        <v>5.5043905076634892E-4</v>
      </c>
      <c r="AY28" s="100">
        <v>0.40622401946556552</v>
      </c>
      <c r="AZ28" s="100">
        <v>4.728119330451257</v>
      </c>
      <c r="BA28" s="100">
        <v>3489.3520658730276</v>
      </c>
      <c r="BB28" s="100">
        <v>5.3722700459972712</v>
      </c>
      <c r="BC28" s="100">
        <v>3964.7352939459861</v>
      </c>
      <c r="BD28" s="100">
        <v>10.69944439677483</v>
      </c>
      <c r="BE28" s="100">
        <v>7896.1899648198241</v>
      </c>
      <c r="BF28" s="100">
        <v>5.8148664670844452</v>
      </c>
      <c r="BG28" s="100">
        <v>4291.3714527083202</v>
      </c>
      <c r="BH28" s="100">
        <v>6</v>
      </c>
      <c r="BI28" s="100">
        <v>4428</v>
      </c>
      <c r="BJ28" s="100">
        <v>7</v>
      </c>
      <c r="BK28" s="100">
        <v>5166</v>
      </c>
      <c r="BL28" s="100">
        <v>2.9511920002203507</v>
      </c>
      <c r="BM28" s="100">
        <v>2177.9796961626189</v>
      </c>
      <c r="BN28" s="100">
        <v>4.2438115997382315</v>
      </c>
      <c r="BO28" s="100">
        <v>3131.932960606815</v>
      </c>
      <c r="BP28" s="100">
        <v>1.7435815081102015</v>
      </c>
      <c r="BQ28" s="100">
        <v>1286.7631529853288</v>
      </c>
      <c r="BR28" s="100">
        <v>11.451227297750652</v>
      </c>
      <c r="BS28" s="100">
        <v>8451.0057457399816</v>
      </c>
      <c r="BT28" s="100">
        <v>8</v>
      </c>
      <c r="BU28" s="100">
        <v>5904</v>
      </c>
      <c r="BV28" s="100">
        <v>0.75047123809926741</v>
      </c>
      <c r="BW28" s="100">
        <v>553.84777371725932</v>
      </c>
      <c r="BX28" s="100">
        <v>12</v>
      </c>
      <c r="BY28" s="100">
        <v>8856</v>
      </c>
      <c r="BZ28" s="100">
        <v>12</v>
      </c>
      <c r="CA28" s="100">
        <v>8856</v>
      </c>
      <c r="CB28" s="100">
        <v>8.1345577441042582</v>
      </c>
      <c r="CC28" s="100">
        <v>6003.3036151489423</v>
      </c>
      <c r="CD28" s="100">
        <v>5.0234751890954814E-4</v>
      </c>
      <c r="CE28" s="100">
        <v>0.37073246895524653</v>
      </c>
      <c r="CF28" s="100">
        <v>8.5100371409565572</v>
      </c>
      <c r="CG28" s="100">
        <v>6280.4074100259395</v>
      </c>
      <c r="CH28" s="100">
        <v>5.31845641852914E-4</v>
      </c>
      <c r="CI28" s="100">
        <v>0.39250208368745054</v>
      </c>
      <c r="CJ28" s="100">
        <v>7.0006565302922903</v>
      </c>
      <c r="CK28" s="100">
        <v>5166.4845193557103</v>
      </c>
      <c r="CL28" s="100">
        <v>9</v>
      </c>
      <c r="CM28" s="100">
        <v>6642</v>
      </c>
      <c r="CN28" s="100">
        <v>4.190779355524417</v>
      </c>
      <c r="CO28" s="100">
        <v>3092.7951643770198</v>
      </c>
      <c r="CP28" s="100">
        <v>4.2284814130953121</v>
      </c>
      <c r="CQ28" s="100">
        <v>3120.6192828643402</v>
      </c>
      <c r="CR28" s="100">
        <v>6.863970306635121</v>
      </c>
      <c r="CS28" s="100">
        <v>5065.6100862967196</v>
      </c>
      <c r="CT28" s="100">
        <v>5.6180295348818015E-4</v>
      </c>
      <c r="CU28" s="100">
        <v>0.41461057967427695</v>
      </c>
    </row>
    <row r="29" spans="2:99">
      <c r="C29" s="99" t="s">
        <v>195</v>
      </c>
      <c r="D29" s="100">
        <v>5.1403748182860474</v>
      </c>
      <c r="E29" s="100">
        <v>1739.5028385079984</v>
      </c>
      <c r="F29" s="100">
        <v>6.7942619030613328E-4</v>
      </c>
      <c r="G29" s="100">
        <v>0.22991782279959549</v>
      </c>
      <c r="H29" s="100">
        <v>11.000390475761382</v>
      </c>
      <c r="I29" s="100">
        <v>3722.5321369976514</v>
      </c>
      <c r="J29" s="100">
        <v>10</v>
      </c>
      <c r="K29" s="100">
        <v>3384</v>
      </c>
      <c r="L29" s="100">
        <v>4.9578476183310851</v>
      </c>
      <c r="M29" s="100">
        <v>1677.7356340432391</v>
      </c>
      <c r="N29" s="100">
        <v>5.7630242369981897</v>
      </c>
      <c r="O29" s="100">
        <v>1950.2074018001872</v>
      </c>
      <c r="P29" s="100">
        <v>1.5805473027154127</v>
      </c>
      <c r="Q29" s="100">
        <v>534.85720723889563</v>
      </c>
      <c r="R29" s="100">
        <v>8.6315878294049782</v>
      </c>
      <c r="S29" s="100">
        <v>2920.9293214706445</v>
      </c>
      <c r="T29" s="100">
        <v>4.500881044183485</v>
      </c>
      <c r="U29" s="100">
        <v>1523.0981453516913</v>
      </c>
      <c r="V29" s="100">
        <v>5.6730366134300468E-4</v>
      </c>
      <c r="W29" s="100">
        <v>0.19197555899847277</v>
      </c>
      <c r="X29" s="100">
        <v>8.0005329437086754</v>
      </c>
      <c r="Y29" s="100">
        <v>2707.3803481510154</v>
      </c>
      <c r="Z29" s="100">
        <v>7</v>
      </c>
      <c r="AA29" s="100">
        <v>2368.7999999999997</v>
      </c>
      <c r="AB29" s="100">
        <v>10</v>
      </c>
      <c r="AC29" s="100">
        <v>3384</v>
      </c>
      <c r="AD29" s="100">
        <v>8.55681721888166</v>
      </c>
      <c r="AE29" s="100">
        <v>2895.6269468695536</v>
      </c>
      <c r="AF29" s="100">
        <v>5.8610595194682933</v>
      </c>
      <c r="AG29" s="100">
        <v>1983.3825413880704</v>
      </c>
      <c r="AH29" s="100">
        <v>5.8277827243958212E-4</v>
      </c>
      <c r="AI29" s="100">
        <v>0.19721216739355457</v>
      </c>
      <c r="AJ29" s="100">
        <v>11</v>
      </c>
      <c r="AK29" s="100">
        <v>3722.3999999999996</v>
      </c>
      <c r="AL29" s="100">
        <v>6</v>
      </c>
      <c r="AM29" s="100">
        <v>2030.3999999999999</v>
      </c>
      <c r="AN29" s="100">
        <v>3.0638045699677221</v>
      </c>
      <c r="AO29" s="100">
        <v>1036.7914664770772</v>
      </c>
      <c r="AP29" s="100">
        <v>6.9976138525270758E-4</v>
      </c>
      <c r="AQ29" s="100">
        <v>0.23679925276951622</v>
      </c>
      <c r="AR29" s="100">
        <v>9.1842422426285939</v>
      </c>
      <c r="AS29" s="100">
        <v>3107.9475749055159</v>
      </c>
      <c r="AT29" s="100">
        <v>8</v>
      </c>
      <c r="AU29" s="100">
        <v>2707.2</v>
      </c>
      <c r="AV29" s="100">
        <v>5.7963856355884236</v>
      </c>
      <c r="AW29" s="100">
        <v>1961.4968990831223</v>
      </c>
      <c r="AX29" s="100">
        <v>4.7818614237281809E-4</v>
      </c>
      <c r="AY29" s="100">
        <v>0.16181819057896163</v>
      </c>
      <c r="AZ29" s="100">
        <v>5.4214779206174954</v>
      </c>
      <c r="BA29" s="100">
        <v>1834.6281283369603</v>
      </c>
      <c r="BB29" s="100">
        <v>5.3769457792855464</v>
      </c>
      <c r="BC29" s="100">
        <v>1819.5584517102288</v>
      </c>
      <c r="BD29" s="100">
        <v>11.437991412655624</v>
      </c>
      <c r="BE29" s="100">
        <v>3870.616294042663</v>
      </c>
      <c r="BF29" s="100">
        <v>7.2685830838555567</v>
      </c>
      <c r="BG29" s="100">
        <v>2459.6885155767204</v>
      </c>
      <c r="BH29" s="100">
        <v>6</v>
      </c>
      <c r="BI29" s="100">
        <v>2030.3999999999999</v>
      </c>
      <c r="BJ29" s="100">
        <v>6</v>
      </c>
      <c r="BK29" s="100">
        <v>2030.3999999999999</v>
      </c>
      <c r="BL29" s="100">
        <v>2.9402806563204553</v>
      </c>
      <c r="BM29" s="100">
        <v>994.990974098842</v>
      </c>
      <c r="BN29" s="100">
        <v>4.846465707018428</v>
      </c>
      <c r="BO29" s="100">
        <v>1640.043995255036</v>
      </c>
      <c r="BP29" s="100">
        <v>1.7655982042147635</v>
      </c>
      <c r="BQ29" s="100">
        <v>597.47843230627598</v>
      </c>
      <c r="BR29" s="100">
        <v>11.693098514042427</v>
      </c>
      <c r="BS29" s="100">
        <v>3956.9445371519573</v>
      </c>
      <c r="BT29" s="100">
        <v>9</v>
      </c>
      <c r="BU29" s="100">
        <v>3045.6</v>
      </c>
      <c r="BV29" s="100">
        <v>0.96489159184191531</v>
      </c>
      <c r="BW29" s="100">
        <v>326.5193146793041</v>
      </c>
      <c r="BX29" s="100">
        <v>12</v>
      </c>
      <c r="BY29" s="100">
        <v>4060.7999999999997</v>
      </c>
      <c r="BZ29" s="100">
        <v>12</v>
      </c>
      <c r="CA29" s="100">
        <v>4060.7999999999997</v>
      </c>
      <c r="CB29" s="100">
        <v>8.1345577441042582</v>
      </c>
      <c r="CC29" s="100">
        <v>2752.7343406048808</v>
      </c>
      <c r="CD29" s="100">
        <v>4.9986929152359021E-4</v>
      </c>
      <c r="CE29" s="100">
        <v>0.16915576825158291</v>
      </c>
      <c r="CF29" s="100">
        <v>9.5481382540553899</v>
      </c>
      <c r="CG29" s="100">
        <v>3231.0899851723439</v>
      </c>
      <c r="CH29" s="100">
        <v>6.1601461905153498E-4</v>
      </c>
      <c r="CI29" s="100">
        <v>0.20845934708703942</v>
      </c>
      <c r="CJ29" s="100">
        <v>8.0006565302922912</v>
      </c>
      <c r="CK29" s="100">
        <v>2707.4221698509114</v>
      </c>
      <c r="CL29" s="100">
        <v>9</v>
      </c>
      <c r="CM29" s="100">
        <v>3045.6</v>
      </c>
      <c r="CN29" s="100">
        <v>4.190779355524417</v>
      </c>
      <c r="CO29" s="100">
        <v>1418.1597339094626</v>
      </c>
      <c r="CP29" s="100">
        <v>5.1681439493387158</v>
      </c>
      <c r="CQ29" s="100">
        <v>1748.8999124562213</v>
      </c>
      <c r="CR29" s="100">
        <v>7.7821198241038987</v>
      </c>
      <c r="CS29" s="100">
        <v>2633.469348476759</v>
      </c>
      <c r="CT29" s="100">
        <v>6.2227259460214508E-4</v>
      </c>
      <c r="CU29" s="100">
        <v>0.21057704601336588</v>
      </c>
    </row>
    <row r="30" spans="2:99">
      <c r="C30" s="99" t="s">
        <v>196</v>
      </c>
      <c r="D30" s="100">
        <v>5.1403748182860474</v>
      </c>
      <c r="E30" s="100">
        <v>715.54017470541771</v>
      </c>
      <c r="F30" s="100">
        <v>6.7942619030613328E-4</v>
      </c>
      <c r="G30" s="100">
        <v>9.4576125690613744E-2</v>
      </c>
      <c r="H30" s="100">
        <v>10.000502040264633</v>
      </c>
      <c r="I30" s="100">
        <v>1392.0698840048369</v>
      </c>
      <c r="J30" s="100">
        <v>11</v>
      </c>
      <c r="K30" s="100">
        <v>1531.1999999999998</v>
      </c>
      <c r="L30" s="100">
        <v>4.1315396819425709</v>
      </c>
      <c r="M30" s="100">
        <v>575.1103237264058</v>
      </c>
      <c r="N30" s="100">
        <v>5.7630242369981897</v>
      </c>
      <c r="O30" s="100">
        <v>802.21297379014788</v>
      </c>
      <c r="P30" s="100">
        <v>1.8806550392881529</v>
      </c>
      <c r="Q30" s="100">
        <v>261.78718146891089</v>
      </c>
      <c r="R30" s="100">
        <v>7.495622176954563</v>
      </c>
      <c r="S30" s="100">
        <v>1043.3906070320752</v>
      </c>
      <c r="T30" s="100">
        <v>4.500881044183485</v>
      </c>
      <c r="U30" s="100">
        <v>626.52264135034102</v>
      </c>
      <c r="V30" s="100">
        <v>4.8975256642987564E-4</v>
      </c>
      <c r="W30" s="100">
        <v>6.8173557247038677E-2</v>
      </c>
      <c r="X30" s="100">
        <v>7.0005329437086763</v>
      </c>
      <c r="Y30" s="100">
        <v>974.47418576424764</v>
      </c>
      <c r="Z30" s="100">
        <v>8</v>
      </c>
      <c r="AA30" s="100">
        <v>1113.5999999999999</v>
      </c>
      <c r="AB30" s="100">
        <v>10</v>
      </c>
      <c r="AC30" s="100">
        <v>1392</v>
      </c>
      <c r="AD30" s="100">
        <v>9.4124989407698259</v>
      </c>
      <c r="AE30" s="100">
        <v>1310.2198525551596</v>
      </c>
      <c r="AF30" s="100">
        <v>6.6983537365351911</v>
      </c>
      <c r="AG30" s="100">
        <v>932.41084012569854</v>
      </c>
      <c r="AH30" s="100">
        <v>5.1802513105740633E-4</v>
      </c>
      <c r="AI30" s="100">
        <v>7.210909824319095E-2</v>
      </c>
      <c r="AJ30" s="100">
        <v>11</v>
      </c>
      <c r="AK30" s="100">
        <v>1531.1999999999998</v>
      </c>
      <c r="AL30" s="100">
        <v>7</v>
      </c>
      <c r="AM30" s="100">
        <v>974.39999999999986</v>
      </c>
      <c r="AN30" s="100">
        <v>3.0638045699677221</v>
      </c>
      <c r="AO30" s="100">
        <v>426.48159613950691</v>
      </c>
      <c r="AP30" s="100">
        <v>7.0327174470777645E-4</v>
      </c>
      <c r="AQ30" s="100">
        <v>9.7895426863322477E-2</v>
      </c>
      <c r="AR30" s="100">
        <v>10.198414722830792</v>
      </c>
      <c r="AS30" s="100">
        <v>1419.6193294180462</v>
      </c>
      <c r="AT30" s="100">
        <v>8</v>
      </c>
      <c r="AU30" s="100">
        <v>1113.5999999999999</v>
      </c>
      <c r="AV30" s="100">
        <v>5.7963856355884236</v>
      </c>
      <c r="AW30" s="100">
        <v>806.85688047390852</v>
      </c>
      <c r="AX30" s="100">
        <v>5.5731115722967709E-4</v>
      </c>
      <c r="AY30" s="100">
        <v>7.7577713086371042E-2</v>
      </c>
      <c r="AZ30" s="100">
        <v>5.4731113560223887</v>
      </c>
      <c r="BA30" s="100">
        <v>761.85710075831651</v>
      </c>
      <c r="BB30" s="100">
        <v>6.0190452988209389</v>
      </c>
      <c r="BC30" s="100">
        <v>837.85110559587463</v>
      </c>
      <c r="BD30" s="100">
        <v>12.437991412655624</v>
      </c>
      <c r="BE30" s="100">
        <v>1731.3684046416627</v>
      </c>
      <c r="BF30" s="100">
        <v>7.2685830838555567</v>
      </c>
      <c r="BG30" s="100">
        <v>1011.7867652726934</v>
      </c>
      <c r="BH30" s="100">
        <v>7</v>
      </c>
      <c r="BI30" s="100">
        <v>974.39999999999986</v>
      </c>
      <c r="BJ30" s="100">
        <v>7</v>
      </c>
      <c r="BK30" s="100">
        <v>974.39999999999986</v>
      </c>
      <c r="BL30" s="100">
        <v>3.2754651078337575</v>
      </c>
      <c r="BM30" s="100">
        <v>455.94474301045904</v>
      </c>
      <c r="BN30" s="100">
        <v>4.7960000094647111</v>
      </c>
      <c r="BO30" s="100">
        <v>667.60320131748767</v>
      </c>
      <c r="BP30" s="100">
        <v>2.0360131508039485</v>
      </c>
      <c r="BQ30" s="100">
        <v>283.4130305919096</v>
      </c>
      <c r="BR30" s="100">
        <v>12.693098514042427</v>
      </c>
      <c r="BS30" s="100">
        <v>1766.8793131547056</v>
      </c>
      <c r="BT30" s="100">
        <v>10</v>
      </c>
      <c r="BU30" s="100">
        <v>1392</v>
      </c>
      <c r="BV30" s="100">
        <v>0.96489159184191531</v>
      </c>
      <c r="BW30" s="100">
        <v>134.31290958439459</v>
      </c>
      <c r="BX30" s="100">
        <v>13</v>
      </c>
      <c r="BY30" s="100">
        <v>1809.6</v>
      </c>
      <c r="BZ30" s="100">
        <v>10</v>
      </c>
      <c r="CA30" s="100">
        <v>1392</v>
      </c>
      <c r="CB30" s="100">
        <v>8.1345577441042582</v>
      </c>
      <c r="CC30" s="100">
        <v>1132.3304379793126</v>
      </c>
      <c r="CD30" s="100">
        <v>5.0234751890954814E-4</v>
      </c>
      <c r="CE30" s="100">
        <v>6.9926774632209102E-2</v>
      </c>
      <c r="CF30" s="100">
        <v>10.483625249071274</v>
      </c>
      <c r="CG30" s="100">
        <v>1459.3206346707211</v>
      </c>
      <c r="CH30" s="100">
        <v>6.1601461905153498E-4</v>
      </c>
      <c r="CI30" s="100">
        <v>8.5749234971973662E-2</v>
      </c>
      <c r="CJ30" s="100">
        <v>7.0006951497212482</v>
      </c>
      <c r="CK30" s="100">
        <v>974.49676484119766</v>
      </c>
      <c r="CL30" s="100">
        <v>10</v>
      </c>
      <c r="CM30" s="100">
        <v>1392</v>
      </c>
      <c r="CN30" s="100">
        <v>3.8097994141131064</v>
      </c>
      <c r="CO30" s="100">
        <v>530.3240784445444</v>
      </c>
      <c r="CP30" s="100">
        <v>4.698312681217014</v>
      </c>
      <c r="CQ30" s="100">
        <v>654.00512522540828</v>
      </c>
      <c r="CR30" s="100">
        <v>6.863970306635121</v>
      </c>
      <c r="CS30" s="100">
        <v>955.46466668360881</v>
      </c>
      <c r="CT30" s="100">
        <v>5.6272801577567989E-4</v>
      </c>
      <c r="CU30" s="100">
        <v>7.8331739795974631E-2</v>
      </c>
    </row>
    <row r="31" spans="2:99">
      <c r="C31" s="99" t="s">
        <v>197</v>
      </c>
      <c r="D31" s="100">
        <v>5.9971039546670566</v>
      </c>
      <c r="E31" s="100">
        <v>2043.8130277505329</v>
      </c>
      <c r="F31" s="100">
        <v>5.5589415570501803E-4</v>
      </c>
      <c r="G31" s="100">
        <v>0.18944872826427014</v>
      </c>
      <c r="H31" s="100">
        <v>9.0003904757613817</v>
      </c>
      <c r="I31" s="100">
        <v>3067.3330741394789</v>
      </c>
      <c r="J31" s="100">
        <v>10</v>
      </c>
      <c r="K31" s="100">
        <v>3408</v>
      </c>
      <c r="L31" s="100">
        <v>4.1315396819425709</v>
      </c>
      <c r="M31" s="100">
        <v>1408.0287236060283</v>
      </c>
      <c r="N31" s="100">
        <v>6.3477403390518523</v>
      </c>
      <c r="O31" s="100">
        <v>2163.3099075488713</v>
      </c>
      <c r="P31" s="100">
        <v>1.591977105551371</v>
      </c>
      <c r="Q31" s="100">
        <v>542.5457975719072</v>
      </c>
      <c r="R31" s="100">
        <v>7.3596565245041479</v>
      </c>
      <c r="S31" s="100">
        <v>2508.1709435510138</v>
      </c>
      <c r="T31" s="100">
        <v>5.0009789379816505</v>
      </c>
      <c r="U31" s="100">
        <v>1704.3336220641465</v>
      </c>
      <c r="V31" s="100">
        <v>4.8975256642987564E-4</v>
      </c>
      <c r="W31" s="100">
        <v>0.16690767463930162</v>
      </c>
      <c r="X31" s="100">
        <v>7.0005773556843991</v>
      </c>
      <c r="Y31" s="100">
        <v>2385.7967628172432</v>
      </c>
      <c r="Z31" s="100">
        <v>8</v>
      </c>
      <c r="AA31" s="100">
        <v>2726.4</v>
      </c>
      <c r="AB31" s="100">
        <v>9</v>
      </c>
      <c r="AC31" s="100">
        <v>3067.2000000000003</v>
      </c>
      <c r="AD31" s="100">
        <v>8.55681721888166</v>
      </c>
      <c r="AE31" s="100">
        <v>2916.1633081948698</v>
      </c>
      <c r="AF31" s="100">
        <v>6.6983537365351911</v>
      </c>
      <c r="AG31" s="100">
        <v>2282.798953411193</v>
      </c>
      <c r="AH31" s="100">
        <v>5.1802513105740633E-4</v>
      </c>
      <c r="AI31" s="100">
        <v>0.17654296466436409</v>
      </c>
      <c r="AJ31" s="100">
        <v>10</v>
      </c>
      <c r="AK31" s="100">
        <v>3408</v>
      </c>
      <c r="AL31" s="100">
        <v>7</v>
      </c>
      <c r="AM31" s="100">
        <v>2385.6</v>
      </c>
      <c r="AN31" s="100">
        <v>3.5744386649623423</v>
      </c>
      <c r="AO31" s="100">
        <v>1218.1686970191663</v>
      </c>
      <c r="AP31" s="100">
        <v>7.0678210416284554E-4</v>
      </c>
      <c r="AQ31" s="100">
        <v>0.24087134109869776</v>
      </c>
      <c r="AR31" s="100">
        <v>9.2125872030329923</v>
      </c>
      <c r="AS31" s="100">
        <v>3139.6497187936438</v>
      </c>
      <c r="AT31" s="100">
        <v>9</v>
      </c>
      <c r="AU31" s="100">
        <v>3067.2000000000003</v>
      </c>
      <c r="AV31" s="100">
        <v>5.2694414868985673</v>
      </c>
      <c r="AW31" s="100">
        <v>1795.8256587350318</v>
      </c>
      <c r="AX31" s="100">
        <v>5.5043905076634892E-4</v>
      </c>
      <c r="AY31" s="100">
        <v>0.18758962850117172</v>
      </c>
      <c r="AZ31" s="100">
        <v>5.4214779206174954</v>
      </c>
      <c r="BA31" s="100">
        <v>1847.6396753464426</v>
      </c>
      <c r="BB31" s="100">
        <v>6.1177072452099104</v>
      </c>
      <c r="BC31" s="100">
        <v>2084.9146291675374</v>
      </c>
      <c r="BD31" s="100">
        <v>12.568717904715227</v>
      </c>
      <c r="BE31" s="100">
        <v>4283.4190619269493</v>
      </c>
      <c r="BF31" s="100">
        <v>6.5417247754700014</v>
      </c>
      <c r="BG31" s="100">
        <v>2229.4198034801766</v>
      </c>
      <c r="BH31" s="100">
        <v>6</v>
      </c>
      <c r="BI31" s="100">
        <v>2044.8000000000002</v>
      </c>
      <c r="BJ31" s="100">
        <v>7</v>
      </c>
      <c r="BK31" s="100">
        <v>2385.6</v>
      </c>
      <c r="BL31" s="100">
        <v>2.9511920002203507</v>
      </c>
      <c r="BM31" s="100">
        <v>1005.7662336750956</v>
      </c>
      <c r="BN31" s="100">
        <v>4.7960000094647111</v>
      </c>
      <c r="BO31" s="100">
        <v>1634.4768032255736</v>
      </c>
      <c r="BP31" s="100">
        <v>1.7766065522670449</v>
      </c>
      <c r="BQ31" s="100">
        <v>605.46751301260895</v>
      </c>
      <c r="BR31" s="100">
        <v>11.572162905896539</v>
      </c>
      <c r="BS31" s="100">
        <v>3943.7931183295404</v>
      </c>
      <c r="BT31" s="100">
        <v>9</v>
      </c>
      <c r="BU31" s="100">
        <v>3067.2000000000003</v>
      </c>
      <c r="BV31" s="100">
        <v>0.85768141497059136</v>
      </c>
      <c r="BW31" s="100">
        <v>292.29782622197757</v>
      </c>
      <c r="BX31" s="100">
        <v>11</v>
      </c>
      <c r="BY31" s="100">
        <v>3748.8</v>
      </c>
      <c r="BZ31" s="100">
        <v>11</v>
      </c>
      <c r="CA31" s="100">
        <v>3748.8</v>
      </c>
      <c r="CB31" s="100">
        <v>8.1345577441042582</v>
      </c>
      <c r="CC31" s="100">
        <v>2772.2572791907314</v>
      </c>
      <c r="CD31" s="100">
        <v>5.0234751890954814E-4</v>
      </c>
      <c r="CE31" s="100">
        <v>0.17120003444437401</v>
      </c>
      <c r="CF31" s="100">
        <v>9.4455241359724411</v>
      </c>
      <c r="CG31" s="100">
        <v>3219.0346255394079</v>
      </c>
      <c r="CH31" s="100">
        <v>5.3263481181353733E-4</v>
      </c>
      <c r="CI31" s="100">
        <v>0.18152194386605353</v>
      </c>
      <c r="CJ31" s="100">
        <v>7.0005792914343736</v>
      </c>
      <c r="CK31" s="100">
        <v>2385.7974225208345</v>
      </c>
      <c r="CL31" s="100">
        <v>9</v>
      </c>
      <c r="CM31" s="100">
        <v>3067.2000000000003</v>
      </c>
      <c r="CN31" s="100">
        <v>3.8097994141131064</v>
      </c>
      <c r="CO31" s="100">
        <v>1298.3796403297467</v>
      </c>
      <c r="CP31" s="100">
        <v>5.1681439493387158</v>
      </c>
      <c r="CQ31" s="100">
        <v>1761.3034579346345</v>
      </c>
      <c r="CR31" s="100">
        <v>6.863970306635121</v>
      </c>
      <c r="CS31" s="100">
        <v>2339.2410805012491</v>
      </c>
      <c r="CT31" s="100">
        <v>6.2134753231464523E-4</v>
      </c>
      <c r="CU31" s="100">
        <v>0.21175523901283111</v>
      </c>
    </row>
    <row r="32" spans="2:99">
      <c r="C32" s="99" t="s">
        <v>198</v>
      </c>
      <c r="D32" s="100">
        <v>4.2836456819050399</v>
      </c>
      <c r="E32" s="100">
        <v>3598.2623728002336</v>
      </c>
      <c r="F32" s="100">
        <v>6.7942619030613328E-4</v>
      </c>
      <c r="G32" s="100">
        <v>0.57071799985715199</v>
      </c>
      <c r="H32" s="100">
        <v>10.000446258013007</v>
      </c>
      <c r="I32" s="100">
        <v>8400.3748567309249</v>
      </c>
      <c r="J32" s="100">
        <v>9</v>
      </c>
      <c r="K32" s="100">
        <v>7560</v>
      </c>
      <c r="L32" s="100">
        <v>4.1315396819425709</v>
      </c>
      <c r="M32" s="100">
        <v>3470.4933328317597</v>
      </c>
      <c r="N32" s="100">
        <v>6.0473927479427143</v>
      </c>
      <c r="O32" s="100">
        <v>5079.80990827188</v>
      </c>
      <c r="P32" s="100">
        <v>1.8806550392881529</v>
      </c>
      <c r="Q32" s="100">
        <v>1579.7502330020484</v>
      </c>
      <c r="R32" s="100">
        <v>7.3596565245041479</v>
      </c>
      <c r="S32" s="100">
        <v>6182.1114805834841</v>
      </c>
      <c r="T32" s="100">
        <v>4.0007831503853204</v>
      </c>
      <c r="U32" s="100">
        <v>3360.6578463236692</v>
      </c>
      <c r="V32" s="100">
        <v>4.8543856696791655E-4</v>
      </c>
      <c r="W32" s="100">
        <v>0.40776839625304989</v>
      </c>
      <c r="X32" s="100">
        <v>7.0004885317329526</v>
      </c>
      <c r="Y32" s="100">
        <v>5880.4103666556803</v>
      </c>
      <c r="Z32" s="100">
        <v>7</v>
      </c>
      <c r="AA32" s="100">
        <v>5880</v>
      </c>
      <c r="AB32" s="100">
        <v>9</v>
      </c>
      <c r="AC32" s="100">
        <v>7560</v>
      </c>
      <c r="AD32" s="100">
        <v>7.7011354969934942</v>
      </c>
      <c r="AE32" s="100">
        <v>6468.9538174745348</v>
      </c>
      <c r="AF32" s="100">
        <v>5.8610595194682933</v>
      </c>
      <c r="AG32" s="100">
        <v>4923.2899963533664</v>
      </c>
      <c r="AH32" s="100">
        <v>5.1802513105740633E-4</v>
      </c>
      <c r="AI32" s="100">
        <v>0.43514111008822132</v>
      </c>
      <c r="AJ32" s="100">
        <v>10</v>
      </c>
      <c r="AK32" s="100">
        <v>8400</v>
      </c>
      <c r="AL32" s="100">
        <v>6</v>
      </c>
      <c r="AM32" s="100">
        <v>5040</v>
      </c>
      <c r="AN32" s="100">
        <v>3.0638045699677221</v>
      </c>
      <c r="AO32" s="100">
        <v>2573.5958387728865</v>
      </c>
      <c r="AP32" s="100">
        <v>6.3644159798435676E-4</v>
      </c>
      <c r="AQ32" s="100">
        <v>0.53461094230685968</v>
      </c>
      <c r="AR32" s="100">
        <v>8.2125872030329923</v>
      </c>
      <c r="AS32" s="100">
        <v>6898.5732505477135</v>
      </c>
      <c r="AT32" s="100">
        <v>8</v>
      </c>
      <c r="AU32" s="100">
        <v>6720</v>
      </c>
      <c r="AV32" s="100">
        <v>4.742497338208711</v>
      </c>
      <c r="AW32" s="100">
        <v>3983.6977640953173</v>
      </c>
      <c r="AX32" s="100">
        <v>4.8162219560448217E-4</v>
      </c>
      <c r="AY32" s="100">
        <v>0.40456264430776501</v>
      </c>
      <c r="AZ32" s="100">
        <v>5.3698444852126013</v>
      </c>
      <c r="BA32" s="100">
        <v>4510.6693675785855</v>
      </c>
      <c r="BB32" s="100">
        <v>5.1796218865076034</v>
      </c>
      <c r="BC32" s="100">
        <v>4350.8823846663872</v>
      </c>
      <c r="BD32" s="100">
        <v>12.568717904715227</v>
      </c>
      <c r="BE32" s="100">
        <v>10557.723039960791</v>
      </c>
      <c r="BF32" s="100">
        <v>6.5417247754700014</v>
      </c>
      <c r="BG32" s="100">
        <v>5495.0488113948013</v>
      </c>
      <c r="BH32" s="100">
        <v>7</v>
      </c>
      <c r="BI32" s="100">
        <v>5880</v>
      </c>
      <c r="BJ32" s="100">
        <v>7</v>
      </c>
      <c r="BK32" s="100">
        <v>5880</v>
      </c>
      <c r="BL32" s="100">
        <v>2.9293693124205604</v>
      </c>
      <c r="BM32" s="100">
        <v>2460.6702224332707</v>
      </c>
      <c r="BN32" s="100">
        <v>4.8212328582415687</v>
      </c>
      <c r="BO32" s="100">
        <v>4049.8356009229178</v>
      </c>
      <c r="BP32" s="100">
        <v>1.7435815081102015</v>
      </c>
      <c r="BQ32" s="100">
        <v>1464.6084668125693</v>
      </c>
      <c r="BR32" s="100">
        <v>11.451227297750652</v>
      </c>
      <c r="BS32" s="100">
        <v>9619.0309301105481</v>
      </c>
      <c r="BT32" s="100">
        <v>8</v>
      </c>
      <c r="BU32" s="100">
        <v>6720</v>
      </c>
      <c r="BV32" s="100">
        <v>0.75047123809926741</v>
      </c>
      <c r="BW32" s="100">
        <v>630.39584000338459</v>
      </c>
      <c r="BX32" s="100">
        <v>10</v>
      </c>
      <c r="BY32" s="100">
        <v>8400</v>
      </c>
      <c r="BZ32" s="100">
        <v>12</v>
      </c>
      <c r="CA32" s="100">
        <v>10080</v>
      </c>
      <c r="CB32" s="100">
        <v>7.230717994759341</v>
      </c>
      <c r="CC32" s="100">
        <v>6073.803115597846</v>
      </c>
      <c r="CD32" s="100">
        <v>4.3518600992496298E-4</v>
      </c>
      <c r="CE32" s="100">
        <v>0.36555624833696893</v>
      </c>
      <c r="CF32" s="100">
        <v>9.3429100178894924</v>
      </c>
      <c r="CG32" s="100">
        <v>7848.0444150271733</v>
      </c>
      <c r="CH32" s="100">
        <v>5.3026730193166767E-4</v>
      </c>
      <c r="CI32" s="100">
        <v>0.44542453362260082</v>
      </c>
      <c r="CJ32" s="100">
        <v>6.0006565302922903</v>
      </c>
      <c r="CK32" s="100">
        <v>5040.5514854455241</v>
      </c>
      <c r="CL32" s="100">
        <v>10</v>
      </c>
      <c r="CM32" s="100">
        <v>8400</v>
      </c>
      <c r="CN32" s="100">
        <v>3.8097994141131064</v>
      </c>
      <c r="CO32" s="100">
        <v>3200.2315078550096</v>
      </c>
      <c r="CP32" s="100">
        <v>4.2284814130953121</v>
      </c>
      <c r="CQ32" s="100">
        <v>3551.9243870000623</v>
      </c>
      <c r="CR32" s="100">
        <v>6.863970306635121</v>
      </c>
      <c r="CS32" s="100">
        <v>5765.7350575735018</v>
      </c>
      <c r="CT32" s="100">
        <v>5.0225837466171507E-4</v>
      </c>
      <c r="CU32" s="100">
        <v>0.42189703471584067</v>
      </c>
    </row>
    <row r="33" spans="2:99">
      <c r="C33" s="99" t="s">
        <v>199</v>
      </c>
      <c r="D33" s="100">
        <v>5.1403748182860474</v>
      </c>
      <c r="E33" s="100">
        <v>2436.5376638675866</v>
      </c>
      <c r="F33" s="100">
        <v>6.176601730055756E-4</v>
      </c>
      <c r="G33" s="100">
        <v>0.29277092200464283</v>
      </c>
      <c r="H33" s="100">
        <v>9.0004462580130067</v>
      </c>
      <c r="I33" s="100">
        <v>4266.2115262981652</v>
      </c>
      <c r="J33" s="100">
        <v>11</v>
      </c>
      <c r="K33" s="100">
        <v>5214</v>
      </c>
      <c r="L33" s="100">
        <v>4.1315396819425709</v>
      </c>
      <c r="M33" s="100">
        <v>1958.3498092407785</v>
      </c>
      <c r="N33" s="100">
        <v>6.3677635117924609</v>
      </c>
      <c r="O33" s="100">
        <v>3018.3199045896263</v>
      </c>
      <c r="P33" s="100">
        <v>1.8577954336162363</v>
      </c>
      <c r="Q33" s="100">
        <v>880.59503553409604</v>
      </c>
      <c r="R33" s="100">
        <v>8.4956221769545621</v>
      </c>
      <c r="S33" s="100">
        <v>4026.9249118764624</v>
      </c>
      <c r="T33" s="100">
        <v>4.500881044183485</v>
      </c>
      <c r="U33" s="100">
        <v>2133.4176149429718</v>
      </c>
      <c r="V33" s="100">
        <v>4.8543856696791655E-4</v>
      </c>
      <c r="W33" s="100">
        <v>0.23009788074279244</v>
      </c>
      <c r="X33" s="100">
        <v>8.0005773556843991</v>
      </c>
      <c r="Y33" s="100">
        <v>3792.2736665944053</v>
      </c>
      <c r="Z33" s="100">
        <v>7</v>
      </c>
      <c r="AA33" s="100">
        <v>3318</v>
      </c>
      <c r="AB33" s="100">
        <v>9</v>
      </c>
      <c r="AC33" s="100">
        <v>4266</v>
      </c>
      <c r="AD33" s="100">
        <v>7.7011354969934942</v>
      </c>
      <c r="AE33" s="100">
        <v>3650.3382255749161</v>
      </c>
      <c r="AF33" s="100">
        <v>6.6983537365351911</v>
      </c>
      <c r="AG33" s="100">
        <v>3175.0196711176804</v>
      </c>
      <c r="AH33" s="100">
        <v>5.8277827243958212E-4</v>
      </c>
      <c r="AI33" s="100">
        <v>0.2762369011363619</v>
      </c>
      <c r="AJ33" s="100">
        <v>10</v>
      </c>
      <c r="AK33" s="100">
        <v>4740</v>
      </c>
      <c r="AL33" s="100">
        <v>7</v>
      </c>
      <c r="AM33" s="100">
        <v>3318</v>
      </c>
      <c r="AN33" s="100">
        <v>3.0638045699677221</v>
      </c>
      <c r="AO33" s="100">
        <v>1452.2433661647003</v>
      </c>
      <c r="AP33" s="100">
        <v>7.7361225088626523E-4</v>
      </c>
      <c r="AQ33" s="100">
        <v>0.36669220692008975</v>
      </c>
      <c r="AR33" s="100">
        <v>9.1984147228307922</v>
      </c>
      <c r="AS33" s="100">
        <v>4360.0485786217951</v>
      </c>
      <c r="AT33" s="100">
        <v>8</v>
      </c>
      <c r="AU33" s="100">
        <v>3792</v>
      </c>
      <c r="AV33" s="100">
        <v>5.2694414868985673</v>
      </c>
      <c r="AW33" s="100">
        <v>2497.7152647899211</v>
      </c>
      <c r="AX33" s="100">
        <v>4.7818614237281809E-4</v>
      </c>
      <c r="AY33" s="100">
        <v>0.22666023148471579</v>
      </c>
      <c r="AZ33" s="100">
        <v>4.8535101311636639</v>
      </c>
      <c r="BA33" s="100">
        <v>2300.5638021715768</v>
      </c>
      <c r="BB33" s="100">
        <v>5.379283645929684</v>
      </c>
      <c r="BC33" s="100">
        <v>2549.7804481706703</v>
      </c>
      <c r="BD33" s="100">
        <v>12.437991412655624</v>
      </c>
      <c r="BE33" s="100">
        <v>5895.6079295987656</v>
      </c>
      <c r="BF33" s="100">
        <v>6.5417247754700014</v>
      </c>
      <c r="BG33" s="100">
        <v>3100.7775435727808</v>
      </c>
      <c r="BH33" s="100">
        <v>7</v>
      </c>
      <c r="BI33" s="100">
        <v>3318</v>
      </c>
      <c r="BJ33" s="100">
        <v>6</v>
      </c>
      <c r="BK33" s="100">
        <v>2844</v>
      </c>
      <c r="BL33" s="100">
        <v>2.9293693124205604</v>
      </c>
      <c r="BM33" s="100">
        <v>1388.5210540873456</v>
      </c>
      <c r="BN33" s="100">
        <v>4.7707671606878517</v>
      </c>
      <c r="BO33" s="100">
        <v>2261.3436341660417</v>
      </c>
      <c r="BP33" s="100">
        <v>2.0360131508039485</v>
      </c>
      <c r="BQ33" s="100">
        <v>965.07023348107157</v>
      </c>
      <c r="BR33" s="100">
        <v>12.451227297750652</v>
      </c>
      <c r="BS33" s="100">
        <v>5901.8817391338089</v>
      </c>
      <c r="BT33" s="100">
        <v>8</v>
      </c>
      <c r="BU33" s="100">
        <v>3792</v>
      </c>
      <c r="BV33" s="100">
        <v>0.96489159184191531</v>
      </c>
      <c r="BW33" s="100">
        <v>457.35861453306785</v>
      </c>
      <c r="BX33" s="100">
        <v>12</v>
      </c>
      <c r="BY33" s="100">
        <v>5688</v>
      </c>
      <c r="BZ33" s="100">
        <v>10</v>
      </c>
      <c r="CA33" s="100">
        <v>4740</v>
      </c>
      <c r="CB33" s="100">
        <v>8.1345577441042582</v>
      </c>
      <c r="CC33" s="100">
        <v>3855.7803707054186</v>
      </c>
      <c r="CD33" s="100">
        <v>4.9986929152359021E-4</v>
      </c>
      <c r="CE33" s="100">
        <v>0.23693804418218176</v>
      </c>
      <c r="CF33" s="100">
        <v>10.483625249071274</v>
      </c>
      <c r="CG33" s="100">
        <v>4969.2383680597841</v>
      </c>
      <c r="CH33" s="100">
        <v>5.3105647189229089E-4</v>
      </c>
      <c r="CI33" s="100">
        <v>0.2517207676769459</v>
      </c>
      <c r="CJ33" s="100">
        <v>7.0005792914343736</v>
      </c>
      <c r="CK33" s="100">
        <v>3318.2745841398932</v>
      </c>
      <c r="CL33" s="100">
        <v>9</v>
      </c>
      <c r="CM33" s="100">
        <v>4266</v>
      </c>
      <c r="CN33" s="100">
        <v>4.190779355524417</v>
      </c>
      <c r="CO33" s="100">
        <v>1986.4294145185736</v>
      </c>
      <c r="CP33" s="100">
        <v>5.1681439493387158</v>
      </c>
      <c r="CQ33" s="100">
        <v>2449.7002319865514</v>
      </c>
      <c r="CR33" s="100">
        <v>7.7509109895072079</v>
      </c>
      <c r="CS33" s="100">
        <v>3673.9318090264164</v>
      </c>
      <c r="CT33" s="100">
        <v>5.6272801577567989E-4</v>
      </c>
      <c r="CU33" s="100">
        <v>0.26673307947767227</v>
      </c>
    </row>
    <row r="34" spans="2:99">
      <c r="C34" s="99" t="s">
        <v>200</v>
      </c>
      <c r="D34" s="100">
        <v>5.1403748182860474</v>
      </c>
      <c r="E34" s="100">
        <v>2818.9815503480681</v>
      </c>
      <c r="F34" s="100">
        <v>6.176601730055756E-4</v>
      </c>
      <c r="G34" s="100">
        <v>0.33872483887625765</v>
      </c>
      <c r="H34" s="100">
        <v>10.000446258013007</v>
      </c>
      <c r="I34" s="100">
        <v>5484.2447278943328</v>
      </c>
      <c r="J34" s="100">
        <v>10</v>
      </c>
      <c r="K34" s="100">
        <v>5484</v>
      </c>
      <c r="L34" s="100">
        <v>4.1315396819425709</v>
      </c>
      <c r="M34" s="100">
        <v>2265.7363615773056</v>
      </c>
      <c r="N34" s="100">
        <v>6.0473927479427143</v>
      </c>
      <c r="O34" s="100">
        <v>3316.3901829717843</v>
      </c>
      <c r="P34" s="100">
        <v>1.5691174998794539</v>
      </c>
      <c r="Q34" s="100">
        <v>860.50403693389251</v>
      </c>
      <c r="R34" s="100">
        <v>8.3596565245041479</v>
      </c>
      <c r="S34" s="100">
        <v>4584.4356380380741</v>
      </c>
      <c r="T34" s="100">
        <v>5.0009789379816505</v>
      </c>
      <c r="U34" s="100">
        <v>2742.5368495891371</v>
      </c>
      <c r="V34" s="100">
        <v>5.6730366134300468E-4</v>
      </c>
      <c r="W34" s="100">
        <v>0.31110932788050377</v>
      </c>
      <c r="X34" s="100">
        <v>8.0004885317329535</v>
      </c>
      <c r="Y34" s="100">
        <v>4387.4679108023511</v>
      </c>
      <c r="Z34" s="100">
        <v>7</v>
      </c>
      <c r="AA34" s="100">
        <v>3838.7999999999997</v>
      </c>
      <c r="AB34" s="100">
        <v>10</v>
      </c>
      <c r="AC34" s="100">
        <v>5484</v>
      </c>
      <c r="AD34" s="100">
        <v>8.55681721888166</v>
      </c>
      <c r="AE34" s="100">
        <v>4692.5585628347026</v>
      </c>
      <c r="AF34" s="100">
        <v>5.8610595194682933</v>
      </c>
      <c r="AG34" s="100">
        <v>3214.2050404764118</v>
      </c>
      <c r="AH34" s="100">
        <v>5.1802513105740633E-4</v>
      </c>
      <c r="AI34" s="100">
        <v>0.28408498187188164</v>
      </c>
      <c r="AJ34" s="100">
        <v>9</v>
      </c>
      <c r="AK34" s="100">
        <v>4935.5999999999995</v>
      </c>
      <c r="AL34" s="100">
        <v>7</v>
      </c>
      <c r="AM34" s="100">
        <v>3838.7999999999997</v>
      </c>
      <c r="AN34" s="100">
        <v>3.0638045699677221</v>
      </c>
      <c r="AO34" s="100">
        <v>1680.1904261702987</v>
      </c>
      <c r="AP34" s="100">
        <v>6.3644159798435676E-4</v>
      </c>
      <c r="AQ34" s="100">
        <v>0.34902457233462125</v>
      </c>
      <c r="AR34" s="100">
        <v>9.1842422426285939</v>
      </c>
      <c r="AS34" s="100">
        <v>5036.6384458575203</v>
      </c>
      <c r="AT34" s="100">
        <v>8</v>
      </c>
      <c r="AU34" s="100">
        <v>4387.2</v>
      </c>
      <c r="AV34" s="100">
        <v>5.2694414868985673</v>
      </c>
      <c r="AW34" s="100">
        <v>2889.761711415174</v>
      </c>
      <c r="AX34" s="100">
        <v>5.5731115722967709E-4</v>
      </c>
      <c r="AY34" s="100">
        <v>0.30562943862475489</v>
      </c>
      <c r="AZ34" s="100">
        <v>4.1601515409974263</v>
      </c>
      <c r="BA34" s="100">
        <v>2281.4271050829884</v>
      </c>
      <c r="BB34" s="100">
        <v>6.0167074321768004</v>
      </c>
      <c r="BC34" s="100">
        <v>3299.5623558057573</v>
      </c>
      <c r="BD34" s="100">
        <v>12.437991412655624</v>
      </c>
      <c r="BE34" s="100">
        <v>6820.9944907003437</v>
      </c>
      <c r="BF34" s="100">
        <v>6.5417247754700014</v>
      </c>
      <c r="BG34" s="100">
        <v>3587.4818668677485</v>
      </c>
      <c r="BH34" s="100">
        <v>6</v>
      </c>
      <c r="BI34" s="100">
        <v>3290.3999999999996</v>
      </c>
      <c r="BJ34" s="100">
        <v>7</v>
      </c>
      <c r="BK34" s="100">
        <v>3838.7999999999997</v>
      </c>
      <c r="BL34" s="100">
        <v>2.9511920002203507</v>
      </c>
      <c r="BM34" s="100">
        <v>1618.4336929208403</v>
      </c>
      <c r="BN34" s="100">
        <v>5.3734212679680482</v>
      </c>
      <c r="BO34" s="100">
        <v>2946.7842233536776</v>
      </c>
      <c r="BP34" s="100">
        <v>2.0250048027516678</v>
      </c>
      <c r="BQ34" s="100">
        <v>1110.5126338290147</v>
      </c>
      <c r="BR34" s="100">
        <v>10.572162905896539</v>
      </c>
      <c r="BS34" s="100">
        <v>5797.7741375936612</v>
      </c>
      <c r="BT34" s="100">
        <v>8</v>
      </c>
      <c r="BU34" s="100">
        <v>4387.2</v>
      </c>
      <c r="BV34" s="100">
        <v>0.85768141497059136</v>
      </c>
      <c r="BW34" s="100">
        <v>470.3524879698723</v>
      </c>
      <c r="BX34" s="100">
        <v>11</v>
      </c>
      <c r="BY34" s="100">
        <v>6032.4</v>
      </c>
      <c r="BZ34" s="100">
        <v>12</v>
      </c>
      <c r="CA34" s="100">
        <v>6580.7999999999993</v>
      </c>
      <c r="CB34" s="100">
        <v>8.1345577441042582</v>
      </c>
      <c r="CC34" s="100">
        <v>4460.9914668667752</v>
      </c>
      <c r="CD34" s="100">
        <v>5.0482574629550595E-4</v>
      </c>
      <c r="CE34" s="100">
        <v>0.27684643926845542</v>
      </c>
      <c r="CF34" s="100">
        <v>9.5481382540553899</v>
      </c>
      <c r="CG34" s="100">
        <v>5236.1990185239756</v>
      </c>
      <c r="CH34" s="100">
        <v>5.3105647189229089E-4</v>
      </c>
      <c r="CI34" s="100">
        <v>0.29123136918573234</v>
      </c>
      <c r="CJ34" s="100">
        <v>6.0005792914343736</v>
      </c>
      <c r="CK34" s="100">
        <v>3290.7176834226102</v>
      </c>
      <c r="CL34" s="100">
        <v>9</v>
      </c>
      <c r="CM34" s="100">
        <v>4935.5999999999995</v>
      </c>
      <c r="CN34" s="100">
        <v>4.190779355524417</v>
      </c>
      <c r="CO34" s="100">
        <v>2298.2233985695902</v>
      </c>
      <c r="CP34" s="100">
        <v>4.698312681217014</v>
      </c>
      <c r="CQ34" s="100">
        <v>2576.5546743794102</v>
      </c>
      <c r="CR34" s="100">
        <v>7.7509109895072079</v>
      </c>
      <c r="CS34" s="100">
        <v>4250.5995866457524</v>
      </c>
      <c r="CT34" s="100">
        <v>5.6087789120068041E-4</v>
      </c>
      <c r="CU34" s="100">
        <v>0.30758543553445311</v>
      </c>
    </row>
    <row r="35" spans="2:99">
      <c r="C35" s="99" t="s">
        <v>201</v>
      </c>
      <c r="D35" s="100">
        <v>5.1403748182860474</v>
      </c>
      <c r="E35" s="100">
        <v>2584.5804586342242</v>
      </c>
      <c r="F35" s="100">
        <v>6.7942619030613328E-4</v>
      </c>
      <c r="G35" s="100">
        <v>0.34161548848592377</v>
      </c>
      <c r="H35" s="100">
        <v>10.000502040264633</v>
      </c>
      <c r="I35" s="100">
        <v>5028.2524258450567</v>
      </c>
      <c r="J35" s="100">
        <v>10</v>
      </c>
      <c r="K35" s="100">
        <v>5027.9999999999991</v>
      </c>
      <c r="L35" s="100">
        <v>4.1315396819425709</v>
      </c>
      <c r="M35" s="100">
        <v>2077.3381520807243</v>
      </c>
      <c r="N35" s="100">
        <v>5.7630242369981897</v>
      </c>
      <c r="O35" s="100">
        <v>2897.648586362689</v>
      </c>
      <c r="P35" s="100">
        <v>1.8806550392881529</v>
      </c>
      <c r="Q35" s="100">
        <v>945.59335375408307</v>
      </c>
      <c r="R35" s="100">
        <v>8.6315878294049782</v>
      </c>
      <c r="S35" s="100">
        <v>4339.9623606248224</v>
      </c>
      <c r="T35" s="100">
        <v>5.0009789379816505</v>
      </c>
      <c r="U35" s="100">
        <v>2514.4922100171734</v>
      </c>
      <c r="V35" s="100">
        <v>5.6442766170169858E-4</v>
      </c>
      <c r="W35" s="100">
        <v>0.283794228303614</v>
      </c>
      <c r="X35" s="100">
        <v>8.0005329437086754</v>
      </c>
      <c r="Y35" s="100">
        <v>4022.6679640967213</v>
      </c>
      <c r="Z35" s="100">
        <v>7</v>
      </c>
      <c r="AA35" s="100">
        <v>3519.5999999999995</v>
      </c>
      <c r="AB35" s="100">
        <v>10</v>
      </c>
      <c r="AC35" s="100">
        <v>5027.9999999999991</v>
      </c>
      <c r="AD35" s="100">
        <v>8.55681721888166</v>
      </c>
      <c r="AE35" s="100">
        <v>4302.3676976536981</v>
      </c>
      <c r="AF35" s="100">
        <v>6.6983537365351911</v>
      </c>
      <c r="AG35" s="100">
        <v>3367.9322587298934</v>
      </c>
      <c r="AH35" s="100">
        <v>5.1802513105740633E-4</v>
      </c>
      <c r="AI35" s="100">
        <v>0.26046303589566383</v>
      </c>
      <c r="AJ35" s="100">
        <v>10</v>
      </c>
      <c r="AK35" s="100">
        <v>5027.9999999999991</v>
      </c>
      <c r="AL35" s="100">
        <v>7</v>
      </c>
      <c r="AM35" s="100">
        <v>3519.5999999999995</v>
      </c>
      <c r="AN35" s="100">
        <v>3.0638045699677221</v>
      </c>
      <c r="AO35" s="100">
        <v>1540.4809377797703</v>
      </c>
      <c r="AP35" s="100">
        <v>7.0327174470777645E-4</v>
      </c>
      <c r="AQ35" s="100">
        <v>0.35360503323906994</v>
      </c>
      <c r="AR35" s="100">
        <v>9.2125872030329923</v>
      </c>
      <c r="AS35" s="100">
        <v>4632.088845684988</v>
      </c>
      <c r="AT35" s="100">
        <v>8</v>
      </c>
      <c r="AU35" s="100">
        <v>4022.3999999999992</v>
      </c>
      <c r="AV35" s="100">
        <v>5.7963856355884236</v>
      </c>
      <c r="AW35" s="100">
        <v>2914.4226975738588</v>
      </c>
      <c r="AX35" s="100">
        <v>5.5043905076634892E-4</v>
      </c>
      <c r="AY35" s="100">
        <v>0.27676075472532019</v>
      </c>
      <c r="AZ35" s="100">
        <v>4.1601515409974263</v>
      </c>
      <c r="BA35" s="100">
        <v>2091.7241948135056</v>
      </c>
      <c r="BB35" s="100">
        <v>5.9746258325823227</v>
      </c>
      <c r="BC35" s="100">
        <v>3004.0418686223911</v>
      </c>
      <c r="BD35" s="100">
        <v>10.568717904715227</v>
      </c>
      <c r="BE35" s="100">
        <v>5313.951362490815</v>
      </c>
      <c r="BF35" s="100">
        <v>6.5417247754700014</v>
      </c>
      <c r="BG35" s="100">
        <v>3289.1792171063162</v>
      </c>
      <c r="BH35" s="100">
        <v>7</v>
      </c>
      <c r="BI35" s="100">
        <v>3519.5999999999995</v>
      </c>
      <c r="BJ35" s="100">
        <v>7</v>
      </c>
      <c r="BK35" s="100">
        <v>3519.5999999999995</v>
      </c>
      <c r="BL35" s="100">
        <v>3.2645537639338622</v>
      </c>
      <c r="BM35" s="100">
        <v>1641.4176325059457</v>
      </c>
      <c r="BN35" s="100">
        <v>4.7960000094647111</v>
      </c>
      <c r="BO35" s="100">
        <v>2411.4288047588561</v>
      </c>
      <c r="BP35" s="100">
        <v>1.7545898561624826</v>
      </c>
      <c r="BQ35" s="100">
        <v>882.20777967849608</v>
      </c>
      <c r="BR35" s="100">
        <v>11.451227297750652</v>
      </c>
      <c r="BS35" s="100">
        <v>5757.6770853090266</v>
      </c>
      <c r="BT35" s="100">
        <v>8</v>
      </c>
      <c r="BU35" s="100">
        <v>4022.3999999999992</v>
      </c>
      <c r="BV35" s="100">
        <v>0.85768141497059136</v>
      </c>
      <c r="BW35" s="100">
        <v>431.24221544721325</v>
      </c>
      <c r="BX35" s="100">
        <v>10</v>
      </c>
      <c r="BY35" s="100">
        <v>5027.9999999999991</v>
      </c>
      <c r="BZ35" s="100">
        <v>11</v>
      </c>
      <c r="CA35" s="100">
        <v>5530.7999999999993</v>
      </c>
      <c r="CB35" s="100">
        <v>8.1345577441042582</v>
      </c>
      <c r="CC35" s="100">
        <v>4090.0556337356202</v>
      </c>
      <c r="CD35" s="100">
        <v>5.0482574629550595E-4</v>
      </c>
      <c r="CE35" s="100">
        <v>0.25382638523738033</v>
      </c>
      <c r="CF35" s="100">
        <v>9.4455241359724411</v>
      </c>
      <c r="CG35" s="100">
        <v>4749.2095355669426</v>
      </c>
      <c r="CH35" s="100">
        <v>5.3026730193166767E-4</v>
      </c>
      <c r="CI35" s="100">
        <v>0.26661839941124243</v>
      </c>
      <c r="CJ35" s="100">
        <v>7.0006179108633324</v>
      </c>
      <c r="CK35" s="100">
        <v>3519.9106855820828</v>
      </c>
      <c r="CL35" s="100">
        <v>8</v>
      </c>
      <c r="CM35" s="100">
        <v>4022.3999999999992</v>
      </c>
      <c r="CN35" s="100">
        <v>4.190779355524417</v>
      </c>
      <c r="CO35" s="100">
        <v>2107.1238599576764</v>
      </c>
      <c r="CP35" s="100">
        <v>4.2284814130953121</v>
      </c>
      <c r="CQ35" s="100">
        <v>2126.0804545043225</v>
      </c>
      <c r="CR35" s="100">
        <v>6.8951791412318117</v>
      </c>
      <c r="CS35" s="100">
        <v>3466.8960722113543</v>
      </c>
      <c r="CT35" s="100">
        <v>5.6272801577567989E-4</v>
      </c>
      <c r="CU35" s="100">
        <v>0.2829396463320118</v>
      </c>
    </row>
    <row r="36" spans="2:99">
      <c r="C36" s="99" t="s">
        <v>202</v>
      </c>
      <c r="D36" s="100">
        <v>5.1403748182860474</v>
      </c>
      <c r="E36" s="100">
        <v>3910.7971617520247</v>
      </c>
      <c r="F36" s="100">
        <v>5.5589415570501803E-4</v>
      </c>
      <c r="G36" s="100">
        <v>0.42292427366037771</v>
      </c>
      <c r="H36" s="100">
        <v>9.0003904757613817</v>
      </c>
      <c r="I36" s="100">
        <v>6847.4970739592591</v>
      </c>
      <c r="J36" s="100">
        <v>9</v>
      </c>
      <c r="K36" s="100">
        <v>6847.2</v>
      </c>
      <c r="L36" s="100">
        <v>4.1315396819425709</v>
      </c>
      <c r="M36" s="100">
        <v>3143.2753900219077</v>
      </c>
      <c r="N36" s="100">
        <v>5.4426534731484431</v>
      </c>
      <c r="O36" s="100">
        <v>4140.770762371335</v>
      </c>
      <c r="P36" s="100">
        <v>1.8692252364521946</v>
      </c>
      <c r="Q36" s="100">
        <v>1422.1065598928296</v>
      </c>
      <c r="R36" s="100">
        <v>8.3596565245041479</v>
      </c>
      <c r="S36" s="100">
        <v>6360.0266838427551</v>
      </c>
      <c r="T36" s="100">
        <v>5.0009789379816505</v>
      </c>
      <c r="U36" s="100">
        <v>3804.7447760164396</v>
      </c>
      <c r="V36" s="100">
        <v>4.8975256642987564E-4</v>
      </c>
      <c r="W36" s="100">
        <v>0.37260375253984934</v>
      </c>
      <c r="X36" s="100">
        <v>7.0004885317329526</v>
      </c>
      <c r="Y36" s="100">
        <v>5325.9716749424297</v>
      </c>
      <c r="Z36" s="100">
        <v>6</v>
      </c>
      <c r="AA36" s="100">
        <v>4564.7999999999993</v>
      </c>
      <c r="AB36" s="100">
        <v>9</v>
      </c>
      <c r="AC36" s="100">
        <v>6847.2</v>
      </c>
      <c r="AD36" s="100">
        <v>8.55681721888166</v>
      </c>
      <c r="AE36" s="100">
        <v>6510.0265401251663</v>
      </c>
      <c r="AF36" s="100">
        <v>6.6983537365351911</v>
      </c>
      <c r="AG36" s="100">
        <v>5096.1075227559732</v>
      </c>
      <c r="AH36" s="100">
        <v>4.5327198967523059E-4</v>
      </c>
      <c r="AI36" s="100">
        <v>0.34484932974491539</v>
      </c>
      <c r="AJ36" s="100">
        <v>11</v>
      </c>
      <c r="AK36" s="100">
        <v>8368.7999999999993</v>
      </c>
      <c r="AL36" s="100">
        <v>6</v>
      </c>
      <c r="AM36" s="100">
        <v>4564.7999999999993</v>
      </c>
      <c r="AN36" s="100">
        <v>2.5531704749731015</v>
      </c>
      <c r="AO36" s="100">
        <v>1942.4520973595354</v>
      </c>
      <c r="AP36" s="100">
        <v>7.0678210416284554E-4</v>
      </c>
      <c r="AQ36" s="100">
        <v>0.53771982484709291</v>
      </c>
      <c r="AR36" s="100">
        <v>8.2267596832351924</v>
      </c>
      <c r="AS36" s="100">
        <v>6258.9187670053343</v>
      </c>
      <c r="AT36" s="100">
        <v>7</v>
      </c>
      <c r="AU36" s="100">
        <v>5325.5999999999995</v>
      </c>
      <c r="AV36" s="100">
        <v>5.7963856355884236</v>
      </c>
      <c r="AW36" s="100">
        <v>4409.8901915556726</v>
      </c>
      <c r="AX36" s="100">
        <v>5.4700299753468495E-4</v>
      </c>
      <c r="AY36" s="100">
        <v>0.41615988052438829</v>
      </c>
      <c r="AZ36" s="100">
        <v>5.3698444852126013</v>
      </c>
      <c r="BA36" s="100">
        <v>4085.3776843497467</v>
      </c>
      <c r="BB36" s="100">
        <v>5.9180454857878297</v>
      </c>
      <c r="BC36" s="100">
        <v>4502.4490055873803</v>
      </c>
      <c r="BD36" s="100">
        <v>11.568717904715227</v>
      </c>
      <c r="BE36" s="100">
        <v>8801.4805819073445</v>
      </c>
      <c r="BF36" s="100">
        <v>6.5417247754700014</v>
      </c>
      <c r="BG36" s="100">
        <v>4976.9442091775763</v>
      </c>
      <c r="BH36" s="100">
        <v>6</v>
      </c>
      <c r="BI36" s="100">
        <v>4564.7999999999993</v>
      </c>
      <c r="BJ36" s="100">
        <v>6</v>
      </c>
      <c r="BK36" s="100">
        <v>4564.7999999999993</v>
      </c>
      <c r="BL36" s="100">
        <v>3.2536424200339682</v>
      </c>
      <c r="BM36" s="100">
        <v>2475.3711531618428</v>
      </c>
      <c r="BN36" s="100">
        <v>4.2438115997382315</v>
      </c>
      <c r="BO36" s="100">
        <v>3228.6918650808461</v>
      </c>
      <c r="BP36" s="100">
        <v>1.7655982042147635</v>
      </c>
      <c r="BQ36" s="100">
        <v>1343.267113766592</v>
      </c>
      <c r="BR36" s="100">
        <v>11.693098514042427</v>
      </c>
      <c r="BS36" s="100">
        <v>8896.1093494834786</v>
      </c>
      <c r="BT36" s="100">
        <v>9</v>
      </c>
      <c r="BU36" s="100">
        <v>6847.2</v>
      </c>
      <c r="BV36" s="100">
        <v>0.85768141497059136</v>
      </c>
      <c r="BW36" s="100">
        <v>652.52402050962587</v>
      </c>
      <c r="BX36" s="100">
        <v>10</v>
      </c>
      <c r="BY36" s="100">
        <v>7608</v>
      </c>
      <c r="BZ36" s="100">
        <v>10</v>
      </c>
      <c r="CA36" s="100">
        <v>7608</v>
      </c>
      <c r="CB36" s="100">
        <v>8.1345577441042582</v>
      </c>
      <c r="CC36" s="100">
        <v>6188.7715317145194</v>
      </c>
      <c r="CD36" s="100">
        <v>4.3270778253900506E-4</v>
      </c>
      <c r="CE36" s="100">
        <v>0.32920408095567505</v>
      </c>
      <c r="CF36" s="100">
        <v>8.5100371409565572</v>
      </c>
      <c r="CG36" s="100">
        <v>6474.4362568397482</v>
      </c>
      <c r="CH36" s="100">
        <v>5.2947813197104445E-4</v>
      </c>
      <c r="CI36" s="100">
        <v>0.40282696280357061</v>
      </c>
      <c r="CJ36" s="100">
        <v>7.0005792914343736</v>
      </c>
      <c r="CK36" s="100">
        <v>5326.0407249232712</v>
      </c>
      <c r="CL36" s="100">
        <v>10</v>
      </c>
      <c r="CM36" s="100">
        <v>7608</v>
      </c>
      <c r="CN36" s="100">
        <v>3.8097994141131064</v>
      </c>
      <c r="CO36" s="100">
        <v>2898.4953942572511</v>
      </c>
      <c r="CP36" s="100">
        <v>4.2284814130953121</v>
      </c>
      <c r="CQ36" s="100">
        <v>3217.0286590829132</v>
      </c>
      <c r="CR36" s="100">
        <v>6.863970306635121</v>
      </c>
      <c r="CS36" s="100">
        <v>5222.1086092879996</v>
      </c>
      <c r="CT36" s="100">
        <v>5.6272801577567989E-4</v>
      </c>
      <c r="CU36" s="100">
        <v>0.42812347440213722</v>
      </c>
    </row>
    <row r="37" spans="2:99">
      <c r="B37" s="99" t="s">
        <v>128</v>
      </c>
      <c r="C37" s="99" t="s">
        <v>203</v>
      </c>
      <c r="D37" s="100">
        <v>12.850937045715121</v>
      </c>
      <c r="E37" s="100">
        <v>11056.946234133289</v>
      </c>
      <c r="F37" s="100">
        <v>1.1735543287105937E-3</v>
      </c>
      <c r="G37" s="100">
        <v>1.0097261444225949</v>
      </c>
      <c r="H37" s="100">
        <v>16.000502040264632</v>
      </c>
      <c r="I37" s="100">
        <v>13766.831955443689</v>
      </c>
      <c r="J37" s="100">
        <v>17</v>
      </c>
      <c r="K37" s="100">
        <v>14626.8</v>
      </c>
      <c r="L37" s="100">
        <v>8.2630793638851419</v>
      </c>
      <c r="M37" s="100">
        <v>7109.5534846867758</v>
      </c>
      <c r="N37" s="100">
        <v>11.085538673702979</v>
      </c>
      <c r="O37" s="100">
        <v>9537.9974748540426</v>
      </c>
      <c r="P37" s="100">
        <v>2.8639197316959044</v>
      </c>
      <c r="Q37" s="100">
        <v>2464.1165371511561</v>
      </c>
      <c r="R37" s="100">
        <v>11.951759567152903</v>
      </c>
      <c r="S37" s="100">
        <v>10283.293931578357</v>
      </c>
      <c r="T37" s="100">
        <v>5.0009789379816505</v>
      </c>
      <c r="U37" s="100">
        <v>4302.8422782394118</v>
      </c>
      <c r="V37" s="100">
        <v>7.8557694787586131E-4</v>
      </c>
      <c r="W37" s="100">
        <v>0.67591040595239105</v>
      </c>
      <c r="X37" s="100">
        <v>14.000399707781508</v>
      </c>
      <c r="Y37" s="100">
        <v>12045.943908575209</v>
      </c>
      <c r="Z37" s="100">
        <v>18</v>
      </c>
      <c r="AA37" s="100">
        <v>15487.199999999999</v>
      </c>
      <c r="AB37" s="100">
        <v>10</v>
      </c>
      <c r="AC37" s="100">
        <v>8604</v>
      </c>
      <c r="AD37" s="100">
        <v>11.123862384546159</v>
      </c>
      <c r="AE37" s="100">
        <v>9570.9711956635147</v>
      </c>
      <c r="AF37" s="100">
        <v>11.722119038936587</v>
      </c>
      <c r="AG37" s="100">
        <v>10085.711221101039</v>
      </c>
      <c r="AH37" s="100">
        <v>1.1008034034969885E-3</v>
      </c>
      <c r="AI37" s="100">
        <v>0.9471312483688088</v>
      </c>
      <c r="AJ37" s="100">
        <v>16</v>
      </c>
      <c r="AK37" s="100">
        <v>13766.4</v>
      </c>
      <c r="AL37" s="100">
        <v>12</v>
      </c>
      <c r="AM37" s="100">
        <v>10324.799999999999</v>
      </c>
      <c r="AN37" s="100">
        <v>6.1276091399354442</v>
      </c>
      <c r="AO37" s="100">
        <v>5272.1949040004556</v>
      </c>
      <c r="AP37" s="100">
        <v>1.3645524930318376E-3</v>
      </c>
      <c r="AQ37" s="100">
        <v>1.174060965004593</v>
      </c>
      <c r="AR37" s="100">
        <v>12.113379841617595</v>
      </c>
      <c r="AS37" s="100">
        <v>10422.352015727778</v>
      </c>
      <c r="AT37" s="100">
        <v>12</v>
      </c>
      <c r="AU37" s="100">
        <v>10324.799999999999</v>
      </c>
      <c r="AV37" s="100">
        <v>7.9041622303478514</v>
      </c>
      <c r="AW37" s="100">
        <v>6800.7411829912908</v>
      </c>
      <c r="AX37" s="100">
        <v>1.1319941616748457E-3</v>
      </c>
      <c r="AY37" s="100">
        <v>0.9739677767050372</v>
      </c>
      <c r="AZ37" s="100">
        <v>12.893522106231428</v>
      </c>
      <c r="BA37" s="100">
        <v>11093.58642020152</v>
      </c>
      <c r="BB37" s="100">
        <v>9.9007294574376115</v>
      </c>
      <c r="BC37" s="100">
        <v>8518.5876251793215</v>
      </c>
      <c r="BD37" s="100">
        <v>20.784358952357614</v>
      </c>
      <c r="BE37" s="100">
        <v>17882.86244260849</v>
      </c>
      <c r="BF37" s="100">
        <v>10.902874625783333</v>
      </c>
      <c r="BG37" s="100">
        <v>9380.8333280239804</v>
      </c>
      <c r="BH37" s="100">
        <v>18</v>
      </c>
      <c r="BI37" s="100">
        <v>15487.199999999999</v>
      </c>
      <c r="BJ37" s="100">
        <v>11</v>
      </c>
      <c r="BK37" s="100">
        <v>9464.4</v>
      </c>
      <c r="BL37" s="100">
        <v>5.2289478880306586</v>
      </c>
      <c r="BM37" s="100">
        <v>4498.9867628615784</v>
      </c>
      <c r="BN37" s="100">
        <v>7.506349848137214</v>
      </c>
      <c r="BO37" s="100">
        <v>6458.4634093372588</v>
      </c>
      <c r="BP37" s="100">
        <v>4.177316027412866</v>
      </c>
      <c r="BQ37" s="100">
        <v>3594.1627099860298</v>
      </c>
      <c r="BR37" s="100">
        <v>17.08842047331299</v>
      </c>
      <c r="BS37" s="100">
        <v>14702.876975238496</v>
      </c>
      <c r="BT37" s="100">
        <v>18</v>
      </c>
      <c r="BU37" s="100">
        <v>15487.199999999999</v>
      </c>
      <c r="BV37" s="100">
        <v>2.3586238911691262</v>
      </c>
      <c r="BW37" s="100">
        <v>2029.3599959619162</v>
      </c>
      <c r="BX37" s="100">
        <v>14</v>
      </c>
      <c r="BY37" s="100">
        <v>12045.6</v>
      </c>
      <c r="BZ37" s="100">
        <v>15</v>
      </c>
      <c r="CA37" s="100">
        <v>12906</v>
      </c>
      <c r="CB37" s="100">
        <v>17.172955237553435</v>
      </c>
      <c r="CC37" s="100">
        <v>14775.610686390975</v>
      </c>
      <c r="CD37" s="100">
        <v>1.141745652737947E-3</v>
      </c>
      <c r="CE37" s="100">
        <v>0.98235795961572958</v>
      </c>
      <c r="CF37" s="100">
        <v>13.60988852063711</v>
      </c>
      <c r="CG37" s="100">
        <v>11709.948083156169</v>
      </c>
      <c r="CH37" s="100">
        <v>9.5505803772788793E-4</v>
      </c>
      <c r="CI37" s="100">
        <v>0.82173193566107472</v>
      </c>
      <c r="CJ37" s="100">
        <v>12.000308955431667</v>
      </c>
      <c r="CK37" s="100">
        <v>10325.065825253405</v>
      </c>
      <c r="CL37" s="100">
        <v>16</v>
      </c>
      <c r="CM37" s="100">
        <v>13766.4</v>
      </c>
      <c r="CN37" s="100">
        <v>6.8576389454035915</v>
      </c>
      <c r="CO37" s="100">
        <v>5900.3125486252502</v>
      </c>
      <c r="CP37" s="100">
        <v>8.4569628261906242</v>
      </c>
      <c r="CQ37" s="100">
        <v>7276.3708156544126</v>
      </c>
      <c r="CR37" s="100">
        <v>18.362990349375554</v>
      </c>
      <c r="CS37" s="100">
        <v>15799.516896602727</v>
      </c>
      <c r="CT37" s="100">
        <v>1.2800381485557611E-3</v>
      </c>
      <c r="CU37" s="100">
        <v>1.1013448230173768</v>
      </c>
    </row>
    <row r="38" spans="2:99">
      <c r="C38" s="99" t="s">
        <v>204</v>
      </c>
      <c r="D38" s="100">
        <v>11.994207909334113</v>
      </c>
      <c r="E38" s="100">
        <v>14896.806223392969</v>
      </c>
      <c r="F38" s="100">
        <v>9.8825627680892091E-4</v>
      </c>
      <c r="G38" s="100">
        <v>1.2274142957966798</v>
      </c>
      <c r="H38" s="100">
        <v>14.000446258013007</v>
      </c>
      <c r="I38" s="100">
        <v>17388.554252452155</v>
      </c>
      <c r="J38" s="100">
        <v>16</v>
      </c>
      <c r="K38" s="100">
        <v>19872</v>
      </c>
      <c r="L38" s="100">
        <v>8.2630793638851419</v>
      </c>
      <c r="M38" s="100">
        <v>10262.744569945346</v>
      </c>
      <c r="N38" s="100">
        <v>11.670254775756639</v>
      </c>
      <c r="O38" s="100">
        <v>14494.456431489745</v>
      </c>
      <c r="P38" s="100">
        <v>2.8639197316959044</v>
      </c>
      <c r="Q38" s="100">
        <v>3556.9883067663131</v>
      </c>
      <c r="R38" s="100">
        <v>12.087725219603318</v>
      </c>
      <c r="S38" s="100">
        <v>15012.954722747321</v>
      </c>
      <c r="T38" s="100">
        <v>5.0009789379816505</v>
      </c>
      <c r="U38" s="100">
        <v>6211.2158409732101</v>
      </c>
      <c r="V38" s="100">
        <v>7.8701494769651431E-4</v>
      </c>
      <c r="W38" s="100">
        <v>0.97747256503907076</v>
      </c>
      <c r="X38" s="100">
        <v>15.000355295805784</v>
      </c>
      <c r="Y38" s="100">
        <v>18630.441277390782</v>
      </c>
      <c r="Z38" s="100">
        <v>15</v>
      </c>
      <c r="AA38" s="100">
        <v>18630</v>
      </c>
      <c r="AB38" s="100">
        <v>10</v>
      </c>
      <c r="AC38" s="100">
        <v>12420</v>
      </c>
      <c r="AD38" s="100">
        <v>11.123862384546159</v>
      </c>
      <c r="AE38" s="100">
        <v>13815.837081606331</v>
      </c>
      <c r="AF38" s="100">
        <v>10.884824821869687</v>
      </c>
      <c r="AG38" s="100">
        <v>13518.952428762152</v>
      </c>
      <c r="AH38" s="100">
        <v>1.0360502621148127E-3</v>
      </c>
      <c r="AI38" s="100">
        <v>1.2867744255465974</v>
      </c>
      <c r="AJ38" s="100">
        <v>13</v>
      </c>
      <c r="AK38" s="100">
        <v>16146</v>
      </c>
      <c r="AL38" s="100">
        <v>12</v>
      </c>
      <c r="AM38" s="100">
        <v>14904</v>
      </c>
      <c r="AN38" s="100">
        <v>6.1276091399354442</v>
      </c>
      <c r="AO38" s="100">
        <v>7610.4905517998213</v>
      </c>
      <c r="AP38" s="100">
        <v>1.3645524930318376E-3</v>
      </c>
      <c r="AQ38" s="100">
        <v>1.6947741963455423</v>
      </c>
      <c r="AR38" s="100">
        <v>11.113379841617595</v>
      </c>
      <c r="AS38" s="100">
        <v>13802.817763289053</v>
      </c>
      <c r="AT38" s="100">
        <v>10</v>
      </c>
      <c r="AU38" s="100">
        <v>12420</v>
      </c>
      <c r="AV38" s="100">
        <v>8.4311063790377077</v>
      </c>
      <c r="AW38" s="100">
        <v>10471.434122764833</v>
      </c>
      <c r="AX38" s="100">
        <v>1.1319941616748457E-3</v>
      </c>
      <c r="AY38" s="100">
        <v>1.4059367488001584</v>
      </c>
      <c r="AZ38" s="100">
        <v>14.331872721968796</v>
      </c>
      <c r="BA38" s="100">
        <v>17800.185920685246</v>
      </c>
      <c r="BB38" s="100">
        <v>9.7997296444045023</v>
      </c>
      <c r="BC38" s="100">
        <v>12171.264218350392</v>
      </c>
      <c r="BD38" s="100">
        <v>18.653632460298009</v>
      </c>
      <c r="BE38" s="100">
        <v>23167.811515690129</v>
      </c>
      <c r="BF38" s="100">
        <v>10.17601631739778</v>
      </c>
      <c r="BG38" s="100">
        <v>12638.612266208043</v>
      </c>
      <c r="BH38" s="100">
        <v>21</v>
      </c>
      <c r="BI38" s="100">
        <v>26082</v>
      </c>
      <c r="BJ38" s="100">
        <v>12</v>
      </c>
      <c r="BK38" s="100">
        <v>14904</v>
      </c>
      <c r="BL38" s="100">
        <v>5.2289478880306586</v>
      </c>
      <c r="BM38" s="100">
        <v>6494.3532769340782</v>
      </c>
      <c r="BN38" s="100">
        <v>6.3051258462339499</v>
      </c>
      <c r="BO38" s="100">
        <v>7830.9663010225659</v>
      </c>
      <c r="BP38" s="100">
        <v>4.177316027412866</v>
      </c>
      <c r="BQ38" s="100">
        <v>5188.2265060467798</v>
      </c>
      <c r="BR38" s="100">
        <v>16.967484865167101</v>
      </c>
      <c r="BS38" s="100">
        <v>21073.616202537542</v>
      </c>
      <c r="BT38" s="100">
        <v>17</v>
      </c>
      <c r="BU38" s="100">
        <v>21114</v>
      </c>
      <c r="BV38" s="100">
        <v>2.1442035374264785</v>
      </c>
      <c r="BW38" s="100">
        <v>2663.1007934836862</v>
      </c>
      <c r="BX38" s="100">
        <v>11</v>
      </c>
      <c r="BY38" s="100">
        <v>13662</v>
      </c>
      <c r="BZ38" s="100">
        <v>17</v>
      </c>
      <c r="CA38" s="100">
        <v>21114</v>
      </c>
      <c r="CB38" s="100">
        <v>16.269115488208516</v>
      </c>
      <c r="CC38" s="100">
        <v>20206.241436354976</v>
      </c>
      <c r="CD38" s="100">
        <v>1.0074226347687766E-3</v>
      </c>
      <c r="CE38" s="100">
        <v>1.2512189123828206</v>
      </c>
      <c r="CF38" s="100">
        <v>14.545375515652994</v>
      </c>
      <c r="CG38" s="100">
        <v>18065.356390441018</v>
      </c>
      <c r="CH38" s="100">
        <v>9.5347969780664159E-4</v>
      </c>
      <c r="CI38" s="100">
        <v>1.1842217846758489</v>
      </c>
      <c r="CJ38" s="100">
        <v>12.000386194289582</v>
      </c>
      <c r="CK38" s="100">
        <v>14904.479653307661</v>
      </c>
      <c r="CL38" s="100">
        <v>16</v>
      </c>
      <c r="CM38" s="100">
        <v>19872</v>
      </c>
      <c r="CN38" s="100">
        <v>7.2386188868149022</v>
      </c>
      <c r="CO38" s="100">
        <v>8990.3646574241084</v>
      </c>
      <c r="CP38" s="100">
        <v>7.9871315580689233</v>
      </c>
      <c r="CQ38" s="100">
        <v>9920.017395121602</v>
      </c>
      <c r="CR38" s="100">
        <v>19.281139866844331</v>
      </c>
      <c r="CS38" s="100">
        <v>23947.175714620658</v>
      </c>
      <c r="CT38" s="100">
        <v>1.1590988663278314E-3</v>
      </c>
      <c r="CU38" s="100">
        <v>1.4396007919791667</v>
      </c>
    </row>
    <row r="39" spans="2:99">
      <c r="C39" s="99" t="s">
        <v>205</v>
      </c>
      <c r="D39" s="100">
        <v>10.280749636572095</v>
      </c>
      <c r="E39" s="100">
        <v>14631.562882769405</v>
      </c>
      <c r="F39" s="100">
        <v>1.1117883114100361E-3</v>
      </c>
      <c r="G39" s="100">
        <v>1.5822971247987634</v>
      </c>
      <c r="H39" s="100">
        <v>16.000502040264632</v>
      </c>
      <c r="I39" s="100">
        <v>22771.914503704626</v>
      </c>
      <c r="J39" s="100">
        <v>18</v>
      </c>
      <c r="K39" s="100">
        <v>25617.600000000002</v>
      </c>
      <c r="L39" s="100">
        <v>9.0893873002736569</v>
      </c>
      <c r="M39" s="100">
        <v>12936.016005749469</v>
      </c>
      <c r="N39" s="100">
        <v>10.460776226168099</v>
      </c>
      <c r="O39" s="100">
        <v>14887.776725082438</v>
      </c>
      <c r="P39" s="100">
        <v>3.1525976654326859</v>
      </c>
      <c r="Q39" s="100">
        <v>4486.7769974437988</v>
      </c>
      <c r="R39" s="100">
        <v>11.087725219603318</v>
      </c>
      <c r="S39" s="100">
        <v>15780.050532539442</v>
      </c>
      <c r="T39" s="100">
        <v>5.0009789379816505</v>
      </c>
      <c r="U39" s="100">
        <v>7117.3932245354854</v>
      </c>
      <c r="V39" s="100">
        <v>7.8557694787586131E-4</v>
      </c>
      <c r="W39" s="100">
        <v>1.1180331122169258</v>
      </c>
      <c r="X39" s="100">
        <v>15.000310883830061</v>
      </c>
      <c r="Y39" s="100">
        <v>21348.442449866943</v>
      </c>
      <c r="Z39" s="100">
        <v>16</v>
      </c>
      <c r="AA39" s="100">
        <v>22771.200000000001</v>
      </c>
      <c r="AB39" s="100">
        <v>9</v>
      </c>
      <c r="AC39" s="100">
        <v>12808.800000000001</v>
      </c>
      <c r="AD39" s="100">
        <v>10.268180662657992</v>
      </c>
      <c r="AE39" s="100">
        <v>14613.674719094854</v>
      </c>
      <c r="AF39" s="100">
        <v>12.559413256003484</v>
      </c>
      <c r="AG39" s="100">
        <v>17874.556945944161</v>
      </c>
      <c r="AH39" s="100">
        <v>1.1655565448791642E-3</v>
      </c>
      <c r="AI39" s="100">
        <v>1.6588200746720265</v>
      </c>
      <c r="AJ39" s="100">
        <v>14</v>
      </c>
      <c r="AK39" s="100">
        <v>19924.8</v>
      </c>
      <c r="AL39" s="100">
        <v>11</v>
      </c>
      <c r="AM39" s="100">
        <v>15655.2</v>
      </c>
      <c r="AN39" s="100">
        <v>6.638243234930064</v>
      </c>
      <c r="AO39" s="100">
        <v>9447.5477719524679</v>
      </c>
      <c r="AP39" s="100">
        <v>1.2977223463084176E-3</v>
      </c>
      <c r="AQ39" s="100">
        <v>1.8469184432661399</v>
      </c>
      <c r="AR39" s="100">
        <v>11.099207361415397</v>
      </c>
      <c r="AS39" s="100">
        <v>15796.391916766393</v>
      </c>
      <c r="AT39" s="100">
        <v>11</v>
      </c>
      <c r="AU39" s="100">
        <v>15655.2</v>
      </c>
      <c r="AV39" s="100">
        <v>7.3772180816579951</v>
      </c>
      <c r="AW39" s="100">
        <v>10499.256773815659</v>
      </c>
      <c r="AX39" s="100">
        <v>1.066613359744643E-3</v>
      </c>
      <c r="AY39" s="100">
        <v>1.5180041335885761</v>
      </c>
      <c r="AZ39" s="100">
        <v>13.586880696397666</v>
      </c>
      <c r="BA39" s="100">
        <v>19336.848607113159</v>
      </c>
      <c r="BB39" s="100">
        <v>9.7034055646596666</v>
      </c>
      <c r="BC39" s="100">
        <v>13809.886799623639</v>
      </c>
      <c r="BD39" s="100">
        <v>20.784358952357614</v>
      </c>
      <c r="BE39" s="100">
        <v>29580.299660995359</v>
      </c>
      <c r="BF39" s="100">
        <v>10.17601631739778</v>
      </c>
      <c r="BG39" s="100">
        <v>14482.50642292052</v>
      </c>
      <c r="BH39" s="100">
        <v>19</v>
      </c>
      <c r="BI39" s="100">
        <v>27040.799999999999</v>
      </c>
      <c r="BJ39" s="100">
        <v>10</v>
      </c>
      <c r="BK39" s="100">
        <v>14232</v>
      </c>
      <c r="BL39" s="100">
        <v>5.2289478880306586</v>
      </c>
      <c r="BM39" s="100">
        <v>7441.8386342452332</v>
      </c>
      <c r="BN39" s="100">
        <v>6.3264009947598563</v>
      </c>
      <c r="BO39" s="100">
        <v>9003.7338957422271</v>
      </c>
      <c r="BP39" s="100">
        <v>3.906901080823681</v>
      </c>
      <c r="BQ39" s="100">
        <v>5560.3016182282627</v>
      </c>
      <c r="BR39" s="100">
        <v>14.967484865167101</v>
      </c>
      <c r="BS39" s="100">
        <v>21301.724460105819</v>
      </c>
      <c r="BT39" s="100">
        <v>19</v>
      </c>
      <c r="BU39" s="100">
        <v>27040.799999999999</v>
      </c>
      <c r="BV39" s="100">
        <v>2.0369933605551545</v>
      </c>
      <c r="BW39" s="100">
        <v>2899.0489507420957</v>
      </c>
      <c r="BX39" s="100">
        <v>13</v>
      </c>
      <c r="BY39" s="100">
        <v>18501.600000000002</v>
      </c>
      <c r="BZ39" s="100">
        <v>15</v>
      </c>
      <c r="CA39" s="100">
        <v>21348</v>
      </c>
      <c r="CB39" s="100">
        <v>15.365275738863598</v>
      </c>
      <c r="CC39" s="100">
        <v>21867.860431550675</v>
      </c>
      <c r="CD39" s="100">
        <v>9.4026112578419162E-4</v>
      </c>
      <c r="CE39" s="100">
        <v>1.3381796342160615</v>
      </c>
      <c r="CF39" s="100">
        <v>11.738914530605346</v>
      </c>
      <c r="CG39" s="100">
        <v>16706.82315995753</v>
      </c>
      <c r="CH39" s="100">
        <v>8.685215506473975E-4</v>
      </c>
      <c r="CI39" s="100">
        <v>1.2360798708813761</v>
      </c>
      <c r="CJ39" s="100">
        <v>12.000347574860625</v>
      </c>
      <c r="CK39" s="100">
        <v>17078.894668541641</v>
      </c>
      <c r="CL39" s="100">
        <v>13</v>
      </c>
      <c r="CM39" s="100">
        <v>18501.600000000002</v>
      </c>
      <c r="CN39" s="100">
        <v>7.2386188868149022</v>
      </c>
      <c r="CO39" s="100">
        <v>10302.002399714969</v>
      </c>
      <c r="CP39" s="100">
        <v>7.5173002899472223</v>
      </c>
      <c r="CQ39" s="100">
        <v>10698.621772652887</v>
      </c>
      <c r="CR39" s="100">
        <v>18.362990349375554</v>
      </c>
      <c r="CS39" s="100">
        <v>26134.207865231288</v>
      </c>
      <c r="CT39" s="100">
        <v>1.2177183828667964E-3</v>
      </c>
      <c r="CU39" s="100">
        <v>1.7330568024960247</v>
      </c>
    </row>
    <row r="40" spans="2:99">
      <c r="C40" s="99" t="s">
        <v>206</v>
      </c>
      <c r="D40" s="100">
        <v>12.850937045715121</v>
      </c>
      <c r="E40" s="100">
        <v>9314.3591707343185</v>
      </c>
      <c r="F40" s="100">
        <v>1.1735543287105937E-3</v>
      </c>
      <c r="G40" s="100">
        <v>0.85059217744943827</v>
      </c>
      <c r="H40" s="100">
        <v>16.000502040264632</v>
      </c>
      <c r="I40" s="100">
        <v>11597.163878783804</v>
      </c>
      <c r="J40" s="100">
        <v>18</v>
      </c>
      <c r="K40" s="100">
        <v>13046.4</v>
      </c>
      <c r="L40" s="100">
        <v>8.2630793638851419</v>
      </c>
      <c r="M40" s="100">
        <v>5989.0799229439508</v>
      </c>
      <c r="N40" s="100">
        <v>11.670254775756639</v>
      </c>
      <c r="O40" s="100">
        <v>8458.600661468412</v>
      </c>
      <c r="P40" s="100">
        <v>3.1411678625967281</v>
      </c>
      <c r="Q40" s="100">
        <v>2276.7184668101086</v>
      </c>
      <c r="R40" s="100">
        <v>12.087725219603318</v>
      </c>
      <c r="S40" s="100">
        <v>8761.1832391684839</v>
      </c>
      <c r="T40" s="100">
        <v>5.0009789379816505</v>
      </c>
      <c r="U40" s="100">
        <v>3624.7095342491002</v>
      </c>
      <c r="V40" s="100">
        <v>8.6456604260964334E-4</v>
      </c>
      <c r="W40" s="100">
        <v>0.62663746768346951</v>
      </c>
      <c r="X40" s="100">
        <v>15.000355295805784</v>
      </c>
      <c r="Y40" s="100">
        <v>10872.257518400032</v>
      </c>
      <c r="Z40" s="100">
        <v>18</v>
      </c>
      <c r="AA40" s="100">
        <v>13046.4</v>
      </c>
      <c r="AB40" s="100">
        <v>10</v>
      </c>
      <c r="AC40" s="100">
        <v>7248</v>
      </c>
      <c r="AD40" s="100">
        <v>11.123862384546159</v>
      </c>
      <c r="AE40" s="100">
        <v>8062.5754563190558</v>
      </c>
      <c r="AF40" s="100">
        <v>12.559413256003484</v>
      </c>
      <c r="AG40" s="100">
        <v>9103.0627279513246</v>
      </c>
      <c r="AH40" s="100">
        <v>1.23030968626134E-3</v>
      </c>
      <c r="AI40" s="100">
        <v>0.89172846060221922</v>
      </c>
      <c r="AJ40" s="100">
        <v>14</v>
      </c>
      <c r="AK40" s="100">
        <v>10147.199999999999</v>
      </c>
      <c r="AL40" s="100">
        <v>13</v>
      </c>
      <c r="AM40" s="100">
        <v>9422.4</v>
      </c>
      <c r="AN40" s="100">
        <v>7.1488773299246846</v>
      </c>
      <c r="AO40" s="100">
        <v>5181.5062887294107</v>
      </c>
      <c r="AP40" s="100">
        <v>1.22387148067486E-3</v>
      </c>
      <c r="AQ40" s="100">
        <v>0.88706204919313847</v>
      </c>
      <c r="AR40" s="100">
        <v>11.113379841617595</v>
      </c>
      <c r="AS40" s="100">
        <v>8054.9777092044324</v>
      </c>
      <c r="AT40" s="100">
        <v>11</v>
      </c>
      <c r="AU40" s="100">
        <v>7972.7999999999993</v>
      </c>
      <c r="AV40" s="100">
        <v>7.3772180816579951</v>
      </c>
      <c r="AW40" s="100">
        <v>5347.0076655857147</v>
      </c>
      <c r="AX40" s="100">
        <v>1.066613359744643E-3</v>
      </c>
      <c r="AY40" s="100">
        <v>0.7730813631429172</v>
      </c>
      <c r="AZ40" s="100">
        <v>13.638514131802559</v>
      </c>
      <c r="BA40" s="100">
        <v>9885.1950427304946</v>
      </c>
      <c r="BB40" s="100">
        <v>10.545166843617141</v>
      </c>
      <c r="BC40" s="100">
        <v>7643.1369282537034</v>
      </c>
      <c r="BD40" s="100">
        <v>21.653632460298009</v>
      </c>
      <c r="BE40" s="100">
        <v>15694.552807223996</v>
      </c>
      <c r="BF40" s="100">
        <v>12.356591242554446</v>
      </c>
      <c r="BG40" s="100">
        <v>8956.057332603461</v>
      </c>
      <c r="BH40" s="100">
        <v>22</v>
      </c>
      <c r="BI40" s="100">
        <v>15945.599999999999</v>
      </c>
      <c r="BJ40" s="100">
        <v>11</v>
      </c>
      <c r="BK40" s="100">
        <v>7972.7999999999993</v>
      </c>
      <c r="BL40" s="100">
        <v>5.2289478880306586</v>
      </c>
      <c r="BM40" s="100">
        <v>3789.9414292446213</v>
      </c>
      <c r="BN40" s="100">
        <v>6.8785894044863349</v>
      </c>
      <c r="BO40" s="100">
        <v>4985.601600371695</v>
      </c>
      <c r="BP40" s="100">
        <v>4.436722625949769</v>
      </c>
      <c r="BQ40" s="100">
        <v>3215.7365592883925</v>
      </c>
      <c r="BR40" s="100">
        <v>18.08842047331299</v>
      </c>
      <c r="BS40" s="100">
        <v>13110.487159057255</v>
      </c>
      <c r="BT40" s="100">
        <v>21</v>
      </c>
      <c r="BU40" s="100">
        <v>15220.8</v>
      </c>
      <c r="BV40" s="100">
        <v>2.0369933605551545</v>
      </c>
      <c r="BW40" s="100">
        <v>1476.4127877303758</v>
      </c>
      <c r="BX40" s="100">
        <v>14</v>
      </c>
      <c r="BY40" s="100">
        <v>10147.199999999999</v>
      </c>
      <c r="BZ40" s="100">
        <v>16</v>
      </c>
      <c r="CA40" s="100">
        <v>11596.8</v>
      </c>
      <c r="CB40" s="100">
        <v>18.076794986898353</v>
      </c>
      <c r="CC40" s="100">
        <v>13102.061006503925</v>
      </c>
      <c r="CD40" s="100">
        <v>1.0074226347687766E-3</v>
      </c>
      <c r="CE40" s="100">
        <v>0.73017992568040924</v>
      </c>
      <c r="CF40" s="100">
        <v>12.777015643704177</v>
      </c>
      <c r="CG40" s="100">
        <v>9260.7809385567871</v>
      </c>
      <c r="CH40" s="100">
        <v>9.5426886776726492E-4</v>
      </c>
      <c r="CI40" s="100">
        <v>0.69165407535771362</v>
      </c>
      <c r="CJ40" s="100">
        <v>13.000308955431667</v>
      </c>
      <c r="CK40" s="100">
        <v>9422.6239308968707</v>
      </c>
      <c r="CL40" s="100">
        <v>16</v>
      </c>
      <c r="CM40" s="100">
        <v>11596.8</v>
      </c>
      <c r="CN40" s="100">
        <v>7.2386188868149022</v>
      </c>
      <c r="CO40" s="100">
        <v>5246.5509691634406</v>
      </c>
      <c r="CP40" s="100">
        <v>8.9267940943123261</v>
      </c>
      <c r="CQ40" s="100">
        <v>6470.1403595575739</v>
      </c>
      <c r="CR40" s="100">
        <v>18.362990349375554</v>
      </c>
      <c r="CS40" s="100">
        <v>13309.495405227401</v>
      </c>
      <c r="CT40" s="100">
        <v>1.2791130862682613E-3</v>
      </c>
      <c r="CU40" s="100">
        <v>0.92710116492723571</v>
      </c>
    </row>
    <row r="41" spans="2:99">
      <c r="C41" s="99" t="s">
        <v>207</v>
      </c>
      <c r="D41" s="100">
        <v>12.850937045715121</v>
      </c>
      <c r="E41" s="100">
        <v>8481.6184501719799</v>
      </c>
      <c r="F41" s="100">
        <v>1.1117883114100361E-3</v>
      </c>
      <c r="G41" s="100">
        <v>0.7337802855306238</v>
      </c>
      <c r="H41" s="100">
        <v>17.000446258013007</v>
      </c>
      <c r="I41" s="100">
        <v>11220.294530288584</v>
      </c>
      <c r="J41" s="100">
        <v>17</v>
      </c>
      <c r="K41" s="100">
        <v>11220</v>
      </c>
      <c r="L41" s="100">
        <v>9.9156952366621702</v>
      </c>
      <c r="M41" s="100">
        <v>6544.3588561970328</v>
      </c>
      <c r="N41" s="100">
        <v>12.274994050550912</v>
      </c>
      <c r="O41" s="100">
        <v>8101.4960733636017</v>
      </c>
      <c r="P41" s="100">
        <v>3.1640274682686447</v>
      </c>
      <c r="Q41" s="100">
        <v>2088.2581290573053</v>
      </c>
      <c r="R41" s="100">
        <v>11.951759567152903</v>
      </c>
      <c r="S41" s="100">
        <v>7888.1613143209161</v>
      </c>
      <c r="T41" s="100">
        <v>6.0011747255779806</v>
      </c>
      <c r="U41" s="100">
        <v>3960.7753188814672</v>
      </c>
      <c r="V41" s="100">
        <v>7.8557694787586131E-4</v>
      </c>
      <c r="W41" s="100">
        <v>0.51848078559806843</v>
      </c>
      <c r="X41" s="100">
        <v>14.000355295805784</v>
      </c>
      <c r="Y41" s="100">
        <v>9240.2344952318181</v>
      </c>
      <c r="Z41" s="100">
        <v>17</v>
      </c>
      <c r="AA41" s="100">
        <v>11220</v>
      </c>
      <c r="AB41" s="100">
        <v>10</v>
      </c>
      <c r="AC41" s="100">
        <v>6600</v>
      </c>
      <c r="AD41" s="100">
        <v>11.123862384546159</v>
      </c>
      <c r="AE41" s="100">
        <v>7341.7491738004655</v>
      </c>
      <c r="AF41" s="100">
        <v>13.396707473070382</v>
      </c>
      <c r="AG41" s="100">
        <v>8841.8269322264514</v>
      </c>
      <c r="AH41" s="100">
        <v>1.23030968626134E-3</v>
      </c>
      <c r="AI41" s="100">
        <v>0.81200439293248439</v>
      </c>
      <c r="AJ41" s="100">
        <v>15</v>
      </c>
      <c r="AK41" s="100">
        <v>9900</v>
      </c>
      <c r="AL41" s="100">
        <v>12</v>
      </c>
      <c r="AM41" s="100">
        <v>7920</v>
      </c>
      <c r="AN41" s="100">
        <v>7.1488773299246846</v>
      </c>
      <c r="AO41" s="100">
        <v>4718.259037750292</v>
      </c>
      <c r="AP41" s="100">
        <v>1.3680628524869063E-3</v>
      </c>
      <c r="AQ41" s="100">
        <v>0.90292148264135819</v>
      </c>
      <c r="AR41" s="100">
        <v>11.113379841617595</v>
      </c>
      <c r="AS41" s="100">
        <v>7334.8306954676127</v>
      </c>
      <c r="AT41" s="100">
        <v>12</v>
      </c>
      <c r="AU41" s="100">
        <v>7920</v>
      </c>
      <c r="AV41" s="100">
        <v>8.9580505277275648</v>
      </c>
      <c r="AW41" s="100">
        <v>5912.313348300193</v>
      </c>
      <c r="AX41" s="100">
        <v>1.066613359744643E-3</v>
      </c>
      <c r="AY41" s="100">
        <v>0.70396481743146444</v>
      </c>
      <c r="AZ41" s="100">
        <v>14.331872721968796</v>
      </c>
      <c r="BA41" s="100">
        <v>9459.0359964994059</v>
      </c>
      <c r="BB41" s="100">
        <v>9.1599679915132466</v>
      </c>
      <c r="BC41" s="100">
        <v>6045.5788743987423</v>
      </c>
      <c r="BD41" s="100">
        <v>20.653632460298009</v>
      </c>
      <c r="BE41" s="100">
        <v>13631.397423796687</v>
      </c>
      <c r="BF41" s="100">
        <v>11.62973293416889</v>
      </c>
      <c r="BG41" s="100">
        <v>7675.623736551468</v>
      </c>
      <c r="BH41" s="100">
        <v>20</v>
      </c>
      <c r="BI41" s="100">
        <v>13200</v>
      </c>
      <c r="BJ41" s="100">
        <v>12</v>
      </c>
      <c r="BK41" s="100">
        <v>7920</v>
      </c>
      <c r="BL41" s="100">
        <v>5.5313983078442757</v>
      </c>
      <c r="BM41" s="100">
        <v>3650.7228831772218</v>
      </c>
      <c r="BN41" s="100">
        <v>6.8573142559604285</v>
      </c>
      <c r="BO41" s="100">
        <v>4525.8274089338829</v>
      </c>
      <c r="BP41" s="100">
        <v>4.7291542686435166</v>
      </c>
      <c r="BQ41" s="100">
        <v>3121.2418173047208</v>
      </c>
      <c r="BR41" s="100">
        <v>17.967484865167101</v>
      </c>
      <c r="BS41" s="100">
        <v>11858.540011010287</v>
      </c>
      <c r="BT41" s="100">
        <v>21</v>
      </c>
      <c r="BU41" s="100">
        <v>13860</v>
      </c>
      <c r="BV41" s="100">
        <v>2.1442035374264785</v>
      </c>
      <c r="BW41" s="100">
        <v>1415.1743347014758</v>
      </c>
      <c r="BX41" s="100">
        <v>12</v>
      </c>
      <c r="BY41" s="100">
        <v>7920</v>
      </c>
      <c r="BZ41" s="100">
        <v>17</v>
      </c>
      <c r="CA41" s="100">
        <v>11220</v>
      </c>
      <c r="CB41" s="100">
        <v>17.172955237553435</v>
      </c>
      <c r="CC41" s="100">
        <v>11334.150456785266</v>
      </c>
      <c r="CD41" s="100">
        <v>1.0745841437533618E-3</v>
      </c>
      <c r="CE41" s="100">
        <v>0.70922553487721884</v>
      </c>
      <c r="CF41" s="100">
        <v>14.647989633735945</v>
      </c>
      <c r="CG41" s="100">
        <v>9667.673158265723</v>
      </c>
      <c r="CH41" s="100">
        <v>9.5426886776726492E-4</v>
      </c>
      <c r="CI41" s="100">
        <v>0.62981745272639489</v>
      </c>
      <c r="CJ41" s="100">
        <v>13.000347574860625</v>
      </c>
      <c r="CK41" s="100">
        <v>8580.2293994080119</v>
      </c>
      <c r="CL41" s="100">
        <v>17</v>
      </c>
      <c r="CM41" s="100">
        <v>11220</v>
      </c>
      <c r="CN41" s="100">
        <v>8.0005787696375226</v>
      </c>
      <c r="CO41" s="100">
        <v>5280.3819879607645</v>
      </c>
      <c r="CP41" s="100">
        <v>9.3966253624340279</v>
      </c>
      <c r="CQ41" s="100">
        <v>6201.772739206458</v>
      </c>
      <c r="CR41" s="100">
        <v>19.281139866844331</v>
      </c>
      <c r="CS41" s="100">
        <v>12725.552312117259</v>
      </c>
      <c r="CT41" s="100">
        <v>1.2186434451542964E-3</v>
      </c>
      <c r="CU41" s="100">
        <v>0.80430467380183557</v>
      </c>
    </row>
    <row r="42" spans="2:99">
      <c r="C42" s="99" t="s">
        <v>208</v>
      </c>
      <c r="D42" s="100">
        <v>11.994207909334113</v>
      </c>
      <c r="E42" s="100">
        <v>10147.099891296661</v>
      </c>
      <c r="F42" s="100">
        <v>1.1117883114100361E-3</v>
      </c>
      <c r="G42" s="100">
        <v>0.94057291145289046</v>
      </c>
      <c r="H42" s="100">
        <v>15.000446258013007</v>
      </c>
      <c r="I42" s="100">
        <v>12690.377534279003</v>
      </c>
      <c r="J42" s="100">
        <v>17</v>
      </c>
      <c r="K42" s="100">
        <v>14382</v>
      </c>
      <c r="L42" s="100">
        <v>9.9156952366621702</v>
      </c>
      <c r="M42" s="100">
        <v>8388.6781702161952</v>
      </c>
      <c r="N42" s="100">
        <v>12.879733325345182</v>
      </c>
      <c r="O42" s="100">
        <v>10896.254393242023</v>
      </c>
      <c r="P42" s="100">
        <v>2.8753495345318631</v>
      </c>
      <c r="Q42" s="100">
        <v>2432.5457062139562</v>
      </c>
      <c r="R42" s="100">
        <v>12.087725219603318</v>
      </c>
      <c r="S42" s="100">
        <v>10226.215535784406</v>
      </c>
      <c r="T42" s="100">
        <v>5.0009789379816505</v>
      </c>
      <c r="U42" s="100">
        <v>4230.8281815324763</v>
      </c>
      <c r="V42" s="100">
        <v>8.6312804278899035E-4</v>
      </c>
      <c r="W42" s="100">
        <v>0.73020632419948583</v>
      </c>
      <c r="X42" s="100">
        <v>16.000310883830061</v>
      </c>
      <c r="Y42" s="100">
        <v>13536.263007720232</v>
      </c>
      <c r="Z42" s="100">
        <v>18</v>
      </c>
      <c r="AA42" s="100">
        <v>15228</v>
      </c>
      <c r="AB42" s="100">
        <v>10</v>
      </c>
      <c r="AC42" s="100">
        <v>8460</v>
      </c>
      <c r="AD42" s="100">
        <v>11.123862384546159</v>
      </c>
      <c r="AE42" s="100">
        <v>9410.7875773260512</v>
      </c>
      <c r="AF42" s="100">
        <v>13.396707473070382</v>
      </c>
      <c r="AG42" s="100">
        <v>11333.614522217544</v>
      </c>
      <c r="AH42" s="100">
        <v>1.23030968626134E-3</v>
      </c>
      <c r="AI42" s="100">
        <v>1.0408419945770937</v>
      </c>
      <c r="AJ42" s="100">
        <v>14</v>
      </c>
      <c r="AK42" s="100">
        <v>11844</v>
      </c>
      <c r="AL42" s="100">
        <v>13</v>
      </c>
      <c r="AM42" s="100">
        <v>10998</v>
      </c>
      <c r="AN42" s="100">
        <v>7.1488773299246846</v>
      </c>
      <c r="AO42" s="100">
        <v>6047.9502211162835</v>
      </c>
      <c r="AP42" s="100">
        <v>1.2977223463084176E-3</v>
      </c>
      <c r="AQ42" s="100">
        <v>1.0978731049769213</v>
      </c>
      <c r="AR42" s="100">
        <v>12.113379841617595</v>
      </c>
      <c r="AS42" s="100">
        <v>10247.919346008486</v>
      </c>
      <c r="AT42" s="100">
        <v>12</v>
      </c>
      <c r="AU42" s="100">
        <v>10152</v>
      </c>
      <c r="AV42" s="100">
        <v>8.4311063790377077</v>
      </c>
      <c r="AW42" s="100">
        <v>7132.715996665901</v>
      </c>
      <c r="AX42" s="100">
        <v>1.1319941616748457E-3</v>
      </c>
      <c r="AY42" s="100">
        <v>0.95766706077691943</v>
      </c>
      <c r="AZ42" s="100">
        <v>14.331872721968796</v>
      </c>
      <c r="BA42" s="100">
        <v>12124.764322785602</v>
      </c>
      <c r="BB42" s="100">
        <v>10.446504897228168</v>
      </c>
      <c r="BC42" s="100">
        <v>8837.7431430550296</v>
      </c>
      <c r="BD42" s="100">
        <v>19.784358952357614</v>
      </c>
      <c r="BE42" s="100">
        <v>16737.567673694542</v>
      </c>
      <c r="BF42" s="100">
        <v>10.902874625783333</v>
      </c>
      <c r="BG42" s="100">
        <v>9223.8319334127009</v>
      </c>
      <c r="BH42" s="100">
        <v>21</v>
      </c>
      <c r="BI42" s="100">
        <v>17766</v>
      </c>
      <c r="BJ42" s="100">
        <v>11</v>
      </c>
      <c r="BK42" s="100">
        <v>9306</v>
      </c>
      <c r="BL42" s="100">
        <v>5.2289478880306586</v>
      </c>
      <c r="BM42" s="100">
        <v>4423.6899132739372</v>
      </c>
      <c r="BN42" s="100">
        <v>8.0585382578636935</v>
      </c>
      <c r="BO42" s="100">
        <v>6817.5233661526845</v>
      </c>
      <c r="BP42" s="100">
        <v>4.7071375725389535</v>
      </c>
      <c r="BQ42" s="100">
        <v>3982.2383863679547</v>
      </c>
      <c r="BR42" s="100">
        <v>15.967484865167101</v>
      </c>
      <c r="BS42" s="100">
        <v>13508.492195931367</v>
      </c>
      <c r="BT42" s="100">
        <v>18</v>
      </c>
      <c r="BU42" s="100">
        <v>15228</v>
      </c>
      <c r="BV42" s="100">
        <v>2.0369933605551545</v>
      </c>
      <c r="BW42" s="100">
        <v>1723.2963830296608</v>
      </c>
      <c r="BX42" s="100">
        <v>12</v>
      </c>
      <c r="BY42" s="100">
        <v>10152</v>
      </c>
      <c r="BZ42" s="100">
        <v>18</v>
      </c>
      <c r="CA42" s="100">
        <v>15228</v>
      </c>
      <c r="CB42" s="100">
        <v>17.172955237553435</v>
      </c>
      <c r="CC42" s="100">
        <v>14528.320130970205</v>
      </c>
      <c r="CD42" s="100">
        <v>1.0074226347687766E-3</v>
      </c>
      <c r="CE42" s="100">
        <v>0.85227954901438496</v>
      </c>
      <c r="CF42" s="100">
        <v>12.777015643704177</v>
      </c>
      <c r="CG42" s="100">
        <v>10809.355234573733</v>
      </c>
      <c r="CH42" s="100">
        <v>9.5347969780664159E-4</v>
      </c>
      <c r="CI42" s="100">
        <v>0.80664382434441884</v>
      </c>
      <c r="CJ42" s="100">
        <v>13.000386194289582</v>
      </c>
      <c r="CK42" s="100">
        <v>10998.326720368987</v>
      </c>
      <c r="CL42" s="100">
        <v>14</v>
      </c>
      <c r="CM42" s="100">
        <v>11844</v>
      </c>
      <c r="CN42" s="100">
        <v>7.2386188868149022</v>
      </c>
      <c r="CO42" s="100">
        <v>6123.8715782454074</v>
      </c>
      <c r="CP42" s="100">
        <v>8.4569628261906242</v>
      </c>
      <c r="CQ42" s="100">
        <v>7154.5905509572685</v>
      </c>
      <c r="CR42" s="100">
        <v>19.281139866844331</v>
      </c>
      <c r="CS42" s="100">
        <v>16311.844327350304</v>
      </c>
      <c r="CT42" s="100">
        <v>1.2800381485557611E-3</v>
      </c>
      <c r="CU42" s="100">
        <v>1.0829122736781738</v>
      </c>
    </row>
    <row r="43" spans="2:99">
      <c r="C43" s="99" t="s">
        <v>209</v>
      </c>
      <c r="D43" s="100">
        <v>12.850937045715121</v>
      </c>
      <c r="E43" s="100">
        <v>13138.798035539139</v>
      </c>
      <c r="F43" s="100">
        <v>1.1117883114100361E-3</v>
      </c>
      <c r="G43" s="100">
        <v>1.1366923695856208</v>
      </c>
      <c r="H43" s="100">
        <v>17.000502040264632</v>
      </c>
      <c r="I43" s="100">
        <v>17381.31328596656</v>
      </c>
      <c r="J43" s="100">
        <v>17</v>
      </c>
      <c r="K43" s="100">
        <v>17380.8</v>
      </c>
      <c r="L43" s="100">
        <v>9.9156952366621702</v>
      </c>
      <c r="M43" s="100">
        <v>10137.806809963402</v>
      </c>
      <c r="N43" s="100">
        <v>10.460776226168099</v>
      </c>
      <c r="O43" s="100">
        <v>10695.097613634263</v>
      </c>
      <c r="P43" s="100">
        <v>2.8753495345318631</v>
      </c>
      <c r="Q43" s="100">
        <v>2939.7573641053768</v>
      </c>
      <c r="R43" s="100">
        <v>12.087725219603318</v>
      </c>
      <c r="S43" s="100">
        <v>12358.490264522432</v>
      </c>
      <c r="T43" s="100">
        <v>5.0009789379816505</v>
      </c>
      <c r="U43" s="100">
        <v>5113.0008661924394</v>
      </c>
      <c r="V43" s="100">
        <v>8.6312804278899035E-4</v>
      </c>
      <c r="W43" s="100">
        <v>0.88246211094746374</v>
      </c>
      <c r="X43" s="100">
        <v>15.000355295805784</v>
      </c>
      <c r="Y43" s="100">
        <v>15336.363254431833</v>
      </c>
      <c r="Z43" s="100">
        <v>16</v>
      </c>
      <c r="AA43" s="100">
        <v>16358.4</v>
      </c>
      <c r="AB43" s="100">
        <v>10</v>
      </c>
      <c r="AC43" s="100">
        <v>10224</v>
      </c>
      <c r="AD43" s="100">
        <v>11.123862384546159</v>
      </c>
      <c r="AE43" s="100">
        <v>11373.036901959993</v>
      </c>
      <c r="AF43" s="100">
        <v>13.396707473070382</v>
      </c>
      <c r="AG43" s="100">
        <v>13696.793720467158</v>
      </c>
      <c r="AH43" s="100">
        <v>1.23030968626134E-3</v>
      </c>
      <c r="AI43" s="100">
        <v>1.2578686232335941</v>
      </c>
      <c r="AJ43" s="100">
        <v>14</v>
      </c>
      <c r="AK43" s="100">
        <v>14313.6</v>
      </c>
      <c r="AL43" s="100">
        <v>13</v>
      </c>
      <c r="AM43" s="100">
        <v>13291.199999999999</v>
      </c>
      <c r="AN43" s="100">
        <v>6.1276091399354442</v>
      </c>
      <c r="AO43" s="100">
        <v>6264.867584669998</v>
      </c>
      <c r="AP43" s="100">
        <v>1.2273818401299288E-3</v>
      </c>
      <c r="AQ43" s="100">
        <v>1.2548751933488391</v>
      </c>
      <c r="AR43" s="100">
        <v>12.099207361415397</v>
      </c>
      <c r="AS43" s="100">
        <v>12370.229606311101</v>
      </c>
      <c r="AT43" s="100">
        <v>11</v>
      </c>
      <c r="AU43" s="100">
        <v>11246.4</v>
      </c>
      <c r="AV43" s="100">
        <v>7.9041622303478514</v>
      </c>
      <c r="AW43" s="100">
        <v>8081.2154643076428</v>
      </c>
      <c r="AX43" s="100">
        <v>1.2042470700683765E-3</v>
      </c>
      <c r="AY43" s="100">
        <v>1.2312222044379082</v>
      </c>
      <c r="AZ43" s="100">
        <v>12.945155541636321</v>
      </c>
      <c r="BA43" s="100">
        <v>13235.127025768974</v>
      </c>
      <c r="BB43" s="100">
        <v>10.446504897228168</v>
      </c>
      <c r="BC43" s="100">
        <v>10680.506606926079</v>
      </c>
      <c r="BD43" s="100">
        <v>19.653632460298009</v>
      </c>
      <c r="BE43" s="100">
        <v>20093.873827408683</v>
      </c>
      <c r="BF43" s="100">
        <v>10.17601631739778</v>
      </c>
      <c r="BG43" s="100">
        <v>10403.95908290749</v>
      </c>
      <c r="BH43" s="100">
        <v>19</v>
      </c>
      <c r="BI43" s="100">
        <v>19425.599999999999</v>
      </c>
      <c r="BJ43" s="100">
        <v>12</v>
      </c>
      <c r="BK43" s="100">
        <v>12268.8</v>
      </c>
      <c r="BL43" s="100">
        <v>4.9155861243171453</v>
      </c>
      <c r="BM43" s="100">
        <v>5025.695253501849</v>
      </c>
      <c r="BN43" s="100">
        <v>7.506349848137214</v>
      </c>
      <c r="BO43" s="100">
        <v>7674.492084735487</v>
      </c>
      <c r="BP43" s="100">
        <v>4.7181459205912359</v>
      </c>
      <c r="BQ43" s="100">
        <v>4823.8323892124799</v>
      </c>
      <c r="BR43" s="100">
        <v>14.967484865167101</v>
      </c>
      <c r="BS43" s="100">
        <v>15302.756526146844</v>
      </c>
      <c r="BT43" s="100">
        <v>20</v>
      </c>
      <c r="BU43" s="100">
        <v>20448</v>
      </c>
      <c r="BV43" s="100">
        <v>2.0369933605551545</v>
      </c>
      <c r="BW43" s="100">
        <v>2082.62201183159</v>
      </c>
      <c r="BX43" s="100">
        <v>13</v>
      </c>
      <c r="BY43" s="100">
        <v>13291.199999999999</v>
      </c>
      <c r="BZ43" s="100">
        <v>16</v>
      </c>
      <c r="CA43" s="100">
        <v>16358.4</v>
      </c>
      <c r="CB43" s="100">
        <v>17.172955237553435</v>
      </c>
      <c r="CC43" s="100">
        <v>17557.629434874631</v>
      </c>
      <c r="CD43" s="100">
        <v>1.0074226347687766E-3</v>
      </c>
      <c r="CE43" s="100">
        <v>1.0299889017875972</v>
      </c>
      <c r="CF43" s="100">
        <v>13.60988852063711</v>
      </c>
      <c r="CG43" s="100">
        <v>13914.75002349938</v>
      </c>
      <c r="CH43" s="100">
        <v>1.040016184887132E-3</v>
      </c>
      <c r="CI43" s="100">
        <v>1.0633125474286038</v>
      </c>
      <c r="CJ43" s="100">
        <v>14.000347574860625</v>
      </c>
      <c r="CK43" s="100">
        <v>14313.955360537502</v>
      </c>
      <c r="CL43" s="100">
        <v>15</v>
      </c>
      <c r="CM43" s="100">
        <v>15336</v>
      </c>
      <c r="CN43" s="100">
        <v>6.8576389454035915</v>
      </c>
      <c r="CO43" s="100">
        <v>7011.2500577806322</v>
      </c>
      <c r="CP43" s="100">
        <v>8.4569628261906242</v>
      </c>
      <c r="CQ43" s="100">
        <v>8646.3987934972938</v>
      </c>
      <c r="CR43" s="100">
        <v>17.444840831906777</v>
      </c>
      <c r="CS43" s="100">
        <v>17835.60526654149</v>
      </c>
      <c r="CT43" s="100">
        <v>1.2186434451542964E-3</v>
      </c>
      <c r="CU43" s="100">
        <v>1.2459410583257526</v>
      </c>
    </row>
    <row r="44" spans="2:99">
      <c r="C44" s="99" t="s">
        <v>210</v>
      </c>
      <c r="D44" s="100">
        <v>12.850937045715121</v>
      </c>
      <c r="E44" s="100">
        <v>13138.798035539139</v>
      </c>
      <c r="F44" s="100">
        <v>1.1117883114100361E-3</v>
      </c>
      <c r="G44" s="100">
        <v>1.1366923695856208</v>
      </c>
      <c r="H44" s="100">
        <v>16.000446258013007</v>
      </c>
      <c r="I44" s="100">
        <v>16358.856254192498</v>
      </c>
      <c r="J44" s="100">
        <v>19</v>
      </c>
      <c r="K44" s="100">
        <v>19425.599999999999</v>
      </c>
      <c r="L44" s="100">
        <v>9.9156952366621702</v>
      </c>
      <c r="M44" s="100">
        <v>10137.806809963402</v>
      </c>
      <c r="N44" s="100">
        <v>11.085538673702979</v>
      </c>
      <c r="O44" s="100">
        <v>11333.854739993925</v>
      </c>
      <c r="P44" s="100">
        <v>3.1411678625967281</v>
      </c>
      <c r="Q44" s="100">
        <v>3211.5300227188945</v>
      </c>
      <c r="R44" s="100">
        <v>12.951759567152903</v>
      </c>
      <c r="S44" s="100">
        <v>13241.878981457128</v>
      </c>
      <c r="T44" s="100">
        <v>5.0009789379816505</v>
      </c>
      <c r="U44" s="100">
        <v>5113.0008661924394</v>
      </c>
      <c r="V44" s="100">
        <v>8.6312804278899035E-4</v>
      </c>
      <c r="W44" s="100">
        <v>0.88246211094746374</v>
      </c>
      <c r="X44" s="100">
        <v>14.000355295805784</v>
      </c>
      <c r="Y44" s="100">
        <v>14313.963254431834</v>
      </c>
      <c r="Z44" s="100">
        <v>15</v>
      </c>
      <c r="AA44" s="100">
        <v>15336</v>
      </c>
      <c r="AB44" s="100">
        <v>11</v>
      </c>
      <c r="AC44" s="100">
        <v>11246.4</v>
      </c>
      <c r="AD44" s="100">
        <v>11.123862384546159</v>
      </c>
      <c r="AE44" s="100">
        <v>11373.036901959993</v>
      </c>
      <c r="AF44" s="100">
        <v>12.559413256003484</v>
      </c>
      <c r="AG44" s="100">
        <v>12840.744112937962</v>
      </c>
      <c r="AH44" s="100">
        <v>1.23030968626134E-3</v>
      </c>
      <c r="AI44" s="100">
        <v>1.2578686232335941</v>
      </c>
      <c r="AJ44" s="100">
        <v>13</v>
      </c>
      <c r="AK44" s="100">
        <v>13291.199999999999</v>
      </c>
      <c r="AL44" s="100">
        <v>12</v>
      </c>
      <c r="AM44" s="100">
        <v>12268.8</v>
      </c>
      <c r="AN44" s="100">
        <v>6.1276091399354442</v>
      </c>
      <c r="AO44" s="100">
        <v>6264.867584669998</v>
      </c>
      <c r="AP44" s="100">
        <v>1.2273818401299288E-3</v>
      </c>
      <c r="AQ44" s="100">
        <v>1.2548751933488391</v>
      </c>
      <c r="AR44" s="100">
        <v>11.113379841617595</v>
      </c>
      <c r="AS44" s="100">
        <v>11362.319550069829</v>
      </c>
      <c r="AT44" s="100">
        <v>12</v>
      </c>
      <c r="AU44" s="100">
        <v>12268.8</v>
      </c>
      <c r="AV44" s="100">
        <v>7.3772180816579951</v>
      </c>
      <c r="AW44" s="100">
        <v>7542.4677666871339</v>
      </c>
      <c r="AX44" s="100">
        <v>1.0631773065129788E-3</v>
      </c>
      <c r="AY44" s="100">
        <v>1.0869924781788696</v>
      </c>
      <c r="AZ44" s="100">
        <v>13.638514131802559</v>
      </c>
      <c r="BA44" s="100">
        <v>13944.016848354935</v>
      </c>
      <c r="BB44" s="100">
        <v>8.6165304183668265</v>
      </c>
      <c r="BC44" s="100">
        <v>8809.5406997382433</v>
      </c>
      <c r="BD44" s="100">
        <v>19.784358952357614</v>
      </c>
      <c r="BE44" s="100">
        <v>20227.528592890423</v>
      </c>
      <c r="BF44" s="100">
        <v>11.62973293416889</v>
      </c>
      <c r="BG44" s="100">
        <v>11890.238951894273</v>
      </c>
      <c r="BH44" s="100">
        <v>20</v>
      </c>
      <c r="BI44" s="100">
        <v>20448</v>
      </c>
      <c r="BJ44" s="100">
        <v>12</v>
      </c>
      <c r="BK44" s="100">
        <v>12268.8</v>
      </c>
      <c r="BL44" s="100">
        <v>5.2289478880306586</v>
      </c>
      <c r="BM44" s="100">
        <v>5346.0763207225455</v>
      </c>
      <c r="BN44" s="100">
        <v>7.9616910754133876</v>
      </c>
      <c r="BO44" s="100">
        <v>8140.0329555026474</v>
      </c>
      <c r="BP44" s="100">
        <v>4.177316027412866</v>
      </c>
      <c r="BQ44" s="100">
        <v>4270.887906426914</v>
      </c>
      <c r="BR44" s="100">
        <v>17.967484865167101</v>
      </c>
      <c r="BS44" s="100">
        <v>18369.956526146845</v>
      </c>
      <c r="BT44" s="100">
        <v>17</v>
      </c>
      <c r="BU44" s="100">
        <v>17380.8</v>
      </c>
      <c r="BV44" s="100">
        <v>1.9297831836838306</v>
      </c>
      <c r="BW44" s="100">
        <v>1973.0103269983483</v>
      </c>
      <c r="BX44" s="100">
        <v>14</v>
      </c>
      <c r="BY44" s="100">
        <v>14313.6</v>
      </c>
      <c r="BZ44" s="100">
        <v>17</v>
      </c>
      <c r="CA44" s="100">
        <v>17380.8</v>
      </c>
      <c r="CB44" s="100">
        <v>17.172955237553435</v>
      </c>
      <c r="CC44" s="100">
        <v>17557.629434874631</v>
      </c>
      <c r="CD44" s="100">
        <v>1.0074226347687766E-3</v>
      </c>
      <c r="CE44" s="100">
        <v>1.0299889017875972</v>
      </c>
      <c r="CF44" s="100">
        <v>13.712502638720061</v>
      </c>
      <c r="CG44" s="100">
        <v>14019.662697827389</v>
      </c>
      <c r="CH44" s="100">
        <v>9.5426886776726492E-4</v>
      </c>
      <c r="CI44" s="100">
        <v>0.97564449040525159</v>
      </c>
      <c r="CJ44" s="100">
        <v>14.000347574860625</v>
      </c>
      <c r="CK44" s="100">
        <v>14313.955360537502</v>
      </c>
      <c r="CL44" s="100">
        <v>14</v>
      </c>
      <c r="CM44" s="100">
        <v>14313.6</v>
      </c>
      <c r="CN44" s="100">
        <v>6.8576389454035915</v>
      </c>
      <c r="CO44" s="100">
        <v>7011.2500577806322</v>
      </c>
      <c r="CP44" s="100">
        <v>8.4569628261906242</v>
      </c>
      <c r="CQ44" s="100">
        <v>8646.3987934972938</v>
      </c>
      <c r="CR44" s="100">
        <v>19.281139866844331</v>
      </c>
      <c r="CS44" s="100">
        <v>19713.037399861645</v>
      </c>
      <c r="CT44" s="100">
        <v>1.2195685074417963E-3</v>
      </c>
      <c r="CU44" s="100">
        <v>1.2468868420084926</v>
      </c>
    </row>
    <row r="45" spans="2:99">
      <c r="C45" s="99" t="s">
        <v>211</v>
      </c>
      <c r="D45" s="100">
        <v>11.994207909334113</v>
      </c>
      <c r="E45" s="100">
        <v>14983.164520340175</v>
      </c>
      <c r="F45" s="100">
        <v>9.8825627680892091E-4</v>
      </c>
      <c r="G45" s="100">
        <v>1.234529740989704</v>
      </c>
      <c r="H45" s="100">
        <v>17.000446258013007</v>
      </c>
      <c r="I45" s="100">
        <v>21236.957465509848</v>
      </c>
      <c r="J45" s="100">
        <v>19</v>
      </c>
      <c r="K45" s="100">
        <v>23734.799999999999</v>
      </c>
      <c r="L45" s="100">
        <v>9.9156952366621702</v>
      </c>
      <c r="M45" s="100">
        <v>12386.686489638383</v>
      </c>
      <c r="N45" s="100">
        <v>10.480799398908706</v>
      </c>
      <c r="O45" s="100">
        <v>13092.614609116756</v>
      </c>
      <c r="P45" s="100">
        <v>3.4184159934975518</v>
      </c>
      <c r="Q45" s="100">
        <v>4270.2852590771417</v>
      </c>
      <c r="R45" s="100">
        <v>10.951759567152903</v>
      </c>
      <c r="S45" s="100">
        <v>13680.938051287407</v>
      </c>
      <c r="T45" s="100">
        <v>4.500881044183485</v>
      </c>
      <c r="U45" s="100">
        <v>5622.5006003940098</v>
      </c>
      <c r="V45" s="100">
        <v>8.6456604260964334E-4</v>
      </c>
      <c r="W45" s="100">
        <v>1.0800159004279666</v>
      </c>
      <c r="X45" s="100">
        <v>15.000355295805784</v>
      </c>
      <c r="Y45" s="100">
        <v>18738.443835520586</v>
      </c>
      <c r="Z45" s="100">
        <v>15</v>
      </c>
      <c r="AA45" s="100">
        <v>18738</v>
      </c>
      <c r="AB45" s="100">
        <v>10</v>
      </c>
      <c r="AC45" s="100">
        <v>12492</v>
      </c>
      <c r="AD45" s="100">
        <v>11.123862384546159</v>
      </c>
      <c r="AE45" s="100">
        <v>13895.928890775063</v>
      </c>
      <c r="AF45" s="100">
        <v>12.559413256003484</v>
      </c>
      <c r="AG45" s="100">
        <v>15689.219039399553</v>
      </c>
      <c r="AH45" s="100">
        <v>1.23030968626134E-3</v>
      </c>
      <c r="AI45" s="100">
        <v>1.536902860077666</v>
      </c>
      <c r="AJ45" s="100">
        <v>15</v>
      </c>
      <c r="AK45" s="100">
        <v>18738</v>
      </c>
      <c r="AL45" s="100">
        <v>11</v>
      </c>
      <c r="AM45" s="100">
        <v>13741.2</v>
      </c>
      <c r="AN45" s="100">
        <v>6.638243234930064</v>
      </c>
      <c r="AO45" s="100">
        <v>8292.4934490746364</v>
      </c>
      <c r="AP45" s="100">
        <v>1.3645524930318376E-3</v>
      </c>
      <c r="AQ45" s="100">
        <v>1.7045989742953715</v>
      </c>
      <c r="AR45" s="100">
        <v>10.099207361415397</v>
      </c>
      <c r="AS45" s="100">
        <v>12615.929835880115</v>
      </c>
      <c r="AT45" s="100">
        <v>10</v>
      </c>
      <c r="AU45" s="100">
        <v>12492</v>
      </c>
      <c r="AV45" s="100">
        <v>7.9041622303478514</v>
      </c>
      <c r="AW45" s="100">
        <v>9873.8794581505372</v>
      </c>
      <c r="AX45" s="100">
        <v>9.9779650458277618E-4</v>
      </c>
      <c r="AY45" s="100">
        <v>1.2464473935248042</v>
      </c>
      <c r="AZ45" s="100">
        <v>12.945155541636321</v>
      </c>
      <c r="BA45" s="100">
        <v>16171.088302612094</v>
      </c>
      <c r="BB45" s="100">
        <v>8.5202063386219944</v>
      </c>
      <c r="BC45" s="100">
        <v>10643.441758206596</v>
      </c>
      <c r="BD45" s="100">
        <v>18.653632460298009</v>
      </c>
      <c r="BE45" s="100">
        <v>23302.117669404273</v>
      </c>
      <c r="BF45" s="100">
        <v>10.17601631739778</v>
      </c>
      <c r="BG45" s="100">
        <v>12711.879583693308</v>
      </c>
      <c r="BH45" s="100">
        <v>18</v>
      </c>
      <c r="BI45" s="100">
        <v>22485.600000000002</v>
      </c>
      <c r="BJ45" s="100">
        <v>11</v>
      </c>
      <c r="BK45" s="100">
        <v>13741.2</v>
      </c>
      <c r="BL45" s="100">
        <v>5.5204869639443803</v>
      </c>
      <c r="BM45" s="100">
        <v>6896.1923153593198</v>
      </c>
      <c r="BN45" s="100">
        <v>6.3264009947598563</v>
      </c>
      <c r="BO45" s="100">
        <v>7902.9401226540131</v>
      </c>
      <c r="BP45" s="100">
        <v>4.7071375725389535</v>
      </c>
      <c r="BQ45" s="100">
        <v>5880.1562556156605</v>
      </c>
      <c r="BR45" s="100">
        <v>17.08842047331299</v>
      </c>
      <c r="BS45" s="100">
        <v>21346.854855262587</v>
      </c>
      <c r="BT45" s="100">
        <v>18</v>
      </c>
      <c r="BU45" s="100">
        <v>22485.600000000002</v>
      </c>
      <c r="BV45" s="100">
        <v>2.0369933605551545</v>
      </c>
      <c r="BW45" s="100">
        <v>2544.6121060054988</v>
      </c>
      <c r="BX45" s="100">
        <v>12</v>
      </c>
      <c r="BY45" s="100">
        <v>14990.400000000001</v>
      </c>
      <c r="BZ45" s="100">
        <v>14</v>
      </c>
      <c r="CA45" s="100">
        <v>17488.8</v>
      </c>
      <c r="CB45" s="100">
        <v>14.461435989518682</v>
      </c>
      <c r="CC45" s="100">
        <v>18065.225838106737</v>
      </c>
      <c r="CD45" s="100">
        <v>9.4026112578419162E-4</v>
      </c>
      <c r="CE45" s="100">
        <v>1.1745741983296123</v>
      </c>
      <c r="CF45" s="100">
        <v>12.777015643704177</v>
      </c>
      <c r="CG45" s="100">
        <v>15961.047942115258</v>
      </c>
      <c r="CH45" s="100">
        <v>8.6773238068677439E-4</v>
      </c>
      <c r="CI45" s="100">
        <v>1.0839712899539187</v>
      </c>
      <c r="CJ45" s="100">
        <v>12.000347574860625</v>
      </c>
      <c r="CK45" s="100">
        <v>14990.834190515892</v>
      </c>
      <c r="CL45" s="100">
        <v>14</v>
      </c>
      <c r="CM45" s="100">
        <v>17488.8</v>
      </c>
      <c r="CN45" s="100">
        <v>6.8576389454035915</v>
      </c>
      <c r="CO45" s="100">
        <v>8566.5625705981674</v>
      </c>
      <c r="CP45" s="100">
        <v>8.9267940943123261</v>
      </c>
      <c r="CQ45" s="100">
        <v>11151.351182614959</v>
      </c>
      <c r="CR45" s="100">
        <v>18.581452191552394</v>
      </c>
      <c r="CS45" s="100">
        <v>23211.950077687252</v>
      </c>
      <c r="CT45" s="100">
        <v>1.2186434451542964E-3</v>
      </c>
      <c r="CU45" s="100">
        <v>1.5223293916867471</v>
      </c>
    </row>
    <row r="46" spans="2:99">
      <c r="C46" s="99" t="s">
        <v>212</v>
      </c>
      <c r="D46" s="100">
        <v>11.994207909334113</v>
      </c>
      <c r="E46" s="100">
        <v>14536.979986112945</v>
      </c>
      <c r="F46" s="100">
        <v>1.0500222941094786E-3</v>
      </c>
      <c r="G46" s="100">
        <v>1.272627020460688</v>
      </c>
      <c r="H46" s="100">
        <v>17.000446258013007</v>
      </c>
      <c r="I46" s="100">
        <v>20604.540864711766</v>
      </c>
      <c r="J46" s="100">
        <v>16</v>
      </c>
      <c r="K46" s="100">
        <v>19392</v>
      </c>
      <c r="L46" s="100">
        <v>9.0893873002736569</v>
      </c>
      <c r="M46" s="100">
        <v>11016.337407931673</v>
      </c>
      <c r="N46" s="100">
        <v>11.670254775756639</v>
      </c>
      <c r="O46" s="100">
        <v>14144.348788217047</v>
      </c>
      <c r="P46" s="100">
        <v>3.4184159934975518</v>
      </c>
      <c r="Q46" s="100">
        <v>4143.1201841190332</v>
      </c>
      <c r="R46" s="100">
        <v>12.087725219603318</v>
      </c>
      <c r="S46" s="100">
        <v>14650.322966159221</v>
      </c>
      <c r="T46" s="100">
        <v>5.501076831779816</v>
      </c>
      <c r="U46" s="100">
        <v>6667.3051201171365</v>
      </c>
      <c r="V46" s="100">
        <v>8.6456604260964334E-4</v>
      </c>
      <c r="W46" s="100">
        <v>1.0478540436428878</v>
      </c>
      <c r="X46" s="100">
        <v>15.000355295805784</v>
      </c>
      <c r="Y46" s="100">
        <v>18180.43061851661</v>
      </c>
      <c r="Z46" s="100">
        <v>17</v>
      </c>
      <c r="AA46" s="100">
        <v>20604</v>
      </c>
      <c r="AB46" s="100">
        <v>10</v>
      </c>
      <c r="AC46" s="100">
        <v>12120</v>
      </c>
      <c r="AD46" s="100">
        <v>11.123862384546159</v>
      </c>
      <c r="AE46" s="100">
        <v>13482.121210069945</v>
      </c>
      <c r="AF46" s="100">
        <v>11.722119038936587</v>
      </c>
      <c r="AG46" s="100">
        <v>14207.208275191142</v>
      </c>
      <c r="AH46" s="100">
        <v>1.0360502621148127E-3</v>
      </c>
      <c r="AI46" s="100">
        <v>1.2556929176831528</v>
      </c>
      <c r="AJ46" s="100">
        <v>13</v>
      </c>
      <c r="AK46" s="100">
        <v>15756</v>
      </c>
      <c r="AL46" s="100">
        <v>11</v>
      </c>
      <c r="AM46" s="100">
        <v>13332</v>
      </c>
      <c r="AN46" s="100">
        <v>6.638243234930064</v>
      </c>
      <c r="AO46" s="100">
        <v>8045.5508007352373</v>
      </c>
      <c r="AP46" s="100">
        <v>1.22387148067486E-3</v>
      </c>
      <c r="AQ46" s="100">
        <v>1.4833322345779303</v>
      </c>
      <c r="AR46" s="100">
        <v>12.099207361415397</v>
      </c>
      <c r="AS46" s="100">
        <v>14664.239322035461</v>
      </c>
      <c r="AT46" s="100">
        <v>11</v>
      </c>
      <c r="AU46" s="100">
        <v>13332</v>
      </c>
      <c r="AV46" s="100">
        <v>7.9041622303478514</v>
      </c>
      <c r="AW46" s="100">
        <v>9579.844623181596</v>
      </c>
      <c r="AX46" s="100">
        <v>9.9779650458277618E-4</v>
      </c>
      <c r="AY46" s="100">
        <v>1.2093293635543247</v>
      </c>
      <c r="AZ46" s="100">
        <v>14.973597876730141</v>
      </c>
      <c r="BA46" s="100">
        <v>18148.000626596931</v>
      </c>
      <c r="BB46" s="100">
        <v>9.1623058581573851</v>
      </c>
      <c r="BC46" s="100">
        <v>11104.71470008675</v>
      </c>
      <c r="BD46" s="100">
        <v>20.784358952357614</v>
      </c>
      <c r="BE46" s="100">
        <v>25190.643050257429</v>
      </c>
      <c r="BF46" s="100">
        <v>10.17601631739778</v>
      </c>
      <c r="BG46" s="100">
        <v>12333.331776686109</v>
      </c>
      <c r="BH46" s="100">
        <v>17</v>
      </c>
      <c r="BI46" s="100">
        <v>20604</v>
      </c>
      <c r="BJ46" s="100">
        <v>11</v>
      </c>
      <c r="BK46" s="100">
        <v>13332</v>
      </c>
      <c r="BL46" s="100">
        <v>5.5204869639443803</v>
      </c>
      <c r="BM46" s="100">
        <v>6690.8302003005892</v>
      </c>
      <c r="BN46" s="100">
        <v>6.3264009947598563</v>
      </c>
      <c r="BO46" s="100">
        <v>7667.5980056489461</v>
      </c>
      <c r="BP46" s="100">
        <v>4.7181459205912359</v>
      </c>
      <c r="BQ46" s="100">
        <v>5718.3928557565778</v>
      </c>
      <c r="BR46" s="100">
        <v>16.967484865167101</v>
      </c>
      <c r="BS46" s="100">
        <v>20564.591656582528</v>
      </c>
      <c r="BT46" s="100">
        <v>20</v>
      </c>
      <c r="BU46" s="100">
        <v>24240</v>
      </c>
      <c r="BV46" s="100">
        <v>2.2514137142978021</v>
      </c>
      <c r="BW46" s="100">
        <v>2728.7134217289363</v>
      </c>
      <c r="BX46" s="100">
        <v>14</v>
      </c>
      <c r="BY46" s="100">
        <v>16968</v>
      </c>
      <c r="BZ46" s="100">
        <v>17</v>
      </c>
      <c r="CA46" s="100">
        <v>20604</v>
      </c>
      <c r="CB46" s="100">
        <v>17.172955237553435</v>
      </c>
      <c r="CC46" s="100">
        <v>20813.621747914764</v>
      </c>
      <c r="CD46" s="100">
        <v>1.0745841437533618E-3</v>
      </c>
      <c r="CE46" s="100">
        <v>1.3023959822290745</v>
      </c>
      <c r="CF46" s="100">
        <v>13.60988852063711</v>
      </c>
      <c r="CG46" s="100">
        <v>16495.184887012176</v>
      </c>
      <c r="CH46" s="100">
        <v>8.6773238068677439E-4</v>
      </c>
      <c r="CI46" s="100">
        <v>1.0516916453923706</v>
      </c>
      <c r="CJ46" s="100">
        <v>13.000347574860625</v>
      </c>
      <c r="CK46" s="100">
        <v>15756.421260731076</v>
      </c>
      <c r="CL46" s="100">
        <v>14</v>
      </c>
      <c r="CM46" s="100">
        <v>16968</v>
      </c>
      <c r="CN46" s="100">
        <v>7.2386188868149022</v>
      </c>
      <c r="CO46" s="100">
        <v>8773.2060908196618</v>
      </c>
      <c r="CP46" s="100">
        <v>7.9871315580689233</v>
      </c>
      <c r="CQ46" s="100">
        <v>9680.4034483795349</v>
      </c>
      <c r="CR46" s="100">
        <v>19.281139866844331</v>
      </c>
      <c r="CS46" s="100">
        <v>23368.74151861533</v>
      </c>
      <c r="CT46" s="100">
        <v>1.2186434451542964E-3</v>
      </c>
      <c r="CU46" s="100">
        <v>1.4769958555270073</v>
      </c>
    </row>
    <row r="47" spans="2:99">
      <c r="C47" s="99" t="s">
        <v>213</v>
      </c>
      <c r="D47" s="100">
        <v>11.137478772953106</v>
      </c>
      <c r="E47" s="100">
        <v>17013.612573563165</v>
      </c>
      <c r="F47" s="100">
        <v>9.8825627680892091E-4</v>
      </c>
      <c r="G47" s="100">
        <v>1.5096602884533075</v>
      </c>
      <c r="H47" s="100">
        <v>16.000446258013007</v>
      </c>
      <c r="I47" s="100">
        <v>24442.281703740668</v>
      </c>
      <c r="J47" s="100">
        <v>16</v>
      </c>
      <c r="K47" s="100">
        <v>24441.599999999999</v>
      </c>
      <c r="L47" s="100">
        <v>8.2630793638851419</v>
      </c>
      <c r="M47" s="100">
        <v>12622.680036270942</v>
      </c>
      <c r="N47" s="100">
        <v>9.836013778633216</v>
      </c>
      <c r="O47" s="100">
        <v>15025.494648240099</v>
      </c>
      <c r="P47" s="100">
        <v>2.8639197316959044</v>
      </c>
      <c r="Q47" s="100">
        <v>4374.9237821386632</v>
      </c>
      <c r="R47" s="100">
        <v>10.951759567152903</v>
      </c>
      <c r="S47" s="100">
        <v>16729.907914782772</v>
      </c>
      <c r="T47" s="100">
        <v>4.500881044183485</v>
      </c>
      <c r="U47" s="100">
        <v>6875.5458830946909</v>
      </c>
      <c r="V47" s="100">
        <v>7.8557694787586131E-4</v>
      </c>
      <c r="W47" s="100">
        <v>1.2000473455751657</v>
      </c>
      <c r="X47" s="100">
        <v>14.000310883830061</v>
      </c>
      <c r="Y47" s="100">
        <v>21386.874906138801</v>
      </c>
      <c r="Z47" s="100">
        <v>16</v>
      </c>
      <c r="AA47" s="100">
        <v>24441.599999999999</v>
      </c>
      <c r="AB47" s="100">
        <v>9</v>
      </c>
      <c r="AC47" s="100">
        <v>13748.4</v>
      </c>
      <c r="AD47" s="100">
        <v>10.268180662657992</v>
      </c>
      <c r="AE47" s="100">
        <v>15685.672780276347</v>
      </c>
      <c r="AF47" s="100">
        <v>11.722119038936587</v>
      </c>
      <c r="AG47" s="100">
        <v>17906.709043879528</v>
      </c>
      <c r="AH47" s="100">
        <v>1.0360502621148127E-3</v>
      </c>
      <c r="AI47" s="100">
        <v>1.5826703804065878</v>
      </c>
      <c r="AJ47" s="100">
        <v>15</v>
      </c>
      <c r="AK47" s="100">
        <v>22914</v>
      </c>
      <c r="AL47" s="100">
        <v>11</v>
      </c>
      <c r="AM47" s="100">
        <v>16803.599999999999</v>
      </c>
      <c r="AN47" s="100">
        <v>6.638243234930064</v>
      </c>
      <c r="AO47" s="100">
        <v>10140.580365679165</v>
      </c>
      <c r="AP47" s="100">
        <v>1.3610421335767688E-3</v>
      </c>
      <c r="AQ47" s="100">
        <v>2.0791279632518718</v>
      </c>
      <c r="AR47" s="100">
        <v>10.113379841617595</v>
      </c>
      <c r="AS47" s="100">
        <v>15449.199046055037</v>
      </c>
      <c r="AT47" s="100">
        <v>11</v>
      </c>
      <c r="AU47" s="100">
        <v>16803.599999999999</v>
      </c>
      <c r="AV47" s="100">
        <v>7.3772180816579951</v>
      </c>
      <c r="AW47" s="100">
        <v>11269.438341540752</v>
      </c>
      <c r="AX47" s="100">
        <v>1.0631773065129788E-3</v>
      </c>
      <c r="AY47" s="100">
        <v>1.6241096534292263</v>
      </c>
      <c r="AZ47" s="100">
        <v>13.586880696397666</v>
      </c>
      <c r="BA47" s="100">
        <v>20755.318951817073</v>
      </c>
      <c r="BB47" s="100">
        <v>8.5178684719778541</v>
      </c>
      <c r="BC47" s="100">
        <v>13011.895877793369</v>
      </c>
      <c r="BD47" s="100">
        <v>17.653632460298009</v>
      </c>
      <c r="BE47" s="100">
        <v>26967.688946351238</v>
      </c>
      <c r="BF47" s="100">
        <v>9.4491580090122245</v>
      </c>
      <c r="BG47" s="100">
        <v>14434.533774567073</v>
      </c>
      <c r="BH47" s="100">
        <v>19</v>
      </c>
      <c r="BI47" s="100">
        <v>29024.399999999998</v>
      </c>
      <c r="BJ47" s="100">
        <v>11</v>
      </c>
      <c r="BK47" s="100">
        <v>16803.599999999999</v>
      </c>
      <c r="BL47" s="100">
        <v>4.9264974682170406</v>
      </c>
      <c r="BM47" s="100">
        <v>7525.7175324483505</v>
      </c>
      <c r="BN47" s="100">
        <v>6.3011681459829969</v>
      </c>
      <c r="BO47" s="100">
        <v>9625.6644598036255</v>
      </c>
      <c r="BP47" s="100">
        <v>4.1883243754651467</v>
      </c>
      <c r="BQ47" s="100">
        <v>6398.0843159605574</v>
      </c>
      <c r="BR47" s="100">
        <v>14.846549257021213</v>
      </c>
      <c r="BS47" s="100">
        <v>22679.588645025604</v>
      </c>
      <c r="BT47" s="100">
        <v>18</v>
      </c>
      <c r="BU47" s="100">
        <v>27496.799999999999</v>
      </c>
      <c r="BV47" s="100">
        <v>1.9297831836838306</v>
      </c>
      <c r="BW47" s="100">
        <v>2947.9367913954193</v>
      </c>
      <c r="BX47" s="100">
        <v>13</v>
      </c>
      <c r="BY47" s="100">
        <v>19858.8</v>
      </c>
      <c r="BZ47" s="100">
        <v>15</v>
      </c>
      <c r="CA47" s="100">
        <v>22914</v>
      </c>
      <c r="CB47" s="100">
        <v>15.365275738863598</v>
      </c>
      <c r="CC47" s="100">
        <v>23471.995218688033</v>
      </c>
      <c r="CD47" s="100">
        <v>9.4026112578419162E-4</v>
      </c>
      <c r="CE47" s="100">
        <v>1.4363428957479309</v>
      </c>
      <c r="CF47" s="100">
        <v>13.60988852063711</v>
      </c>
      <c r="CG47" s="100">
        <v>20790.465704125247</v>
      </c>
      <c r="CH47" s="100">
        <v>7.8119589360628385E-4</v>
      </c>
      <c r="CI47" s="100">
        <v>1.1933548470729591</v>
      </c>
      <c r="CJ47" s="100">
        <v>13.000347574860625</v>
      </c>
      <c r="CK47" s="100">
        <v>19859.330955357087</v>
      </c>
      <c r="CL47" s="100">
        <v>15</v>
      </c>
      <c r="CM47" s="100">
        <v>22914</v>
      </c>
      <c r="CN47" s="100">
        <v>6.4766590039922809</v>
      </c>
      <c r="CO47" s="100">
        <v>9893.7442944986069</v>
      </c>
      <c r="CP47" s="100">
        <v>8.4569628261906242</v>
      </c>
      <c r="CQ47" s="100">
        <v>12918.856413288797</v>
      </c>
      <c r="CR47" s="100">
        <v>19.281139866844331</v>
      </c>
      <c r="CS47" s="100">
        <v>29453.869260591397</v>
      </c>
      <c r="CT47" s="100">
        <v>1.2195685074417963E-3</v>
      </c>
      <c r="CU47" s="100">
        <v>1.863012851968088</v>
      </c>
    </row>
    <row r="48" spans="2:99">
      <c r="C48" s="99" t="s">
        <v>214</v>
      </c>
      <c r="D48" s="100">
        <v>11.994207909334113</v>
      </c>
      <c r="E48" s="100">
        <v>10406.174782138276</v>
      </c>
      <c r="F48" s="100">
        <v>1.0500222941094786E-3</v>
      </c>
      <c r="G48" s="100">
        <v>0.91099934236938362</v>
      </c>
      <c r="H48" s="100">
        <v>15.000502040264633</v>
      </c>
      <c r="I48" s="100">
        <v>13014.435570133597</v>
      </c>
      <c r="J48" s="100">
        <v>18</v>
      </c>
      <c r="K48" s="100">
        <v>15616.800000000001</v>
      </c>
      <c r="L48" s="100">
        <v>9.9156952366621702</v>
      </c>
      <c r="M48" s="100">
        <v>8602.8571873280998</v>
      </c>
      <c r="N48" s="100">
        <v>11.085538673702979</v>
      </c>
      <c r="O48" s="100">
        <v>9617.8133533047057</v>
      </c>
      <c r="P48" s="100">
        <v>2.8753495345318631</v>
      </c>
      <c r="Q48" s="100">
        <v>2494.6532561598447</v>
      </c>
      <c r="R48" s="100">
        <v>13.951759567152903</v>
      </c>
      <c r="S48" s="100">
        <v>12104.546600461859</v>
      </c>
      <c r="T48" s="100">
        <v>5.501076831779816</v>
      </c>
      <c r="U48" s="100">
        <v>4772.7342592521682</v>
      </c>
      <c r="V48" s="100">
        <v>7.8557694787586131E-4</v>
      </c>
      <c r="W48" s="100">
        <v>0.68156655997709725</v>
      </c>
      <c r="X48" s="100">
        <v>15.000355295805784</v>
      </c>
      <c r="Y48" s="100">
        <v>13014.308254641099</v>
      </c>
      <c r="Z48" s="100">
        <v>17</v>
      </c>
      <c r="AA48" s="100">
        <v>14749.2</v>
      </c>
      <c r="AB48" s="100">
        <v>9</v>
      </c>
      <c r="AC48" s="100">
        <v>7808.4000000000005</v>
      </c>
      <c r="AD48" s="100">
        <v>11.979544106434325</v>
      </c>
      <c r="AE48" s="100">
        <v>10393.452466742421</v>
      </c>
      <c r="AF48" s="100">
        <v>13.396707473070382</v>
      </c>
      <c r="AG48" s="100">
        <v>11622.983403635864</v>
      </c>
      <c r="AH48" s="100">
        <v>1.1008034034969885E-3</v>
      </c>
      <c r="AI48" s="100">
        <v>0.95505703287398724</v>
      </c>
      <c r="AJ48" s="100">
        <v>16</v>
      </c>
      <c r="AK48" s="100">
        <v>13881.6</v>
      </c>
      <c r="AL48" s="100">
        <v>12</v>
      </c>
      <c r="AM48" s="100">
        <v>10411.200000000001</v>
      </c>
      <c r="AN48" s="100">
        <v>6.1276091399354442</v>
      </c>
      <c r="AO48" s="100">
        <v>5316.313689807992</v>
      </c>
      <c r="AP48" s="100">
        <v>1.3680628524869063E-3</v>
      </c>
      <c r="AQ48" s="100">
        <v>1.1869313308176399</v>
      </c>
      <c r="AR48" s="100">
        <v>12.113379841617595</v>
      </c>
      <c r="AS48" s="100">
        <v>10509.568350587426</v>
      </c>
      <c r="AT48" s="100">
        <v>11</v>
      </c>
      <c r="AU48" s="100">
        <v>9543.6</v>
      </c>
      <c r="AV48" s="100">
        <v>7.3772180816579951</v>
      </c>
      <c r="AW48" s="100">
        <v>6400.4744076464767</v>
      </c>
      <c r="AX48" s="100">
        <v>1.2042470700683765E-3</v>
      </c>
      <c r="AY48" s="100">
        <v>1.0448047579913236</v>
      </c>
      <c r="AZ48" s="100">
        <v>12.945155541636321</v>
      </c>
      <c r="BA48" s="100">
        <v>11231.216947923673</v>
      </c>
      <c r="BB48" s="100">
        <v>9.0636439117684127</v>
      </c>
      <c r="BC48" s="100">
        <v>7863.6174578502751</v>
      </c>
      <c r="BD48" s="100">
        <v>21.653632460298009</v>
      </c>
      <c r="BE48" s="100">
        <v>18786.691522554553</v>
      </c>
      <c r="BF48" s="100">
        <v>11.62973293416889</v>
      </c>
      <c r="BG48" s="100">
        <v>10089.956293684929</v>
      </c>
      <c r="BH48" s="100">
        <v>22</v>
      </c>
      <c r="BI48" s="100">
        <v>19087.2</v>
      </c>
      <c r="BJ48" s="100">
        <v>10</v>
      </c>
      <c r="BK48" s="100">
        <v>8676</v>
      </c>
      <c r="BL48" s="100">
        <v>5.5313983078442757</v>
      </c>
      <c r="BM48" s="100">
        <v>4799.041171885694</v>
      </c>
      <c r="BN48" s="100">
        <v>6.9541614384107344</v>
      </c>
      <c r="BO48" s="100">
        <v>6033.4304639651536</v>
      </c>
      <c r="BP48" s="100">
        <v>4.7181459205912359</v>
      </c>
      <c r="BQ48" s="100">
        <v>4093.4634007049563</v>
      </c>
      <c r="BR48" s="100">
        <v>16.967484865167101</v>
      </c>
      <c r="BS48" s="100">
        <v>14720.989869018977</v>
      </c>
      <c r="BT48" s="100">
        <v>21</v>
      </c>
      <c r="BU48" s="100">
        <v>18219.600000000002</v>
      </c>
      <c r="BV48" s="100">
        <v>2.0369933605551545</v>
      </c>
      <c r="BW48" s="100">
        <v>1767.2954396176519</v>
      </c>
      <c r="BX48" s="100">
        <v>13</v>
      </c>
      <c r="BY48" s="100">
        <v>11278.800000000001</v>
      </c>
      <c r="BZ48" s="100">
        <v>17</v>
      </c>
      <c r="CA48" s="100">
        <v>14749.2</v>
      </c>
      <c r="CB48" s="100">
        <v>17.172955237553435</v>
      </c>
      <c r="CC48" s="100">
        <v>14899.255964101359</v>
      </c>
      <c r="CD48" s="100">
        <v>1.141745652737947E-3</v>
      </c>
      <c r="CE48" s="100">
        <v>0.99057852831544291</v>
      </c>
      <c r="CF48" s="100">
        <v>13.712502638720061</v>
      </c>
      <c r="CG48" s="100">
        <v>11896.967289353524</v>
      </c>
      <c r="CH48" s="100">
        <v>9.5426886776726492E-4</v>
      </c>
      <c r="CI48" s="100">
        <v>0.82792366967487907</v>
      </c>
      <c r="CJ48" s="100">
        <v>14.000308955431667</v>
      </c>
      <c r="CK48" s="100">
        <v>12146.668049732514</v>
      </c>
      <c r="CL48" s="100">
        <v>15</v>
      </c>
      <c r="CM48" s="100">
        <v>13014</v>
      </c>
      <c r="CN48" s="100">
        <v>7.2386188868149022</v>
      </c>
      <c r="CO48" s="100">
        <v>6280.2257462006091</v>
      </c>
      <c r="CP48" s="100">
        <v>9.866456630555728</v>
      </c>
      <c r="CQ48" s="100">
        <v>8560.1377726701503</v>
      </c>
      <c r="CR48" s="100">
        <v>20.199289384313111</v>
      </c>
      <c r="CS48" s="100">
        <v>17524.903469830057</v>
      </c>
      <c r="CT48" s="100">
        <v>1.4000523684961912E-3</v>
      </c>
      <c r="CU48" s="100">
        <v>1.2146854349072955</v>
      </c>
    </row>
    <row r="49" spans="2:99">
      <c r="B49" s="99" t="s">
        <v>129</v>
      </c>
      <c r="C49" s="99" t="s">
        <v>215</v>
      </c>
      <c r="D49" s="100">
        <v>3.5996141517480833</v>
      </c>
      <c r="E49" s="100">
        <v>3546.3398623022113</v>
      </c>
      <c r="F49" s="100">
        <v>9.7202579143674903</v>
      </c>
      <c r="G49" s="100">
        <v>9576.3980972348509</v>
      </c>
      <c r="H49" s="100">
        <v>7.3338219587645765</v>
      </c>
      <c r="I49" s="100">
        <v>7225.2813937748606</v>
      </c>
      <c r="J49" s="100">
        <v>5.2290089733235758</v>
      </c>
      <c r="K49" s="100">
        <v>5151.6196405183864</v>
      </c>
      <c r="L49" s="100">
        <v>5.1952472787019613E-4</v>
      </c>
      <c r="M49" s="100">
        <v>0.51183576189771718</v>
      </c>
      <c r="N49" s="100">
        <v>6.000284952764642</v>
      </c>
      <c r="O49" s="100">
        <v>5911.4807354637251</v>
      </c>
      <c r="P49" s="100">
        <v>6.9425892515751082</v>
      </c>
      <c r="Q49" s="100">
        <v>6839.8389306517965</v>
      </c>
      <c r="R49" s="100">
        <v>6.3408950933819446</v>
      </c>
      <c r="S49" s="100">
        <v>6247.0498459998917</v>
      </c>
      <c r="T49" s="100">
        <v>5.7474892049440101</v>
      </c>
      <c r="U49" s="100">
        <v>5662.4263647108382</v>
      </c>
      <c r="V49" s="100">
        <v>6.7065295061784616</v>
      </c>
      <c r="W49" s="100">
        <v>6607.2728694870202</v>
      </c>
      <c r="X49" s="100">
        <v>8.5395818381522073</v>
      </c>
      <c r="Y49" s="100">
        <v>8413.1960269475549</v>
      </c>
      <c r="Z49" s="100">
        <v>4.7964051443782569</v>
      </c>
      <c r="AA49" s="100">
        <v>4725.4183482414583</v>
      </c>
      <c r="AB49" s="100">
        <v>6.7124016019334611</v>
      </c>
      <c r="AC49" s="100">
        <v>6613.0580582248458</v>
      </c>
      <c r="AD49" s="100">
        <v>6.1572818201018702</v>
      </c>
      <c r="AE49" s="100">
        <v>6066.1540491643618</v>
      </c>
      <c r="AF49" s="100">
        <v>2.9770893204447391</v>
      </c>
      <c r="AG49" s="100">
        <v>2933.0283985021565</v>
      </c>
      <c r="AH49" s="100">
        <v>5.2462441929363601</v>
      </c>
      <c r="AI49" s="100">
        <v>5168.5997788809018</v>
      </c>
      <c r="AJ49" s="100">
        <v>5.5378874952880652</v>
      </c>
      <c r="AK49" s="100">
        <v>5455.9267603578019</v>
      </c>
      <c r="AL49" s="100">
        <v>3.5026556877383528</v>
      </c>
      <c r="AM49" s="100">
        <v>3450.8163835598248</v>
      </c>
      <c r="AN49" s="100">
        <v>8.8676988778890689</v>
      </c>
      <c r="AO49" s="100">
        <v>8736.4569344963093</v>
      </c>
      <c r="AP49" s="100">
        <v>5.9423632657347483</v>
      </c>
      <c r="AQ49" s="100">
        <v>5854.4162894018737</v>
      </c>
      <c r="AR49" s="100">
        <v>3.8948498620347203</v>
      </c>
      <c r="AS49" s="100">
        <v>3837.2060840766062</v>
      </c>
      <c r="AT49" s="100">
        <v>7</v>
      </c>
      <c r="AU49" s="100">
        <v>6896.4</v>
      </c>
      <c r="AV49" s="100">
        <v>6.650150044607047</v>
      </c>
      <c r="AW49" s="100">
        <v>6551.7278239468624</v>
      </c>
      <c r="AX49" s="100">
        <v>11.353269846033355</v>
      </c>
      <c r="AY49" s="100">
        <v>11185.241452312061</v>
      </c>
      <c r="AZ49" s="100">
        <v>6.3546648705735977</v>
      </c>
      <c r="BA49" s="100">
        <v>6260.6158304891078</v>
      </c>
      <c r="BB49" s="100">
        <v>2.5754634531046672</v>
      </c>
      <c r="BC49" s="100">
        <v>2537.3465939987177</v>
      </c>
      <c r="BD49" s="100">
        <v>11.84315038153399</v>
      </c>
      <c r="BE49" s="100">
        <v>11667.871755887287</v>
      </c>
      <c r="BF49" s="100">
        <v>7</v>
      </c>
      <c r="BG49" s="100">
        <v>6896.4</v>
      </c>
      <c r="BH49" s="100">
        <v>7.8684255951543829</v>
      </c>
      <c r="BI49" s="100">
        <v>7751.9728963460975</v>
      </c>
      <c r="BJ49" s="100">
        <v>1.9747065898845706</v>
      </c>
      <c r="BK49" s="100">
        <v>1945.4809323542788</v>
      </c>
      <c r="BL49" s="100">
        <v>5.3791869120223517</v>
      </c>
      <c r="BM49" s="100">
        <v>5299.5749457244201</v>
      </c>
      <c r="BN49" s="100">
        <v>5.8242999500210004</v>
      </c>
      <c r="BO49" s="100">
        <v>5738.1003107606894</v>
      </c>
      <c r="BP49" s="100">
        <v>6</v>
      </c>
      <c r="BQ49" s="100">
        <v>5911.2</v>
      </c>
      <c r="BR49" s="100">
        <v>6.1393236880046445</v>
      </c>
      <c r="BS49" s="100">
        <v>6048.4616974221753</v>
      </c>
      <c r="BT49" s="100">
        <v>6.1151254640288784</v>
      </c>
      <c r="BU49" s="100">
        <v>6024.6216071612507</v>
      </c>
      <c r="BV49" s="100">
        <v>6.3647224217443439</v>
      </c>
      <c r="BW49" s="100">
        <v>6270.5245299025273</v>
      </c>
      <c r="BX49" s="100">
        <v>5.5492738896788012</v>
      </c>
      <c r="BY49" s="100">
        <v>5467.144636111555</v>
      </c>
      <c r="BZ49" s="100">
        <v>5.5803586156699496E-4</v>
      </c>
      <c r="CA49" s="100">
        <v>0.54977693081580337</v>
      </c>
      <c r="CB49" s="100">
        <v>6.7807077827452673</v>
      </c>
      <c r="CC49" s="100">
        <v>6680.3533075606365</v>
      </c>
      <c r="CD49" s="100">
        <v>10</v>
      </c>
      <c r="CE49" s="100">
        <v>9852</v>
      </c>
      <c r="CF49" s="100">
        <v>4.1661054036972729</v>
      </c>
      <c r="CG49" s="100">
        <v>4104.4470437225527</v>
      </c>
      <c r="CH49" s="100">
        <v>7.5848345519624667</v>
      </c>
      <c r="CI49" s="100">
        <v>7472.5790005934214</v>
      </c>
      <c r="CJ49" s="100">
        <v>9</v>
      </c>
      <c r="CK49" s="100">
        <v>8866.7999999999993</v>
      </c>
      <c r="CL49" s="100">
        <v>2.5998450588495245</v>
      </c>
      <c r="CM49" s="100">
        <v>2561.3673519785516</v>
      </c>
      <c r="CN49" s="100">
        <v>7.859812502361561</v>
      </c>
      <c r="CO49" s="100">
        <v>7743.4872773266097</v>
      </c>
      <c r="CP49" s="100">
        <v>5.13988497866778</v>
      </c>
      <c r="CQ49" s="100">
        <v>5063.8146809834961</v>
      </c>
      <c r="CR49" s="100">
        <v>9.8541263867467421</v>
      </c>
      <c r="CS49" s="100">
        <v>9708.2853162228894</v>
      </c>
      <c r="CT49" s="100">
        <v>3.6788535120618904</v>
      </c>
      <c r="CU49" s="100">
        <v>3624.4064800833739</v>
      </c>
    </row>
    <row r="50" spans="2:99">
      <c r="C50" s="99" t="s">
        <v>216</v>
      </c>
      <c r="D50" s="100">
        <v>8.5672913638100798</v>
      </c>
      <c r="E50" s="100">
        <v>2415.9761645944427</v>
      </c>
      <c r="F50" s="100">
        <v>7.4119220760669074E-4</v>
      </c>
      <c r="G50" s="100">
        <v>0.20901620254508679</v>
      </c>
      <c r="H50" s="100">
        <v>8.0002789112581301</v>
      </c>
      <c r="I50" s="100">
        <v>2256.0786529747925</v>
      </c>
      <c r="J50" s="100">
        <v>8</v>
      </c>
      <c r="K50" s="100">
        <v>2256</v>
      </c>
      <c r="L50" s="100">
        <v>7.4367714274966286</v>
      </c>
      <c r="M50" s="100">
        <v>2097.1695425540493</v>
      </c>
      <c r="N50" s="100">
        <v>3.7285515124686746</v>
      </c>
      <c r="O50" s="100">
        <v>1051.4515265161663</v>
      </c>
      <c r="P50" s="100">
        <v>2.5866716007950807</v>
      </c>
      <c r="Q50" s="100">
        <v>729.44139142421272</v>
      </c>
      <c r="R50" s="100">
        <v>9.5438626098016588</v>
      </c>
      <c r="S50" s="100">
        <v>2691.3692559640676</v>
      </c>
      <c r="T50" s="100">
        <v>4.500881044183485</v>
      </c>
      <c r="U50" s="100">
        <v>1269.2484544597428</v>
      </c>
      <c r="V50" s="100">
        <v>7.8845294751716719E-4</v>
      </c>
      <c r="W50" s="100">
        <v>0.22234373119984116</v>
      </c>
      <c r="X50" s="100">
        <v>12.000266471854339</v>
      </c>
      <c r="Y50" s="100">
        <v>3384.0751450629236</v>
      </c>
      <c r="Z50" s="100">
        <v>11</v>
      </c>
      <c r="AA50" s="100">
        <v>3102</v>
      </c>
      <c r="AB50" s="100">
        <v>8</v>
      </c>
      <c r="AC50" s="100">
        <v>2256</v>
      </c>
      <c r="AD50" s="100">
        <v>5.9897720532171626</v>
      </c>
      <c r="AE50" s="100">
        <v>1689.1157190072399</v>
      </c>
      <c r="AF50" s="100">
        <v>5.8610595194682933</v>
      </c>
      <c r="AG50" s="100">
        <v>1652.8187844900588</v>
      </c>
      <c r="AH50" s="100">
        <v>7.1228455520393381E-4</v>
      </c>
      <c r="AI50" s="100">
        <v>0.20086424456750934</v>
      </c>
      <c r="AJ50" s="100">
        <v>6</v>
      </c>
      <c r="AK50" s="100">
        <v>1692</v>
      </c>
      <c r="AL50" s="100">
        <v>8</v>
      </c>
      <c r="AM50" s="100">
        <v>2256</v>
      </c>
      <c r="AN50" s="100">
        <v>4.5957068549515832</v>
      </c>
      <c r="AO50" s="100">
        <v>1295.9893330963464</v>
      </c>
      <c r="AP50" s="100">
        <v>4.4661555325641478E-4</v>
      </c>
      <c r="AQ50" s="100">
        <v>0.12594558601830896</v>
      </c>
      <c r="AR50" s="100">
        <v>9.0708624010109968</v>
      </c>
      <c r="AS50" s="100">
        <v>2557.983197085101</v>
      </c>
      <c r="AT50" s="100">
        <v>8</v>
      </c>
      <c r="AU50" s="100">
        <v>2256</v>
      </c>
      <c r="AV50" s="100">
        <v>5.7963856355884236</v>
      </c>
      <c r="AW50" s="100">
        <v>1634.5807492359354</v>
      </c>
      <c r="AX50" s="100">
        <v>8.4985463456405032E-4</v>
      </c>
      <c r="AY50" s="100">
        <v>0.23965900694706219</v>
      </c>
      <c r="AZ50" s="100">
        <v>7.1917530786868449</v>
      </c>
      <c r="BA50" s="100">
        <v>2028.0743681896902</v>
      </c>
      <c r="BB50" s="100">
        <v>8.219544766166802</v>
      </c>
      <c r="BC50" s="100">
        <v>2317.9116240590383</v>
      </c>
      <c r="BD50" s="100">
        <v>10.784358952357614</v>
      </c>
      <c r="BE50" s="100">
        <v>3041.1892245648473</v>
      </c>
      <c r="BF50" s="100">
        <v>5.8148664670844452</v>
      </c>
      <c r="BG50" s="100">
        <v>1639.7923437178135</v>
      </c>
      <c r="BH50" s="100">
        <v>9</v>
      </c>
      <c r="BI50" s="100">
        <v>2538</v>
      </c>
      <c r="BJ50" s="100">
        <v>10</v>
      </c>
      <c r="BK50" s="100">
        <v>2820</v>
      </c>
      <c r="BL50" s="100">
        <v>2.4196033585089407</v>
      </c>
      <c r="BM50" s="100">
        <v>682.32814709952129</v>
      </c>
      <c r="BN50" s="100">
        <v>3.999525024877729</v>
      </c>
      <c r="BO50" s="100">
        <v>1127.8660570155196</v>
      </c>
      <c r="BP50" s="100">
        <v>2.0029881066471051</v>
      </c>
      <c r="BQ50" s="100">
        <v>564.8426460744837</v>
      </c>
      <c r="BR50" s="100">
        <v>8.4837424325835507</v>
      </c>
      <c r="BS50" s="100">
        <v>2392.4153659885615</v>
      </c>
      <c r="BT50" s="100">
        <v>11</v>
      </c>
      <c r="BU50" s="100">
        <v>3102</v>
      </c>
      <c r="BV50" s="100">
        <v>0.85768141497059136</v>
      </c>
      <c r="BW50" s="100">
        <v>241.86615902170675</v>
      </c>
      <c r="BX50" s="100">
        <v>6</v>
      </c>
      <c r="BY50" s="100">
        <v>1692</v>
      </c>
      <c r="BZ50" s="100">
        <v>11</v>
      </c>
      <c r="CA50" s="100">
        <v>3102</v>
      </c>
      <c r="CB50" s="100">
        <v>5.4230384960695064</v>
      </c>
      <c r="CC50" s="100">
        <v>1529.2968558916009</v>
      </c>
      <c r="CD50" s="100">
        <v>8.0593810781502131E-4</v>
      </c>
      <c r="CE50" s="100">
        <v>0.22727454640383601</v>
      </c>
      <c r="CF50" s="100">
        <v>7.0614795555259287</v>
      </c>
      <c r="CG50" s="100">
        <v>1991.3372346583119</v>
      </c>
      <c r="CH50" s="100">
        <v>7.788283837244144E-4</v>
      </c>
      <c r="CI50" s="100">
        <v>0.21962960421028485</v>
      </c>
      <c r="CJ50" s="100">
        <v>10.000193097144791</v>
      </c>
      <c r="CK50" s="100">
        <v>2820.0544533948309</v>
      </c>
      <c r="CL50" s="100">
        <v>11</v>
      </c>
      <c r="CM50" s="100">
        <v>3102</v>
      </c>
      <c r="CN50" s="100">
        <v>3.8097994141131064</v>
      </c>
      <c r="CO50" s="100">
        <v>1074.3634347798959</v>
      </c>
      <c r="CP50" s="100">
        <v>4.2284814130953121</v>
      </c>
      <c r="CQ50" s="100">
        <v>1192.4317584928781</v>
      </c>
      <c r="CR50" s="100">
        <v>9.3687481822679253</v>
      </c>
      <c r="CS50" s="100">
        <v>2641.9869873995549</v>
      </c>
      <c r="CT50" s="100">
        <v>5.5532751747568165E-4</v>
      </c>
      <c r="CU50" s="100">
        <v>0.15660235992814223</v>
      </c>
    </row>
    <row r="51" spans="2:99">
      <c r="C51" s="99" t="s">
        <v>217</v>
      </c>
      <c r="D51" s="100">
        <v>8.5672913638100798</v>
      </c>
      <c r="E51" s="100">
        <v>7319.8937412393316</v>
      </c>
      <c r="F51" s="100">
        <v>6.176601730055756E-4</v>
      </c>
      <c r="G51" s="100">
        <v>0.52772885181596374</v>
      </c>
      <c r="H51" s="100">
        <v>8.0002789112581301</v>
      </c>
      <c r="I51" s="100">
        <v>6835.438301778946</v>
      </c>
      <c r="J51" s="100">
        <v>8</v>
      </c>
      <c r="K51" s="100">
        <v>6835.2</v>
      </c>
      <c r="L51" s="100">
        <v>5.7841555547195993</v>
      </c>
      <c r="M51" s="100">
        <v>4941.9825059524255</v>
      </c>
      <c r="N51" s="100">
        <v>3.1438354104150119</v>
      </c>
      <c r="O51" s="100">
        <v>2686.0929746585862</v>
      </c>
      <c r="P51" s="100">
        <v>2.575241797959122</v>
      </c>
      <c r="Q51" s="100">
        <v>2200.2865921762736</v>
      </c>
      <c r="R51" s="100">
        <v>10.543862609801659</v>
      </c>
      <c r="S51" s="100">
        <v>9008.6762138145368</v>
      </c>
      <c r="T51" s="100">
        <v>4.500881044183485</v>
      </c>
      <c r="U51" s="100">
        <v>3845.5527641503695</v>
      </c>
      <c r="V51" s="100">
        <v>7.0946385278338538E-4</v>
      </c>
      <c r="W51" s="100">
        <v>0.6061659158181244</v>
      </c>
      <c r="X51" s="100">
        <v>12.000222059878615</v>
      </c>
      <c r="Y51" s="100">
        <v>10252.989727960288</v>
      </c>
      <c r="Z51" s="100">
        <v>10</v>
      </c>
      <c r="AA51" s="100">
        <v>8544</v>
      </c>
      <c r="AB51" s="100">
        <v>8</v>
      </c>
      <c r="AC51" s="100">
        <v>6835.2</v>
      </c>
      <c r="AD51" s="100">
        <v>5.9897720532171626</v>
      </c>
      <c r="AE51" s="100">
        <v>5117.661242268744</v>
      </c>
      <c r="AF51" s="100">
        <v>5.0237653024013937</v>
      </c>
      <c r="AG51" s="100">
        <v>4292.3050743717504</v>
      </c>
      <c r="AH51" s="100">
        <v>6.4753141382175791E-4</v>
      </c>
      <c r="AI51" s="100">
        <v>0.5532508399693099</v>
      </c>
      <c r="AJ51" s="100">
        <v>6</v>
      </c>
      <c r="AK51" s="100">
        <v>5126.3999999999996</v>
      </c>
      <c r="AL51" s="100">
        <v>8</v>
      </c>
      <c r="AM51" s="100">
        <v>6835.2</v>
      </c>
      <c r="AN51" s="100">
        <v>4.0850727599569625</v>
      </c>
      <c r="AO51" s="100">
        <v>3490.2861661072288</v>
      </c>
      <c r="AP51" s="100">
        <v>3.7276468762285713E-4</v>
      </c>
      <c r="AQ51" s="100">
        <v>0.31849014910496914</v>
      </c>
      <c r="AR51" s="100">
        <v>8.0850348812131969</v>
      </c>
      <c r="AS51" s="100">
        <v>6907.8538025085554</v>
      </c>
      <c r="AT51" s="100">
        <v>8</v>
      </c>
      <c r="AU51" s="100">
        <v>6835.2</v>
      </c>
      <c r="AV51" s="100">
        <v>5.7963856355884236</v>
      </c>
      <c r="AW51" s="100">
        <v>4952.4318870467487</v>
      </c>
      <c r="AX51" s="100">
        <v>7.8103777940218347E-4</v>
      </c>
      <c r="AY51" s="100">
        <v>0.66731867872122552</v>
      </c>
      <c r="AZ51" s="100">
        <v>7.1917530786868449</v>
      </c>
      <c r="BA51" s="100">
        <v>6144.6338304300398</v>
      </c>
      <c r="BB51" s="100">
        <v>8.219544766166802</v>
      </c>
      <c r="BC51" s="100">
        <v>7022.7790482129158</v>
      </c>
      <c r="BD51" s="100">
        <v>9.7843589523576142</v>
      </c>
      <c r="BE51" s="100">
        <v>8359.7562888943448</v>
      </c>
      <c r="BF51" s="100">
        <v>4.3611498503133337</v>
      </c>
      <c r="BG51" s="100">
        <v>3726.1664321077124</v>
      </c>
      <c r="BH51" s="100">
        <v>10</v>
      </c>
      <c r="BI51" s="100">
        <v>8544</v>
      </c>
      <c r="BJ51" s="100">
        <v>9</v>
      </c>
      <c r="BK51" s="100">
        <v>7689.5999999999995</v>
      </c>
      <c r="BL51" s="100">
        <v>2.1171529386953232</v>
      </c>
      <c r="BM51" s="100">
        <v>1808.8954708212841</v>
      </c>
      <c r="BN51" s="100">
        <v>4.067181658300222</v>
      </c>
      <c r="BO51" s="100">
        <v>3475.0000088517095</v>
      </c>
      <c r="BP51" s="100">
        <v>1.8818725653027804</v>
      </c>
      <c r="BQ51" s="100">
        <v>1607.8719197946955</v>
      </c>
      <c r="BR51" s="100">
        <v>8.4837424325835507</v>
      </c>
      <c r="BS51" s="100">
        <v>7248.5095343993853</v>
      </c>
      <c r="BT51" s="100">
        <v>10</v>
      </c>
      <c r="BU51" s="100">
        <v>8544</v>
      </c>
      <c r="BV51" s="100">
        <v>0.85768141497059136</v>
      </c>
      <c r="BW51" s="100">
        <v>732.80300095087318</v>
      </c>
      <c r="BX51" s="100">
        <v>6</v>
      </c>
      <c r="BY51" s="100">
        <v>5126.3999999999996</v>
      </c>
      <c r="BZ51" s="100">
        <v>10</v>
      </c>
      <c r="CA51" s="100">
        <v>8544</v>
      </c>
      <c r="CB51" s="100">
        <v>6.3268782454144228</v>
      </c>
      <c r="CC51" s="100">
        <v>5405.6847728820831</v>
      </c>
      <c r="CD51" s="100">
        <v>6.7161508984585122E-4</v>
      </c>
      <c r="CE51" s="100">
        <v>0.57382793276429522</v>
      </c>
      <c r="CF51" s="100">
        <v>6.958865437442979</v>
      </c>
      <c r="CG51" s="100">
        <v>5945.6546297512814</v>
      </c>
      <c r="CH51" s="100">
        <v>6.9229189664392387E-4</v>
      </c>
      <c r="CI51" s="100">
        <v>0.59149419649256851</v>
      </c>
      <c r="CJ51" s="100">
        <v>11.000154477715833</v>
      </c>
      <c r="CK51" s="100">
        <v>9398.5319857604081</v>
      </c>
      <c r="CL51" s="100">
        <v>10</v>
      </c>
      <c r="CM51" s="100">
        <v>8544</v>
      </c>
      <c r="CN51" s="100">
        <v>3.4288194727017958</v>
      </c>
      <c r="CO51" s="100">
        <v>2929.5833574764142</v>
      </c>
      <c r="CP51" s="100">
        <v>4.2284814130953121</v>
      </c>
      <c r="CQ51" s="100">
        <v>3612.8145193486343</v>
      </c>
      <c r="CR51" s="100">
        <v>8.4505986647991467</v>
      </c>
      <c r="CS51" s="100">
        <v>7220.1914992043903</v>
      </c>
      <c r="CT51" s="100">
        <v>6.1487209630214684E-4</v>
      </c>
      <c r="CU51" s="100">
        <v>0.5253467190805543</v>
      </c>
    </row>
    <row r="52" spans="2:99">
      <c r="C52" s="99" t="s">
        <v>218</v>
      </c>
      <c r="D52" s="100">
        <v>7.7105622274290724</v>
      </c>
      <c r="E52" s="100">
        <v>4163.7036028116991</v>
      </c>
      <c r="F52" s="100">
        <v>6.7942619030613328E-4</v>
      </c>
      <c r="G52" s="100">
        <v>0.36689014276531196</v>
      </c>
      <c r="H52" s="100">
        <v>7.0002789112581292</v>
      </c>
      <c r="I52" s="100">
        <v>3780.1506120793897</v>
      </c>
      <c r="J52" s="100">
        <v>8</v>
      </c>
      <c r="K52" s="100">
        <v>4320</v>
      </c>
      <c r="L52" s="100">
        <v>6.6104634911081135</v>
      </c>
      <c r="M52" s="100">
        <v>3569.6502851983814</v>
      </c>
      <c r="N52" s="100">
        <v>3.7285515124686746</v>
      </c>
      <c r="O52" s="100">
        <v>2013.4178167330842</v>
      </c>
      <c r="P52" s="100">
        <v>2.8524899288599457</v>
      </c>
      <c r="Q52" s="100">
        <v>1540.3445615843707</v>
      </c>
      <c r="R52" s="100">
        <v>9.5438626098016588</v>
      </c>
      <c r="S52" s="100">
        <v>5153.685809292896</v>
      </c>
      <c r="T52" s="100">
        <v>4.0007831503853204</v>
      </c>
      <c r="U52" s="100">
        <v>2160.4229012080732</v>
      </c>
      <c r="V52" s="100">
        <v>7.1090185260403837E-4</v>
      </c>
      <c r="W52" s="100">
        <v>0.38388700040618073</v>
      </c>
      <c r="X52" s="100">
        <v>12.000222059878615</v>
      </c>
      <c r="Y52" s="100">
        <v>6480.1199123344522</v>
      </c>
      <c r="Z52" s="100">
        <v>11</v>
      </c>
      <c r="AA52" s="100">
        <v>5940</v>
      </c>
      <c r="AB52" s="100">
        <v>7</v>
      </c>
      <c r="AC52" s="100">
        <v>3780</v>
      </c>
      <c r="AD52" s="100">
        <v>6.8454537751053284</v>
      </c>
      <c r="AE52" s="100">
        <v>3696.5450385568774</v>
      </c>
      <c r="AF52" s="100">
        <v>5.0237653024013937</v>
      </c>
      <c r="AG52" s="100">
        <v>2712.8332632967526</v>
      </c>
      <c r="AH52" s="100">
        <v>7.1228455520393381E-4</v>
      </c>
      <c r="AI52" s="100">
        <v>0.38463365981012426</v>
      </c>
      <c r="AJ52" s="100">
        <v>7</v>
      </c>
      <c r="AK52" s="100">
        <v>3780</v>
      </c>
      <c r="AL52" s="100">
        <v>7</v>
      </c>
      <c r="AM52" s="100">
        <v>3780</v>
      </c>
      <c r="AN52" s="100">
        <v>4.0850727599569625</v>
      </c>
      <c r="AO52" s="100">
        <v>2205.9392903767598</v>
      </c>
      <c r="AP52" s="100">
        <v>5.1344569997983469E-4</v>
      </c>
      <c r="AQ52" s="100">
        <v>0.27726067798911075</v>
      </c>
      <c r="AR52" s="100">
        <v>8.0708624010109968</v>
      </c>
      <c r="AS52" s="100">
        <v>4358.2656965459382</v>
      </c>
      <c r="AT52" s="100">
        <v>8</v>
      </c>
      <c r="AU52" s="100">
        <v>4320</v>
      </c>
      <c r="AV52" s="100">
        <v>5.7963856355884236</v>
      </c>
      <c r="AW52" s="100">
        <v>3130.0482432177487</v>
      </c>
      <c r="AX52" s="100">
        <v>7.1222092424031661E-4</v>
      </c>
      <c r="AY52" s="100">
        <v>0.38459929908977097</v>
      </c>
      <c r="AZ52" s="100">
        <v>7.1401196432819516</v>
      </c>
      <c r="BA52" s="100">
        <v>3855.6646073722541</v>
      </c>
      <c r="BB52" s="100">
        <v>6.9376835937401555</v>
      </c>
      <c r="BC52" s="100">
        <v>3746.349140619684</v>
      </c>
      <c r="BD52" s="100">
        <v>10.784358952357614</v>
      </c>
      <c r="BE52" s="100">
        <v>5823.5538342731115</v>
      </c>
      <c r="BF52" s="100">
        <v>5.0880081586988899</v>
      </c>
      <c r="BG52" s="100">
        <v>2747.5244056974007</v>
      </c>
      <c r="BH52" s="100">
        <v>10</v>
      </c>
      <c r="BI52" s="100">
        <v>5400</v>
      </c>
      <c r="BJ52" s="100">
        <v>8</v>
      </c>
      <c r="BK52" s="100">
        <v>4320</v>
      </c>
      <c r="BL52" s="100">
        <v>2.4959827658082046</v>
      </c>
      <c r="BM52" s="100">
        <v>1347.8306935364305</v>
      </c>
      <c r="BN52" s="100">
        <v>4.067181658300222</v>
      </c>
      <c r="BO52" s="100">
        <v>2196.2780954821201</v>
      </c>
      <c r="BP52" s="100">
        <v>1.7215648120056393</v>
      </c>
      <c r="BQ52" s="100">
        <v>929.64499848304524</v>
      </c>
      <c r="BR52" s="100">
        <v>8.4837424325835507</v>
      </c>
      <c r="BS52" s="100">
        <v>4581.2209135951171</v>
      </c>
      <c r="BT52" s="100">
        <v>11</v>
      </c>
      <c r="BU52" s="100">
        <v>5940</v>
      </c>
      <c r="BV52" s="100">
        <v>0.96489159184191531</v>
      </c>
      <c r="BW52" s="100">
        <v>521.04145959463426</v>
      </c>
      <c r="BX52" s="100">
        <v>6</v>
      </c>
      <c r="BY52" s="100">
        <v>3240</v>
      </c>
      <c r="BZ52" s="100">
        <v>11</v>
      </c>
      <c r="CA52" s="100">
        <v>5940</v>
      </c>
      <c r="CB52" s="100">
        <v>6.3268782454144228</v>
      </c>
      <c r="CC52" s="100">
        <v>3416.5142525237884</v>
      </c>
      <c r="CD52" s="100">
        <v>8.0593810781502131E-4</v>
      </c>
      <c r="CE52" s="100">
        <v>0.4352065782201115</v>
      </c>
      <c r="CF52" s="100">
        <v>7.0614795555259287</v>
      </c>
      <c r="CG52" s="100">
        <v>3813.1989599840012</v>
      </c>
      <c r="CH52" s="100">
        <v>7.788283837244144E-4</v>
      </c>
      <c r="CI52" s="100">
        <v>0.42056732721118378</v>
      </c>
      <c r="CJ52" s="100">
        <v>11.000154477715833</v>
      </c>
      <c r="CK52" s="100">
        <v>5940.0834179665499</v>
      </c>
      <c r="CL52" s="100">
        <v>10</v>
      </c>
      <c r="CM52" s="100">
        <v>5400</v>
      </c>
      <c r="CN52" s="100">
        <v>3.8097994141131064</v>
      </c>
      <c r="CO52" s="100">
        <v>2057.2916836210775</v>
      </c>
      <c r="CP52" s="100">
        <v>4.698312681217014</v>
      </c>
      <c r="CQ52" s="100">
        <v>2537.0888478571874</v>
      </c>
      <c r="CR52" s="100">
        <v>9.3687481822679253</v>
      </c>
      <c r="CS52" s="100">
        <v>5059.1240184246799</v>
      </c>
      <c r="CT52" s="100">
        <v>6.1579715858964658E-4</v>
      </c>
      <c r="CU52" s="100">
        <v>0.33253046563840916</v>
      </c>
    </row>
    <row r="53" spans="2:99">
      <c r="C53" s="99" t="s">
        <v>219</v>
      </c>
      <c r="D53" s="100">
        <v>8.5672913638100798</v>
      </c>
      <c r="E53" s="100">
        <v>3485.1741267979405</v>
      </c>
      <c r="F53" s="100">
        <v>7.4119220760669074E-4</v>
      </c>
      <c r="G53" s="100">
        <v>0.3015169900544018</v>
      </c>
      <c r="H53" s="100">
        <v>9.0002789112581301</v>
      </c>
      <c r="I53" s="100">
        <v>3661.3134610998072</v>
      </c>
      <c r="J53" s="100">
        <v>9</v>
      </c>
      <c r="K53" s="100">
        <v>3661.2000000000003</v>
      </c>
      <c r="L53" s="100">
        <v>6.6104634911081135</v>
      </c>
      <c r="M53" s="100">
        <v>2689.1365481827806</v>
      </c>
      <c r="N53" s="100">
        <v>3.7285515124686746</v>
      </c>
      <c r="O53" s="100">
        <v>1516.7747552722569</v>
      </c>
      <c r="P53" s="100">
        <v>2.8639197316959044</v>
      </c>
      <c r="Q53" s="100">
        <v>1165.042546853894</v>
      </c>
      <c r="R53" s="100">
        <v>9.5438626098016588</v>
      </c>
      <c r="S53" s="100">
        <v>3882.4433096673147</v>
      </c>
      <c r="T53" s="100">
        <v>4.500881044183485</v>
      </c>
      <c r="U53" s="100">
        <v>1830.9584087738417</v>
      </c>
      <c r="V53" s="100">
        <v>7.8701494769651431E-4</v>
      </c>
      <c r="W53" s="100">
        <v>0.32015768072294204</v>
      </c>
      <c r="X53" s="100">
        <v>12.000266471854339</v>
      </c>
      <c r="Y53" s="100">
        <v>4881.7084007503454</v>
      </c>
      <c r="Z53" s="100">
        <v>12</v>
      </c>
      <c r="AA53" s="100">
        <v>4881.6000000000004</v>
      </c>
      <c r="AB53" s="100">
        <v>9</v>
      </c>
      <c r="AC53" s="100">
        <v>3661.2000000000003</v>
      </c>
      <c r="AD53" s="100">
        <v>5.9897720532171626</v>
      </c>
      <c r="AE53" s="100">
        <v>2436.6392712487418</v>
      </c>
      <c r="AF53" s="100">
        <v>5.0237653024013937</v>
      </c>
      <c r="AG53" s="100">
        <v>2043.6677250168871</v>
      </c>
      <c r="AH53" s="100">
        <v>7.1228455520393381E-4</v>
      </c>
      <c r="AI53" s="100">
        <v>0.28975735705696026</v>
      </c>
      <c r="AJ53" s="100">
        <v>6</v>
      </c>
      <c r="AK53" s="100">
        <v>2440.8000000000002</v>
      </c>
      <c r="AL53" s="100">
        <v>7</v>
      </c>
      <c r="AM53" s="100">
        <v>2847.6</v>
      </c>
      <c r="AN53" s="100">
        <v>3.5744386649623423</v>
      </c>
      <c r="AO53" s="100">
        <v>1454.0816489066808</v>
      </c>
      <c r="AP53" s="100">
        <v>4.4661555325641478E-4</v>
      </c>
      <c r="AQ53" s="100">
        <v>0.18168320706470953</v>
      </c>
      <c r="AR53" s="100">
        <v>8.0708624010109968</v>
      </c>
      <c r="AS53" s="100">
        <v>3283.2268247312736</v>
      </c>
      <c r="AT53" s="100">
        <v>8</v>
      </c>
      <c r="AU53" s="100">
        <v>3254.4</v>
      </c>
      <c r="AV53" s="100">
        <v>5.2694414868985673</v>
      </c>
      <c r="AW53" s="100">
        <v>2143.6087968703373</v>
      </c>
      <c r="AX53" s="100">
        <v>7.1222092424031661E-4</v>
      </c>
      <c r="AY53" s="100">
        <v>0.28973147198096083</v>
      </c>
      <c r="AZ53" s="100">
        <v>7.8334782334481901</v>
      </c>
      <c r="BA53" s="100">
        <v>3186.6589453667239</v>
      </c>
      <c r="BB53" s="100">
        <v>8.2242204994550772</v>
      </c>
      <c r="BC53" s="100">
        <v>3345.6128991783253</v>
      </c>
      <c r="BD53" s="100">
        <v>11.784358952357614</v>
      </c>
      <c r="BE53" s="100">
        <v>4793.8772218190779</v>
      </c>
      <c r="BF53" s="100">
        <v>4.3611498503133337</v>
      </c>
      <c r="BG53" s="100">
        <v>1774.1157591074641</v>
      </c>
      <c r="BH53" s="100">
        <v>10</v>
      </c>
      <c r="BI53" s="100">
        <v>4068</v>
      </c>
      <c r="BJ53" s="100">
        <v>8</v>
      </c>
      <c r="BK53" s="100">
        <v>3254.4</v>
      </c>
      <c r="BL53" s="100">
        <v>2.4196033585089407</v>
      </c>
      <c r="BM53" s="100">
        <v>984.29464624143714</v>
      </c>
      <c r="BN53" s="100">
        <v>3.489760399796884</v>
      </c>
      <c r="BO53" s="100">
        <v>1419.6345306373726</v>
      </c>
      <c r="BP53" s="100">
        <v>1.9919797585948242</v>
      </c>
      <c r="BQ53" s="100">
        <v>810.33736579637457</v>
      </c>
      <c r="BR53" s="100">
        <v>7.4837424325835507</v>
      </c>
      <c r="BS53" s="100">
        <v>3044.3864215749886</v>
      </c>
      <c r="BT53" s="100">
        <v>10</v>
      </c>
      <c r="BU53" s="100">
        <v>4068</v>
      </c>
      <c r="BV53" s="100">
        <v>0.96489159184191531</v>
      </c>
      <c r="BW53" s="100">
        <v>392.51789956129113</v>
      </c>
      <c r="BX53" s="100">
        <v>7</v>
      </c>
      <c r="BY53" s="100">
        <v>2847.6</v>
      </c>
      <c r="BZ53" s="100">
        <v>10</v>
      </c>
      <c r="CA53" s="100">
        <v>4068</v>
      </c>
      <c r="CB53" s="100">
        <v>5.4230384960695064</v>
      </c>
      <c r="CC53" s="100">
        <v>2206.0920602010751</v>
      </c>
      <c r="CD53" s="100">
        <v>6.7161508984585122E-4</v>
      </c>
      <c r="CE53" s="100">
        <v>0.27321301854929231</v>
      </c>
      <c r="CF53" s="100">
        <v>7.0614795555259287</v>
      </c>
      <c r="CG53" s="100">
        <v>2872.6098831879481</v>
      </c>
      <c r="CH53" s="100">
        <v>6.9229189664392387E-4</v>
      </c>
      <c r="CI53" s="100">
        <v>0.28162434355474825</v>
      </c>
      <c r="CJ53" s="100">
        <v>10.000154477715833</v>
      </c>
      <c r="CK53" s="100">
        <v>4068.062841534801</v>
      </c>
      <c r="CL53" s="100">
        <v>11</v>
      </c>
      <c r="CM53" s="100">
        <v>4474.8</v>
      </c>
      <c r="CN53" s="100">
        <v>3.8097994141131064</v>
      </c>
      <c r="CO53" s="100">
        <v>1549.8264016612118</v>
      </c>
      <c r="CP53" s="100">
        <v>4.2284814130953121</v>
      </c>
      <c r="CQ53" s="100">
        <v>1720.146238847173</v>
      </c>
      <c r="CR53" s="100">
        <v>9.3687481822679253</v>
      </c>
      <c r="CS53" s="100">
        <v>3811.2067605465922</v>
      </c>
      <c r="CT53" s="100">
        <v>6.7441667512861203E-4</v>
      </c>
      <c r="CU53" s="100">
        <v>0.27435270344231938</v>
      </c>
    </row>
    <row r="54" spans="2:99">
      <c r="C54" s="99" t="s">
        <v>220</v>
      </c>
      <c r="D54" s="100">
        <v>8.5672913638100798</v>
      </c>
      <c r="E54" s="100">
        <v>2868.3291486036146</v>
      </c>
      <c r="F54" s="100">
        <v>6.7942619030613328E-4</v>
      </c>
      <c r="G54" s="100">
        <v>0.22747188851449343</v>
      </c>
      <c r="H54" s="100">
        <v>8.0002789112581301</v>
      </c>
      <c r="I54" s="100">
        <v>2678.4933794892222</v>
      </c>
      <c r="J54" s="100">
        <v>9</v>
      </c>
      <c r="K54" s="100">
        <v>3013.2000000000003</v>
      </c>
      <c r="L54" s="100">
        <v>7.4367714274966286</v>
      </c>
      <c r="M54" s="100">
        <v>2489.8310739258714</v>
      </c>
      <c r="N54" s="100">
        <v>3.7485746852092832</v>
      </c>
      <c r="O54" s="100">
        <v>1255.0228046080681</v>
      </c>
      <c r="P54" s="100">
        <v>2.575241797959122</v>
      </c>
      <c r="Q54" s="100">
        <v>862.19095395671411</v>
      </c>
      <c r="R54" s="100">
        <v>10.543862609801659</v>
      </c>
      <c r="S54" s="100">
        <v>3530.0852017615953</v>
      </c>
      <c r="T54" s="100">
        <v>5.0009789379816505</v>
      </c>
      <c r="U54" s="100">
        <v>1674.3277484362566</v>
      </c>
      <c r="V54" s="100">
        <v>7.8701494769651431E-4</v>
      </c>
      <c r="W54" s="100">
        <v>0.26349260448879303</v>
      </c>
      <c r="X54" s="100">
        <v>13.000266471854339</v>
      </c>
      <c r="Y54" s="100">
        <v>4352.4892147768323</v>
      </c>
      <c r="Z54" s="100">
        <v>11</v>
      </c>
      <c r="AA54" s="100">
        <v>3682.8</v>
      </c>
      <c r="AB54" s="100">
        <v>8</v>
      </c>
      <c r="AC54" s="100">
        <v>2678.4</v>
      </c>
      <c r="AD54" s="100">
        <v>6.8454537751053284</v>
      </c>
      <c r="AE54" s="100">
        <v>2291.8579239052642</v>
      </c>
      <c r="AF54" s="100">
        <v>5.0237653024013937</v>
      </c>
      <c r="AG54" s="100">
        <v>1681.9566232439868</v>
      </c>
      <c r="AH54" s="100">
        <v>8.4179083796828539E-4</v>
      </c>
      <c r="AI54" s="100">
        <v>0.28183157255178198</v>
      </c>
      <c r="AJ54" s="100">
        <v>6</v>
      </c>
      <c r="AK54" s="100">
        <v>2008.8000000000002</v>
      </c>
      <c r="AL54" s="100">
        <v>7</v>
      </c>
      <c r="AM54" s="100">
        <v>2343.6</v>
      </c>
      <c r="AN54" s="100">
        <v>4.0850727599569625</v>
      </c>
      <c r="AO54" s="100">
        <v>1367.6823600335911</v>
      </c>
      <c r="AP54" s="100">
        <v>5.1344569997983469E-4</v>
      </c>
      <c r="AQ54" s="100">
        <v>0.17190162035324866</v>
      </c>
      <c r="AR54" s="100">
        <v>9.0708624010109968</v>
      </c>
      <c r="AS54" s="100">
        <v>3036.9247318584817</v>
      </c>
      <c r="AT54" s="100">
        <v>8</v>
      </c>
      <c r="AU54" s="100">
        <v>2678.4</v>
      </c>
      <c r="AV54" s="100">
        <v>5.7963856355884236</v>
      </c>
      <c r="AW54" s="100">
        <v>1940.6299107950042</v>
      </c>
      <c r="AX54" s="100">
        <v>7.8103777940218347E-4</v>
      </c>
      <c r="AY54" s="100">
        <v>0.26149144854385103</v>
      </c>
      <c r="AZ54" s="100">
        <v>7.8334782334481901</v>
      </c>
      <c r="BA54" s="100">
        <v>2622.6485125584541</v>
      </c>
      <c r="BB54" s="100">
        <v>7.5774452466314104</v>
      </c>
      <c r="BC54" s="100">
        <v>2536.9286685721963</v>
      </c>
      <c r="BD54" s="100">
        <v>11.784358952357614</v>
      </c>
      <c r="BE54" s="100">
        <v>3945.4033772493294</v>
      </c>
      <c r="BF54" s="100">
        <v>5.0880081586988899</v>
      </c>
      <c r="BG54" s="100">
        <v>1703.4651315323883</v>
      </c>
      <c r="BH54" s="100">
        <v>11</v>
      </c>
      <c r="BI54" s="100">
        <v>3682.8</v>
      </c>
      <c r="BJ54" s="100">
        <v>9</v>
      </c>
      <c r="BK54" s="100">
        <v>3013.2000000000003</v>
      </c>
      <c r="BL54" s="100">
        <v>2.4196033585089407</v>
      </c>
      <c r="BM54" s="100">
        <v>810.08320442879335</v>
      </c>
      <c r="BN54" s="100">
        <v>3.5149932485737425</v>
      </c>
      <c r="BO54" s="100">
        <v>1176.8197396224891</v>
      </c>
      <c r="BP54" s="100">
        <v>1.7215648120056393</v>
      </c>
      <c r="BQ54" s="100">
        <v>576.37989905948803</v>
      </c>
      <c r="BR54" s="100">
        <v>8.4837424325835507</v>
      </c>
      <c r="BS54" s="100">
        <v>2840.356966428973</v>
      </c>
      <c r="BT54" s="100">
        <v>9</v>
      </c>
      <c r="BU54" s="100">
        <v>3013.2000000000003</v>
      </c>
      <c r="BV54" s="100">
        <v>0.96489159184191531</v>
      </c>
      <c r="BW54" s="100">
        <v>323.04570494867323</v>
      </c>
      <c r="BX54" s="100">
        <v>6</v>
      </c>
      <c r="BY54" s="100">
        <v>2008.8000000000002</v>
      </c>
      <c r="BZ54" s="100">
        <v>10</v>
      </c>
      <c r="CA54" s="100">
        <v>3348</v>
      </c>
      <c r="CB54" s="100">
        <v>6.3268782454144228</v>
      </c>
      <c r="CC54" s="100">
        <v>2118.2388365647489</v>
      </c>
      <c r="CD54" s="100">
        <v>8.0593810781502131E-4</v>
      </c>
      <c r="CE54" s="100">
        <v>0.26982807849646917</v>
      </c>
      <c r="CF54" s="100">
        <v>7.0614795555259287</v>
      </c>
      <c r="CG54" s="100">
        <v>2364.1833551900809</v>
      </c>
      <c r="CH54" s="100">
        <v>6.9308106660454698E-4</v>
      </c>
      <c r="CI54" s="100">
        <v>0.23204354109920233</v>
      </c>
      <c r="CJ54" s="100">
        <v>10.000154477715833</v>
      </c>
      <c r="CK54" s="100">
        <v>3348.051719139261</v>
      </c>
      <c r="CL54" s="100">
        <v>12</v>
      </c>
      <c r="CM54" s="100">
        <v>4017.6000000000004</v>
      </c>
      <c r="CN54" s="100">
        <v>3.4288194727017958</v>
      </c>
      <c r="CO54" s="100">
        <v>1147.9687594605612</v>
      </c>
      <c r="CP54" s="100">
        <v>4.2284814130953121</v>
      </c>
      <c r="CQ54" s="100">
        <v>1415.6955771043106</v>
      </c>
      <c r="CR54" s="100">
        <v>8.419389830202455</v>
      </c>
      <c r="CS54" s="100">
        <v>2818.8117151517822</v>
      </c>
      <c r="CT54" s="100">
        <v>6.7626679970361162E-4</v>
      </c>
      <c r="CU54" s="100">
        <v>0.22641412454076917</v>
      </c>
    </row>
    <row r="55" spans="2:99">
      <c r="C55" s="99" t="s">
        <v>221</v>
      </c>
      <c r="D55" s="100">
        <v>7.7105622274290724</v>
      </c>
      <c r="E55" s="100">
        <v>5116.7290941219326</v>
      </c>
      <c r="F55" s="100">
        <v>7.4119220760669074E-4</v>
      </c>
      <c r="G55" s="100">
        <v>0.49185514896779997</v>
      </c>
      <c r="H55" s="100">
        <v>8.0002789112581301</v>
      </c>
      <c r="I55" s="100">
        <v>5308.9850855108953</v>
      </c>
      <c r="J55" s="100">
        <v>8</v>
      </c>
      <c r="K55" s="100">
        <v>5308.8</v>
      </c>
      <c r="L55" s="100">
        <v>6.6104634911081135</v>
      </c>
      <c r="M55" s="100">
        <v>4386.7035726993445</v>
      </c>
      <c r="N55" s="100">
        <v>3.7485746852092832</v>
      </c>
      <c r="O55" s="100">
        <v>2487.5541611048802</v>
      </c>
      <c r="P55" s="100">
        <v>2.8639197316959044</v>
      </c>
      <c r="Q55" s="100">
        <v>1900.4971339534022</v>
      </c>
      <c r="R55" s="100">
        <v>10.543862609801659</v>
      </c>
      <c r="S55" s="100">
        <v>6996.9072278643807</v>
      </c>
      <c r="T55" s="100">
        <v>4.500881044183485</v>
      </c>
      <c r="U55" s="100">
        <v>2986.7846609201606</v>
      </c>
      <c r="V55" s="100">
        <v>7.0946385278338538E-4</v>
      </c>
      <c r="W55" s="100">
        <v>0.47080021270705458</v>
      </c>
      <c r="X55" s="100">
        <v>11.000222059878615</v>
      </c>
      <c r="Y55" s="100">
        <v>7299.7473589354495</v>
      </c>
      <c r="Z55" s="100">
        <v>11</v>
      </c>
      <c r="AA55" s="100">
        <v>7299.6</v>
      </c>
      <c r="AB55" s="100">
        <v>8</v>
      </c>
      <c r="AC55" s="100">
        <v>5308.8</v>
      </c>
      <c r="AD55" s="100">
        <v>6.8454537751053284</v>
      </c>
      <c r="AE55" s="100">
        <v>4542.643125159896</v>
      </c>
      <c r="AF55" s="100">
        <v>5.0237653024013937</v>
      </c>
      <c r="AG55" s="100">
        <v>3333.7706546735649</v>
      </c>
      <c r="AH55" s="100">
        <v>7.770376965861096E-4</v>
      </c>
      <c r="AI55" s="100">
        <v>0.51564221545454236</v>
      </c>
      <c r="AJ55" s="100">
        <v>6</v>
      </c>
      <c r="AK55" s="100">
        <v>3981.6000000000004</v>
      </c>
      <c r="AL55" s="100">
        <v>7</v>
      </c>
      <c r="AM55" s="100">
        <v>4645.2</v>
      </c>
      <c r="AN55" s="100">
        <v>4.0850727599569625</v>
      </c>
      <c r="AO55" s="100">
        <v>2710.8542835074404</v>
      </c>
      <c r="AP55" s="100">
        <v>4.4310519380134586E-4</v>
      </c>
      <c r="AQ55" s="100">
        <v>0.29404460660657311</v>
      </c>
      <c r="AR55" s="100">
        <v>9.0708624010109968</v>
      </c>
      <c r="AS55" s="100">
        <v>6019.4242893108976</v>
      </c>
      <c r="AT55" s="100">
        <v>8</v>
      </c>
      <c r="AU55" s="100">
        <v>5308.8</v>
      </c>
      <c r="AV55" s="100">
        <v>5.2694414868985673</v>
      </c>
      <c r="AW55" s="100">
        <v>3496.8013707058894</v>
      </c>
      <c r="AX55" s="100">
        <v>7.1222092424031661E-4</v>
      </c>
      <c r="AY55" s="100">
        <v>0.47262980532587412</v>
      </c>
      <c r="AZ55" s="100">
        <v>7.1401196432819516</v>
      </c>
      <c r="BA55" s="100">
        <v>4738.1833952819034</v>
      </c>
      <c r="BB55" s="100">
        <v>6.9376835937401555</v>
      </c>
      <c r="BC55" s="100">
        <v>4603.8468328059671</v>
      </c>
      <c r="BD55" s="100">
        <v>11.653632460298011</v>
      </c>
      <c r="BE55" s="100">
        <v>7733.3505006537607</v>
      </c>
      <c r="BF55" s="100">
        <v>5.0880081586988899</v>
      </c>
      <c r="BG55" s="100">
        <v>3376.4022141125834</v>
      </c>
      <c r="BH55" s="100">
        <v>10</v>
      </c>
      <c r="BI55" s="100">
        <v>6636</v>
      </c>
      <c r="BJ55" s="100">
        <v>9</v>
      </c>
      <c r="BK55" s="100">
        <v>5972.4000000000005</v>
      </c>
      <c r="BL55" s="100">
        <v>2.1171529386953232</v>
      </c>
      <c r="BM55" s="100">
        <v>1404.9426901182164</v>
      </c>
      <c r="BN55" s="100">
        <v>4.0419488095233636</v>
      </c>
      <c r="BO55" s="100">
        <v>2682.2372299997041</v>
      </c>
      <c r="BP55" s="100">
        <v>1.7215648120056393</v>
      </c>
      <c r="BQ55" s="100">
        <v>1142.4304092469422</v>
      </c>
      <c r="BR55" s="100">
        <v>8.6046780407294374</v>
      </c>
      <c r="BS55" s="100">
        <v>5710.0643478280545</v>
      </c>
      <c r="BT55" s="100">
        <v>10</v>
      </c>
      <c r="BU55" s="100">
        <v>6636</v>
      </c>
      <c r="BV55" s="100">
        <v>0.96489159184191531</v>
      </c>
      <c r="BW55" s="100">
        <v>640.30206034629498</v>
      </c>
      <c r="BX55" s="100">
        <v>7</v>
      </c>
      <c r="BY55" s="100">
        <v>4645.2</v>
      </c>
      <c r="BZ55" s="100">
        <v>10</v>
      </c>
      <c r="CA55" s="100">
        <v>6636</v>
      </c>
      <c r="CB55" s="100">
        <v>6.3268782454144228</v>
      </c>
      <c r="CC55" s="100">
        <v>4198.5164036570113</v>
      </c>
      <c r="CD55" s="100">
        <v>7.3877659883043621E-4</v>
      </c>
      <c r="CE55" s="100">
        <v>0.49025215098387748</v>
      </c>
      <c r="CF55" s="100">
        <v>7.9969665505418117</v>
      </c>
      <c r="CG55" s="100">
        <v>5306.7870029395463</v>
      </c>
      <c r="CH55" s="100">
        <v>7.788283837244144E-4</v>
      </c>
      <c r="CI55" s="100">
        <v>0.51683051543952141</v>
      </c>
      <c r="CJ55" s="100">
        <v>9.0001544777158333</v>
      </c>
      <c r="CK55" s="100">
        <v>5972.5025114122272</v>
      </c>
      <c r="CL55" s="100">
        <v>10</v>
      </c>
      <c r="CM55" s="100">
        <v>6636</v>
      </c>
      <c r="CN55" s="100">
        <v>3.8097994141131064</v>
      </c>
      <c r="CO55" s="100">
        <v>2528.1828912054575</v>
      </c>
      <c r="CP55" s="100">
        <v>4.698312681217014</v>
      </c>
      <c r="CQ55" s="100">
        <v>3117.8002952556108</v>
      </c>
      <c r="CR55" s="100">
        <v>8.4505986647991467</v>
      </c>
      <c r="CS55" s="100">
        <v>5607.8172739607144</v>
      </c>
      <c r="CT55" s="100">
        <v>5.5440245518818192E-4</v>
      </c>
      <c r="CU55" s="100">
        <v>0.36790146926287753</v>
      </c>
    </row>
    <row r="56" spans="2:99">
      <c r="C56" s="99" t="s">
        <v>222</v>
      </c>
      <c r="D56" s="100">
        <v>4.3664486452972975</v>
      </c>
      <c r="E56" s="100">
        <v>4286.1059902238267</v>
      </c>
      <c r="F56" s="100">
        <v>6.2681987644625909</v>
      </c>
      <c r="G56" s="100">
        <v>6152.863907196479</v>
      </c>
      <c r="H56" s="100">
        <v>5.6863076190277511</v>
      </c>
      <c r="I56" s="100">
        <v>5581.6795588376399</v>
      </c>
      <c r="J56" s="100">
        <v>3.6689674739691061</v>
      </c>
      <c r="K56" s="100">
        <v>3601.4584724480742</v>
      </c>
      <c r="L56" s="100">
        <v>2.3937552890326286</v>
      </c>
      <c r="M56" s="100">
        <v>2349.7101917144278</v>
      </c>
      <c r="N56" s="100">
        <v>4.6181092854232402</v>
      </c>
      <c r="O56" s="100">
        <v>4533.1360745714519</v>
      </c>
      <c r="P56" s="100">
        <v>4.1587597642569181</v>
      </c>
      <c r="Q56" s="100">
        <v>4082.2385845945905</v>
      </c>
      <c r="R56" s="100">
        <v>5.1417932921075122</v>
      </c>
      <c r="S56" s="100">
        <v>5047.1842955327338</v>
      </c>
      <c r="T56" s="100">
        <v>4.2097264728613881</v>
      </c>
      <c r="U56" s="100">
        <v>4132.2675057607385</v>
      </c>
      <c r="V56" s="100">
        <v>5.050129797295094</v>
      </c>
      <c r="W56" s="100">
        <v>4957.2074090248634</v>
      </c>
      <c r="X56" s="100">
        <v>2.9055866217748143</v>
      </c>
      <c r="Y56" s="100">
        <v>2852.1238279341574</v>
      </c>
      <c r="Z56" s="100">
        <v>3.6488118005123398</v>
      </c>
      <c r="AA56" s="100">
        <v>3581.6736633829123</v>
      </c>
      <c r="AB56" s="100">
        <v>5.3976029365113192</v>
      </c>
      <c r="AC56" s="100">
        <v>5298.2870424795101</v>
      </c>
      <c r="AD56" s="100">
        <v>5.5788456931152064</v>
      </c>
      <c r="AE56" s="100">
        <v>5476.1949323618865</v>
      </c>
      <c r="AF56" s="100">
        <v>3.8995017311596922</v>
      </c>
      <c r="AG56" s="100">
        <v>3827.7508993063534</v>
      </c>
      <c r="AH56" s="100">
        <v>0.53549380337738883</v>
      </c>
      <c r="AI56" s="100">
        <v>525.64071739524479</v>
      </c>
      <c r="AJ56" s="100">
        <v>5.1781018809836556</v>
      </c>
      <c r="AK56" s="100">
        <v>5082.8248063735555</v>
      </c>
      <c r="AL56" s="100">
        <v>7</v>
      </c>
      <c r="AM56" s="100">
        <v>6871.1999999999989</v>
      </c>
      <c r="AN56" s="100">
        <v>6.4593630581700037</v>
      </c>
      <c r="AO56" s="100">
        <v>6340.5107778996753</v>
      </c>
      <c r="AP56" s="100">
        <v>4.3974513253874132</v>
      </c>
      <c r="AQ56" s="100">
        <v>4316.5382210002845</v>
      </c>
      <c r="AR56" s="100">
        <v>5.6788151653666104</v>
      </c>
      <c r="AS56" s="100">
        <v>5574.3249663238639</v>
      </c>
      <c r="AT56" s="100">
        <v>0.52258876317141822</v>
      </c>
      <c r="AU56" s="100">
        <v>512.97312992906404</v>
      </c>
      <c r="AV56" s="100">
        <v>9.2311686805858066</v>
      </c>
      <c r="AW56" s="100">
        <v>9061.3151768630269</v>
      </c>
      <c r="AX56" s="100">
        <v>2.3784964247346028</v>
      </c>
      <c r="AY56" s="100">
        <v>2334.7320905194861</v>
      </c>
      <c r="AZ56" s="100">
        <v>7.3483198322261769</v>
      </c>
      <c r="BA56" s="100">
        <v>7213.1107473132142</v>
      </c>
      <c r="BB56" s="100">
        <v>11.717327499200533</v>
      </c>
      <c r="BC56" s="100">
        <v>11501.728673215242</v>
      </c>
      <c r="BD56" s="100">
        <v>9.3230142515054091</v>
      </c>
      <c r="BE56" s="100">
        <v>9151.4707892777078</v>
      </c>
      <c r="BF56" s="100">
        <v>5.351944187457887</v>
      </c>
      <c r="BG56" s="100">
        <v>5253.4684144086614</v>
      </c>
      <c r="BH56" s="100">
        <v>7.6614539532579196</v>
      </c>
      <c r="BI56" s="100">
        <v>7520.4832005179733</v>
      </c>
      <c r="BJ56" s="100">
        <v>0.50931094925175102</v>
      </c>
      <c r="BK56" s="100">
        <v>499.93962778551878</v>
      </c>
      <c r="BL56" s="100">
        <v>7.1338708359717415</v>
      </c>
      <c r="BM56" s="100">
        <v>7002.6076125898608</v>
      </c>
      <c r="BN56" s="100">
        <v>6</v>
      </c>
      <c r="BO56" s="100">
        <v>5889.5999999999995</v>
      </c>
      <c r="BP56" s="100">
        <v>4.9736624404731691</v>
      </c>
      <c r="BQ56" s="100">
        <v>4882.1470515684623</v>
      </c>
      <c r="BR56" s="100">
        <v>4.6485283678739995</v>
      </c>
      <c r="BS56" s="100">
        <v>4562.9954459051178</v>
      </c>
      <c r="BT56" s="100">
        <v>6.3924882605460844</v>
      </c>
      <c r="BU56" s="100">
        <v>6274.8664765520361</v>
      </c>
      <c r="BV56" s="100">
        <v>6.6147573520779623</v>
      </c>
      <c r="BW56" s="100">
        <v>6493.0458167997276</v>
      </c>
      <c r="BX56" s="100">
        <v>4.7287701947507452</v>
      </c>
      <c r="BY56" s="100">
        <v>4641.7608231673312</v>
      </c>
      <c r="BZ56" s="100">
        <v>7.9517117207857178</v>
      </c>
      <c r="CA56" s="100">
        <v>7805.4002251232596</v>
      </c>
      <c r="CB56" s="100">
        <v>4.8034970810964133</v>
      </c>
      <c r="CC56" s="100">
        <v>4715.1127348042392</v>
      </c>
      <c r="CD56" s="100">
        <v>7.5719001260543756E-4</v>
      </c>
      <c r="CE56" s="100">
        <v>0.74325771637349747</v>
      </c>
      <c r="CF56" s="100">
        <v>6.4028019989452689</v>
      </c>
      <c r="CG56" s="100">
        <v>6284.9904421646752</v>
      </c>
      <c r="CH56" s="100">
        <v>5.4282450457687226</v>
      </c>
      <c r="CI56" s="100">
        <v>5328.3653369265776</v>
      </c>
      <c r="CJ56" s="100">
        <v>6.6447662292673293</v>
      </c>
      <c r="CK56" s="100">
        <v>6522.5025306488096</v>
      </c>
      <c r="CL56" s="100">
        <v>0.48569523933462383</v>
      </c>
      <c r="CM56" s="100">
        <v>476.75844693086668</v>
      </c>
      <c r="CN56" s="100">
        <v>9.1888971345160186</v>
      </c>
      <c r="CO56" s="100">
        <v>9019.8214272409223</v>
      </c>
      <c r="CP56" s="100">
        <v>9.9278083813981244</v>
      </c>
      <c r="CQ56" s="100">
        <v>9745.1367071803979</v>
      </c>
      <c r="CR56" s="100">
        <v>5.3361441945078427</v>
      </c>
      <c r="CS56" s="100">
        <v>5237.9591413288981</v>
      </c>
      <c r="CT56" s="100">
        <v>7.0907231094067358</v>
      </c>
      <c r="CU56" s="100">
        <v>6960.2538041936514</v>
      </c>
    </row>
    <row r="57" spans="2:99">
      <c r="C57" s="99" t="s">
        <v>223</v>
      </c>
      <c r="D57" s="100">
        <v>7.7105622274290724</v>
      </c>
      <c r="E57" s="100">
        <v>10881.145415347908</v>
      </c>
      <c r="F57" s="100">
        <v>6.176601730055756E-4</v>
      </c>
      <c r="G57" s="100">
        <v>0.87164203614546831</v>
      </c>
      <c r="H57" s="100">
        <v>7.0002789112581292</v>
      </c>
      <c r="I57" s="100">
        <v>9878.7935995674725</v>
      </c>
      <c r="J57" s="100">
        <v>8</v>
      </c>
      <c r="K57" s="100">
        <v>11289.6</v>
      </c>
      <c r="L57" s="100">
        <v>5.7841555547195993</v>
      </c>
      <c r="M57" s="100">
        <v>8162.6003188202985</v>
      </c>
      <c r="N57" s="100">
        <v>3.7285515124686746</v>
      </c>
      <c r="O57" s="100">
        <v>5261.7318943957935</v>
      </c>
      <c r="P57" s="100">
        <v>2.575241797959122</v>
      </c>
      <c r="Q57" s="100">
        <v>3634.1812252799132</v>
      </c>
      <c r="R57" s="100">
        <v>9.5438626098016588</v>
      </c>
      <c r="S57" s="100">
        <v>13468.298914952102</v>
      </c>
      <c r="T57" s="100">
        <v>4.0007831503853204</v>
      </c>
      <c r="U57" s="100">
        <v>5645.905181823764</v>
      </c>
      <c r="V57" s="100">
        <v>7.1090185260403837E-4</v>
      </c>
      <c r="W57" s="100">
        <v>1.0032246943948189</v>
      </c>
      <c r="X57" s="100">
        <v>11.000222059878615</v>
      </c>
      <c r="Y57" s="100">
        <v>15523.513370900702</v>
      </c>
      <c r="Z57" s="100">
        <v>11</v>
      </c>
      <c r="AA57" s="100">
        <v>15523.2</v>
      </c>
      <c r="AB57" s="100">
        <v>7</v>
      </c>
      <c r="AC57" s="100">
        <v>9878.4</v>
      </c>
      <c r="AD57" s="100">
        <v>5.9897720532171626</v>
      </c>
      <c r="AE57" s="100">
        <v>8452.7663215000593</v>
      </c>
      <c r="AF57" s="100">
        <v>5.0237653024013937</v>
      </c>
      <c r="AG57" s="100">
        <v>7089.5375947488474</v>
      </c>
      <c r="AH57" s="100">
        <v>6.4753141382175791E-4</v>
      </c>
      <c r="AI57" s="100">
        <v>0.91379633118526482</v>
      </c>
      <c r="AJ57" s="100">
        <v>6</v>
      </c>
      <c r="AK57" s="100">
        <v>8467.2000000000007</v>
      </c>
      <c r="AL57" s="100">
        <v>7</v>
      </c>
      <c r="AM57" s="100">
        <v>9878.4</v>
      </c>
      <c r="AN57" s="100">
        <v>4.0850727599569625</v>
      </c>
      <c r="AO57" s="100">
        <v>5764.8546788512658</v>
      </c>
      <c r="AP57" s="100">
        <v>4.4310519380134586E-4</v>
      </c>
      <c r="AQ57" s="100">
        <v>0.62531004949245927</v>
      </c>
      <c r="AR57" s="100">
        <v>8.0708624010109968</v>
      </c>
      <c r="AS57" s="100">
        <v>11389.60102030672</v>
      </c>
      <c r="AT57" s="100">
        <v>7</v>
      </c>
      <c r="AU57" s="100">
        <v>9878.4</v>
      </c>
      <c r="AV57" s="100">
        <v>5.2694414868985673</v>
      </c>
      <c r="AW57" s="100">
        <v>7436.2358263112583</v>
      </c>
      <c r="AX57" s="100">
        <v>7.1222092424031661E-4</v>
      </c>
      <c r="AY57" s="100">
        <v>1.0050861682879348</v>
      </c>
      <c r="AZ57" s="100">
        <v>7.1401196432819516</v>
      </c>
      <c r="BA57" s="100">
        <v>10076.136840599491</v>
      </c>
      <c r="BB57" s="100">
        <v>7.579783113275548</v>
      </c>
      <c r="BC57" s="100">
        <v>10696.589929454454</v>
      </c>
      <c r="BD57" s="100">
        <v>10.784358952357614</v>
      </c>
      <c r="BE57" s="100">
        <v>15218.887353567066</v>
      </c>
      <c r="BF57" s="100">
        <v>4.3611498503133337</v>
      </c>
      <c r="BG57" s="100">
        <v>6154.4546687621769</v>
      </c>
      <c r="BH57" s="100">
        <v>10</v>
      </c>
      <c r="BI57" s="100">
        <v>14112</v>
      </c>
      <c r="BJ57" s="100">
        <v>9</v>
      </c>
      <c r="BK57" s="100">
        <v>12700.800000000001</v>
      </c>
      <c r="BL57" s="100">
        <v>2.1171529386953232</v>
      </c>
      <c r="BM57" s="100">
        <v>2987.72622708684</v>
      </c>
      <c r="BN57" s="100">
        <v>3.9026778424274235</v>
      </c>
      <c r="BO57" s="100">
        <v>5507.4589712335801</v>
      </c>
      <c r="BP57" s="100">
        <v>1.7105564639533584</v>
      </c>
      <c r="BQ57" s="100">
        <v>2413.9372819309792</v>
      </c>
      <c r="BR57" s="100">
        <v>7.4837424325835507</v>
      </c>
      <c r="BS57" s="100">
        <v>10561.057320861906</v>
      </c>
      <c r="BT57" s="100">
        <v>8</v>
      </c>
      <c r="BU57" s="100">
        <v>11289.6</v>
      </c>
      <c r="BV57" s="100">
        <v>0.96489159184191531</v>
      </c>
      <c r="BW57" s="100">
        <v>1361.655014407311</v>
      </c>
      <c r="BX57" s="100">
        <v>5</v>
      </c>
      <c r="BY57" s="100">
        <v>7056</v>
      </c>
      <c r="BZ57" s="100">
        <v>9</v>
      </c>
      <c r="CA57" s="100">
        <v>12700.800000000001</v>
      </c>
      <c r="CB57" s="100">
        <v>6.3268782454144228</v>
      </c>
      <c r="CC57" s="100">
        <v>8928.4905799288335</v>
      </c>
      <c r="CD57" s="100">
        <v>7.3877659883043621E-4</v>
      </c>
      <c r="CE57" s="100">
        <v>1.0425615362695115</v>
      </c>
      <c r="CF57" s="100">
        <v>7.0614795555259287</v>
      </c>
      <c r="CG57" s="100">
        <v>9965.1599487581916</v>
      </c>
      <c r="CH57" s="100">
        <v>6.0654457952405655E-4</v>
      </c>
      <c r="CI57" s="100">
        <v>0.85595571062434861</v>
      </c>
      <c r="CJ57" s="100">
        <v>10.000154477715833</v>
      </c>
      <c r="CK57" s="100">
        <v>14112.217998952585</v>
      </c>
      <c r="CL57" s="100">
        <v>10</v>
      </c>
      <c r="CM57" s="100">
        <v>14112</v>
      </c>
      <c r="CN57" s="100">
        <v>3.4288194727017958</v>
      </c>
      <c r="CO57" s="100">
        <v>4838.7500398767743</v>
      </c>
      <c r="CP57" s="100">
        <v>3.7586501449736112</v>
      </c>
      <c r="CQ57" s="100">
        <v>5304.2070845867602</v>
      </c>
      <c r="CR57" s="100">
        <v>8.419389830202455</v>
      </c>
      <c r="CS57" s="100">
        <v>11881.442928381704</v>
      </c>
      <c r="CT57" s="100">
        <v>6.1487209630214684E-4</v>
      </c>
      <c r="CU57" s="100">
        <v>0.86770750230158966</v>
      </c>
    </row>
    <row r="58" spans="2:99">
      <c r="C58" s="99" t="s">
        <v>224</v>
      </c>
      <c r="D58" s="100">
        <v>3.5996141517480833</v>
      </c>
      <c r="E58" s="100">
        <v>4237.4657794378436</v>
      </c>
      <c r="F58" s="100">
        <v>9.5819514905190211</v>
      </c>
      <c r="G58" s="100">
        <v>11279.873294638992</v>
      </c>
      <c r="H58" s="100">
        <v>7.3338219587645765</v>
      </c>
      <c r="I58" s="100">
        <v>8633.3752098576606</v>
      </c>
      <c r="J58" s="100">
        <v>5.9142460881254975</v>
      </c>
      <c r="K58" s="100">
        <v>6962.250494941336</v>
      </c>
      <c r="L58" s="100">
        <v>5.1952472787019613E-4</v>
      </c>
      <c r="M58" s="100">
        <v>0.61158450964879496</v>
      </c>
      <c r="N58" s="100">
        <v>5.0002379637216325</v>
      </c>
      <c r="O58" s="100">
        <v>5886.2801308931057</v>
      </c>
      <c r="P58" s="100">
        <v>5.603585282065672</v>
      </c>
      <c r="Q58" s="100">
        <v>6596.5405940477094</v>
      </c>
      <c r="R58" s="100">
        <v>5.7068055840437504</v>
      </c>
      <c r="S58" s="100">
        <v>6718.0515335363034</v>
      </c>
      <c r="T58" s="100">
        <v>5.159535788896398</v>
      </c>
      <c r="U58" s="100">
        <v>6073.80553068884</v>
      </c>
      <c r="V58" s="100">
        <v>6.7065295061784616</v>
      </c>
      <c r="W58" s="100">
        <v>7894.9265346732855</v>
      </c>
      <c r="X58" s="100">
        <v>8.5395818381522073</v>
      </c>
      <c r="Y58" s="100">
        <v>10052.795739872779</v>
      </c>
      <c r="Z58" s="100">
        <v>4.3167646299404305</v>
      </c>
      <c r="AA58" s="100">
        <v>5081.6953223658747</v>
      </c>
      <c r="AB58" s="100">
        <v>6.7124016019334611</v>
      </c>
      <c r="AC58" s="100">
        <v>7901.839165796071</v>
      </c>
      <c r="AD58" s="100">
        <v>6.1510972153924115</v>
      </c>
      <c r="AE58" s="100">
        <v>7241.0716419599466</v>
      </c>
      <c r="AF58" s="100">
        <v>2.9569048209826798</v>
      </c>
      <c r="AG58" s="100">
        <v>3480.8683552608109</v>
      </c>
      <c r="AH58" s="100">
        <v>4.3776424079668015</v>
      </c>
      <c r="AI58" s="100">
        <v>5153.3606426585193</v>
      </c>
      <c r="AJ58" s="100">
        <v>5.5378874952880652</v>
      </c>
      <c r="AK58" s="100">
        <v>6519.2011594531104</v>
      </c>
      <c r="AL58" s="100">
        <v>2.9963213321484043</v>
      </c>
      <c r="AM58" s="100">
        <v>3527.2694722051019</v>
      </c>
      <c r="AN58" s="100">
        <v>8.8676988778890689</v>
      </c>
      <c r="AO58" s="100">
        <v>10439.055119051012</v>
      </c>
      <c r="AP58" s="100">
        <v>4.9519693881122908</v>
      </c>
      <c r="AQ58" s="100">
        <v>5829.4583636857888</v>
      </c>
      <c r="AR58" s="100">
        <v>3.8948498620347203</v>
      </c>
      <c r="AS58" s="100">
        <v>4585.017257587273</v>
      </c>
      <c r="AT58" s="100">
        <v>7</v>
      </c>
      <c r="AU58" s="100">
        <v>8240.4</v>
      </c>
      <c r="AV58" s="100">
        <v>7.3890556051189415</v>
      </c>
      <c r="AW58" s="100">
        <v>8698.3962583460179</v>
      </c>
      <c r="AX58" s="100">
        <v>10.971406957458933</v>
      </c>
      <c r="AY58" s="100">
        <v>12915.540270320656</v>
      </c>
      <c r="AZ58" s="100">
        <v>5.7374824213749118</v>
      </c>
      <c r="BA58" s="100">
        <v>6754.1643064425461</v>
      </c>
      <c r="BB58" s="100">
        <v>2.3397378824622819</v>
      </c>
      <c r="BC58" s="100">
        <v>2754.3394352345981</v>
      </c>
      <c r="BD58" s="100">
        <v>10.84315038153399</v>
      </c>
      <c r="BE58" s="100">
        <v>12764.556629141813</v>
      </c>
      <c r="BF58" s="100">
        <v>7</v>
      </c>
      <c r="BG58" s="100">
        <v>8240.4</v>
      </c>
      <c r="BH58" s="100">
        <v>7.8684255951543829</v>
      </c>
      <c r="BI58" s="100">
        <v>9262.7106106157407</v>
      </c>
      <c r="BJ58" s="100">
        <v>1.7543351465140722</v>
      </c>
      <c r="BK58" s="100">
        <v>2065.2033344763659</v>
      </c>
      <c r="BL58" s="100">
        <v>4.7507293795492558</v>
      </c>
      <c r="BM58" s="100">
        <v>5592.5586256053839</v>
      </c>
      <c r="BN58" s="100">
        <v>5.9680908868817371</v>
      </c>
      <c r="BO58" s="100">
        <v>7025.6365920371809</v>
      </c>
      <c r="BP58" s="100">
        <v>7</v>
      </c>
      <c r="BQ58" s="100">
        <v>8240.4</v>
      </c>
      <c r="BR58" s="100">
        <v>5.3719082270040639</v>
      </c>
      <c r="BS58" s="100">
        <v>6323.8103648291844</v>
      </c>
      <c r="BT58" s="100">
        <v>6.1151254640288784</v>
      </c>
      <c r="BU58" s="100">
        <v>7198.7256962547963</v>
      </c>
      <c r="BV58" s="100">
        <v>6.3647224217443439</v>
      </c>
      <c r="BW58" s="100">
        <v>7492.5512348774419</v>
      </c>
      <c r="BX58" s="100">
        <v>5.5492738896788012</v>
      </c>
      <c r="BY58" s="100">
        <v>6532.6052229298848</v>
      </c>
      <c r="BZ58" s="100">
        <v>5.5544499537519664E-4</v>
      </c>
      <c r="CA58" s="100">
        <v>0.65386984855568153</v>
      </c>
      <c r="CB58" s="100">
        <v>6.7807077827452673</v>
      </c>
      <c r="CC58" s="100">
        <v>7982.2492018477287</v>
      </c>
      <c r="CD58" s="100">
        <v>11</v>
      </c>
      <c r="CE58" s="100">
        <v>12949.2</v>
      </c>
      <c r="CF58" s="100">
        <v>4.8604563043134856</v>
      </c>
      <c r="CG58" s="100">
        <v>5721.7291614378355</v>
      </c>
      <c r="CH58" s="100">
        <v>7.5848345519624667</v>
      </c>
      <c r="CI58" s="100">
        <v>8928.8672345702162</v>
      </c>
      <c r="CJ58" s="100">
        <v>10</v>
      </c>
      <c r="CK58" s="100">
        <v>11772</v>
      </c>
      <c r="CL58" s="100">
        <v>2.617415088503356</v>
      </c>
      <c r="CM58" s="100">
        <v>3081.221042186151</v>
      </c>
      <c r="CN58" s="100">
        <v>7.8584093220202158</v>
      </c>
      <c r="CO58" s="100">
        <v>9250.9194538821976</v>
      </c>
      <c r="CP58" s="100">
        <v>5.6109240412153678</v>
      </c>
      <c r="CQ58" s="100">
        <v>6605.1797813187313</v>
      </c>
      <c r="CR58" s="100">
        <v>10.024951664096092</v>
      </c>
      <c r="CS58" s="100">
        <v>11801.37309897392</v>
      </c>
      <c r="CT58" s="100">
        <v>3.6788535120618904</v>
      </c>
      <c r="CU58" s="100">
        <v>4330.7463543992571</v>
      </c>
    </row>
    <row r="59" spans="2:99">
      <c r="C59" s="99" t="s">
        <v>225</v>
      </c>
      <c r="D59" s="100">
        <v>8.5672913638100798</v>
      </c>
      <c r="E59" s="100">
        <v>2601.0296580527402</v>
      </c>
      <c r="F59" s="100">
        <v>7.4119220760669074E-4</v>
      </c>
      <c r="G59" s="100">
        <v>0.22502595422939128</v>
      </c>
      <c r="H59" s="100">
        <v>7.0002789112581292</v>
      </c>
      <c r="I59" s="100">
        <v>2125.284677457968</v>
      </c>
      <c r="J59" s="100">
        <v>8</v>
      </c>
      <c r="K59" s="100">
        <v>2428.7999999999997</v>
      </c>
      <c r="L59" s="100">
        <v>6.6104634911081135</v>
      </c>
      <c r="M59" s="100">
        <v>2006.936715900423</v>
      </c>
      <c r="N59" s="100">
        <v>3.7285515124686746</v>
      </c>
      <c r="O59" s="100">
        <v>1131.9882391854894</v>
      </c>
      <c r="P59" s="100">
        <v>2.8524899288599457</v>
      </c>
      <c r="Q59" s="100">
        <v>866.01594240187944</v>
      </c>
      <c r="R59" s="100">
        <v>10.679828262252075</v>
      </c>
      <c r="S59" s="100">
        <v>3242.3958604197296</v>
      </c>
      <c r="T59" s="100">
        <v>4.500881044183485</v>
      </c>
      <c r="U59" s="100">
        <v>1366.4674850141059</v>
      </c>
      <c r="V59" s="100">
        <v>7.8845294751716719E-4</v>
      </c>
      <c r="W59" s="100">
        <v>0.23937431486621194</v>
      </c>
      <c r="X59" s="100">
        <v>11.000266471854339</v>
      </c>
      <c r="Y59" s="100">
        <v>3339.6809008549767</v>
      </c>
      <c r="Z59" s="100">
        <v>10</v>
      </c>
      <c r="AA59" s="100">
        <v>3035.9999999999995</v>
      </c>
      <c r="AB59" s="100">
        <v>8</v>
      </c>
      <c r="AC59" s="100">
        <v>2428.7999999999997</v>
      </c>
      <c r="AD59" s="100">
        <v>6.8454537751053284</v>
      </c>
      <c r="AE59" s="100">
        <v>2078.2797661219774</v>
      </c>
      <c r="AF59" s="100">
        <v>5.8610595194682933</v>
      </c>
      <c r="AG59" s="100">
        <v>1779.4176701105737</v>
      </c>
      <c r="AH59" s="100">
        <v>7.1228455520393381E-4</v>
      </c>
      <c r="AI59" s="100">
        <v>0.21624959095991428</v>
      </c>
      <c r="AJ59" s="100">
        <v>6</v>
      </c>
      <c r="AK59" s="100">
        <v>1821.6</v>
      </c>
      <c r="AL59" s="100">
        <v>8</v>
      </c>
      <c r="AM59" s="100">
        <v>2428.7999999999997</v>
      </c>
      <c r="AN59" s="100">
        <v>4.0850727599569625</v>
      </c>
      <c r="AO59" s="100">
        <v>1240.2280899229336</v>
      </c>
      <c r="AP59" s="100">
        <v>4.4661555325641478E-4</v>
      </c>
      <c r="AQ59" s="100">
        <v>0.13559248196864751</v>
      </c>
      <c r="AR59" s="100">
        <v>8.0708624010109968</v>
      </c>
      <c r="AS59" s="100">
        <v>2450.3138249469384</v>
      </c>
      <c r="AT59" s="100">
        <v>8</v>
      </c>
      <c r="AU59" s="100">
        <v>2428.7999999999997</v>
      </c>
      <c r="AV59" s="100">
        <v>5.7963856355884236</v>
      </c>
      <c r="AW59" s="100">
        <v>1759.7826789646451</v>
      </c>
      <c r="AX59" s="100">
        <v>7.7760172617051938E-4</v>
      </c>
      <c r="AY59" s="100">
        <v>0.23607988406536967</v>
      </c>
      <c r="AZ59" s="100">
        <v>7.1917530786868449</v>
      </c>
      <c r="BA59" s="100">
        <v>2183.4162346893258</v>
      </c>
      <c r="BB59" s="100">
        <v>8.219544766166802</v>
      </c>
      <c r="BC59" s="100">
        <v>2495.4537910082408</v>
      </c>
      <c r="BD59" s="100">
        <v>10.784358952357614</v>
      </c>
      <c r="BE59" s="100">
        <v>3274.1313779357715</v>
      </c>
      <c r="BF59" s="100">
        <v>5.0880081586988899</v>
      </c>
      <c r="BG59" s="100">
        <v>1544.7192769809828</v>
      </c>
      <c r="BH59" s="100">
        <v>11</v>
      </c>
      <c r="BI59" s="100">
        <v>3339.5999999999995</v>
      </c>
      <c r="BJ59" s="100">
        <v>8</v>
      </c>
      <c r="BK59" s="100">
        <v>2428.7999999999997</v>
      </c>
      <c r="BL59" s="100">
        <v>2.4196033585089407</v>
      </c>
      <c r="BM59" s="100">
        <v>734.59157964331428</v>
      </c>
      <c r="BN59" s="100">
        <v>3.489760399796884</v>
      </c>
      <c r="BO59" s="100">
        <v>1059.4912573783338</v>
      </c>
      <c r="BP59" s="100">
        <v>1.9919797585948242</v>
      </c>
      <c r="BQ59" s="100">
        <v>604.76505470938855</v>
      </c>
      <c r="BR59" s="100">
        <v>8.4837424325835507</v>
      </c>
      <c r="BS59" s="100">
        <v>2575.6642025323658</v>
      </c>
      <c r="BT59" s="100">
        <v>10</v>
      </c>
      <c r="BU59" s="100">
        <v>3035.9999999999995</v>
      </c>
      <c r="BV59" s="100">
        <v>1.0721017687132393</v>
      </c>
      <c r="BW59" s="100">
        <v>325.49009698133938</v>
      </c>
      <c r="BX59" s="100">
        <v>6</v>
      </c>
      <c r="BY59" s="100">
        <v>1821.6</v>
      </c>
      <c r="BZ59" s="100">
        <v>11</v>
      </c>
      <c r="CA59" s="100">
        <v>3339.5999999999995</v>
      </c>
      <c r="CB59" s="100">
        <v>6.3268782454144228</v>
      </c>
      <c r="CC59" s="100">
        <v>1920.8402353078186</v>
      </c>
      <c r="CD59" s="100">
        <v>8.0593810781502131E-4</v>
      </c>
      <c r="CE59" s="100">
        <v>0.24468280953264043</v>
      </c>
      <c r="CF59" s="100">
        <v>7.0614795555259287</v>
      </c>
      <c r="CG59" s="100">
        <v>2143.8651930576716</v>
      </c>
      <c r="CH59" s="100">
        <v>7.788283837244144E-4</v>
      </c>
      <c r="CI59" s="100">
        <v>0.23645229729873218</v>
      </c>
      <c r="CJ59" s="100">
        <v>11.000193097144791</v>
      </c>
      <c r="CK59" s="100">
        <v>3339.658624293158</v>
      </c>
      <c r="CL59" s="100">
        <v>10</v>
      </c>
      <c r="CM59" s="100">
        <v>3035.9999999999995</v>
      </c>
      <c r="CN59" s="100">
        <v>3.8097994141131064</v>
      </c>
      <c r="CO59" s="100">
        <v>1156.655102124739</v>
      </c>
      <c r="CP59" s="100">
        <v>4.2284814130953121</v>
      </c>
      <c r="CQ59" s="100">
        <v>1283.7669570157366</v>
      </c>
      <c r="CR59" s="100">
        <v>9.3687481822679253</v>
      </c>
      <c r="CS59" s="100">
        <v>2844.351948136542</v>
      </c>
      <c r="CT59" s="100">
        <v>6.1579715858964658E-4</v>
      </c>
      <c r="CU59" s="100">
        <v>0.18695601734781669</v>
      </c>
    </row>
    <row r="60" spans="2:99">
      <c r="C60" s="99" t="s">
        <v>226</v>
      </c>
      <c r="D60" s="100">
        <v>7.7105622274290724</v>
      </c>
      <c r="E60" s="100">
        <v>5024.2023473927838</v>
      </c>
      <c r="F60" s="100">
        <v>6.7942619030613328E-4</v>
      </c>
      <c r="G60" s="100">
        <v>0.44271410560347646</v>
      </c>
      <c r="H60" s="100">
        <v>8.0002789112581301</v>
      </c>
      <c r="I60" s="100">
        <v>5212.9817385757979</v>
      </c>
      <c r="J60" s="100">
        <v>7</v>
      </c>
      <c r="K60" s="100">
        <v>4561.2</v>
      </c>
      <c r="L60" s="100">
        <v>6.6104634911081135</v>
      </c>
      <c r="M60" s="100">
        <v>4307.3780108060473</v>
      </c>
      <c r="N60" s="100">
        <v>3.7485746852092832</v>
      </c>
      <c r="O60" s="100">
        <v>2442.5712648823692</v>
      </c>
      <c r="P60" s="100">
        <v>2.575241797959122</v>
      </c>
      <c r="Q60" s="100">
        <v>1678.0275555501639</v>
      </c>
      <c r="R60" s="100">
        <v>9.5438626098016588</v>
      </c>
      <c r="S60" s="100">
        <v>6218.7808765467607</v>
      </c>
      <c r="T60" s="100">
        <v>4.0007831503853204</v>
      </c>
      <c r="U60" s="100">
        <v>2606.9103007910749</v>
      </c>
      <c r="V60" s="100">
        <v>7.1090185260403837E-4</v>
      </c>
      <c r="W60" s="100">
        <v>0.46322364715679143</v>
      </c>
      <c r="X60" s="100">
        <v>12.000222059878615</v>
      </c>
      <c r="Y60" s="100">
        <v>7819.3446942169057</v>
      </c>
      <c r="Z60" s="100">
        <v>12</v>
      </c>
      <c r="AA60" s="100">
        <v>7819.2000000000007</v>
      </c>
      <c r="AB60" s="100">
        <v>8</v>
      </c>
      <c r="AC60" s="100">
        <v>5212.8</v>
      </c>
      <c r="AD60" s="100">
        <v>6.8454537751053284</v>
      </c>
      <c r="AE60" s="100">
        <v>4460.4976798586322</v>
      </c>
      <c r="AF60" s="100">
        <v>5.0237653024013937</v>
      </c>
      <c r="AG60" s="100">
        <v>3273.4854710447485</v>
      </c>
      <c r="AH60" s="100">
        <v>7.770376965861096E-4</v>
      </c>
      <c r="AI60" s="100">
        <v>0.50631776309550902</v>
      </c>
      <c r="AJ60" s="100">
        <v>5</v>
      </c>
      <c r="AK60" s="100">
        <v>3258</v>
      </c>
      <c r="AL60" s="100">
        <v>8</v>
      </c>
      <c r="AM60" s="100">
        <v>5212.8</v>
      </c>
      <c r="AN60" s="100">
        <v>4.0850727599569625</v>
      </c>
      <c r="AO60" s="100">
        <v>2661.833410387957</v>
      </c>
      <c r="AP60" s="100">
        <v>4.4661555325641478E-4</v>
      </c>
      <c r="AQ60" s="100">
        <v>0.29101469450187989</v>
      </c>
      <c r="AR60" s="100">
        <v>8.0708624010109968</v>
      </c>
      <c r="AS60" s="100">
        <v>5258.9739404987658</v>
      </c>
      <c r="AT60" s="100">
        <v>7</v>
      </c>
      <c r="AU60" s="100">
        <v>4561.2</v>
      </c>
      <c r="AV60" s="100">
        <v>4.742497338208711</v>
      </c>
      <c r="AW60" s="100">
        <v>3090.211265576796</v>
      </c>
      <c r="AX60" s="100">
        <v>8.4985463456405032E-4</v>
      </c>
      <c r="AY60" s="100">
        <v>0.55376527988193525</v>
      </c>
      <c r="AZ60" s="100">
        <v>7.1401196432819516</v>
      </c>
      <c r="BA60" s="100">
        <v>4652.5019595625199</v>
      </c>
      <c r="BB60" s="100">
        <v>7.579783113275548</v>
      </c>
      <c r="BC60" s="100">
        <v>4938.9866766103469</v>
      </c>
      <c r="BD60" s="100">
        <v>10.784358952357614</v>
      </c>
      <c r="BE60" s="100">
        <v>7027.0882933562216</v>
      </c>
      <c r="BF60" s="100">
        <v>5.0880081586988899</v>
      </c>
      <c r="BG60" s="100">
        <v>3315.3461162081967</v>
      </c>
      <c r="BH60" s="100">
        <v>10</v>
      </c>
      <c r="BI60" s="100">
        <v>6516</v>
      </c>
      <c r="BJ60" s="100">
        <v>8</v>
      </c>
      <c r="BK60" s="100">
        <v>5212.8</v>
      </c>
      <c r="BL60" s="100">
        <v>2.1171529386953232</v>
      </c>
      <c r="BM60" s="100">
        <v>1379.5368548538727</v>
      </c>
      <c r="BN60" s="100">
        <v>3.9026778424274235</v>
      </c>
      <c r="BO60" s="100">
        <v>2542.9848821257092</v>
      </c>
      <c r="BP60" s="100">
        <v>1.9919797585948242</v>
      </c>
      <c r="BQ60" s="100">
        <v>1297.9740107003875</v>
      </c>
      <c r="BR60" s="100">
        <v>8.4837424325835507</v>
      </c>
      <c r="BS60" s="100">
        <v>5528.0065690714418</v>
      </c>
      <c r="BT60" s="100">
        <v>9</v>
      </c>
      <c r="BU60" s="100">
        <v>5864.4000000000005</v>
      </c>
      <c r="BV60" s="100">
        <v>1.0721017687132393</v>
      </c>
      <c r="BW60" s="100">
        <v>698.58151249354671</v>
      </c>
      <c r="BX60" s="100">
        <v>7</v>
      </c>
      <c r="BY60" s="100">
        <v>4561.2</v>
      </c>
      <c r="BZ60" s="100">
        <v>10</v>
      </c>
      <c r="CA60" s="100">
        <v>6516</v>
      </c>
      <c r="CB60" s="100">
        <v>5.4230384960695064</v>
      </c>
      <c r="CC60" s="100">
        <v>3533.6518840388903</v>
      </c>
      <c r="CD60" s="100">
        <v>7.3877659883043621E-4</v>
      </c>
      <c r="CE60" s="100">
        <v>0.48138683179791225</v>
      </c>
      <c r="CF60" s="100">
        <v>7.0614795555259287</v>
      </c>
      <c r="CG60" s="100">
        <v>4601.2600783806956</v>
      </c>
      <c r="CH60" s="100">
        <v>7.7803921376379107E-4</v>
      </c>
      <c r="CI60" s="100">
        <v>0.50697035168848625</v>
      </c>
      <c r="CJ60" s="100">
        <v>10.000193097144791</v>
      </c>
      <c r="CK60" s="100">
        <v>6516.125822099546</v>
      </c>
      <c r="CL60" s="100">
        <v>10</v>
      </c>
      <c r="CM60" s="100">
        <v>6516</v>
      </c>
      <c r="CN60" s="100">
        <v>3.4288194727017958</v>
      </c>
      <c r="CO60" s="100">
        <v>2234.2187684124901</v>
      </c>
      <c r="CP60" s="100">
        <v>4.2284814130953121</v>
      </c>
      <c r="CQ60" s="100">
        <v>2755.2784887729053</v>
      </c>
      <c r="CR60" s="100">
        <v>8.4505986647991467</v>
      </c>
      <c r="CS60" s="100">
        <v>5506.4100899831237</v>
      </c>
      <c r="CT60" s="100">
        <v>6.1487209630214684E-4</v>
      </c>
      <c r="CU60" s="100">
        <v>0.40065065795047888</v>
      </c>
    </row>
    <row r="61" spans="2:99">
      <c r="C61" s="99" t="s">
        <v>227</v>
      </c>
      <c r="D61" s="100">
        <v>7.7105622274290724</v>
      </c>
      <c r="E61" s="100">
        <v>7337.3710156215047</v>
      </c>
      <c r="F61" s="100">
        <v>6.176601730055756E-4</v>
      </c>
      <c r="G61" s="100">
        <v>0.58776542063210568</v>
      </c>
      <c r="H61" s="100">
        <v>7.0002231290065033</v>
      </c>
      <c r="I61" s="100">
        <v>6661.4123295625877</v>
      </c>
      <c r="J61" s="100">
        <v>8</v>
      </c>
      <c r="K61" s="100">
        <v>7612.7999999999993</v>
      </c>
      <c r="L61" s="100">
        <v>6.6104634911081135</v>
      </c>
      <c r="M61" s="100">
        <v>6290.51705813848</v>
      </c>
      <c r="N61" s="100">
        <v>3.7285515124686746</v>
      </c>
      <c r="O61" s="100">
        <v>3548.0896192651903</v>
      </c>
      <c r="P61" s="100">
        <v>2.575241797959122</v>
      </c>
      <c r="Q61" s="100">
        <v>2450.6000949379004</v>
      </c>
      <c r="R61" s="100">
        <v>10.543862609801659</v>
      </c>
      <c r="S61" s="100">
        <v>10033.539659487258</v>
      </c>
      <c r="T61" s="100">
        <v>4.500881044183485</v>
      </c>
      <c r="U61" s="100">
        <v>4283.0384016450043</v>
      </c>
      <c r="V61" s="100">
        <v>7.8701494769651431E-4</v>
      </c>
      <c r="W61" s="100">
        <v>0.74892342422800295</v>
      </c>
      <c r="X61" s="100">
        <v>11.000222059878615</v>
      </c>
      <c r="Y61" s="100">
        <v>10467.811312180489</v>
      </c>
      <c r="Z61" s="100">
        <v>11</v>
      </c>
      <c r="AA61" s="100">
        <v>10467.599999999999</v>
      </c>
      <c r="AB61" s="100">
        <v>8</v>
      </c>
      <c r="AC61" s="100">
        <v>7612.7999999999993</v>
      </c>
      <c r="AD61" s="100">
        <v>6.8454537751053284</v>
      </c>
      <c r="AE61" s="100">
        <v>6514.1338123902297</v>
      </c>
      <c r="AF61" s="100">
        <v>5.0237653024013937</v>
      </c>
      <c r="AG61" s="100">
        <v>4780.6150617651656</v>
      </c>
      <c r="AH61" s="100">
        <v>7.1228455520393381E-4</v>
      </c>
      <c r="AI61" s="100">
        <v>0.67780998273206339</v>
      </c>
      <c r="AJ61" s="100">
        <v>6</v>
      </c>
      <c r="AK61" s="100">
        <v>5709.5999999999995</v>
      </c>
      <c r="AL61" s="100">
        <v>7</v>
      </c>
      <c r="AM61" s="100">
        <v>6661.1999999999989</v>
      </c>
      <c r="AN61" s="100">
        <v>4.0850727599569625</v>
      </c>
      <c r="AO61" s="100">
        <v>3887.3552383750452</v>
      </c>
      <c r="AP61" s="100">
        <v>4.4310519380134586E-4</v>
      </c>
      <c r="AQ61" s="100">
        <v>0.42165890242136067</v>
      </c>
      <c r="AR61" s="100">
        <v>9.0708624010109968</v>
      </c>
      <c r="AS61" s="100">
        <v>8631.8326608020634</v>
      </c>
      <c r="AT61" s="100">
        <v>7</v>
      </c>
      <c r="AU61" s="100">
        <v>6661.1999999999989</v>
      </c>
      <c r="AV61" s="100">
        <v>4.742497338208711</v>
      </c>
      <c r="AW61" s="100">
        <v>4512.9604670394092</v>
      </c>
      <c r="AX61" s="100">
        <v>7.1222092424031661E-4</v>
      </c>
      <c r="AY61" s="100">
        <v>0.67774943150708522</v>
      </c>
      <c r="AZ61" s="100">
        <v>6.446761053115714</v>
      </c>
      <c r="BA61" s="100">
        <v>6134.737818144913</v>
      </c>
      <c r="BB61" s="100">
        <v>7.579783113275548</v>
      </c>
      <c r="BC61" s="100">
        <v>7212.9216105930109</v>
      </c>
      <c r="BD61" s="100">
        <v>9.6536324602980113</v>
      </c>
      <c r="BE61" s="100">
        <v>9186.3966492195868</v>
      </c>
      <c r="BF61" s="100">
        <v>5.0880081586988899</v>
      </c>
      <c r="BG61" s="100">
        <v>4841.7485638178632</v>
      </c>
      <c r="BH61" s="100">
        <v>9</v>
      </c>
      <c r="BI61" s="100">
        <v>8564.4</v>
      </c>
      <c r="BJ61" s="100">
        <v>8</v>
      </c>
      <c r="BK61" s="100">
        <v>7612.7999999999993</v>
      </c>
      <c r="BL61" s="100">
        <v>2.1171529386953232</v>
      </c>
      <c r="BM61" s="100">
        <v>2014.6827364624694</v>
      </c>
      <c r="BN61" s="100">
        <v>4.067181658300222</v>
      </c>
      <c r="BO61" s="100">
        <v>3870.3300660384907</v>
      </c>
      <c r="BP61" s="100">
        <v>1.7325731600579204</v>
      </c>
      <c r="BQ61" s="100">
        <v>1648.7166191111169</v>
      </c>
      <c r="BR61" s="100">
        <v>7.4837424325835507</v>
      </c>
      <c r="BS61" s="100">
        <v>7121.5292988465062</v>
      </c>
      <c r="BT61" s="100">
        <v>9</v>
      </c>
      <c r="BU61" s="100">
        <v>8564.4</v>
      </c>
      <c r="BV61" s="100">
        <v>0.96489159184191531</v>
      </c>
      <c r="BW61" s="100">
        <v>918.19083879676657</v>
      </c>
      <c r="BX61" s="100">
        <v>6</v>
      </c>
      <c r="BY61" s="100">
        <v>5709.5999999999995</v>
      </c>
      <c r="BZ61" s="100">
        <v>10</v>
      </c>
      <c r="CA61" s="100">
        <v>9516</v>
      </c>
      <c r="CB61" s="100">
        <v>6.3268782454144228</v>
      </c>
      <c r="CC61" s="100">
        <v>6020.6573383363639</v>
      </c>
      <c r="CD61" s="100">
        <v>8.0593810781502131E-4</v>
      </c>
      <c r="CE61" s="100">
        <v>0.76693070339677416</v>
      </c>
      <c r="CF61" s="100">
        <v>6.958865437442979</v>
      </c>
      <c r="CG61" s="100">
        <v>6622.0563502707382</v>
      </c>
      <c r="CH61" s="100">
        <v>6.9229189664392387E-4</v>
      </c>
      <c r="CI61" s="100">
        <v>0.65878496884635784</v>
      </c>
      <c r="CJ61" s="100">
        <v>9.0001544777158333</v>
      </c>
      <c r="CK61" s="100">
        <v>8564.5470009943856</v>
      </c>
      <c r="CL61" s="100">
        <v>10</v>
      </c>
      <c r="CM61" s="100">
        <v>9516</v>
      </c>
      <c r="CN61" s="100">
        <v>3.4288194727017958</v>
      </c>
      <c r="CO61" s="100">
        <v>3262.8646102230286</v>
      </c>
      <c r="CP61" s="100">
        <v>4.698312681217014</v>
      </c>
      <c r="CQ61" s="100">
        <v>4470.9143474461098</v>
      </c>
      <c r="CR61" s="100">
        <v>9.3375393476712318</v>
      </c>
      <c r="CS61" s="100">
        <v>8885.6024432439426</v>
      </c>
      <c r="CT61" s="100">
        <v>5.5440245518818192E-4</v>
      </c>
      <c r="CU61" s="100">
        <v>0.5275693763570739</v>
      </c>
    </row>
    <row r="62" spans="2:99">
      <c r="C62" s="99" t="s">
        <v>228</v>
      </c>
      <c r="D62" s="100">
        <v>3.8529701605653504</v>
      </c>
      <c r="E62" s="100">
        <v>6431.3777920156826</v>
      </c>
      <c r="F62" s="100">
        <v>5.7521756183454533</v>
      </c>
      <c r="G62" s="100">
        <v>9601.531542142231</v>
      </c>
      <c r="H62" s="100">
        <v>5.5588755796566911</v>
      </c>
      <c r="I62" s="100">
        <v>9278.8751175629495</v>
      </c>
      <c r="J62" s="100">
        <v>4.150958594619774</v>
      </c>
      <c r="K62" s="100">
        <v>6928.7800861393271</v>
      </c>
      <c r="L62" s="100">
        <v>2.0715810102981189</v>
      </c>
      <c r="M62" s="100">
        <v>3457.8830223896202</v>
      </c>
      <c r="N62" s="100">
        <v>3.8484244045193665</v>
      </c>
      <c r="O62" s="100">
        <v>6423.7900160237268</v>
      </c>
      <c r="P62" s="100">
        <v>4.1587597642569181</v>
      </c>
      <c r="Q62" s="100">
        <v>6941.8017984976477</v>
      </c>
      <c r="R62" s="100">
        <v>5.7273201478683555</v>
      </c>
      <c r="S62" s="100">
        <v>9560.0427908218589</v>
      </c>
      <c r="T62" s="100">
        <v>3.7369402665420406</v>
      </c>
      <c r="U62" s="100">
        <v>6237.7006929119743</v>
      </c>
      <c r="V62" s="100">
        <v>4.5115268321262585</v>
      </c>
      <c r="W62" s="100">
        <v>7530.6405881851506</v>
      </c>
      <c r="X62" s="100">
        <v>2.8933302527430924</v>
      </c>
      <c r="Y62" s="100">
        <v>4829.5468578787704</v>
      </c>
      <c r="Z62" s="100">
        <v>3.5965077048079381</v>
      </c>
      <c r="AA62" s="100">
        <v>6003.2906608654102</v>
      </c>
      <c r="AB62" s="100">
        <v>5.3943548518292985</v>
      </c>
      <c r="AC62" s="100">
        <v>9004.2571186734658</v>
      </c>
      <c r="AD62" s="100">
        <v>5.0298531112316587</v>
      </c>
      <c r="AE62" s="100">
        <v>8395.8308132678849</v>
      </c>
      <c r="AF62" s="100">
        <v>3.2529263312466266</v>
      </c>
      <c r="AG62" s="100">
        <v>5429.784632116869</v>
      </c>
      <c r="AH62" s="100">
        <v>0.53628333674210249</v>
      </c>
      <c r="AI62" s="100">
        <v>895.16414568991752</v>
      </c>
      <c r="AJ62" s="100">
        <v>5.1781018809836556</v>
      </c>
      <c r="AK62" s="100">
        <v>8643.2876597379181</v>
      </c>
      <c r="AL62" s="100">
        <v>6</v>
      </c>
      <c r="AM62" s="100">
        <v>10015.200000000001</v>
      </c>
      <c r="AN62" s="100">
        <v>5.6911822145058659</v>
      </c>
      <c r="AO62" s="100">
        <v>9499.7213524531908</v>
      </c>
      <c r="AP62" s="100">
        <v>3.6514126484765028</v>
      </c>
      <c r="AQ62" s="100">
        <v>6094.937992836979</v>
      </c>
      <c r="AR62" s="100">
        <v>5.6788151653666104</v>
      </c>
      <c r="AS62" s="100">
        <v>9479.0782740299455</v>
      </c>
      <c r="AT62" s="100">
        <v>0.45069464800016334</v>
      </c>
      <c r="AU62" s="100">
        <v>752.29950644187272</v>
      </c>
      <c r="AV62" s="100">
        <v>9.1981445833592623</v>
      </c>
      <c r="AW62" s="100">
        <v>15353.542938543282</v>
      </c>
      <c r="AX62" s="100">
        <v>2.1689107652077038</v>
      </c>
      <c r="AY62" s="100">
        <v>3620.3458492846994</v>
      </c>
      <c r="AZ62" s="100">
        <v>7.2181302721395095</v>
      </c>
      <c r="BA62" s="100">
        <v>12048.503050255269</v>
      </c>
      <c r="BB62" s="100">
        <v>9.7173274992005325</v>
      </c>
      <c r="BC62" s="100">
        <v>16220.163061665529</v>
      </c>
      <c r="BD62" s="100">
        <v>8.3907128263548678</v>
      </c>
      <c r="BE62" s="100">
        <v>14005.777849751546</v>
      </c>
      <c r="BF62" s="100">
        <v>5.2511620871521973</v>
      </c>
      <c r="BG62" s="100">
        <v>8765.2397558744487</v>
      </c>
      <c r="BH62" s="100">
        <v>6.8777448817275264</v>
      </c>
      <c r="BI62" s="100">
        <v>11480.331756579588</v>
      </c>
      <c r="BJ62" s="100">
        <v>0.45265422951877604</v>
      </c>
      <c r="BK62" s="100">
        <v>755.57043991274099</v>
      </c>
      <c r="BL62" s="100">
        <v>7.1338708359717415</v>
      </c>
      <c r="BM62" s="100">
        <v>11907.857199404032</v>
      </c>
      <c r="BN62" s="100">
        <v>5</v>
      </c>
      <c r="BO62" s="100">
        <v>8346</v>
      </c>
      <c r="BP62" s="100">
        <v>4.9736624404731691</v>
      </c>
      <c r="BQ62" s="100">
        <v>8302.0373456378147</v>
      </c>
      <c r="BR62" s="100">
        <v>4.0252615269966219</v>
      </c>
      <c r="BS62" s="100">
        <v>6718.9665408627616</v>
      </c>
      <c r="BT62" s="100">
        <v>6.2840304840766805</v>
      </c>
      <c r="BU62" s="100">
        <v>10489.303684020795</v>
      </c>
      <c r="BV62" s="100">
        <v>4.6325425518704693</v>
      </c>
      <c r="BW62" s="100">
        <v>7732.6400275821879</v>
      </c>
      <c r="BX62" s="100">
        <v>4.7289116890785516</v>
      </c>
      <c r="BY62" s="100">
        <v>7893.4993914099186</v>
      </c>
      <c r="BZ62" s="100">
        <v>7.2286368159201393</v>
      </c>
      <c r="CA62" s="100">
        <v>12066.040573133896</v>
      </c>
      <c r="CB62" s="100">
        <v>4.3038662205557188</v>
      </c>
      <c r="CC62" s="100">
        <v>7184.0134953516063</v>
      </c>
      <c r="CD62" s="100">
        <v>6.8835455691403406E-4</v>
      </c>
      <c r="CE62" s="100">
        <v>1.1490014264009056</v>
      </c>
      <c r="CF62" s="100">
        <v>6.4028365279251771</v>
      </c>
      <c r="CG62" s="100">
        <v>10687.614732412705</v>
      </c>
      <c r="CH62" s="100">
        <v>5.4240215592423846</v>
      </c>
      <c r="CI62" s="100">
        <v>9053.7767866873892</v>
      </c>
      <c r="CJ62" s="100">
        <v>5.5122757047362576</v>
      </c>
      <c r="CK62" s="100">
        <v>9201.0906063457624</v>
      </c>
      <c r="CL62" s="100">
        <v>0.43827918276881489</v>
      </c>
      <c r="CM62" s="100">
        <v>731.5756118777058</v>
      </c>
      <c r="CN62" s="100">
        <v>8.2266765614192217</v>
      </c>
      <c r="CO62" s="100">
        <v>13731.968516320965</v>
      </c>
      <c r="CP62" s="100">
        <v>8.9350275432583111</v>
      </c>
      <c r="CQ62" s="100">
        <v>14914.347975206772</v>
      </c>
      <c r="CR62" s="100">
        <v>4.7935832518625716</v>
      </c>
      <c r="CS62" s="100">
        <v>8001.4491640090046</v>
      </c>
      <c r="CT62" s="100">
        <v>5.8047788375206659</v>
      </c>
      <c r="CU62" s="100">
        <v>9689.3368355894963</v>
      </c>
    </row>
    <row r="63" spans="2:99">
      <c r="C63" s="99" t="s">
        <v>229</v>
      </c>
      <c r="D63" s="100">
        <v>8.5672913638100798</v>
      </c>
      <c r="E63" s="100">
        <v>6816.1370090473001</v>
      </c>
      <c r="F63" s="100">
        <v>6.7942619030613328E-4</v>
      </c>
      <c r="G63" s="100">
        <v>0.54055147700755968</v>
      </c>
      <c r="H63" s="100">
        <v>8.0002789112581301</v>
      </c>
      <c r="I63" s="100">
        <v>6365.0219017969685</v>
      </c>
      <c r="J63" s="100">
        <v>8</v>
      </c>
      <c r="K63" s="100">
        <v>6364.8</v>
      </c>
      <c r="L63" s="100">
        <v>6.6104634911081135</v>
      </c>
      <c r="M63" s="100">
        <v>5259.2847535256151</v>
      </c>
      <c r="N63" s="100">
        <v>3.7285515124686746</v>
      </c>
      <c r="O63" s="100">
        <v>2966.4355833200775</v>
      </c>
      <c r="P63" s="100">
        <v>2.8639197316959044</v>
      </c>
      <c r="Q63" s="100">
        <v>2278.5345385372616</v>
      </c>
      <c r="R63" s="100">
        <v>10.543862609801659</v>
      </c>
      <c r="S63" s="100">
        <v>8388.6970923581994</v>
      </c>
      <c r="T63" s="100">
        <v>4.0007831503853204</v>
      </c>
      <c r="U63" s="100">
        <v>3183.0230744465612</v>
      </c>
      <c r="V63" s="100">
        <v>7.0946385278338538E-4</v>
      </c>
      <c r="W63" s="100">
        <v>0.56444944127446139</v>
      </c>
      <c r="X63" s="100">
        <v>12.000266471854339</v>
      </c>
      <c r="Y63" s="100">
        <v>9547.4120050073125</v>
      </c>
      <c r="Z63" s="100">
        <v>10</v>
      </c>
      <c r="AA63" s="100">
        <v>7956</v>
      </c>
      <c r="AB63" s="100">
        <v>7</v>
      </c>
      <c r="AC63" s="100">
        <v>5569.2</v>
      </c>
      <c r="AD63" s="100">
        <v>5.9897720532171626</v>
      </c>
      <c r="AE63" s="100">
        <v>4765.4626455395746</v>
      </c>
      <c r="AF63" s="100">
        <v>5.0237653024013937</v>
      </c>
      <c r="AG63" s="100">
        <v>3996.907674590549</v>
      </c>
      <c r="AH63" s="100">
        <v>7.770376965861096E-4</v>
      </c>
      <c r="AI63" s="100">
        <v>0.61821119140390879</v>
      </c>
      <c r="AJ63" s="100">
        <v>6</v>
      </c>
      <c r="AK63" s="100">
        <v>4773.6000000000004</v>
      </c>
      <c r="AL63" s="100">
        <v>7</v>
      </c>
      <c r="AM63" s="100">
        <v>5569.2</v>
      </c>
      <c r="AN63" s="100">
        <v>4.0850727599569625</v>
      </c>
      <c r="AO63" s="100">
        <v>3250.0838878217596</v>
      </c>
      <c r="AP63" s="100">
        <v>4.4661555325641478E-4</v>
      </c>
      <c r="AQ63" s="100">
        <v>0.35532733417080359</v>
      </c>
      <c r="AR63" s="100">
        <v>8.0708624010109968</v>
      </c>
      <c r="AS63" s="100">
        <v>6421.1781262443492</v>
      </c>
      <c r="AT63" s="100">
        <v>8</v>
      </c>
      <c r="AU63" s="100">
        <v>6364.8</v>
      </c>
      <c r="AV63" s="100">
        <v>5.2694414868985673</v>
      </c>
      <c r="AW63" s="100">
        <v>4192.3676469765005</v>
      </c>
      <c r="AX63" s="100">
        <v>7.8103777940218347E-4</v>
      </c>
      <c r="AY63" s="100">
        <v>0.62139365729237717</v>
      </c>
      <c r="AZ63" s="100">
        <v>7.1401196432819516</v>
      </c>
      <c r="BA63" s="100">
        <v>5680.6791881951212</v>
      </c>
      <c r="BB63" s="100">
        <v>8.1208828197778296</v>
      </c>
      <c r="BC63" s="100">
        <v>6460.974371415241</v>
      </c>
      <c r="BD63" s="100">
        <v>10.784358952357614</v>
      </c>
      <c r="BE63" s="100">
        <v>8580.0359824957177</v>
      </c>
      <c r="BF63" s="100">
        <v>5.0880081586988899</v>
      </c>
      <c r="BG63" s="100">
        <v>4048.0192910608371</v>
      </c>
      <c r="BH63" s="100">
        <v>10</v>
      </c>
      <c r="BI63" s="100">
        <v>7956</v>
      </c>
      <c r="BJ63" s="100">
        <v>8</v>
      </c>
      <c r="BK63" s="100">
        <v>6364.8</v>
      </c>
      <c r="BL63" s="100">
        <v>2.1171529386953232</v>
      </c>
      <c r="BM63" s="100">
        <v>1684.4068780259993</v>
      </c>
      <c r="BN63" s="100">
        <v>4.0419488095233636</v>
      </c>
      <c r="BO63" s="100">
        <v>3215.7744728567882</v>
      </c>
      <c r="BP63" s="100">
        <v>1.9919797585948242</v>
      </c>
      <c r="BQ63" s="100">
        <v>1584.8190959380422</v>
      </c>
      <c r="BR63" s="100">
        <v>7.4837424325835507</v>
      </c>
      <c r="BS63" s="100">
        <v>5954.0654793634731</v>
      </c>
      <c r="BT63" s="100">
        <v>9</v>
      </c>
      <c r="BU63" s="100">
        <v>7160.4000000000005</v>
      </c>
      <c r="BV63" s="100">
        <v>0.96489159184191531</v>
      </c>
      <c r="BW63" s="100">
        <v>767.6677504694278</v>
      </c>
      <c r="BX63" s="100">
        <v>6</v>
      </c>
      <c r="BY63" s="100">
        <v>4773.6000000000004</v>
      </c>
      <c r="BZ63" s="100">
        <v>11</v>
      </c>
      <c r="CA63" s="100">
        <v>8751.6</v>
      </c>
      <c r="CB63" s="100">
        <v>6.3268782454144228</v>
      </c>
      <c r="CC63" s="100">
        <v>5033.6643320517151</v>
      </c>
      <c r="CD63" s="100">
        <v>6.7161508984585122E-4</v>
      </c>
      <c r="CE63" s="100">
        <v>0.53433696548135923</v>
      </c>
      <c r="CF63" s="100">
        <v>7.0614795555259287</v>
      </c>
      <c r="CG63" s="100">
        <v>5618.1131343764291</v>
      </c>
      <c r="CH63" s="100">
        <v>7.7803921376379107E-4</v>
      </c>
      <c r="CI63" s="100">
        <v>0.61900799847047216</v>
      </c>
      <c r="CJ63" s="100">
        <v>10.000154477715833</v>
      </c>
      <c r="CK63" s="100">
        <v>7956.1229024707172</v>
      </c>
      <c r="CL63" s="100">
        <v>10</v>
      </c>
      <c r="CM63" s="100">
        <v>7956</v>
      </c>
      <c r="CN63" s="100">
        <v>3.0478395312904851</v>
      </c>
      <c r="CO63" s="100">
        <v>2424.8611310947099</v>
      </c>
      <c r="CP63" s="100">
        <v>4.698312681217014</v>
      </c>
      <c r="CQ63" s="100">
        <v>3737.9775691762566</v>
      </c>
      <c r="CR63" s="100">
        <v>8.4505986647991467</v>
      </c>
      <c r="CS63" s="100">
        <v>6723.2962977142015</v>
      </c>
      <c r="CT63" s="100">
        <v>6.1394703401464711E-4</v>
      </c>
      <c r="CU63" s="100">
        <v>0.48845626026205324</v>
      </c>
    </row>
    <row r="64" spans="2:99">
      <c r="C64" s="99" t="s">
        <v>230</v>
      </c>
      <c r="D64" s="100">
        <v>6.853833091048064</v>
      </c>
      <c r="E64" s="100">
        <v>6916.8883554857048</v>
      </c>
      <c r="F64" s="100">
        <v>6.7942619030613328E-4</v>
      </c>
      <c r="G64" s="100">
        <v>0.68567691125694963</v>
      </c>
      <c r="H64" s="100">
        <v>8.0002789112581301</v>
      </c>
      <c r="I64" s="100">
        <v>8073.8814772417036</v>
      </c>
      <c r="J64" s="100">
        <v>8</v>
      </c>
      <c r="K64" s="100">
        <v>8073.5999999999985</v>
      </c>
      <c r="L64" s="100">
        <v>5.7841555547195993</v>
      </c>
      <c r="M64" s="100">
        <v>5837.3697858230189</v>
      </c>
      <c r="N64" s="100">
        <v>3.1438354104150119</v>
      </c>
      <c r="O64" s="100">
        <v>3172.7586961908296</v>
      </c>
      <c r="P64" s="100">
        <v>2.8524899288599457</v>
      </c>
      <c r="Q64" s="100">
        <v>2878.7328362054568</v>
      </c>
      <c r="R64" s="100">
        <v>9.5438626098016588</v>
      </c>
      <c r="S64" s="100">
        <v>9631.6661458118324</v>
      </c>
      <c r="T64" s="100">
        <v>4.500881044183485</v>
      </c>
      <c r="U64" s="100">
        <v>4542.2891497899718</v>
      </c>
      <c r="V64" s="100">
        <v>7.0946385278338538E-4</v>
      </c>
      <c r="W64" s="100">
        <v>0.71599092022899236</v>
      </c>
      <c r="X64" s="100">
        <v>11.000222059878615</v>
      </c>
      <c r="Y64" s="100">
        <v>11101.424102829496</v>
      </c>
      <c r="Z64" s="100">
        <v>11</v>
      </c>
      <c r="AA64" s="100">
        <v>11101.199999999997</v>
      </c>
      <c r="AB64" s="100">
        <v>7</v>
      </c>
      <c r="AC64" s="100">
        <v>7064.3999999999987</v>
      </c>
      <c r="AD64" s="100">
        <v>5.9897720532171626</v>
      </c>
      <c r="AE64" s="100">
        <v>6044.8779561067595</v>
      </c>
      <c r="AF64" s="100">
        <v>4.1864710853344951</v>
      </c>
      <c r="AG64" s="100">
        <v>4224.9866193195712</v>
      </c>
      <c r="AH64" s="100">
        <v>6.4753141382175791E-4</v>
      </c>
      <c r="AI64" s="100">
        <v>0.65348870282891802</v>
      </c>
      <c r="AJ64" s="100">
        <v>6</v>
      </c>
      <c r="AK64" s="100">
        <v>6055.1999999999989</v>
      </c>
      <c r="AL64" s="100">
        <v>7</v>
      </c>
      <c r="AM64" s="100">
        <v>7064.3999999999987</v>
      </c>
      <c r="AN64" s="100">
        <v>4.0850727599569625</v>
      </c>
      <c r="AO64" s="100">
        <v>4122.655429348566</v>
      </c>
      <c r="AP64" s="100">
        <v>4.4661555325641478E-4</v>
      </c>
      <c r="AQ64" s="100">
        <v>0.45072441634637372</v>
      </c>
      <c r="AR64" s="100">
        <v>8.0708624010109968</v>
      </c>
      <c r="AS64" s="100">
        <v>8145.1143351002966</v>
      </c>
      <c r="AT64" s="100">
        <v>8</v>
      </c>
      <c r="AU64" s="100">
        <v>8073.5999999999985</v>
      </c>
      <c r="AV64" s="100">
        <v>5.7963856355884236</v>
      </c>
      <c r="AW64" s="100">
        <v>5849.7123834358363</v>
      </c>
      <c r="AX64" s="100">
        <v>7.1222092424031661E-4</v>
      </c>
      <c r="AY64" s="100">
        <v>0.71877335674332743</v>
      </c>
      <c r="AZ64" s="100">
        <v>7.1917530786868449</v>
      </c>
      <c r="BA64" s="100">
        <v>7257.9172070107625</v>
      </c>
      <c r="BB64" s="100">
        <v>7.478783300242438</v>
      </c>
      <c r="BC64" s="100">
        <v>7547.5881066046668</v>
      </c>
      <c r="BD64" s="100">
        <v>9.7843589523576142</v>
      </c>
      <c r="BE64" s="100">
        <v>9874.3750547193031</v>
      </c>
      <c r="BF64" s="100">
        <v>5.0880081586988899</v>
      </c>
      <c r="BG64" s="100">
        <v>5134.8178337589188</v>
      </c>
      <c r="BH64" s="100">
        <v>9</v>
      </c>
      <c r="BI64" s="100">
        <v>9082.7999999999993</v>
      </c>
      <c r="BJ64" s="100">
        <v>9</v>
      </c>
      <c r="BK64" s="100">
        <v>9082.7999999999993</v>
      </c>
      <c r="BL64" s="100">
        <v>1.8147025188817054</v>
      </c>
      <c r="BM64" s="100">
        <v>1831.3977820554169</v>
      </c>
      <c r="BN64" s="100">
        <v>3.489760399796884</v>
      </c>
      <c r="BO64" s="100">
        <v>3521.8661954750146</v>
      </c>
      <c r="BP64" s="100">
        <v>1.7325731600579204</v>
      </c>
      <c r="BQ64" s="100">
        <v>1748.5128331304529</v>
      </c>
      <c r="BR64" s="100">
        <v>8.4837424325835507</v>
      </c>
      <c r="BS64" s="100">
        <v>8561.792862963317</v>
      </c>
      <c r="BT64" s="100">
        <v>9</v>
      </c>
      <c r="BU64" s="100">
        <v>9082.7999999999993</v>
      </c>
      <c r="BV64" s="100">
        <v>0.96489159184191531</v>
      </c>
      <c r="BW64" s="100">
        <v>973.76859448686071</v>
      </c>
      <c r="BX64" s="100">
        <v>6</v>
      </c>
      <c r="BY64" s="100">
        <v>6055.1999999999989</v>
      </c>
      <c r="BZ64" s="100">
        <v>10</v>
      </c>
      <c r="CA64" s="100">
        <v>10091.999999999998</v>
      </c>
      <c r="CB64" s="100">
        <v>5.4230384960695064</v>
      </c>
      <c r="CC64" s="100">
        <v>5472.9304502333453</v>
      </c>
      <c r="CD64" s="100">
        <v>6.7161508984585122E-4</v>
      </c>
      <c r="CE64" s="100">
        <v>0.67779394867243292</v>
      </c>
      <c r="CF64" s="100">
        <v>6.1259925605100447</v>
      </c>
      <c r="CG64" s="100">
        <v>6182.3516920667362</v>
      </c>
      <c r="CH64" s="100">
        <v>6.9308106660454698E-4</v>
      </c>
      <c r="CI64" s="100">
        <v>0.69945741241730863</v>
      </c>
      <c r="CJ64" s="100">
        <v>10.000154477715833</v>
      </c>
      <c r="CK64" s="100">
        <v>10092.155898910818</v>
      </c>
      <c r="CL64" s="100">
        <v>10</v>
      </c>
      <c r="CM64" s="100">
        <v>10091.999999999998</v>
      </c>
      <c r="CN64" s="100">
        <v>3.4288194727017958</v>
      </c>
      <c r="CO64" s="100">
        <v>3460.3646118506517</v>
      </c>
      <c r="CP64" s="100">
        <v>4.2284814130953121</v>
      </c>
      <c r="CQ64" s="100">
        <v>4267.3834420957883</v>
      </c>
      <c r="CR64" s="100">
        <v>9.3375393476712318</v>
      </c>
      <c r="CS64" s="100">
        <v>9423.4447096698059</v>
      </c>
      <c r="CT64" s="100">
        <v>5.5347739290068218E-4</v>
      </c>
      <c r="CU64" s="100">
        <v>0.55856938491536834</v>
      </c>
    </row>
    <row r="65" spans="2:99">
      <c r="C65" s="99" t="s">
        <v>231</v>
      </c>
      <c r="D65" s="100">
        <v>7.7105622274290724</v>
      </c>
      <c r="E65" s="100">
        <v>7911.0368453422279</v>
      </c>
      <c r="F65" s="100">
        <v>5.5589415570501803E-4</v>
      </c>
      <c r="G65" s="100">
        <v>0.57034740375334847</v>
      </c>
      <c r="H65" s="100">
        <v>8.0002789112581301</v>
      </c>
      <c r="I65" s="100">
        <v>8208.2861629508407</v>
      </c>
      <c r="J65" s="100">
        <v>7</v>
      </c>
      <c r="K65" s="100">
        <v>7182</v>
      </c>
      <c r="L65" s="100">
        <v>5.7841555547195993</v>
      </c>
      <c r="M65" s="100">
        <v>5934.5435991423092</v>
      </c>
      <c r="N65" s="100">
        <v>3.7485746852092832</v>
      </c>
      <c r="O65" s="100">
        <v>3846.0376270247243</v>
      </c>
      <c r="P65" s="100">
        <v>2.5866716007950807</v>
      </c>
      <c r="Q65" s="100">
        <v>2653.925062415753</v>
      </c>
      <c r="R65" s="100">
        <v>9.5438626098016588</v>
      </c>
      <c r="S65" s="100">
        <v>9792.0030376565028</v>
      </c>
      <c r="T65" s="100">
        <v>4.0007831503853204</v>
      </c>
      <c r="U65" s="100">
        <v>4104.8035122953388</v>
      </c>
      <c r="V65" s="100">
        <v>7.0946385278338538E-4</v>
      </c>
      <c r="W65" s="100">
        <v>0.72790991295575336</v>
      </c>
      <c r="X65" s="100">
        <v>11.000266471854339</v>
      </c>
      <c r="Y65" s="100">
        <v>11286.273400122551</v>
      </c>
      <c r="Z65" s="100">
        <v>11</v>
      </c>
      <c r="AA65" s="100">
        <v>11286</v>
      </c>
      <c r="AB65" s="100">
        <v>7</v>
      </c>
      <c r="AC65" s="100">
        <v>7182</v>
      </c>
      <c r="AD65" s="100">
        <v>5.9897720532171626</v>
      </c>
      <c r="AE65" s="100">
        <v>6145.5061266008088</v>
      </c>
      <c r="AF65" s="100">
        <v>5.0237653024013937</v>
      </c>
      <c r="AG65" s="100">
        <v>5154.3832002638301</v>
      </c>
      <c r="AH65" s="100">
        <v>7.1228455520393381E-4</v>
      </c>
      <c r="AI65" s="100">
        <v>0.73080395363923611</v>
      </c>
      <c r="AJ65" s="100">
        <v>6</v>
      </c>
      <c r="AK65" s="100">
        <v>6156</v>
      </c>
      <c r="AL65" s="100">
        <v>6</v>
      </c>
      <c r="AM65" s="100">
        <v>6156</v>
      </c>
      <c r="AN65" s="100">
        <v>3.5744386649623423</v>
      </c>
      <c r="AO65" s="100">
        <v>3667.3740702513633</v>
      </c>
      <c r="AP65" s="100">
        <v>4.4310519380134586E-4</v>
      </c>
      <c r="AQ65" s="100">
        <v>0.45462592884018083</v>
      </c>
      <c r="AR65" s="100">
        <v>7.0850348812131969</v>
      </c>
      <c r="AS65" s="100">
        <v>7269.2457881247401</v>
      </c>
      <c r="AT65" s="100">
        <v>8</v>
      </c>
      <c r="AU65" s="100">
        <v>8208</v>
      </c>
      <c r="AV65" s="100">
        <v>4.742497338208711</v>
      </c>
      <c r="AW65" s="100">
        <v>4865.8022690021371</v>
      </c>
      <c r="AX65" s="100">
        <v>7.1222092424031661E-4</v>
      </c>
      <c r="AY65" s="100">
        <v>0.73073866827056488</v>
      </c>
      <c r="AZ65" s="100">
        <v>6.4983944885206073</v>
      </c>
      <c r="BA65" s="100">
        <v>6667.3527452221433</v>
      </c>
      <c r="BB65" s="100">
        <v>7.579783113275548</v>
      </c>
      <c r="BC65" s="100">
        <v>7776.857474220712</v>
      </c>
      <c r="BD65" s="100">
        <v>10.653632460298011</v>
      </c>
      <c r="BE65" s="100">
        <v>10930.626904265759</v>
      </c>
      <c r="BF65" s="100">
        <v>5.0880081586988899</v>
      </c>
      <c r="BG65" s="100">
        <v>5220.2963708250609</v>
      </c>
      <c r="BH65" s="100">
        <v>9</v>
      </c>
      <c r="BI65" s="100">
        <v>9234</v>
      </c>
      <c r="BJ65" s="100">
        <v>8</v>
      </c>
      <c r="BK65" s="100">
        <v>8208</v>
      </c>
      <c r="BL65" s="100">
        <v>2.4196033585089407</v>
      </c>
      <c r="BM65" s="100">
        <v>2482.5130458301733</v>
      </c>
      <c r="BN65" s="100">
        <v>4.4548662521539031</v>
      </c>
      <c r="BO65" s="100">
        <v>4570.6927747099044</v>
      </c>
      <c r="BP65" s="100">
        <v>1.7215648120056393</v>
      </c>
      <c r="BQ65" s="100">
        <v>1766.325497117786</v>
      </c>
      <c r="BR65" s="100">
        <v>8.4837424325835507</v>
      </c>
      <c r="BS65" s="100">
        <v>8704.3197358307225</v>
      </c>
      <c r="BT65" s="100">
        <v>9</v>
      </c>
      <c r="BU65" s="100">
        <v>9234</v>
      </c>
      <c r="BV65" s="100">
        <v>0.85768141497059136</v>
      </c>
      <c r="BW65" s="100">
        <v>879.98113175982678</v>
      </c>
      <c r="BX65" s="100">
        <v>6</v>
      </c>
      <c r="BY65" s="100">
        <v>6156</v>
      </c>
      <c r="BZ65" s="100">
        <v>9</v>
      </c>
      <c r="CA65" s="100">
        <v>9234</v>
      </c>
      <c r="CB65" s="100">
        <v>5.4230384960695064</v>
      </c>
      <c r="CC65" s="100">
        <v>5564.0374969673139</v>
      </c>
      <c r="CD65" s="100">
        <v>6.7161508984585122E-4</v>
      </c>
      <c r="CE65" s="100">
        <v>0.68907708218184338</v>
      </c>
      <c r="CF65" s="100">
        <v>7.0614795555259287</v>
      </c>
      <c r="CG65" s="100">
        <v>7245.0780239696032</v>
      </c>
      <c r="CH65" s="100">
        <v>7.7803921376379107E-4</v>
      </c>
      <c r="CI65" s="100">
        <v>0.79826823332164965</v>
      </c>
      <c r="CJ65" s="100">
        <v>10.000154477715833</v>
      </c>
      <c r="CK65" s="100">
        <v>10260.158494136445</v>
      </c>
      <c r="CL65" s="100">
        <v>10</v>
      </c>
      <c r="CM65" s="100">
        <v>10260</v>
      </c>
      <c r="CN65" s="100">
        <v>3.4288194727017958</v>
      </c>
      <c r="CO65" s="100">
        <v>3517.9687789920426</v>
      </c>
      <c r="CP65" s="100">
        <v>4.2284814130953121</v>
      </c>
      <c r="CQ65" s="100">
        <v>4338.4219298357903</v>
      </c>
      <c r="CR65" s="100">
        <v>8.419389830202455</v>
      </c>
      <c r="CS65" s="100">
        <v>8638.2939657877196</v>
      </c>
      <c r="CT65" s="100">
        <v>5.5347739290068218E-4</v>
      </c>
      <c r="CU65" s="100">
        <v>0.56786780511609991</v>
      </c>
    </row>
    <row r="66" spans="2:99">
      <c r="C66" s="99" t="s">
        <v>232</v>
      </c>
      <c r="D66" s="100">
        <v>7.7105622274290724</v>
      </c>
      <c r="E66" s="100">
        <v>9178.6532755315675</v>
      </c>
      <c r="F66" s="100">
        <v>6.7942619030613328E-4</v>
      </c>
      <c r="G66" s="100">
        <v>0.80878893694042098</v>
      </c>
      <c r="H66" s="100">
        <v>7.0002789112581292</v>
      </c>
      <c r="I66" s="100">
        <v>8333.1320159616753</v>
      </c>
      <c r="J66" s="100">
        <v>7</v>
      </c>
      <c r="K66" s="100">
        <v>8332.7999999999993</v>
      </c>
      <c r="L66" s="100">
        <v>6.6104634911081135</v>
      </c>
      <c r="M66" s="100">
        <v>7869.0957398150977</v>
      </c>
      <c r="N66" s="100">
        <v>3.1238122376744029</v>
      </c>
      <c r="O66" s="100">
        <v>3718.5860877276086</v>
      </c>
      <c r="P66" s="100">
        <v>2.5866716007950807</v>
      </c>
      <c r="Q66" s="100">
        <v>3079.1738735864637</v>
      </c>
      <c r="R66" s="100">
        <v>9.5438626098016588</v>
      </c>
      <c r="S66" s="100">
        <v>11361.014050707894</v>
      </c>
      <c r="T66" s="100">
        <v>4.0007831503853204</v>
      </c>
      <c r="U66" s="100">
        <v>4762.532262218685</v>
      </c>
      <c r="V66" s="100">
        <v>6.3335075769090923E-4</v>
      </c>
      <c r="W66" s="100">
        <v>0.75394074195525829</v>
      </c>
      <c r="X66" s="100">
        <v>11.000222059878615</v>
      </c>
      <c r="Y66" s="100">
        <v>13094.664340079502</v>
      </c>
      <c r="Z66" s="100">
        <v>11</v>
      </c>
      <c r="AA66" s="100">
        <v>13094.399999999998</v>
      </c>
      <c r="AB66" s="100">
        <v>8</v>
      </c>
      <c r="AC66" s="100">
        <v>9523.1999999999989</v>
      </c>
      <c r="AD66" s="100">
        <v>5.1340903313289958</v>
      </c>
      <c r="AE66" s="100">
        <v>6111.6211304140361</v>
      </c>
      <c r="AF66" s="100">
        <v>5.0237653024013937</v>
      </c>
      <c r="AG66" s="100">
        <v>5980.2902159786181</v>
      </c>
      <c r="AH66" s="100">
        <v>6.4753141382175791E-4</v>
      </c>
      <c r="AI66" s="100">
        <v>0.77082139501342051</v>
      </c>
      <c r="AJ66" s="100">
        <v>6</v>
      </c>
      <c r="AK66" s="100">
        <v>7142.4</v>
      </c>
      <c r="AL66" s="100">
        <v>7</v>
      </c>
      <c r="AM66" s="100">
        <v>8332.7999999999993</v>
      </c>
      <c r="AN66" s="100">
        <v>4.0850727599569625</v>
      </c>
      <c r="AO66" s="100">
        <v>4862.8706134527674</v>
      </c>
      <c r="AP66" s="100">
        <v>4.4310519380134586E-4</v>
      </c>
      <c r="AQ66" s="100">
        <v>0.52747242270112205</v>
      </c>
      <c r="AR66" s="100">
        <v>8.0850348812131969</v>
      </c>
      <c r="AS66" s="100">
        <v>9624.4255225961879</v>
      </c>
      <c r="AT66" s="100">
        <v>7</v>
      </c>
      <c r="AU66" s="100">
        <v>8332.7999999999993</v>
      </c>
      <c r="AV66" s="100">
        <v>5.2694414868985673</v>
      </c>
      <c r="AW66" s="100">
        <v>6272.7431460040534</v>
      </c>
      <c r="AX66" s="100">
        <v>7.0878487100865264E-4</v>
      </c>
      <c r="AY66" s="100">
        <v>0.84373751044870005</v>
      </c>
      <c r="AZ66" s="100">
        <v>6.4983944885206073</v>
      </c>
      <c r="BA66" s="100">
        <v>7735.6887991349304</v>
      </c>
      <c r="BB66" s="100">
        <v>7.579783113275548</v>
      </c>
      <c r="BC66" s="100">
        <v>9022.9738180432105</v>
      </c>
      <c r="BD66" s="100">
        <v>9.7843589523576142</v>
      </c>
      <c r="BE66" s="100">
        <v>11647.300896886503</v>
      </c>
      <c r="BF66" s="100">
        <v>4.3611498503133337</v>
      </c>
      <c r="BG66" s="100">
        <v>5191.5127818129922</v>
      </c>
      <c r="BH66" s="100">
        <v>9</v>
      </c>
      <c r="BI66" s="100">
        <v>10713.599999999999</v>
      </c>
      <c r="BJ66" s="100">
        <v>8</v>
      </c>
      <c r="BK66" s="100">
        <v>9523.1999999999989</v>
      </c>
      <c r="BL66" s="100">
        <v>1.8147025188817054</v>
      </c>
      <c r="BM66" s="100">
        <v>2160.221878476782</v>
      </c>
      <c r="BN66" s="100">
        <v>4.4548662521539031</v>
      </c>
      <c r="BO66" s="100">
        <v>5303.0727865640056</v>
      </c>
      <c r="BP66" s="100">
        <v>1.7325731600579204</v>
      </c>
      <c r="BQ66" s="100">
        <v>2062.4550897329482</v>
      </c>
      <c r="BR66" s="100">
        <v>7.4837424325835507</v>
      </c>
      <c r="BS66" s="100">
        <v>8908.6469917474569</v>
      </c>
      <c r="BT66" s="100">
        <v>9</v>
      </c>
      <c r="BU66" s="100">
        <v>10713.599999999999</v>
      </c>
      <c r="BV66" s="100">
        <v>0.85768141497059136</v>
      </c>
      <c r="BW66" s="100">
        <v>1020.9839563809918</v>
      </c>
      <c r="BX66" s="100">
        <v>6</v>
      </c>
      <c r="BY66" s="100">
        <v>7142.4</v>
      </c>
      <c r="BZ66" s="100">
        <v>10</v>
      </c>
      <c r="CA66" s="100">
        <v>11903.999999999998</v>
      </c>
      <c r="CB66" s="100">
        <v>5.4230384960695064</v>
      </c>
      <c r="CC66" s="100">
        <v>6455.5850257211396</v>
      </c>
      <c r="CD66" s="100">
        <v>7.3877659883043621E-4</v>
      </c>
      <c r="CE66" s="100">
        <v>0.87943966324775114</v>
      </c>
      <c r="CF66" s="100">
        <v>7.0614795555259287</v>
      </c>
      <c r="CG66" s="100">
        <v>8405.9852628980643</v>
      </c>
      <c r="CH66" s="100">
        <v>6.0654457952405655E-4</v>
      </c>
      <c r="CI66" s="100">
        <v>0.72203066746543687</v>
      </c>
      <c r="CJ66" s="100">
        <v>9.0001544777158333</v>
      </c>
      <c r="CK66" s="100">
        <v>10713.783890272927</v>
      </c>
      <c r="CL66" s="100">
        <v>10</v>
      </c>
      <c r="CM66" s="100">
        <v>11903.999999999998</v>
      </c>
      <c r="CN66" s="100">
        <v>3.4288194727017958</v>
      </c>
      <c r="CO66" s="100">
        <v>4081.6667003042171</v>
      </c>
      <c r="CP66" s="100">
        <v>4.698312681217014</v>
      </c>
      <c r="CQ66" s="100">
        <v>5592.8714157207323</v>
      </c>
      <c r="CR66" s="100">
        <v>7.5012403127336782</v>
      </c>
      <c r="CS66" s="100">
        <v>8929.4764682781697</v>
      </c>
      <c r="CT66" s="100">
        <v>5.5440245518818192E-4</v>
      </c>
      <c r="CU66" s="100">
        <v>0.65996068265601171</v>
      </c>
    </row>
    <row r="67" spans="2:99">
      <c r="C67" s="99" t="s">
        <v>233</v>
      </c>
      <c r="D67" s="100">
        <v>6.853833091048064</v>
      </c>
      <c r="E67" s="100">
        <v>7698.225327865186</v>
      </c>
      <c r="F67" s="100">
        <v>6.7942619030613328E-4</v>
      </c>
      <c r="G67" s="100">
        <v>0.7631314969518489</v>
      </c>
      <c r="H67" s="100">
        <v>7.0002231290065033</v>
      </c>
      <c r="I67" s="100">
        <v>7862.6506185001044</v>
      </c>
      <c r="J67" s="100">
        <v>8</v>
      </c>
      <c r="K67" s="100">
        <v>8985.6</v>
      </c>
      <c r="L67" s="100">
        <v>5.7841555547195993</v>
      </c>
      <c r="M67" s="100">
        <v>6496.7635190610545</v>
      </c>
      <c r="N67" s="100">
        <v>3.7285515124686746</v>
      </c>
      <c r="O67" s="100">
        <v>4187.9090588048157</v>
      </c>
      <c r="P67" s="100">
        <v>2.575241797959122</v>
      </c>
      <c r="Q67" s="100">
        <v>2892.5115874676858</v>
      </c>
      <c r="R67" s="100">
        <v>8.6798282622520748</v>
      </c>
      <c r="S67" s="100">
        <v>9749.1831041615314</v>
      </c>
      <c r="T67" s="100">
        <v>4.0007831503853204</v>
      </c>
      <c r="U67" s="100">
        <v>4493.6796345127923</v>
      </c>
      <c r="V67" s="100">
        <v>7.0802585296273228E-4</v>
      </c>
      <c r="W67" s="100">
        <v>0.79525463804774088</v>
      </c>
      <c r="X67" s="100">
        <v>11.000266471854339</v>
      </c>
      <c r="Y67" s="100">
        <v>12355.499301186794</v>
      </c>
      <c r="Z67" s="100">
        <v>11</v>
      </c>
      <c r="AA67" s="100">
        <v>12355.2</v>
      </c>
      <c r="AB67" s="100">
        <v>8</v>
      </c>
      <c r="AC67" s="100">
        <v>8985.6</v>
      </c>
      <c r="AD67" s="100">
        <v>5.9897720532171626</v>
      </c>
      <c r="AE67" s="100">
        <v>6727.7119701735173</v>
      </c>
      <c r="AF67" s="100">
        <v>5.0237653024013937</v>
      </c>
      <c r="AG67" s="100">
        <v>5642.6931876572453</v>
      </c>
      <c r="AH67" s="100">
        <v>7.1228455520393381E-4</v>
      </c>
      <c r="AI67" s="100">
        <v>0.80003801240505845</v>
      </c>
      <c r="AJ67" s="100">
        <v>5</v>
      </c>
      <c r="AK67" s="100">
        <v>5616</v>
      </c>
      <c r="AL67" s="100">
        <v>7</v>
      </c>
      <c r="AM67" s="100">
        <v>7862.4000000000005</v>
      </c>
      <c r="AN67" s="100">
        <v>3.5744386649623423</v>
      </c>
      <c r="AO67" s="100">
        <v>4014.8095084857032</v>
      </c>
      <c r="AP67" s="100">
        <v>4.4310519380134586E-4</v>
      </c>
      <c r="AQ67" s="100">
        <v>0.49769575367767166</v>
      </c>
      <c r="AR67" s="100">
        <v>8.0708624010109968</v>
      </c>
      <c r="AS67" s="100">
        <v>9065.1926488155514</v>
      </c>
      <c r="AT67" s="100">
        <v>8</v>
      </c>
      <c r="AU67" s="100">
        <v>8985.6</v>
      </c>
      <c r="AV67" s="100">
        <v>5.2694414868985673</v>
      </c>
      <c r="AW67" s="100">
        <v>5918.636678084471</v>
      </c>
      <c r="AX67" s="100">
        <v>7.1222092424031661E-4</v>
      </c>
      <c r="AY67" s="100">
        <v>0.79996654210672369</v>
      </c>
      <c r="AZ67" s="100">
        <v>7.1401196432819516</v>
      </c>
      <c r="BA67" s="100">
        <v>8019.7823833342882</v>
      </c>
      <c r="BB67" s="100">
        <v>7.4811211668865756</v>
      </c>
      <c r="BC67" s="100">
        <v>8402.7952946470014</v>
      </c>
      <c r="BD67" s="100">
        <v>9.7843589523576142</v>
      </c>
      <c r="BE67" s="100">
        <v>10989.791975288073</v>
      </c>
      <c r="BF67" s="100">
        <v>4.3611498503133337</v>
      </c>
      <c r="BG67" s="100">
        <v>4898.4435118719366</v>
      </c>
      <c r="BH67" s="100">
        <v>10</v>
      </c>
      <c r="BI67" s="100">
        <v>11232</v>
      </c>
      <c r="BJ67" s="100">
        <v>8</v>
      </c>
      <c r="BK67" s="100">
        <v>8985.6</v>
      </c>
      <c r="BL67" s="100">
        <v>2.1171529386953232</v>
      </c>
      <c r="BM67" s="100">
        <v>2377.9861807425873</v>
      </c>
      <c r="BN67" s="100">
        <v>4.067181658300222</v>
      </c>
      <c r="BO67" s="100">
        <v>4568.2584386028093</v>
      </c>
      <c r="BP67" s="100">
        <v>2.0029881066471051</v>
      </c>
      <c r="BQ67" s="100">
        <v>2249.7562413860287</v>
      </c>
      <c r="BR67" s="100">
        <v>7.4837424325835507</v>
      </c>
      <c r="BS67" s="100">
        <v>8405.7395002778449</v>
      </c>
      <c r="BT67" s="100">
        <v>10</v>
      </c>
      <c r="BU67" s="100">
        <v>11232</v>
      </c>
      <c r="BV67" s="100">
        <v>0.85768141497059136</v>
      </c>
      <c r="BW67" s="100">
        <v>963.34776529496821</v>
      </c>
      <c r="BX67" s="100">
        <v>6</v>
      </c>
      <c r="BY67" s="100">
        <v>6739.2000000000007</v>
      </c>
      <c r="BZ67" s="100">
        <v>10</v>
      </c>
      <c r="CA67" s="100">
        <v>11232</v>
      </c>
      <c r="CB67" s="100">
        <v>6.3268782454144228</v>
      </c>
      <c r="CC67" s="100">
        <v>7106.3496452494801</v>
      </c>
      <c r="CD67" s="100">
        <v>7.3877659883043621E-4</v>
      </c>
      <c r="CE67" s="100">
        <v>0.829793875806346</v>
      </c>
      <c r="CF67" s="100">
        <v>6.958865437442979</v>
      </c>
      <c r="CG67" s="100">
        <v>7816.1976593359541</v>
      </c>
      <c r="CH67" s="100">
        <v>6.9229189664392387E-4</v>
      </c>
      <c r="CI67" s="100">
        <v>0.77758225831045535</v>
      </c>
      <c r="CJ67" s="100">
        <v>9.0001930971447912</v>
      </c>
      <c r="CK67" s="100">
        <v>10109.016886713031</v>
      </c>
      <c r="CL67" s="100">
        <v>10</v>
      </c>
      <c r="CM67" s="100">
        <v>11232</v>
      </c>
      <c r="CN67" s="100">
        <v>3.4288194727017958</v>
      </c>
      <c r="CO67" s="100">
        <v>3851.2500317386571</v>
      </c>
      <c r="CP67" s="100">
        <v>4.2284814130953121</v>
      </c>
      <c r="CQ67" s="100">
        <v>4749.4303231886552</v>
      </c>
      <c r="CR67" s="100">
        <v>8.4505986647991467</v>
      </c>
      <c r="CS67" s="100">
        <v>9491.7124203024014</v>
      </c>
      <c r="CT67" s="100">
        <v>6.1394703401464711E-4</v>
      </c>
      <c r="CU67" s="100">
        <v>0.68958530860525169</v>
      </c>
    </row>
    <row r="68" spans="2:99">
      <c r="C68" s="99" t="s">
        <v>234</v>
      </c>
      <c r="D68" s="100">
        <v>6.853833091048064</v>
      </c>
      <c r="E68" s="100">
        <v>7081.3803496708597</v>
      </c>
      <c r="F68" s="100">
        <v>6.176601730055756E-4</v>
      </c>
      <c r="G68" s="100">
        <v>0.63816649074936072</v>
      </c>
      <c r="H68" s="100">
        <v>7.0002789112581292</v>
      </c>
      <c r="I68" s="100">
        <v>7232.6881711118995</v>
      </c>
      <c r="J68" s="100">
        <v>8</v>
      </c>
      <c r="K68" s="100">
        <v>8265.6</v>
      </c>
      <c r="L68" s="100">
        <v>5.7841555547195993</v>
      </c>
      <c r="M68" s="100">
        <v>5976.1895191362901</v>
      </c>
      <c r="N68" s="100">
        <v>3.7485746852092832</v>
      </c>
      <c r="O68" s="100">
        <v>3873.0273647582317</v>
      </c>
      <c r="P68" s="100">
        <v>2.5866716007950807</v>
      </c>
      <c r="Q68" s="100">
        <v>2672.5490979414776</v>
      </c>
      <c r="R68" s="100">
        <v>9.5438626098016588</v>
      </c>
      <c r="S68" s="100">
        <v>9860.7188484470735</v>
      </c>
      <c r="T68" s="100">
        <v>4.500881044183485</v>
      </c>
      <c r="U68" s="100">
        <v>4650.3102948503765</v>
      </c>
      <c r="V68" s="100">
        <v>7.1090185260403837E-4</v>
      </c>
      <c r="W68" s="100">
        <v>0.73450379411049249</v>
      </c>
      <c r="X68" s="100">
        <v>10.000266471854339</v>
      </c>
      <c r="Y68" s="100">
        <v>10332.275318719903</v>
      </c>
      <c r="Z68" s="100">
        <v>11</v>
      </c>
      <c r="AA68" s="100">
        <v>11365.2</v>
      </c>
      <c r="AB68" s="100">
        <v>8</v>
      </c>
      <c r="AC68" s="100">
        <v>8265.6</v>
      </c>
      <c r="AD68" s="100">
        <v>5.1340903313289958</v>
      </c>
      <c r="AE68" s="100">
        <v>5304.5421303291187</v>
      </c>
      <c r="AF68" s="100">
        <v>5.0237653024013937</v>
      </c>
      <c r="AG68" s="100">
        <v>5190.5543104411199</v>
      </c>
      <c r="AH68" s="100">
        <v>7.1228455520393381E-4</v>
      </c>
      <c r="AI68" s="100">
        <v>0.73593240243670444</v>
      </c>
      <c r="AJ68" s="100">
        <v>6</v>
      </c>
      <c r="AK68" s="100">
        <v>6199.2000000000007</v>
      </c>
      <c r="AL68" s="100">
        <v>7</v>
      </c>
      <c r="AM68" s="100">
        <v>7232.4000000000005</v>
      </c>
      <c r="AN68" s="100">
        <v>4.0850727599569625</v>
      </c>
      <c r="AO68" s="100">
        <v>4220.6971755875338</v>
      </c>
      <c r="AP68" s="100">
        <v>4.4310519380134586E-4</v>
      </c>
      <c r="AQ68" s="100">
        <v>0.45781628623555054</v>
      </c>
      <c r="AR68" s="100">
        <v>8.0850348812131969</v>
      </c>
      <c r="AS68" s="100">
        <v>8353.4580392694752</v>
      </c>
      <c r="AT68" s="100">
        <v>7</v>
      </c>
      <c r="AU68" s="100">
        <v>7232.4000000000005</v>
      </c>
      <c r="AV68" s="100">
        <v>5.2694414868985673</v>
      </c>
      <c r="AW68" s="100">
        <v>5444.3869442635996</v>
      </c>
      <c r="AX68" s="100">
        <v>7.1222092424031661E-4</v>
      </c>
      <c r="AY68" s="100">
        <v>0.73586665892509517</v>
      </c>
      <c r="AZ68" s="100">
        <v>7.1401196432819516</v>
      </c>
      <c r="BA68" s="100">
        <v>7377.1716154389123</v>
      </c>
      <c r="BB68" s="100">
        <v>7.5774452466314104</v>
      </c>
      <c r="BC68" s="100">
        <v>7829.0164288195738</v>
      </c>
      <c r="BD68" s="100">
        <v>9.7843589523576142</v>
      </c>
      <c r="BE68" s="100">
        <v>10109.199669575888</v>
      </c>
      <c r="BF68" s="100">
        <v>4.3611498503133337</v>
      </c>
      <c r="BG68" s="100">
        <v>4505.9400253437361</v>
      </c>
      <c r="BH68" s="100">
        <v>10</v>
      </c>
      <c r="BI68" s="100">
        <v>10332</v>
      </c>
      <c r="BJ68" s="100">
        <v>8</v>
      </c>
      <c r="BK68" s="100">
        <v>8265.6</v>
      </c>
      <c r="BL68" s="100">
        <v>2.1171529386953232</v>
      </c>
      <c r="BM68" s="100">
        <v>2187.442416260008</v>
      </c>
      <c r="BN68" s="100">
        <v>3.9026778424274235</v>
      </c>
      <c r="BO68" s="100">
        <v>4032.2467467960141</v>
      </c>
      <c r="BP68" s="100">
        <v>1.7215648120056393</v>
      </c>
      <c r="BQ68" s="100">
        <v>1778.7207637642266</v>
      </c>
      <c r="BR68" s="100">
        <v>7.4837424325835507</v>
      </c>
      <c r="BS68" s="100">
        <v>7732.2026813453249</v>
      </c>
      <c r="BT68" s="100">
        <v>10</v>
      </c>
      <c r="BU68" s="100">
        <v>10332</v>
      </c>
      <c r="BV68" s="100">
        <v>0.85768141497059136</v>
      </c>
      <c r="BW68" s="100">
        <v>886.15643794761502</v>
      </c>
      <c r="BX68" s="100">
        <v>6</v>
      </c>
      <c r="BY68" s="100">
        <v>6199.2000000000007</v>
      </c>
      <c r="BZ68" s="100">
        <v>10</v>
      </c>
      <c r="CA68" s="100">
        <v>10332</v>
      </c>
      <c r="CB68" s="100">
        <v>5.4230384960695064</v>
      </c>
      <c r="CC68" s="100">
        <v>5603.0833741390143</v>
      </c>
      <c r="CD68" s="100">
        <v>6.7161508984585122E-4</v>
      </c>
      <c r="CE68" s="100">
        <v>0.69391271082873351</v>
      </c>
      <c r="CF68" s="100">
        <v>7.0614795555259287</v>
      </c>
      <c r="CG68" s="100">
        <v>7295.9206767693895</v>
      </c>
      <c r="CH68" s="100">
        <v>6.9308106660454698E-4</v>
      </c>
      <c r="CI68" s="100">
        <v>0.71609135801581802</v>
      </c>
      <c r="CJ68" s="100">
        <v>10.000154477715833</v>
      </c>
      <c r="CK68" s="100">
        <v>10332.159606375999</v>
      </c>
      <c r="CL68" s="100">
        <v>10</v>
      </c>
      <c r="CM68" s="100">
        <v>10332</v>
      </c>
      <c r="CN68" s="100">
        <v>3.4288194727017958</v>
      </c>
      <c r="CO68" s="100">
        <v>3542.6562791954957</v>
      </c>
      <c r="CP68" s="100">
        <v>4.2284814130953121</v>
      </c>
      <c r="CQ68" s="100">
        <v>4368.8669960100769</v>
      </c>
      <c r="CR68" s="100">
        <v>8.419389830202455</v>
      </c>
      <c r="CS68" s="100">
        <v>8698.9135725651777</v>
      </c>
      <c r="CT68" s="100">
        <v>5.5347739290068218E-4</v>
      </c>
      <c r="CU68" s="100">
        <v>0.5718528423449849</v>
      </c>
    </row>
    <row r="69" spans="2:99">
      <c r="C69" s="99" t="s">
        <v>235</v>
      </c>
      <c r="D69" s="100">
        <v>8.5672913638100798</v>
      </c>
      <c r="E69" s="100">
        <v>6497.4337703135643</v>
      </c>
      <c r="F69" s="100">
        <v>6.176601730055756E-4</v>
      </c>
      <c r="G69" s="100">
        <v>0.46843347520742851</v>
      </c>
      <c r="H69" s="100">
        <v>7.0002231290065033</v>
      </c>
      <c r="I69" s="100">
        <v>5308.9692210385319</v>
      </c>
      <c r="J69" s="100">
        <v>9</v>
      </c>
      <c r="K69" s="100">
        <v>6825.5999999999995</v>
      </c>
      <c r="L69" s="100">
        <v>5.7841555547195993</v>
      </c>
      <c r="M69" s="100">
        <v>4386.7035726993436</v>
      </c>
      <c r="N69" s="100">
        <v>3.1438354104150119</v>
      </c>
      <c r="O69" s="100">
        <v>2384.284775258745</v>
      </c>
      <c r="P69" s="100">
        <v>2.5866716007950807</v>
      </c>
      <c r="Q69" s="100">
        <v>1961.7317420429893</v>
      </c>
      <c r="R69" s="100">
        <v>10.543862609801659</v>
      </c>
      <c r="S69" s="100">
        <v>7996.465403273578</v>
      </c>
      <c r="T69" s="100">
        <v>4.0007831503853204</v>
      </c>
      <c r="U69" s="100">
        <v>3034.193941252227</v>
      </c>
      <c r="V69" s="100">
        <v>7.0946385278338538E-4</v>
      </c>
      <c r="W69" s="100">
        <v>0.53805738595091945</v>
      </c>
      <c r="X69" s="100">
        <v>11.000222059878615</v>
      </c>
      <c r="Y69" s="100">
        <v>8342.5684102119412</v>
      </c>
      <c r="Z69" s="100">
        <v>12</v>
      </c>
      <c r="AA69" s="100">
        <v>9100.7999999999993</v>
      </c>
      <c r="AB69" s="100">
        <v>8</v>
      </c>
      <c r="AC69" s="100">
        <v>6067.2</v>
      </c>
      <c r="AD69" s="100">
        <v>5.9897720532171626</v>
      </c>
      <c r="AE69" s="100">
        <v>4542.643125159896</v>
      </c>
      <c r="AF69" s="100">
        <v>5.0237653024013937</v>
      </c>
      <c r="AG69" s="100">
        <v>3810.0236053412168</v>
      </c>
      <c r="AH69" s="100">
        <v>7.770376965861096E-4</v>
      </c>
      <c r="AI69" s="100">
        <v>0.58930538909090546</v>
      </c>
      <c r="AJ69" s="100">
        <v>6</v>
      </c>
      <c r="AK69" s="100">
        <v>4550.3999999999996</v>
      </c>
      <c r="AL69" s="100">
        <v>7</v>
      </c>
      <c r="AM69" s="100">
        <v>5308.8</v>
      </c>
      <c r="AN69" s="100">
        <v>3.5744386649623423</v>
      </c>
      <c r="AO69" s="100">
        <v>2710.8542835074404</v>
      </c>
      <c r="AP69" s="100">
        <v>4.4310519380134586E-4</v>
      </c>
      <c r="AQ69" s="100">
        <v>0.33605097897894071</v>
      </c>
      <c r="AR69" s="100">
        <v>9.0708624010109968</v>
      </c>
      <c r="AS69" s="100">
        <v>6879.3420449267396</v>
      </c>
      <c r="AT69" s="100">
        <v>8</v>
      </c>
      <c r="AU69" s="100">
        <v>6067.2</v>
      </c>
      <c r="AV69" s="100">
        <v>5.2694414868985673</v>
      </c>
      <c r="AW69" s="100">
        <v>3996.3444236638734</v>
      </c>
      <c r="AX69" s="100">
        <v>7.1222092424031661E-4</v>
      </c>
      <c r="AY69" s="100">
        <v>0.5401483489438561</v>
      </c>
      <c r="AZ69" s="100">
        <v>6.4983944885206073</v>
      </c>
      <c r="BA69" s="100">
        <v>4928.3823800940281</v>
      </c>
      <c r="BB69" s="100">
        <v>6.9353457270960188</v>
      </c>
      <c r="BC69" s="100">
        <v>5259.7661994296204</v>
      </c>
      <c r="BD69" s="100">
        <v>10.653632460298011</v>
      </c>
      <c r="BE69" s="100">
        <v>8079.7148578900114</v>
      </c>
      <c r="BF69" s="100">
        <v>5.0880081586988899</v>
      </c>
      <c r="BG69" s="100">
        <v>3858.7453875572378</v>
      </c>
      <c r="BH69" s="100">
        <v>9</v>
      </c>
      <c r="BI69" s="100">
        <v>6825.5999999999995</v>
      </c>
      <c r="BJ69" s="100">
        <v>8</v>
      </c>
      <c r="BK69" s="100">
        <v>6067.2</v>
      </c>
      <c r="BL69" s="100">
        <v>2.1171529386953232</v>
      </c>
      <c r="BM69" s="100">
        <v>1605.648788706533</v>
      </c>
      <c r="BN69" s="100">
        <v>3.5149932485737425</v>
      </c>
      <c r="BO69" s="100">
        <v>2665.7708797183263</v>
      </c>
      <c r="BP69" s="100">
        <v>1.7215648120056393</v>
      </c>
      <c r="BQ69" s="100">
        <v>1305.6347534250767</v>
      </c>
      <c r="BR69" s="100">
        <v>8.6046780407294374</v>
      </c>
      <c r="BS69" s="100">
        <v>6525.7878260892048</v>
      </c>
      <c r="BT69" s="100">
        <v>10</v>
      </c>
      <c r="BU69" s="100">
        <v>7584</v>
      </c>
      <c r="BV69" s="100">
        <v>0.96489159184191531</v>
      </c>
      <c r="BW69" s="100">
        <v>731.77378325290852</v>
      </c>
      <c r="BX69" s="100">
        <v>6</v>
      </c>
      <c r="BY69" s="100">
        <v>4550.3999999999996</v>
      </c>
      <c r="BZ69" s="100">
        <v>11</v>
      </c>
      <c r="CA69" s="100">
        <v>8342.4</v>
      </c>
      <c r="CB69" s="100">
        <v>6.3268782454144228</v>
      </c>
      <c r="CC69" s="100">
        <v>4798.3044613222983</v>
      </c>
      <c r="CD69" s="100">
        <v>7.3877659883043621E-4</v>
      </c>
      <c r="CE69" s="100">
        <v>0.56028817255300278</v>
      </c>
      <c r="CF69" s="100">
        <v>7.9969665505418117</v>
      </c>
      <c r="CG69" s="100">
        <v>6064.8994319309095</v>
      </c>
      <c r="CH69" s="100">
        <v>6.9308106660454698E-4</v>
      </c>
      <c r="CI69" s="100">
        <v>0.52563268091288839</v>
      </c>
      <c r="CJ69" s="100">
        <v>11.000154477715833</v>
      </c>
      <c r="CK69" s="100">
        <v>8342.5171558996881</v>
      </c>
      <c r="CL69" s="100">
        <v>11</v>
      </c>
      <c r="CM69" s="100">
        <v>8342.4</v>
      </c>
      <c r="CN69" s="100">
        <v>3.8097994141131064</v>
      </c>
      <c r="CO69" s="100">
        <v>2889.3518756633798</v>
      </c>
      <c r="CP69" s="100">
        <v>4.2284814130953121</v>
      </c>
      <c r="CQ69" s="100">
        <v>3206.8803036914846</v>
      </c>
      <c r="CR69" s="100">
        <v>7.532449147330369</v>
      </c>
      <c r="CS69" s="100">
        <v>5712.6094333353512</v>
      </c>
      <c r="CT69" s="100">
        <v>5.5347739290068218E-4</v>
      </c>
      <c r="CU69" s="100">
        <v>0.41975725477587733</v>
      </c>
    </row>
    <row r="70" spans="2:99">
      <c r="C70" s="99" t="s">
        <v>236</v>
      </c>
      <c r="D70" s="100">
        <v>8.5672913638100798</v>
      </c>
      <c r="E70" s="100">
        <v>4585.214337911154</v>
      </c>
      <c r="F70" s="100">
        <v>6.7942619030613328E-4</v>
      </c>
      <c r="G70" s="100">
        <v>0.36362889705184248</v>
      </c>
      <c r="H70" s="100">
        <v>8.0002789112581301</v>
      </c>
      <c r="I70" s="100">
        <v>4281.7492733053505</v>
      </c>
      <c r="J70" s="100">
        <v>9</v>
      </c>
      <c r="K70" s="100">
        <v>4816.7999999999993</v>
      </c>
      <c r="L70" s="100">
        <v>6.6104634911081135</v>
      </c>
      <c r="M70" s="100">
        <v>3537.9200604410621</v>
      </c>
      <c r="N70" s="100">
        <v>3.7485746852092832</v>
      </c>
      <c r="O70" s="100">
        <v>2006.2371715240081</v>
      </c>
      <c r="P70" s="100">
        <v>2.5866716007950807</v>
      </c>
      <c r="Q70" s="100">
        <v>1384.3866407455271</v>
      </c>
      <c r="R70" s="100">
        <v>10.543862609801659</v>
      </c>
      <c r="S70" s="100">
        <v>5643.0752687658469</v>
      </c>
      <c r="T70" s="100">
        <v>4.500881044183485</v>
      </c>
      <c r="U70" s="100">
        <v>2408.8715348470009</v>
      </c>
      <c r="V70" s="100">
        <v>8.6600404243029623E-4</v>
      </c>
      <c r="W70" s="100">
        <v>0.46348536350869446</v>
      </c>
      <c r="X70" s="100">
        <v>10.000266471854339</v>
      </c>
      <c r="Y70" s="100">
        <v>5352.1426157364413</v>
      </c>
      <c r="Z70" s="100">
        <v>12</v>
      </c>
      <c r="AA70" s="100">
        <v>6422.4</v>
      </c>
      <c r="AB70" s="100">
        <v>8</v>
      </c>
      <c r="AC70" s="100">
        <v>4281.5999999999995</v>
      </c>
      <c r="AD70" s="100">
        <v>6.8454537751053284</v>
      </c>
      <c r="AE70" s="100">
        <v>3663.6868604363713</v>
      </c>
      <c r="AF70" s="100">
        <v>5.0237653024013937</v>
      </c>
      <c r="AG70" s="100">
        <v>2688.7191898452256</v>
      </c>
      <c r="AH70" s="100">
        <v>7.770376965861096E-4</v>
      </c>
      <c r="AI70" s="100">
        <v>0.41587057521288578</v>
      </c>
      <c r="AJ70" s="100">
        <v>7</v>
      </c>
      <c r="AK70" s="100">
        <v>3746.3999999999996</v>
      </c>
      <c r="AL70" s="100">
        <v>7</v>
      </c>
      <c r="AM70" s="100">
        <v>3746.3999999999996</v>
      </c>
      <c r="AN70" s="100">
        <v>4.5957068549515832</v>
      </c>
      <c r="AO70" s="100">
        <v>2459.6223087700869</v>
      </c>
      <c r="AP70" s="100">
        <v>4.4310519380134586E-4</v>
      </c>
      <c r="AQ70" s="100">
        <v>0.23714989972248027</v>
      </c>
      <c r="AR70" s="100">
        <v>8.0708624010109968</v>
      </c>
      <c r="AS70" s="100">
        <v>4319.5255570210848</v>
      </c>
      <c r="AT70" s="100">
        <v>8</v>
      </c>
      <c r="AU70" s="100">
        <v>4281.5999999999995</v>
      </c>
      <c r="AV70" s="100">
        <v>5.2694414868985673</v>
      </c>
      <c r="AW70" s="100">
        <v>2820.2050837881129</v>
      </c>
      <c r="AX70" s="100">
        <v>8.4985463456405032E-4</v>
      </c>
      <c r="AY70" s="100">
        <v>0.45484220041867968</v>
      </c>
      <c r="AZ70" s="100">
        <v>7.1917530786868449</v>
      </c>
      <c r="BA70" s="100">
        <v>3849.0262477131987</v>
      </c>
      <c r="BB70" s="100">
        <v>7.4811211668865756</v>
      </c>
      <c r="BC70" s="100">
        <v>4003.8960485176949</v>
      </c>
      <c r="BD70" s="100">
        <v>9.7843589523576142</v>
      </c>
      <c r="BE70" s="100">
        <v>5236.5889113017947</v>
      </c>
      <c r="BF70" s="100">
        <v>5.0880081586988899</v>
      </c>
      <c r="BG70" s="100">
        <v>2723.1019665356457</v>
      </c>
      <c r="BH70" s="100">
        <v>10</v>
      </c>
      <c r="BI70" s="100">
        <v>5351.9999999999991</v>
      </c>
      <c r="BJ70" s="100">
        <v>9</v>
      </c>
      <c r="BK70" s="100">
        <v>4816.7999999999993</v>
      </c>
      <c r="BL70" s="100">
        <v>2.4196033585089407</v>
      </c>
      <c r="BM70" s="100">
        <v>1294.9717174739849</v>
      </c>
      <c r="BN70" s="100">
        <v>4.067181658300222</v>
      </c>
      <c r="BO70" s="100">
        <v>2176.7556235222787</v>
      </c>
      <c r="BP70" s="100">
        <v>1.7325731600579204</v>
      </c>
      <c r="BQ70" s="100">
        <v>927.2731552629989</v>
      </c>
      <c r="BR70" s="100">
        <v>7.6046780407294383</v>
      </c>
      <c r="BS70" s="100">
        <v>4070.0236873983949</v>
      </c>
      <c r="BT70" s="100">
        <v>9</v>
      </c>
      <c r="BU70" s="100">
        <v>4816.7999999999993</v>
      </c>
      <c r="BV70" s="100">
        <v>1.0721017687132393</v>
      </c>
      <c r="BW70" s="100">
        <v>573.78886661532556</v>
      </c>
      <c r="BX70" s="100">
        <v>7</v>
      </c>
      <c r="BY70" s="100">
        <v>3746.3999999999996</v>
      </c>
      <c r="BZ70" s="100">
        <v>11</v>
      </c>
      <c r="CA70" s="100">
        <v>5887.1999999999989</v>
      </c>
      <c r="CB70" s="100">
        <v>6.3268782454144228</v>
      </c>
      <c r="CC70" s="100">
        <v>3386.1452369457988</v>
      </c>
      <c r="CD70" s="100">
        <v>7.3877659883043621E-4</v>
      </c>
      <c r="CE70" s="100">
        <v>0.39539323569404938</v>
      </c>
      <c r="CF70" s="100">
        <v>7.0614795555259287</v>
      </c>
      <c r="CG70" s="100">
        <v>3779.3038581174765</v>
      </c>
      <c r="CH70" s="100">
        <v>7.7803921376379107E-4</v>
      </c>
      <c r="CI70" s="100">
        <v>0.41640658720638091</v>
      </c>
      <c r="CJ70" s="100">
        <v>11.000154477715833</v>
      </c>
      <c r="CK70" s="100">
        <v>5887.2826764735137</v>
      </c>
      <c r="CL70" s="100">
        <v>11</v>
      </c>
      <c r="CM70" s="100">
        <v>5887.1999999999989</v>
      </c>
      <c r="CN70" s="100">
        <v>3.8097994141131064</v>
      </c>
      <c r="CO70" s="100">
        <v>2039.0046464333343</v>
      </c>
      <c r="CP70" s="100">
        <v>4.698312681217014</v>
      </c>
      <c r="CQ70" s="100">
        <v>2514.5369469873453</v>
      </c>
      <c r="CR70" s="100">
        <v>8.4505986647991467</v>
      </c>
      <c r="CS70" s="100">
        <v>4522.7604054005023</v>
      </c>
      <c r="CT70" s="100">
        <v>6.7626679970361162E-4</v>
      </c>
      <c r="CU70" s="100">
        <v>0.36193799120137288</v>
      </c>
    </row>
    <row r="71" spans="2:99">
      <c r="B71" s="99" t="s">
        <v>130</v>
      </c>
      <c r="C71" s="99" t="s">
        <v>237</v>
      </c>
      <c r="D71" s="100">
        <v>1.9435119644153103</v>
      </c>
      <c r="E71" s="100">
        <v>1096.140747930235</v>
      </c>
      <c r="F71" s="100">
        <v>5.1367418048806845</v>
      </c>
      <c r="G71" s="100">
        <v>2897.1223779527063</v>
      </c>
      <c r="H71" s="100">
        <v>6.4158468524087731</v>
      </c>
      <c r="I71" s="100">
        <v>3618.5376247585482</v>
      </c>
      <c r="J71" s="100">
        <v>5.2650380707994211</v>
      </c>
      <c r="K71" s="100">
        <v>2969.4814719308733</v>
      </c>
      <c r="L71" s="100">
        <v>5.8891533331084807E-4</v>
      </c>
      <c r="M71" s="100">
        <v>0.33214824798731829</v>
      </c>
      <c r="N71" s="100">
        <v>5.0002835807161956</v>
      </c>
      <c r="O71" s="100">
        <v>2820.1599395239341</v>
      </c>
      <c r="P71" s="100">
        <v>4.9049993463595651</v>
      </c>
      <c r="Q71" s="100">
        <v>2766.4196313467946</v>
      </c>
      <c r="R71" s="100">
        <v>5.0727160747055553</v>
      </c>
      <c r="S71" s="100">
        <v>2861.0118661339334</v>
      </c>
      <c r="T71" s="100">
        <v>5.2285694617655336</v>
      </c>
      <c r="U71" s="100">
        <v>2948.9131764357608</v>
      </c>
      <c r="V71" s="100">
        <v>5.3134819015835237</v>
      </c>
      <c r="W71" s="100">
        <v>2996.8037924931073</v>
      </c>
      <c r="X71" s="100">
        <v>5.0430961943576875</v>
      </c>
      <c r="Y71" s="100">
        <v>2844.3062536177358</v>
      </c>
      <c r="Z71" s="100">
        <v>3.5078425636716406</v>
      </c>
      <c r="AA71" s="100">
        <v>1978.4232059108053</v>
      </c>
      <c r="AB71" s="100">
        <v>5.9560744853396477</v>
      </c>
      <c r="AC71" s="100">
        <v>3359.2260097315611</v>
      </c>
      <c r="AD71" s="100">
        <v>5.3242957299658826</v>
      </c>
      <c r="AE71" s="100">
        <v>3002.9027917007579</v>
      </c>
      <c r="AF71" s="100">
        <v>3.4995348809470213</v>
      </c>
      <c r="AG71" s="100">
        <v>1973.7376728541201</v>
      </c>
      <c r="AH71" s="100">
        <v>3.1212018271374435</v>
      </c>
      <c r="AI71" s="100">
        <v>1760.3578305055182</v>
      </c>
      <c r="AJ71" s="100">
        <v>8.9031602849232989</v>
      </c>
      <c r="AK71" s="100">
        <v>5021.3824006967407</v>
      </c>
      <c r="AL71" s="100">
        <v>4.0089900433283017</v>
      </c>
      <c r="AM71" s="100">
        <v>2261.0703844371619</v>
      </c>
      <c r="AN71" s="100">
        <v>4.6941591023112554</v>
      </c>
      <c r="AO71" s="100">
        <v>2647.5057337035482</v>
      </c>
      <c r="AP71" s="100">
        <v>7.9231510209796649</v>
      </c>
      <c r="AQ71" s="100">
        <v>4468.6571758325308</v>
      </c>
      <c r="AR71" s="100">
        <v>3.8948498620347203</v>
      </c>
      <c r="AS71" s="100">
        <v>2196.6953221875824</v>
      </c>
      <c r="AT71" s="100">
        <v>6</v>
      </c>
      <c r="AU71" s="100">
        <v>3384</v>
      </c>
      <c r="AV71" s="100">
        <v>5.1723389235832595</v>
      </c>
      <c r="AW71" s="100">
        <v>2917.1991529009583</v>
      </c>
      <c r="AX71" s="100">
        <v>6.397743329760428</v>
      </c>
      <c r="AY71" s="100">
        <v>3608.3272379848813</v>
      </c>
      <c r="AZ71" s="100">
        <v>3.7030946951921142</v>
      </c>
      <c r="BA71" s="100">
        <v>2088.5454080883524</v>
      </c>
      <c r="BB71" s="100">
        <v>1.685114642419842</v>
      </c>
      <c r="BC71" s="100">
        <v>950.40465832479083</v>
      </c>
      <c r="BD71" s="100">
        <v>5.5058902289203928</v>
      </c>
      <c r="BE71" s="100">
        <v>3105.3220891111014</v>
      </c>
      <c r="BF71" s="100">
        <v>9</v>
      </c>
      <c r="BG71" s="100">
        <v>5076</v>
      </c>
      <c r="BH71" s="100">
        <v>4.3713475528635453</v>
      </c>
      <c r="BI71" s="100">
        <v>2465.4400198150397</v>
      </c>
      <c r="BJ71" s="100">
        <v>1.7975171487636441</v>
      </c>
      <c r="BK71" s="100">
        <v>1013.7996719026953</v>
      </c>
      <c r="BL71" s="100">
        <v>3.4911173091638021</v>
      </c>
      <c r="BM71" s="100">
        <v>1968.9901623683845</v>
      </c>
      <c r="BN71" s="100">
        <v>8.9882118990646518</v>
      </c>
      <c r="BO71" s="100">
        <v>5069.3515110724638</v>
      </c>
      <c r="BP71" s="100">
        <v>8</v>
      </c>
      <c r="BQ71" s="100">
        <v>4512</v>
      </c>
      <c r="BR71" s="100">
        <v>6.1393236880046445</v>
      </c>
      <c r="BS71" s="100">
        <v>3462.5785600346194</v>
      </c>
      <c r="BT71" s="100">
        <v>6.1151254640288784</v>
      </c>
      <c r="BU71" s="100">
        <v>3448.9307617122872</v>
      </c>
      <c r="BV71" s="100">
        <v>5.6575310415505271</v>
      </c>
      <c r="BW71" s="100">
        <v>3190.8475074344974</v>
      </c>
      <c r="BX71" s="100">
        <v>8.3239108345182036</v>
      </c>
      <c r="BY71" s="100">
        <v>4694.6857106682664</v>
      </c>
      <c r="BZ71" s="100">
        <v>4.7658270011149295E-4</v>
      </c>
      <c r="CA71" s="100">
        <v>0.26879264286288201</v>
      </c>
      <c r="CB71" s="100">
        <v>7.63420356945592</v>
      </c>
      <c r="CC71" s="100">
        <v>4305.6908131731388</v>
      </c>
      <c r="CD71" s="100">
        <v>5</v>
      </c>
      <c r="CE71" s="100">
        <v>2820</v>
      </c>
      <c r="CF71" s="100">
        <v>6.2491581055459093</v>
      </c>
      <c r="CG71" s="100">
        <v>3524.5251715278928</v>
      </c>
      <c r="CH71" s="100">
        <v>4.740521594976542</v>
      </c>
      <c r="CI71" s="100">
        <v>2673.6541795667699</v>
      </c>
      <c r="CJ71" s="100">
        <v>5</v>
      </c>
      <c r="CK71" s="100">
        <v>2820</v>
      </c>
      <c r="CL71" s="100">
        <v>1.8813866449830761</v>
      </c>
      <c r="CM71" s="100">
        <v>1061.1020677704548</v>
      </c>
      <c r="CN71" s="100">
        <v>8.3990080045638251</v>
      </c>
      <c r="CO71" s="100">
        <v>4737.0405145739969</v>
      </c>
      <c r="CP71" s="100">
        <v>3.4695818422594935</v>
      </c>
      <c r="CQ71" s="100">
        <v>1956.8441590343543</v>
      </c>
      <c r="CR71" s="100">
        <v>7.0249516640960916</v>
      </c>
      <c r="CS71" s="100">
        <v>3962.0727385501955</v>
      </c>
      <c r="CT71" s="100">
        <v>3.3945505421766091</v>
      </c>
      <c r="CU71" s="100">
        <v>1914.5265057876074</v>
      </c>
    </row>
    <row r="72" spans="2:99">
      <c r="C72" s="99" t="s">
        <v>238</v>
      </c>
      <c r="D72" s="100">
        <v>2.3308930157377619</v>
      </c>
      <c r="E72" s="100">
        <v>173.41844037088947</v>
      </c>
      <c r="F72" s="100">
        <v>6.1640901658568215</v>
      </c>
      <c r="G72" s="100">
        <v>458.60830833974745</v>
      </c>
      <c r="H72" s="100">
        <v>7.3304956614039583</v>
      </c>
      <c r="I72" s="100">
        <v>545.38887720845446</v>
      </c>
      <c r="J72" s="100">
        <v>5.9863042830771853</v>
      </c>
      <c r="K72" s="100">
        <v>445.38103866094252</v>
      </c>
      <c r="L72" s="100">
        <v>4.6570917302861528E-4</v>
      </c>
      <c r="M72" s="100">
        <v>3.4648762473328973E-2</v>
      </c>
      <c r="N72" s="100">
        <v>5.0002835807161956</v>
      </c>
      <c r="O72" s="100">
        <v>372.02109840528493</v>
      </c>
      <c r="P72" s="100">
        <v>4.9049993463595651</v>
      </c>
      <c r="Q72" s="100">
        <v>364.93195136915159</v>
      </c>
      <c r="R72" s="100">
        <v>5.0727160747055553</v>
      </c>
      <c r="S72" s="100">
        <v>377.41007595809327</v>
      </c>
      <c r="T72" s="100">
        <v>5.2285694617655336</v>
      </c>
      <c r="U72" s="100">
        <v>389.00556795535567</v>
      </c>
      <c r="V72" s="100">
        <v>4.7827641254942215</v>
      </c>
      <c r="W72" s="100">
        <v>355.83765093677005</v>
      </c>
      <c r="X72" s="100">
        <v>5.7633186521343394</v>
      </c>
      <c r="Y72" s="100">
        <v>428.79090771879481</v>
      </c>
      <c r="Z72" s="100">
        <v>3.9649266284343909</v>
      </c>
      <c r="AA72" s="100">
        <v>294.99054115551866</v>
      </c>
      <c r="AB72" s="100">
        <v>6.0884314191762376</v>
      </c>
      <c r="AC72" s="100">
        <v>452.97929758671205</v>
      </c>
      <c r="AD72" s="100">
        <v>5.4266791960526328</v>
      </c>
      <c r="AE72" s="100">
        <v>403.74493218631585</v>
      </c>
      <c r="AF72" s="100">
        <v>3.5155214377171911</v>
      </c>
      <c r="AG72" s="100">
        <v>261.55479496615897</v>
      </c>
      <c r="AH72" s="100">
        <v>3.9898036121070031</v>
      </c>
      <c r="AI72" s="100">
        <v>296.84138874076098</v>
      </c>
      <c r="AJ72" s="100">
        <v>7.9568467351926602</v>
      </c>
      <c r="AK72" s="100">
        <v>591.98939709833382</v>
      </c>
      <c r="AL72" s="100">
        <v>4.0089900433283017</v>
      </c>
      <c r="AM72" s="100">
        <v>298.26885922362561</v>
      </c>
      <c r="AN72" s="100">
        <v>5.8676988778890689</v>
      </c>
      <c r="AO72" s="100">
        <v>436.55679651494665</v>
      </c>
      <c r="AP72" s="100">
        <v>7.9231510209796649</v>
      </c>
      <c r="AQ72" s="100">
        <v>589.48243596088696</v>
      </c>
      <c r="AR72" s="100">
        <v>4.3817060947890605</v>
      </c>
      <c r="AS72" s="100">
        <v>325.99893345230606</v>
      </c>
      <c r="AT72" s="100">
        <v>6</v>
      </c>
      <c r="AU72" s="100">
        <v>446.4</v>
      </c>
      <c r="AV72" s="100">
        <v>4.4334333630713649</v>
      </c>
      <c r="AW72" s="100">
        <v>329.84744221250952</v>
      </c>
      <c r="AX72" s="100">
        <v>7.3872839004464774</v>
      </c>
      <c r="AY72" s="100">
        <v>549.61392219321783</v>
      </c>
      <c r="AZ72" s="100">
        <v>3.7030946951921142</v>
      </c>
      <c r="BA72" s="100">
        <v>275.51024532229326</v>
      </c>
      <c r="BB72" s="100">
        <v>1.9208402130622277</v>
      </c>
      <c r="BC72" s="100">
        <v>142.91051185182974</v>
      </c>
      <c r="BD72" s="100">
        <v>5.5058902289203928</v>
      </c>
      <c r="BE72" s="100">
        <v>409.6382330316772</v>
      </c>
      <c r="BF72" s="100">
        <v>9</v>
      </c>
      <c r="BG72" s="100">
        <v>669.59999999999991</v>
      </c>
      <c r="BH72" s="100">
        <v>5.2456170634362547</v>
      </c>
      <c r="BI72" s="100">
        <v>390.27390951965731</v>
      </c>
      <c r="BJ72" s="100">
        <v>2.0092521916842281</v>
      </c>
      <c r="BK72" s="100">
        <v>149.48836306130656</v>
      </c>
      <c r="BL72" s="100">
        <v>3.4938143146030649</v>
      </c>
      <c r="BM72" s="100">
        <v>259.93978500646801</v>
      </c>
      <c r="BN72" s="100">
        <v>8.1612861775885559</v>
      </c>
      <c r="BO72" s="100">
        <v>607.19969161258848</v>
      </c>
      <c r="BP72" s="100">
        <v>9</v>
      </c>
      <c r="BQ72" s="100">
        <v>669.59999999999991</v>
      </c>
      <c r="BR72" s="100">
        <v>6.1393236880046445</v>
      </c>
      <c r="BS72" s="100">
        <v>456.7656823875455</v>
      </c>
      <c r="BT72" s="100">
        <v>6.1151254640288784</v>
      </c>
      <c r="BU72" s="100">
        <v>454.96533452374848</v>
      </c>
      <c r="BV72" s="100">
        <v>5.6575310415505271</v>
      </c>
      <c r="BW72" s="100">
        <v>420.92030949135915</v>
      </c>
      <c r="BX72" s="100">
        <v>8.3239108345182036</v>
      </c>
      <c r="BY72" s="100">
        <v>619.29896608815432</v>
      </c>
      <c r="BZ72" s="100">
        <v>4.7658270011149295E-4</v>
      </c>
      <c r="CA72" s="100">
        <v>3.5457752888295072E-2</v>
      </c>
      <c r="CB72" s="100">
        <v>7.772514657996032</v>
      </c>
      <c r="CC72" s="100">
        <v>578.27509055490475</v>
      </c>
      <c r="CD72" s="100">
        <v>6</v>
      </c>
      <c r="CE72" s="100">
        <v>446.4</v>
      </c>
      <c r="CF72" s="100">
        <v>6.2491581055459093</v>
      </c>
      <c r="CG72" s="100">
        <v>464.93736305261558</v>
      </c>
      <c r="CH72" s="100">
        <v>6.6367302329671585</v>
      </c>
      <c r="CI72" s="100">
        <v>493.77272933275651</v>
      </c>
      <c r="CJ72" s="100">
        <v>6</v>
      </c>
      <c r="CK72" s="100">
        <v>446.4</v>
      </c>
      <c r="CL72" s="100">
        <v>1.8813866449830761</v>
      </c>
      <c r="CM72" s="100">
        <v>139.97516638674085</v>
      </c>
      <c r="CN72" s="100">
        <v>7.6071199833044441</v>
      </c>
      <c r="CO72" s="100">
        <v>565.96972675785059</v>
      </c>
      <c r="CP72" s="100">
        <v>3.4695818422594935</v>
      </c>
      <c r="CQ72" s="100">
        <v>258.1368890641063</v>
      </c>
      <c r="CR72" s="100">
        <v>6.0249516640960916</v>
      </c>
      <c r="CS72" s="100">
        <v>448.25640380874916</v>
      </c>
      <c r="CT72" s="100">
        <v>3.1487200088798222</v>
      </c>
      <c r="CU72" s="100">
        <v>234.26476866065875</v>
      </c>
    </row>
    <row r="73" spans="2:99">
      <c r="C73" s="99" t="s">
        <v>239</v>
      </c>
      <c r="D73" s="100">
        <v>1.9675011272193306</v>
      </c>
      <c r="E73" s="100">
        <v>1100.2266303410495</v>
      </c>
      <c r="F73" s="100">
        <v>6.0257837420083513</v>
      </c>
      <c r="G73" s="100">
        <v>3369.6182685310696</v>
      </c>
      <c r="H73" s="100">
        <v>7.3304956614039583</v>
      </c>
      <c r="I73" s="100">
        <v>4099.2131738570934</v>
      </c>
      <c r="J73" s="100">
        <v>5.9502751856013409</v>
      </c>
      <c r="K73" s="100">
        <v>3327.3938837882692</v>
      </c>
      <c r="L73" s="100">
        <v>5.2842475678395104E-4</v>
      </c>
      <c r="M73" s="100">
        <v>0.29549512399358541</v>
      </c>
      <c r="N73" s="100">
        <v>5.0002835807161956</v>
      </c>
      <c r="O73" s="100">
        <v>2796.1585783364962</v>
      </c>
      <c r="P73" s="100">
        <v>4.2354973616048461</v>
      </c>
      <c r="Q73" s="100">
        <v>2368.4901246094296</v>
      </c>
      <c r="R73" s="100">
        <v>5.0727160747055553</v>
      </c>
      <c r="S73" s="100">
        <v>2836.6628289753462</v>
      </c>
      <c r="T73" s="100">
        <v>4.6445710491525576</v>
      </c>
      <c r="U73" s="100">
        <v>2597.2441306861101</v>
      </c>
      <c r="V73" s="100">
        <v>4.6321509088215738</v>
      </c>
      <c r="W73" s="100">
        <v>2590.2987882130237</v>
      </c>
      <c r="X73" s="100">
        <v>5.0430961943576875</v>
      </c>
      <c r="Y73" s="100">
        <v>2820.0993918848185</v>
      </c>
      <c r="Z73" s="100">
        <v>3.5078425636716406</v>
      </c>
      <c r="AA73" s="100">
        <v>1961.5855616051813</v>
      </c>
      <c r="AB73" s="100">
        <v>5.1997473687458333</v>
      </c>
      <c r="AC73" s="100">
        <v>2907.6987286026697</v>
      </c>
      <c r="AD73" s="100">
        <v>5.3242957299658826</v>
      </c>
      <c r="AE73" s="100">
        <v>2977.3461721969211</v>
      </c>
      <c r="AF73" s="100">
        <v>3.9915184916625885</v>
      </c>
      <c r="AG73" s="100">
        <v>2232.0571405377191</v>
      </c>
      <c r="AH73" s="100">
        <v>3.5167369525792425</v>
      </c>
      <c r="AI73" s="100">
        <v>1966.5593038823122</v>
      </c>
      <c r="AJ73" s="100">
        <v>8.0968405382884345</v>
      </c>
      <c r="AK73" s="100">
        <v>4527.753229010892</v>
      </c>
      <c r="AL73" s="100">
        <v>4.0089900433283017</v>
      </c>
      <c r="AM73" s="100">
        <v>2241.8272322291859</v>
      </c>
      <c r="AN73" s="100">
        <v>5.8676988778890689</v>
      </c>
      <c r="AO73" s="100">
        <v>3281.2172125155671</v>
      </c>
      <c r="AP73" s="100">
        <v>8.9135448986021224</v>
      </c>
      <c r="AQ73" s="100">
        <v>4984.454307298306</v>
      </c>
      <c r="AR73" s="100">
        <v>3.8948498620347203</v>
      </c>
      <c r="AS73" s="100">
        <v>2178.0000428498151</v>
      </c>
      <c r="AT73" s="100">
        <v>5</v>
      </c>
      <c r="AU73" s="100">
        <v>2795.9999999999995</v>
      </c>
      <c r="AV73" s="100">
        <v>4.4334333630713649</v>
      </c>
      <c r="AW73" s="100">
        <v>2479.1759366295069</v>
      </c>
      <c r="AX73" s="100">
        <v>7.3872839004464774</v>
      </c>
      <c r="AY73" s="100">
        <v>4130.9691571296698</v>
      </c>
      <c r="AZ73" s="100">
        <v>3.7030946951921142</v>
      </c>
      <c r="BA73" s="100">
        <v>2070.7705535514301</v>
      </c>
      <c r="BB73" s="100">
        <v>1.7026324663814143</v>
      </c>
      <c r="BC73" s="100">
        <v>952.11207520048674</v>
      </c>
      <c r="BD73" s="100">
        <v>5.5058902289203928</v>
      </c>
      <c r="BE73" s="100">
        <v>3078.8938160122834</v>
      </c>
      <c r="BF73" s="100">
        <v>8</v>
      </c>
      <c r="BG73" s="100">
        <v>4473.5999999999995</v>
      </c>
      <c r="BH73" s="100">
        <v>5.2456170634362547</v>
      </c>
      <c r="BI73" s="100">
        <v>2933.3490618735532</v>
      </c>
      <c r="BJ73" s="100">
        <v>1.7802443478638155</v>
      </c>
      <c r="BK73" s="100">
        <v>995.51263932544543</v>
      </c>
      <c r="BL73" s="100">
        <v>3.4965113200423277</v>
      </c>
      <c r="BM73" s="100">
        <v>1955.2491301676694</v>
      </c>
      <c r="BN73" s="100">
        <v>8.1612861775885559</v>
      </c>
      <c r="BO73" s="100">
        <v>4563.7912305075197</v>
      </c>
      <c r="BP73" s="100">
        <v>7</v>
      </c>
      <c r="BQ73" s="100">
        <v>3914.3999999999996</v>
      </c>
      <c r="BR73" s="100">
        <v>6.1393236880046445</v>
      </c>
      <c r="BS73" s="100">
        <v>3433.109806332197</v>
      </c>
      <c r="BT73" s="100">
        <v>5.5036129176259907</v>
      </c>
      <c r="BU73" s="100">
        <v>3077.6203435364537</v>
      </c>
      <c r="BV73" s="100">
        <v>5.6575310415505271</v>
      </c>
      <c r="BW73" s="100">
        <v>3163.6913584350546</v>
      </c>
      <c r="BX73" s="100">
        <v>8.3239108345182036</v>
      </c>
      <c r="BY73" s="100">
        <v>4654.7309386625793</v>
      </c>
      <c r="BZ73" s="100">
        <v>4.7658270011149295E-4</v>
      </c>
      <c r="CA73" s="100">
        <v>0.2665050459023468</v>
      </c>
      <c r="CB73" s="100">
        <v>7.63420356945592</v>
      </c>
      <c r="CC73" s="100">
        <v>4269.0466360397504</v>
      </c>
      <c r="CD73" s="100">
        <v>5</v>
      </c>
      <c r="CE73" s="100">
        <v>2795.9999999999995</v>
      </c>
      <c r="CF73" s="100">
        <v>6.2491581055459093</v>
      </c>
      <c r="CG73" s="100">
        <v>3494.5292126212721</v>
      </c>
      <c r="CH73" s="100">
        <v>5.6886259139718502</v>
      </c>
      <c r="CI73" s="100">
        <v>3181.0796110930582</v>
      </c>
      <c r="CJ73" s="100">
        <v>5</v>
      </c>
      <c r="CK73" s="100">
        <v>2795.9999999999995</v>
      </c>
      <c r="CL73" s="100">
        <v>2.1325861360411129</v>
      </c>
      <c r="CM73" s="100">
        <v>1192.5421672741902</v>
      </c>
      <c r="CN73" s="100">
        <v>8.5190399525563283</v>
      </c>
      <c r="CO73" s="100">
        <v>4763.8471414694986</v>
      </c>
      <c r="CP73" s="100">
        <v>3.4125144303249693</v>
      </c>
      <c r="CQ73" s="100">
        <v>1908.2780694377225</v>
      </c>
      <c r="CR73" s="100">
        <v>6.0249516640960916</v>
      </c>
      <c r="CS73" s="100">
        <v>3369.1529705625339</v>
      </c>
      <c r="CT73" s="100">
        <v>3.7607970231608192</v>
      </c>
      <c r="CU73" s="100">
        <v>2103.0376953515297</v>
      </c>
    </row>
    <row r="74" spans="2:99">
      <c r="C74" s="99" t="s">
        <v>240</v>
      </c>
      <c r="D74" s="100">
        <v>2.3746694334183736</v>
      </c>
      <c r="E74" s="100">
        <v>957.46671555428816</v>
      </c>
      <c r="F74" s="100">
        <v>5.1367418048806845</v>
      </c>
      <c r="G74" s="100">
        <v>2071.1342957278921</v>
      </c>
      <c r="H74" s="100">
        <v>7.3304956614039583</v>
      </c>
      <c r="I74" s="100">
        <v>2955.6558506780757</v>
      </c>
      <c r="J74" s="100">
        <v>5.2290089733235758</v>
      </c>
      <c r="K74" s="100">
        <v>2108.3364180440658</v>
      </c>
      <c r="L74" s="100">
        <v>5.2619974955551237E-4</v>
      </c>
      <c r="M74" s="100">
        <v>0.21216373902078259</v>
      </c>
      <c r="N74" s="100">
        <v>5.0002363172634956</v>
      </c>
      <c r="O74" s="100">
        <v>2016.0952831206414</v>
      </c>
      <c r="P74" s="100">
        <v>4.9049993463595651</v>
      </c>
      <c r="Q74" s="100">
        <v>1977.6957364521766</v>
      </c>
      <c r="R74" s="100">
        <v>5.0727160747055553</v>
      </c>
      <c r="S74" s="100">
        <v>2045.3191213212799</v>
      </c>
      <c r="T74" s="100">
        <v>5.2285694617655336</v>
      </c>
      <c r="U74" s="100">
        <v>2108.159206983863</v>
      </c>
      <c r="V74" s="100">
        <v>4.6321509088215738</v>
      </c>
      <c r="W74" s="100">
        <v>1867.6832464368586</v>
      </c>
      <c r="X74" s="100">
        <v>5.0430961943576875</v>
      </c>
      <c r="Y74" s="100">
        <v>2033.3763855650195</v>
      </c>
      <c r="Z74" s="100">
        <v>3.5694933857381184</v>
      </c>
      <c r="AA74" s="100">
        <v>1439.2197331296093</v>
      </c>
      <c r="AB74" s="100">
        <v>6.0884314191762376</v>
      </c>
      <c r="AC74" s="100">
        <v>2454.8555482118591</v>
      </c>
      <c r="AD74" s="100">
        <v>6.2287422626413207</v>
      </c>
      <c r="AE74" s="100">
        <v>2511.4288802969804</v>
      </c>
      <c r="AF74" s="100">
        <v>3.9950710598337378</v>
      </c>
      <c r="AG74" s="100">
        <v>1610.8126513249631</v>
      </c>
      <c r="AH74" s="100">
        <v>3.5942684866652042</v>
      </c>
      <c r="AI74" s="100">
        <v>1449.2090538234104</v>
      </c>
      <c r="AJ74" s="100">
        <v>8.0968405382884345</v>
      </c>
      <c r="AK74" s="100">
        <v>3264.6461050378966</v>
      </c>
      <c r="AL74" s="100">
        <v>3.5234980884339975</v>
      </c>
      <c r="AM74" s="100">
        <v>1420.6744292565877</v>
      </c>
      <c r="AN74" s="100">
        <v>5.6941591023112554</v>
      </c>
      <c r="AO74" s="100">
        <v>2295.8849500518982</v>
      </c>
      <c r="AP74" s="100">
        <v>7.9231510209796649</v>
      </c>
      <c r="AQ74" s="100">
        <v>3194.614491659001</v>
      </c>
      <c r="AR74" s="100">
        <v>3.8948498620347203</v>
      </c>
      <c r="AS74" s="100">
        <v>1570.4034643723992</v>
      </c>
      <c r="AT74" s="100">
        <v>6</v>
      </c>
      <c r="AU74" s="100">
        <v>2419.1999999999998</v>
      </c>
      <c r="AV74" s="100">
        <v>5.1723389235832595</v>
      </c>
      <c r="AW74" s="100">
        <v>2085.4870539887702</v>
      </c>
      <c r="AX74" s="100">
        <v>7.3872839004464774</v>
      </c>
      <c r="AY74" s="100">
        <v>2978.5528686600196</v>
      </c>
      <c r="AZ74" s="100">
        <v>3.7030946951921142</v>
      </c>
      <c r="BA74" s="100">
        <v>1493.0877811014605</v>
      </c>
      <c r="BB74" s="100">
        <v>1.9295991250430136</v>
      </c>
      <c r="BC74" s="100">
        <v>778.01436721734308</v>
      </c>
      <c r="BD74" s="100">
        <v>6.5058902289203928</v>
      </c>
      <c r="BE74" s="100">
        <v>2623.1749403007025</v>
      </c>
      <c r="BF74" s="100">
        <v>9</v>
      </c>
      <c r="BG74" s="100">
        <v>3628.7999999999997</v>
      </c>
      <c r="BH74" s="100">
        <v>4.3713475528635453</v>
      </c>
      <c r="BI74" s="100">
        <v>1762.5273333145815</v>
      </c>
      <c r="BJ74" s="100">
        <v>1.7888807483137299</v>
      </c>
      <c r="BK74" s="100">
        <v>721.27671772009592</v>
      </c>
      <c r="BL74" s="100">
        <v>3.4965113200423277</v>
      </c>
      <c r="BM74" s="100">
        <v>1409.7933642410665</v>
      </c>
      <c r="BN74" s="100">
        <v>7.1905695192517225</v>
      </c>
      <c r="BO74" s="100">
        <v>2899.2376301622944</v>
      </c>
      <c r="BP74" s="100">
        <v>8</v>
      </c>
      <c r="BQ74" s="100">
        <v>3225.6</v>
      </c>
      <c r="BR74" s="100">
        <v>6.1393236880046445</v>
      </c>
      <c r="BS74" s="100">
        <v>2475.3753110034727</v>
      </c>
      <c r="BT74" s="100">
        <v>5.5036129176259907</v>
      </c>
      <c r="BU74" s="100">
        <v>2219.0567283867995</v>
      </c>
      <c r="BV74" s="100">
        <v>5.6575310415505271</v>
      </c>
      <c r="BW74" s="100">
        <v>2281.1165159531724</v>
      </c>
      <c r="BX74" s="100">
        <v>8.3239108345182036</v>
      </c>
      <c r="BY74" s="100">
        <v>3356.2008484777398</v>
      </c>
      <c r="BZ74" s="100">
        <v>4.2362906676577148E-4</v>
      </c>
      <c r="CA74" s="100">
        <v>0.17080723971995906</v>
      </c>
      <c r="CB74" s="100">
        <v>7.63420356945592</v>
      </c>
      <c r="CC74" s="100">
        <v>3078.1108792046271</v>
      </c>
      <c r="CD74" s="100">
        <v>5</v>
      </c>
      <c r="CE74" s="100">
        <v>2016</v>
      </c>
      <c r="CF74" s="100">
        <v>6.2491581055459093</v>
      </c>
      <c r="CG74" s="100">
        <v>2519.6605481561105</v>
      </c>
      <c r="CH74" s="100">
        <v>6.6367302329671585</v>
      </c>
      <c r="CI74" s="100">
        <v>2675.9296299323582</v>
      </c>
      <c r="CJ74" s="100">
        <v>5</v>
      </c>
      <c r="CK74" s="100">
        <v>2016</v>
      </c>
      <c r="CL74" s="100">
        <v>1.8813866449830761</v>
      </c>
      <c r="CM74" s="100">
        <v>758.57509525717626</v>
      </c>
      <c r="CN74" s="100">
        <v>8.3990080045638251</v>
      </c>
      <c r="CO74" s="100">
        <v>3386.4800274401341</v>
      </c>
      <c r="CP74" s="100">
        <v>3.9621168330475687</v>
      </c>
      <c r="CQ74" s="100">
        <v>1597.5255070847797</v>
      </c>
      <c r="CR74" s="100">
        <v>6.0249516640960916</v>
      </c>
      <c r="CS74" s="100">
        <v>2429.2605109635442</v>
      </c>
      <c r="CT74" s="100">
        <v>3.7444083209410337</v>
      </c>
      <c r="CU74" s="100">
        <v>1509.7454350034247</v>
      </c>
    </row>
    <row r="75" spans="2:99">
      <c r="C75" s="99" t="s">
        <v>241</v>
      </c>
      <c r="D75" s="100">
        <v>2.3527013455595984</v>
      </c>
      <c r="E75" s="100">
        <v>1513.2575054639335</v>
      </c>
      <c r="F75" s="100">
        <v>5.1367418048806845</v>
      </c>
      <c r="G75" s="100">
        <v>3303.9523288992559</v>
      </c>
      <c r="H75" s="100">
        <v>7.3304956614039583</v>
      </c>
      <c r="I75" s="100">
        <v>4714.9748094150254</v>
      </c>
      <c r="J75" s="100">
        <v>5.2650380707994211</v>
      </c>
      <c r="K75" s="100">
        <v>3386.4724871381873</v>
      </c>
      <c r="L75" s="100">
        <v>5.2842475678395104E-4</v>
      </c>
      <c r="M75" s="100">
        <v>0.33988280356343725</v>
      </c>
      <c r="N75" s="100">
        <v>4.0002363172634956</v>
      </c>
      <c r="O75" s="100">
        <v>2572.9519992638802</v>
      </c>
      <c r="P75" s="100">
        <v>4.9049993463595651</v>
      </c>
      <c r="Q75" s="100">
        <v>3154.8955795784718</v>
      </c>
      <c r="R75" s="100">
        <v>4.4386265653673611</v>
      </c>
      <c r="S75" s="100">
        <v>2854.9246068442862</v>
      </c>
      <c r="T75" s="100">
        <v>5.2285694617655336</v>
      </c>
      <c r="U75" s="100">
        <v>3363.0158778075906</v>
      </c>
      <c r="V75" s="100">
        <v>3.9508199160596229</v>
      </c>
      <c r="W75" s="100">
        <v>2541.1673700095494</v>
      </c>
      <c r="X75" s="100">
        <v>5.7633186521343394</v>
      </c>
      <c r="Y75" s="100">
        <v>3706.9665570528068</v>
      </c>
      <c r="Z75" s="100">
        <v>3.9649266284343909</v>
      </c>
      <c r="AA75" s="100">
        <v>2550.2408074089999</v>
      </c>
      <c r="AB75" s="100">
        <v>5.1997473687458333</v>
      </c>
      <c r="AC75" s="100">
        <v>3344.4775075773196</v>
      </c>
      <c r="AD75" s="100">
        <v>6.2287422626413207</v>
      </c>
      <c r="AE75" s="100">
        <v>4006.3270233308972</v>
      </c>
      <c r="AF75" s="100">
        <v>3.9915184916625885</v>
      </c>
      <c r="AG75" s="100">
        <v>2567.3446938373768</v>
      </c>
      <c r="AH75" s="100">
        <v>3.1987333612234043</v>
      </c>
      <c r="AI75" s="100">
        <v>2057.4252979388934</v>
      </c>
      <c r="AJ75" s="100">
        <v>8.7631664818275254</v>
      </c>
      <c r="AK75" s="100">
        <v>5636.4686811114634</v>
      </c>
      <c r="AL75" s="100">
        <v>3.5234980884339975</v>
      </c>
      <c r="AM75" s="100">
        <v>2266.3139704807468</v>
      </c>
      <c r="AN75" s="100">
        <v>5.8676988778890689</v>
      </c>
      <c r="AO75" s="100">
        <v>3774.1039182582485</v>
      </c>
      <c r="AP75" s="100">
        <v>8.9135448986021224</v>
      </c>
      <c r="AQ75" s="100">
        <v>5733.1920787808849</v>
      </c>
      <c r="AR75" s="100">
        <v>3.8948498620347203</v>
      </c>
      <c r="AS75" s="100">
        <v>2505.167431260732</v>
      </c>
      <c r="AT75" s="100">
        <v>5</v>
      </c>
      <c r="AU75" s="100">
        <v>3215.9999999999995</v>
      </c>
      <c r="AV75" s="100">
        <v>5.1723389235832595</v>
      </c>
      <c r="AW75" s="100">
        <v>3326.8483956487521</v>
      </c>
      <c r="AX75" s="100">
        <v>7.3872839004464774</v>
      </c>
      <c r="AY75" s="100">
        <v>4751.501004767174</v>
      </c>
      <c r="AZ75" s="100">
        <v>3.7030946951921142</v>
      </c>
      <c r="BA75" s="100">
        <v>2381.8305079475676</v>
      </c>
      <c r="BB75" s="100">
        <v>1.685114642419842</v>
      </c>
      <c r="BC75" s="100">
        <v>1083.8657380044422</v>
      </c>
      <c r="BD75" s="100">
        <v>5.5058902289203928</v>
      </c>
      <c r="BE75" s="100">
        <v>3541.3885952415962</v>
      </c>
      <c r="BF75" s="100">
        <v>8</v>
      </c>
      <c r="BG75" s="100">
        <v>5145.5999999999995</v>
      </c>
      <c r="BH75" s="100">
        <v>5.2456170634362547</v>
      </c>
      <c r="BI75" s="100">
        <v>3373.9808952021986</v>
      </c>
      <c r="BJ75" s="100">
        <v>2.0092521916842281</v>
      </c>
      <c r="BK75" s="100">
        <v>1292.3510096912953</v>
      </c>
      <c r="BL75" s="100">
        <v>3.4938143146030649</v>
      </c>
      <c r="BM75" s="100">
        <v>2247.2213671526911</v>
      </c>
      <c r="BN75" s="100">
        <v>8.0174952407278202</v>
      </c>
      <c r="BO75" s="100">
        <v>5156.852938836133</v>
      </c>
      <c r="BP75" s="100">
        <v>8</v>
      </c>
      <c r="BQ75" s="100">
        <v>5145.5999999999995</v>
      </c>
      <c r="BR75" s="100">
        <v>6.1393236880046445</v>
      </c>
      <c r="BS75" s="100">
        <v>3948.8129961245868</v>
      </c>
      <c r="BT75" s="100">
        <v>6.1151254640288784</v>
      </c>
      <c r="BU75" s="100">
        <v>3933.2486984633742</v>
      </c>
      <c r="BV75" s="100">
        <v>5.6575310415505271</v>
      </c>
      <c r="BW75" s="100">
        <v>3638.9239659252985</v>
      </c>
      <c r="BX75" s="100">
        <v>7.3990318529050692</v>
      </c>
      <c r="BY75" s="100">
        <v>4759.0572877885397</v>
      </c>
      <c r="BZ75" s="100">
        <v>4.2362906676577148E-4</v>
      </c>
      <c r="CA75" s="100">
        <v>0.2724782157437442</v>
      </c>
      <c r="CB75" s="100">
        <v>7.772514657996032</v>
      </c>
      <c r="CC75" s="100">
        <v>4999.2814280230468</v>
      </c>
      <c r="CD75" s="100">
        <v>5</v>
      </c>
      <c r="CE75" s="100">
        <v>3215.9999999999995</v>
      </c>
      <c r="CF75" s="100">
        <v>5.5548072049296975</v>
      </c>
      <c r="CG75" s="100">
        <v>3572.851994210781</v>
      </c>
      <c r="CH75" s="100">
        <v>5.6886259139718502</v>
      </c>
      <c r="CI75" s="100">
        <v>3658.9241878666935</v>
      </c>
      <c r="CJ75" s="100">
        <v>5</v>
      </c>
      <c r="CK75" s="100">
        <v>3215.9999999999995</v>
      </c>
      <c r="CL75" s="100">
        <v>1.8726016301561605</v>
      </c>
      <c r="CM75" s="100">
        <v>1204.4573685164423</v>
      </c>
      <c r="CN75" s="100">
        <v>7.6071199833044441</v>
      </c>
      <c r="CO75" s="100">
        <v>4892.8995732614176</v>
      </c>
      <c r="CP75" s="100">
        <v>3.4125144303249693</v>
      </c>
      <c r="CQ75" s="100">
        <v>2194.9292815850199</v>
      </c>
      <c r="CR75" s="100">
        <v>6.0249516640960916</v>
      </c>
      <c r="CS75" s="100">
        <v>3875.2489103466055</v>
      </c>
      <c r="CT75" s="100">
        <v>3.4985777876442468</v>
      </c>
      <c r="CU75" s="100">
        <v>2250.2852330127794</v>
      </c>
    </row>
    <row r="76" spans="2:99">
      <c r="C76" s="99" t="s">
        <v>242</v>
      </c>
      <c r="D76" s="100">
        <v>2.3308930157377619</v>
      </c>
      <c r="E76" s="100">
        <v>1815.2994806565689</v>
      </c>
      <c r="F76" s="100">
        <v>6.1640901658568215</v>
      </c>
      <c r="G76" s="100">
        <v>4800.593421169292</v>
      </c>
      <c r="H76" s="100">
        <v>6.4158468524087731</v>
      </c>
      <c r="I76" s="100">
        <v>4996.6615286559518</v>
      </c>
      <c r="J76" s="100">
        <v>5.2650380707994211</v>
      </c>
      <c r="K76" s="100">
        <v>4100.4116495385888</v>
      </c>
      <c r="L76" s="100">
        <v>5.2842475678395104E-4</v>
      </c>
      <c r="M76" s="100">
        <v>0.41153720058334103</v>
      </c>
      <c r="N76" s="100">
        <v>4.0002363172634956</v>
      </c>
      <c r="O76" s="100">
        <v>3115.3840438848101</v>
      </c>
      <c r="P76" s="100">
        <v>4.9049993463595651</v>
      </c>
      <c r="Q76" s="100">
        <v>3820.0134909448293</v>
      </c>
      <c r="R76" s="100">
        <v>4.4386265653673611</v>
      </c>
      <c r="S76" s="100">
        <v>3456.8023691081007</v>
      </c>
      <c r="T76" s="100">
        <v>4.5518073556756038</v>
      </c>
      <c r="U76" s="100">
        <v>3544.9475686001601</v>
      </c>
      <c r="V76" s="100">
        <v>3.9508199160596229</v>
      </c>
      <c r="W76" s="100">
        <v>3076.8985506272343</v>
      </c>
      <c r="X76" s="100">
        <v>5.0430961943576875</v>
      </c>
      <c r="Y76" s="100">
        <v>3927.563316165767</v>
      </c>
      <c r="Z76" s="100">
        <v>3.9649266284343909</v>
      </c>
      <c r="AA76" s="100">
        <v>3087.8848582247033</v>
      </c>
      <c r="AB76" s="100">
        <v>5.1997473687458333</v>
      </c>
      <c r="AC76" s="100">
        <v>4049.5632507792548</v>
      </c>
      <c r="AD76" s="100">
        <v>6.1263587965545705</v>
      </c>
      <c r="AE76" s="100">
        <v>4771.2082307566989</v>
      </c>
      <c r="AF76" s="100">
        <v>3.5172977218027657</v>
      </c>
      <c r="AG76" s="100">
        <v>2739.2714657399938</v>
      </c>
      <c r="AH76" s="100">
        <v>3.2064296908054049</v>
      </c>
      <c r="AI76" s="100">
        <v>2497.1674431992492</v>
      </c>
      <c r="AJ76" s="100">
        <v>8.0968405382884345</v>
      </c>
      <c r="AK76" s="100">
        <v>6305.8194112190322</v>
      </c>
      <c r="AL76" s="100">
        <v>4.0089900433283017</v>
      </c>
      <c r="AM76" s="100">
        <v>3122.201445744081</v>
      </c>
      <c r="AN76" s="100">
        <v>5.8676988778890689</v>
      </c>
      <c r="AO76" s="100">
        <v>4569.7638861000069</v>
      </c>
      <c r="AP76" s="100">
        <v>6.9327571433572066</v>
      </c>
      <c r="AQ76" s="100">
        <v>5399.2312632465919</v>
      </c>
      <c r="AR76" s="100">
        <v>3.4079936292803805</v>
      </c>
      <c r="AS76" s="100">
        <v>2654.1454384835602</v>
      </c>
      <c r="AT76" s="100">
        <v>5</v>
      </c>
      <c r="AU76" s="100">
        <v>3894</v>
      </c>
      <c r="AV76" s="100">
        <v>5.1723389235832595</v>
      </c>
      <c r="AW76" s="100">
        <v>4028.2175536866421</v>
      </c>
      <c r="AX76" s="100">
        <v>7.3872839004464774</v>
      </c>
      <c r="AY76" s="100">
        <v>5753.2167016677167</v>
      </c>
      <c r="AZ76" s="100">
        <v>3.7030946951921142</v>
      </c>
      <c r="BA76" s="100">
        <v>2883.9701486156182</v>
      </c>
      <c r="BB76" s="100">
        <v>1.7026324663814143</v>
      </c>
      <c r="BC76" s="100">
        <v>1326.0101648178454</v>
      </c>
      <c r="BD76" s="100">
        <v>5.5058902289203928</v>
      </c>
      <c r="BE76" s="100">
        <v>4287.9873102832016</v>
      </c>
      <c r="BF76" s="100">
        <v>8</v>
      </c>
      <c r="BG76" s="100">
        <v>6230.4</v>
      </c>
      <c r="BH76" s="100">
        <v>4.3713475528635453</v>
      </c>
      <c r="BI76" s="100">
        <v>3404.4054741701289</v>
      </c>
      <c r="BJ76" s="100">
        <v>1.7802443478638155</v>
      </c>
      <c r="BK76" s="100">
        <v>1386.4542981163395</v>
      </c>
      <c r="BL76" s="100">
        <v>3.4965113200423277</v>
      </c>
      <c r="BM76" s="100">
        <v>2723.0830160489645</v>
      </c>
      <c r="BN76" s="100">
        <v>8.1612861775885559</v>
      </c>
      <c r="BO76" s="100">
        <v>6356.0096751059673</v>
      </c>
      <c r="BP76" s="100">
        <v>9</v>
      </c>
      <c r="BQ76" s="100">
        <v>7009.2</v>
      </c>
      <c r="BR76" s="100">
        <v>5.3719082270040639</v>
      </c>
      <c r="BS76" s="100">
        <v>4183.6421271907648</v>
      </c>
      <c r="BT76" s="100">
        <v>6.1151254640288784</v>
      </c>
      <c r="BU76" s="100">
        <v>4762.4597113856898</v>
      </c>
      <c r="BV76" s="100">
        <v>5.6575310415505271</v>
      </c>
      <c r="BW76" s="100">
        <v>4406.0851751595501</v>
      </c>
      <c r="BX76" s="100">
        <v>7.3990318529050692</v>
      </c>
      <c r="BY76" s="100">
        <v>5762.3660070424676</v>
      </c>
      <c r="BZ76" s="100">
        <v>4.7658270011149295E-4</v>
      </c>
      <c r="CA76" s="100">
        <v>0.37116260684683067</v>
      </c>
      <c r="CB76" s="100">
        <v>7.772514657996032</v>
      </c>
      <c r="CC76" s="100">
        <v>6053.2344156473091</v>
      </c>
      <c r="CD76" s="100">
        <v>5</v>
      </c>
      <c r="CE76" s="100">
        <v>3894</v>
      </c>
      <c r="CF76" s="100">
        <v>5.5548072049296975</v>
      </c>
      <c r="CG76" s="100">
        <v>4326.0838511992479</v>
      </c>
      <c r="CH76" s="100">
        <v>5.6886259139718502</v>
      </c>
      <c r="CI76" s="100">
        <v>4430.3018618012766</v>
      </c>
      <c r="CJ76" s="100">
        <v>5</v>
      </c>
      <c r="CK76" s="100">
        <v>3894</v>
      </c>
      <c r="CL76" s="100">
        <v>1.8813866449830761</v>
      </c>
      <c r="CM76" s="100">
        <v>1465.2239191128197</v>
      </c>
      <c r="CN76" s="100">
        <v>6.815231962045063</v>
      </c>
      <c r="CO76" s="100">
        <v>5307.7026520406944</v>
      </c>
      <c r="CP76" s="100">
        <v>3.4116747556220623</v>
      </c>
      <c r="CQ76" s="100">
        <v>2657.0122996784621</v>
      </c>
      <c r="CR76" s="100">
        <v>6.0249516640960916</v>
      </c>
      <c r="CS76" s="100">
        <v>4692.2323559980359</v>
      </c>
      <c r="CT76" s="100">
        <v>3.7444083209410337</v>
      </c>
      <c r="CU76" s="100">
        <v>2916.1452003488771</v>
      </c>
    </row>
    <row r="77" spans="2:99">
      <c r="C77" s="99" t="s">
        <v>243</v>
      </c>
      <c r="D77" s="100">
        <v>2.3308930157377619</v>
      </c>
      <c r="E77" s="100">
        <v>648.92061558139289</v>
      </c>
      <c r="F77" s="100">
        <v>5.1367418048806845</v>
      </c>
      <c r="G77" s="100">
        <v>1430.0689184787825</v>
      </c>
      <c r="H77" s="100">
        <v>6.4158468524087731</v>
      </c>
      <c r="I77" s="100">
        <v>1786.1717637106024</v>
      </c>
      <c r="J77" s="100">
        <v>5.2290089733235758</v>
      </c>
      <c r="K77" s="100">
        <v>1455.7560981732834</v>
      </c>
      <c r="L77" s="100">
        <v>5.2619974955551237E-4</v>
      </c>
      <c r="M77" s="100">
        <v>0.14649401027625464</v>
      </c>
      <c r="N77" s="100">
        <v>5.0002363172634956</v>
      </c>
      <c r="O77" s="100">
        <v>1392.065790726157</v>
      </c>
      <c r="P77" s="100">
        <v>5.5745013311142841</v>
      </c>
      <c r="Q77" s="100">
        <v>1551.9411705822165</v>
      </c>
      <c r="R77" s="100">
        <v>5.7068055840437504</v>
      </c>
      <c r="S77" s="100">
        <v>1588.7746745977799</v>
      </c>
      <c r="T77" s="100">
        <v>5.2285694617655336</v>
      </c>
      <c r="U77" s="100">
        <v>1455.6337381555245</v>
      </c>
      <c r="V77" s="100">
        <v>5.3134819015835237</v>
      </c>
      <c r="W77" s="100">
        <v>1479.273361400853</v>
      </c>
      <c r="X77" s="100">
        <v>5.7633186521343394</v>
      </c>
      <c r="Y77" s="100">
        <v>1604.5079127541999</v>
      </c>
      <c r="Z77" s="100">
        <v>4.0265774505008682</v>
      </c>
      <c r="AA77" s="100">
        <v>1120.9991622194416</v>
      </c>
      <c r="AB77" s="100">
        <v>5.1997473687458333</v>
      </c>
      <c r="AC77" s="100">
        <v>1447.6096674588398</v>
      </c>
      <c r="AD77" s="100">
        <v>6.1263587965545705</v>
      </c>
      <c r="AE77" s="100">
        <v>1705.5782889607922</v>
      </c>
      <c r="AF77" s="100">
        <v>3.9932947757481632</v>
      </c>
      <c r="AG77" s="100">
        <v>1111.7332655682885</v>
      </c>
      <c r="AH77" s="100">
        <v>3.5167369525792425</v>
      </c>
      <c r="AI77" s="100">
        <v>979.05956759806099</v>
      </c>
      <c r="AJ77" s="100">
        <v>8.0968405382884345</v>
      </c>
      <c r="AK77" s="100">
        <v>2254.1604058594999</v>
      </c>
      <c r="AL77" s="100">
        <v>4.0089900433283017</v>
      </c>
      <c r="AM77" s="100">
        <v>1116.1028280625992</v>
      </c>
      <c r="AN77" s="100">
        <v>5.8676988778890689</v>
      </c>
      <c r="AO77" s="100">
        <v>1633.5673676043166</v>
      </c>
      <c r="AP77" s="100">
        <v>7.9231510209796649</v>
      </c>
      <c r="AQ77" s="100">
        <v>2205.8052442407384</v>
      </c>
      <c r="AR77" s="100">
        <v>3.8948498620347203</v>
      </c>
      <c r="AS77" s="100">
        <v>1084.3262015904661</v>
      </c>
      <c r="AT77" s="100">
        <v>5</v>
      </c>
      <c r="AU77" s="100">
        <v>1392</v>
      </c>
      <c r="AV77" s="100">
        <v>5.1723389235832595</v>
      </c>
      <c r="AW77" s="100">
        <v>1439.9791563255794</v>
      </c>
      <c r="AX77" s="100">
        <v>7.4640338847204974</v>
      </c>
      <c r="AY77" s="100">
        <v>2077.9870335061864</v>
      </c>
      <c r="AZ77" s="100">
        <v>3.7030946951921142</v>
      </c>
      <c r="BA77" s="100">
        <v>1030.9415631414845</v>
      </c>
      <c r="BB77" s="100">
        <v>1.9120813010814417</v>
      </c>
      <c r="BC77" s="100">
        <v>532.32343422107328</v>
      </c>
      <c r="BD77" s="100">
        <v>5.5058902289203928</v>
      </c>
      <c r="BE77" s="100">
        <v>1532.8398397314372</v>
      </c>
      <c r="BF77" s="100">
        <v>9</v>
      </c>
      <c r="BG77" s="100">
        <v>2505.6</v>
      </c>
      <c r="BH77" s="100">
        <v>4.3713475528635453</v>
      </c>
      <c r="BI77" s="100">
        <v>1216.9831587172109</v>
      </c>
      <c r="BJ77" s="100">
        <v>2.0006157912343139</v>
      </c>
      <c r="BK77" s="100">
        <v>556.97143627963294</v>
      </c>
      <c r="BL77" s="100">
        <v>4.1222718470761599</v>
      </c>
      <c r="BM77" s="100">
        <v>1147.6404822260029</v>
      </c>
      <c r="BN77" s="100">
        <v>8.1612861775885559</v>
      </c>
      <c r="BO77" s="100">
        <v>2272.1020718406539</v>
      </c>
      <c r="BP77" s="100">
        <v>8</v>
      </c>
      <c r="BQ77" s="100">
        <v>2227.1999999999998</v>
      </c>
      <c r="BR77" s="100">
        <v>6.906739149005225</v>
      </c>
      <c r="BS77" s="100">
        <v>1922.8361790830545</v>
      </c>
      <c r="BT77" s="100">
        <v>6.1151254640288784</v>
      </c>
      <c r="BU77" s="100">
        <v>1702.4509291856396</v>
      </c>
      <c r="BV77" s="100">
        <v>5.6575310415505271</v>
      </c>
      <c r="BW77" s="100">
        <v>1575.0566419676666</v>
      </c>
      <c r="BX77" s="100">
        <v>7.3990318529050692</v>
      </c>
      <c r="BY77" s="100">
        <v>2059.8904678487711</v>
      </c>
      <c r="BZ77" s="100">
        <v>4.7658270011149295E-4</v>
      </c>
      <c r="CA77" s="100">
        <v>0.13268062371103961</v>
      </c>
      <c r="CB77" s="100">
        <v>7.63420356945592</v>
      </c>
      <c r="CC77" s="100">
        <v>2125.3622737365281</v>
      </c>
      <c r="CD77" s="100">
        <v>5</v>
      </c>
      <c r="CE77" s="100">
        <v>1392</v>
      </c>
      <c r="CF77" s="100">
        <v>6.2491581055459093</v>
      </c>
      <c r="CG77" s="100">
        <v>1739.765616583981</v>
      </c>
      <c r="CH77" s="100">
        <v>5.6886259139718502</v>
      </c>
      <c r="CI77" s="100">
        <v>1583.713454449763</v>
      </c>
      <c r="CJ77" s="100">
        <v>5</v>
      </c>
      <c r="CK77" s="100">
        <v>1392</v>
      </c>
      <c r="CL77" s="100">
        <v>1.8813866449830761</v>
      </c>
      <c r="CM77" s="100">
        <v>523.77804196328839</v>
      </c>
      <c r="CN77" s="100">
        <v>7.6071199833044441</v>
      </c>
      <c r="CO77" s="100">
        <v>2117.8222033519569</v>
      </c>
      <c r="CP77" s="100">
        <v>3.4116747556220623</v>
      </c>
      <c r="CQ77" s="100">
        <v>949.81025196518203</v>
      </c>
      <c r="CR77" s="100">
        <v>6.1957769414454393</v>
      </c>
      <c r="CS77" s="100">
        <v>1724.9043004984101</v>
      </c>
      <c r="CT77" s="100">
        <v>3.7771857253806056</v>
      </c>
      <c r="CU77" s="100">
        <v>1051.5685059459606</v>
      </c>
    </row>
    <row r="78" spans="2:99">
      <c r="C78" s="99" t="s">
        <v>244</v>
      </c>
      <c r="D78" s="100">
        <v>2.3746694334183736</v>
      </c>
      <c r="E78" s="100">
        <v>1310.8175272469423</v>
      </c>
      <c r="F78" s="100">
        <v>6.0257837420083513</v>
      </c>
      <c r="G78" s="100">
        <v>3326.2326255886101</v>
      </c>
      <c r="H78" s="100">
        <v>7.3304956614039583</v>
      </c>
      <c r="I78" s="100">
        <v>4046.4336050949851</v>
      </c>
      <c r="J78" s="100">
        <v>5.9863042830771853</v>
      </c>
      <c r="K78" s="100">
        <v>3304.4399642586063</v>
      </c>
      <c r="L78" s="100">
        <v>5.2842475678395104E-4</v>
      </c>
      <c r="M78" s="100">
        <v>0.291690465744741</v>
      </c>
      <c r="N78" s="100">
        <v>4.0002363172634956</v>
      </c>
      <c r="O78" s="100">
        <v>2208.1304471294497</v>
      </c>
      <c r="P78" s="100">
        <v>4.9049993463595651</v>
      </c>
      <c r="Q78" s="100">
        <v>2707.5596391904801</v>
      </c>
      <c r="R78" s="100">
        <v>4.4386265653673611</v>
      </c>
      <c r="S78" s="100">
        <v>2450.1218640827833</v>
      </c>
      <c r="T78" s="100">
        <v>5.2285694617655336</v>
      </c>
      <c r="U78" s="100">
        <v>2886.1703428945743</v>
      </c>
      <c r="V78" s="100">
        <v>4.6321509088215738</v>
      </c>
      <c r="W78" s="100">
        <v>2556.9473016695088</v>
      </c>
      <c r="X78" s="100">
        <v>5.6430250775180433</v>
      </c>
      <c r="Y78" s="100">
        <v>3114.9498427899598</v>
      </c>
      <c r="Z78" s="100">
        <v>3.5078425636716406</v>
      </c>
      <c r="AA78" s="100">
        <v>1936.3290951467457</v>
      </c>
      <c r="AB78" s="100">
        <v>5.9560744853396477</v>
      </c>
      <c r="AC78" s="100">
        <v>3287.7531159074856</v>
      </c>
      <c r="AD78" s="100">
        <v>5.3242957299658826</v>
      </c>
      <c r="AE78" s="100">
        <v>2939.0112429411674</v>
      </c>
      <c r="AF78" s="100">
        <v>3.5172977218027657</v>
      </c>
      <c r="AG78" s="100">
        <v>1941.5483424351266</v>
      </c>
      <c r="AH78" s="100">
        <v>3.5205851173702434</v>
      </c>
      <c r="AI78" s="100">
        <v>1943.3629847883744</v>
      </c>
      <c r="AJ78" s="100">
        <v>8.0968405382884345</v>
      </c>
      <c r="AK78" s="100">
        <v>4469.455977135216</v>
      </c>
      <c r="AL78" s="100">
        <v>3.5026556877383528</v>
      </c>
      <c r="AM78" s="100">
        <v>1933.4659396315708</v>
      </c>
      <c r="AN78" s="100">
        <v>5.8676988778890689</v>
      </c>
      <c r="AO78" s="100">
        <v>3238.9697805947662</v>
      </c>
      <c r="AP78" s="100">
        <v>7.9231510209796649</v>
      </c>
      <c r="AQ78" s="100">
        <v>4373.579363580775</v>
      </c>
      <c r="AR78" s="100">
        <v>4.3817060947890605</v>
      </c>
      <c r="AS78" s="100">
        <v>2418.7017643235613</v>
      </c>
      <c r="AT78" s="100">
        <v>6</v>
      </c>
      <c r="AU78" s="100">
        <v>3312</v>
      </c>
      <c r="AV78" s="100">
        <v>5.1723389235832595</v>
      </c>
      <c r="AW78" s="100">
        <v>2855.131085817959</v>
      </c>
      <c r="AX78" s="100">
        <v>7.3872839004464774</v>
      </c>
      <c r="AY78" s="100">
        <v>4077.7807130464557</v>
      </c>
      <c r="AZ78" s="100">
        <v>3.0859122459934287</v>
      </c>
      <c r="BA78" s="100">
        <v>1703.4235597883726</v>
      </c>
      <c r="BB78" s="100">
        <v>1.685114642419842</v>
      </c>
      <c r="BC78" s="100">
        <v>930.18328261575277</v>
      </c>
      <c r="BD78" s="100">
        <v>5.5058902289203928</v>
      </c>
      <c r="BE78" s="100">
        <v>3039.2514063640569</v>
      </c>
      <c r="BF78" s="100">
        <v>8</v>
      </c>
      <c r="BG78" s="100">
        <v>4416</v>
      </c>
      <c r="BH78" s="100">
        <v>4.3713475528635453</v>
      </c>
      <c r="BI78" s="100">
        <v>2412.9838491806768</v>
      </c>
      <c r="BJ78" s="100">
        <v>2.0092521916842281</v>
      </c>
      <c r="BK78" s="100">
        <v>1109.1072098096938</v>
      </c>
      <c r="BL78" s="100">
        <v>3.4965113200423277</v>
      </c>
      <c r="BM78" s="100">
        <v>1930.0742486633649</v>
      </c>
      <c r="BN78" s="100">
        <v>8.1612861775885559</v>
      </c>
      <c r="BO78" s="100">
        <v>4505.0299700288824</v>
      </c>
      <c r="BP78" s="100">
        <v>9</v>
      </c>
      <c r="BQ78" s="100">
        <v>4968</v>
      </c>
      <c r="BR78" s="100">
        <v>5.3719082270040639</v>
      </c>
      <c r="BS78" s="100">
        <v>2965.2933413062433</v>
      </c>
      <c r="BT78" s="100">
        <v>5.5036129176259907</v>
      </c>
      <c r="BU78" s="100">
        <v>3037.9943305295469</v>
      </c>
      <c r="BV78" s="100">
        <v>5.6575310415505271</v>
      </c>
      <c r="BW78" s="100">
        <v>3122.9571349358912</v>
      </c>
      <c r="BX78" s="100">
        <v>7.3990318529050692</v>
      </c>
      <c r="BY78" s="100">
        <v>4084.2655828035981</v>
      </c>
      <c r="BZ78" s="100">
        <v>4.7658270011149295E-4</v>
      </c>
      <c r="CA78" s="100">
        <v>0.26307365046154413</v>
      </c>
      <c r="CB78" s="100">
        <v>7.63420356945592</v>
      </c>
      <c r="CC78" s="100">
        <v>4214.0803703396678</v>
      </c>
      <c r="CD78" s="100">
        <v>5</v>
      </c>
      <c r="CE78" s="100">
        <v>2760</v>
      </c>
      <c r="CF78" s="100">
        <v>5.5548072049296975</v>
      </c>
      <c r="CG78" s="100">
        <v>3066.2535771211928</v>
      </c>
      <c r="CH78" s="100">
        <v>5.6886259139718502</v>
      </c>
      <c r="CI78" s="100">
        <v>3140.1215045124613</v>
      </c>
      <c r="CJ78" s="100">
        <v>6</v>
      </c>
      <c r="CK78" s="100">
        <v>3312</v>
      </c>
      <c r="CL78" s="100">
        <v>1.8901716598099916</v>
      </c>
      <c r="CM78" s="100">
        <v>1043.3747562151154</v>
      </c>
      <c r="CN78" s="100">
        <v>7.6071199833044441</v>
      </c>
      <c r="CO78" s="100">
        <v>4199.1302307840533</v>
      </c>
      <c r="CP78" s="100">
        <v>3.4116747556220623</v>
      </c>
      <c r="CQ78" s="100">
        <v>1883.2444651033784</v>
      </c>
      <c r="CR78" s="100">
        <v>6.0249516640960916</v>
      </c>
      <c r="CS78" s="100">
        <v>3325.7733185810425</v>
      </c>
      <c r="CT78" s="100">
        <v>3.7444083209410337</v>
      </c>
      <c r="CU78" s="100">
        <v>2066.9133931594506</v>
      </c>
    </row>
    <row r="79" spans="2:99">
      <c r="C79" s="99" t="s">
        <v>245</v>
      </c>
      <c r="D79" s="100">
        <v>2.3308930157377619</v>
      </c>
      <c r="E79" s="100">
        <v>1764.9521915166331</v>
      </c>
      <c r="F79" s="100">
        <v>5.1367418048806845</v>
      </c>
      <c r="G79" s="100">
        <v>3889.540894655654</v>
      </c>
      <c r="H79" s="100">
        <v>7.3304956614039583</v>
      </c>
      <c r="I79" s="100">
        <v>5550.6513148150771</v>
      </c>
      <c r="J79" s="100">
        <v>5.2290089733235758</v>
      </c>
      <c r="K79" s="100">
        <v>3959.4055946006115</v>
      </c>
      <c r="L79" s="100">
        <v>5.2842475678395104E-4</v>
      </c>
      <c r="M79" s="100">
        <v>0.40012322583680771</v>
      </c>
      <c r="N79" s="100">
        <v>5.0002363172634956</v>
      </c>
      <c r="O79" s="100">
        <v>3786.1789394319185</v>
      </c>
      <c r="P79" s="100">
        <v>4.8806749321503053</v>
      </c>
      <c r="Q79" s="100">
        <v>3695.6470586242108</v>
      </c>
      <c r="R79" s="100">
        <v>5.0727160747055553</v>
      </c>
      <c r="S79" s="100">
        <v>3841.0606117670463</v>
      </c>
      <c r="T79" s="100">
        <v>4.5518073556756038</v>
      </c>
      <c r="U79" s="100">
        <v>3446.6285297175668</v>
      </c>
      <c r="V79" s="100">
        <v>4.6701329326603682</v>
      </c>
      <c r="W79" s="100">
        <v>3536.2246566104304</v>
      </c>
      <c r="X79" s="100">
        <v>5.0430961943576875</v>
      </c>
      <c r="Y79" s="100">
        <v>3818.6324383676406</v>
      </c>
      <c r="Z79" s="100">
        <v>3.5078425636716406</v>
      </c>
      <c r="AA79" s="100">
        <v>2656.1383892121662</v>
      </c>
      <c r="AB79" s="100">
        <v>5.3321043025824224</v>
      </c>
      <c r="AC79" s="100">
        <v>4037.46937791541</v>
      </c>
      <c r="AD79" s="100">
        <v>5.3242957299658826</v>
      </c>
      <c r="AE79" s="100">
        <v>4031.5567267301658</v>
      </c>
      <c r="AF79" s="100">
        <v>3.5155214377171911</v>
      </c>
      <c r="AG79" s="100">
        <v>2661.952832639457</v>
      </c>
      <c r="AH79" s="100">
        <v>3.2025815260144048</v>
      </c>
      <c r="AI79" s="100">
        <v>2424.9947314981073</v>
      </c>
      <c r="AJ79" s="100">
        <v>8.0968405382884345</v>
      </c>
      <c r="AK79" s="100">
        <v>6130.9276555920023</v>
      </c>
      <c r="AL79" s="100">
        <v>3.5234980884339975</v>
      </c>
      <c r="AM79" s="100">
        <v>2667.9927525622224</v>
      </c>
      <c r="AN79" s="100">
        <v>5.8676988778890689</v>
      </c>
      <c r="AO79" s="100">
        <v>4443.0215903376029</v>
      </c>
      <c r="AP79" s="100">
        <v>7.9231510209796649</v>
      </c>
      <c r="AQ79" s="100">
        <v>5999.409953085802</v>
      </c>
      <c r="AR79" s="100">
        <v>3.8948498620347203</v>
      </c>
      <c r="AS79" s="100">
        <v>2949.1803155326897</v>
      </c>
      <c r="AT79" s="100">
        <v>5</v>
      </c>
      <c r="AU79" s="100">
        <v>3785.9999999999995</v>
      </c>
      <c r="AV79" s="100">
        <v>4.4334333630713649</v>
      </c>
      <c r="AW79" s="100">
        <v>3356.9957425176372</v>
      </c>
      <c r="AX79" s="100">
        <v>7.3872839004464774</v>
      </c>
      <c r="AY79" s="100">
        <v>5593.6513694180721</v>
      </c>
      <c r="AZ79" s="100">
        <v>3.7030946951921142</v>
      </c>
      <c r="BA79" s="100">
        <v>2803.9833031994685</v>
      </c>
      <c r="BB79" s="100">
        <v>1.9295991250430136</v>
      </c>
      <c r="BC79" s="100">
        <v>1461.0924574825697</v>
      </c>
      <c r="BD79" s="100">
        <v>5.5058902289203928</v>
      </c>
      <c r="BE79" s="100">
        <v>4169.0600813385208</v>
      </c>
      <c r="BF79" s="100">
        <v>8</v>
      </c>
      <c r="BG79" s="100">
        <v>6057.5999999999995</v>
      </c>
      <c r="BH79" s="100">
        <v>4.3713475528635453</v>
      </c>
      <c r="BI79" s="100">
        <v>3309.9843670282762</v>
      </c>
      <c r="BJ79" s="100">
        <v>1.7975171487636441</v>
      </c>
      <c r="BK79" s="100">
        <v>1361.0799850438311</v>
      </c>
      <c r="BL79" s="100">
        <v>3.4938143146030649</v>
      </c>
      <c r="BM79" s="100">
        <v>2645.5161990174406</v>
      </c>
      <c r="BN79" s="100">
        <v>7.3343604561124582</v>
      </c>
      <c r="BO79" s="100">
        <v>5553.5777373683532</v>
      </c>
      <c r="BP79" s="100">
        <v>9</v>
      </c>
      <c r="BQ79" s="100">
        <v>6814.7999999999993</v>
      </c>
      <c r="BR79" s="100">
        <v>6.1393236880046445</v>
      </c>
      <c r="BS79" s="100">
        <v>4648.6958965571166</v>
      </c>
      <c r="BT79" s="100">
        <v>5.5036129176259907</v>
      </c>
      <c r="BU79" s="100">
        <v>4167.3357012263996</v>
      </c>
      <c r="BV79" s="100">
        <v>4.9503396613567112</v>
      </c>
      <c r="BW79" s="100">
        <v>3748.3971915793013</v>
      </c>
      <c r="BX79" s="100">
        <v>8.3239108345182036</v>
      </c>
      <c r="BY79" s="100">
        <v>6302.865283897183</v>
      </c>
      <c r="BZ79" s="100">
        <v>5.2953633345721436E-4</v>
      </c>
      <c r="CA79" s="100">
        <v>0.40096491169380266</v>
      </c>
      <c r="CB79" s="100">
        <v>7.63420356945592</v>
      </c>
      <c r="CC79" s="100">
        <v>5780.6189427920217</v>
      </c>
      <c r="CD79" s="100">
        <v>5</v>
      </c>
      <c r="CE79" s="100">
        <v>3785.9999999999995</v>
      </c>
      <c r="CF79" s="100">
        <v>5.5548072049296975</v>
      </c>
      <c r="CG79" s="100">
        <v>4206.100015572767</v>
      </c>
      <c r="CH79" s="100">
        <v>4.740521594976542</v>
      </c>
      <c r="CI79" s="100">
        <v>3589.5229517162375</v>
      </c>
      <c r="CJ79" s="100">
        <v>5</v>
      </c>
      <c r="CK79" s="100">
        <v>3785.9999999999995</v>
      </c>
      <c r="CL79" s="100">
        <v>1.8901716598099916</v>
      </c>
      <c r="CM79" s="100">
        <v>1431.2379808081255</v>
      </c>
      <c r="CN79" s="100">
        <v>8.3990080045638251</v>
      </c>
      <c r="CO79" s="100">
        <v>6359.728861055728</v>
      </c>
      <c r="CP79" s="100">
        <v>3.4116747556220623</v>
      </c>
      <c r="CQ79" s="100">
        <v>2583.3201249570252</v>
      </c>
      <c r="CR79" s="100">
        <v>7.1957769414454393</v>
      </c>
      <c r="CS79" s="100">
        <v>5448.6423000624864</v>
      </c>
      <c r="CT79" s="100">
        <v>3.4985777876442468</v>
      </c>
      <c r="CU79" s="100">
        <v>2649.1231008042232</v>
      </c>
    </row>
    <row r="80" spans="2:99">
      <c r="C80" s="99" t="s">
        <v>246</v>
      </c>
      <c r="D80" s="100">
        <v>1.9179426756568532</v>
      </c>
      <c r="E80" s="100">
        <v>1544.3274424388981</v>
      </c>
      <c r="F80" s="100">
        <v>5.1367418048806845</v>
      </c>
      <c r="G80" s="100">
        <v>4136.1045012899267</v>
      </c>
      <c r="H80" s="100">
        <v>7.3304956614039583</v>
      </c>
      <c r="I80" s="100">
        <v>5902.5151065624668</v>
      </c>
      <c r="J80" s="100">
        <v>5.2650380707994211</v>
      </c>
      <c r="K80" s="100">
        <v>4239.4086546076933</v>
      </c>
      <c r="L80" s="100">
        <v>5.2619974955551237E-4</v>
      </c>
      <c r="M80" s="100">
        <v>0.42369603834209851</v>
      </c>
      <c r="N80" s="100">
        <v>4.0002835807161956</v>
      </c>
      <c r="O80" s="100">
        <v>3221.0283391926805</v>
      </c>
      <c r="P80" s="100">
        <v>4.9352962954194393</v>
      </c>
      <c r="Q80" s="100">
        <v>3973.9005770717322</v>
      </c>
      <c r="R80" s="100">
        <v>4.4386265653673611</v>
      </c>
      <c r="S80" s="100">
        <v>3573.9821104337989</v>
      </c>
      <c r="T80" s="100">
        <v>4.5518073556756038</v>
      </c>
      <c r="U80" s="100">
        <v>3665.1152827899959</v>
      </c>
      <c r="V80" s="100">
        <v>4.6321509088215738</v>
      </c>
      <c r="W80" s="100">
        <v>3729.8079117831307</v>
      </c>
      <c r="X80" s="100">
        <v>4.9228026197413906</v>
      </c>
      <c r="Y80" s="100">
        <v>3963.8406694157675</v>
      </c>
      <c r="Z80" s="100">
        <v>3.5078425636716406</v>
      </c>
      <c r="AA80" s="100">
        <v>2824.5148322684049</v>
      </c>
      <c r="AB80" s="100">
        <v>5.1997473687458333</v>
      </c>
      <c r="AC80" s="100">
        <v>4186.8365813141445</v>
      </c>
      <c r="AD80" s="100">
        <v>5.3242957299658826</v>
      </c>
      <c r="AE80" s="100">
        <v>4287.1229217685286</v>
      </c>
      <c r="AF80" s="100">
        <v>3.9932947757481632</v>
      </c>
      <c r="AG80" s="100">
        <v>3215.4009534324209</v>
      </c>
      <c r="AH80" s="100">
        <v>3.1212018271374435</v>
      </c>
      <c r="AI80" s="100">
        <v>2513.1917112110691</v>
      </c>
      <c r="AJ80" s="100">
        <v>7.2905207916535693</v>
      </c>
      <c r="AK80" s="100">
        <v>5870.3273414394534</v>
      </c>
      <c r="AL80" s="100">
        <v>4.0089900433283017</v>
      </c>
      <c r="AM80" s="100">
        <v>3228.0387828879484</v>
      </c>
      <c r="AN80" s="100">
        <v>4.8676988778890689</v>
      </c>
      <c r="AO80" s="100">
        <v>3919.4711364762779</v>
      </c>
      <c r="AP80" s="100">
        <v>7.9231510209796649</v>
      </c>
      <c r="AQ80" s="100">
        <v>6379.7212020928255</v>
      </c>
      <c r="AR80" s="100">
        <v>3.8948498620347203</v>
      </c>
      <c r="AS80" s="100">
        <v>3136.1331089103564</v>
      </c>
      <c r="AT80" s="100">
        <v>6</v>
      </c>
      <c r="AU80" s="100">
        <v>4831.2</v>
      </c>
      <c r="AV80" s="100">
        <v>4.4334333630713649</v>
      </c>
      <c r="AW80" s="100">
        <v>3569.8005439450626</v>
      </c>
      <c r="AX80" s="100">
        <v>7.3872839004464774</v>
      </c>
      <c r="AY80" s="100">
        <v>5948.2409966395035</v>
      </c>
      <c r="AZ80" s="100">
        <v>3.0859122459934287</v>
      </c>
      <c r="BA80" s="100">
        <v>2484.7765404739084</v>
      </c>
      <c r="BB80" s="100">
        <v>1.9295991250430136</v>
      </c>
      <c r="BC80" s="100">
        <v>1553.7132154846345</v>
      </c>
      <c r="BD80" s="100">
        <v>5.5058902289203928</v>
      </c>
      <c r="BE80" s="100">
        <v>4433.3428123267004</v>
      </c>
      <c r="BF80" s="100">
        <v>8</v>
      </c>
      <c r="BG80" s="100">
        <v>6441.5999999999995</v>
      </c>
      <c r="BH80" s="100">
        <v>5.2456170634362547</v>
      </c>
      <c r="BI80" s="100">
        <v>4223.7708594788719</v>
      </c>
      <c r="BJ80" s="100">
        <v>1.7975171487636441</v>
      </c>
      <c r="BK80" s="100">
        <v>1447.3608081844861</v>
      </c>
      <c r="BL80" s="100">
        <v>3.4911173091638021</v>
      </c>
      <c r="BM80" s="100">
        <v>2811.0476573386932</v>
      </c>
      <c r="BN80" s="100">
        <v>7.3343604561124582</v>
      </c>
      <c r="BO80" s="100">
        <v>5905.6270392617507</v>
      </c>
      <c r="BP80" s="100">
        <v>7</v>
      </c>
      <c r="BQ80" s="100">
        <v>5636.4</v>
      </c>
      <c r="BR80" s="100">
        <v>5.3719082270040639</v>
      </c>
      <c r="BS80" s="100">
        <v>4325.4605043836718</v>
      </c>
      <c r="BT80" s="100">
        <v>5.5036129176259907</v>
      </c>
      <c r="BU80" s="100">
        <v>4431.5091212724474</v>
      </c>
      <c r="BV80" s="100">
        <v>5.6575310415505271</v>
      </c>
      <c r="BW80" s="100">
        <v>4555.4439946564844</v>
      </c>
      <c r="BX80" s="100">
        <v>7.3990318529050692</v>
      </c>
      <c r="BY80" s="100">
        <v>5957.7004479591615</v>
      </c>
      <c r="BZ80" s="100">
        <v>4.2362906676577148E-4</v>
      </c>
      <c r="CA80" s="100">
        <v>0.34110612455979916</v>
      </c>
      <c r="CB80" s="100">
        <v>7.63420356945592</v>
      </c>
      <c r="CC80" s="100">
        <v>6147.0607141259061</v>
      </c>
      <c r="CD80" s="100">
        <v>5</v>
      </c>
      <c r="CE80" s="100">
        <v>4025.9999999999995</v>
      </c>
      <c r="CF80" s="100">
        <v>6.2491581055459093</v>
      </c>
      <c r="CG80" s="100">
        <v>5031.822106585566</v>
      </c>
      <c r="CH80" s="100">
        <v>4.740521594976542</v>
      </c>
      <c r="CI80" s="100">
        <v>3817.0679882751115</v>
      </c>
      <c r="CJ80" s="100">
        <v>5</v>
      </c>
      <c r="CK80" s="100">
        <v>4025.9999999999995</v>
      </c>
      <c r="CL80" s="100">
        <v>2.1413711508680286</v>
      </c>
      <c r="CM80" s="100">
        <v>1724.2320506789365</v>
      </c>
      <c r="CN80" s="100">
        <v>7.6071199833044441</v>
      </c>
      <c r="CO80" s="100">
        <v>6125.2530105567375</v>
      </c>
      <c r="CP80" s="100">
        <v>3.4116747556220623</v>
      </c>
      <c r="CQ80" s="100">
        <v>2747.0805132268842</v>
      </c>
      <c r="CR80" s="100">
        <v>6.0249516640960916</v>
      </c>
      <c r="CS80" s="100">
        <v>4851.2910799301726</v>
      </c>
      <c r="CT80" s="100">
        <v>3.3781618399568227</v>
      </c>
      <c r="CU80" s="100">
        <v>2720.0959135332332</v>
      </c>
    </row>
    <row r="81" spans="2:99">
      <c r="C81" s="99" t="s">
        <v>247</v>
      </c>
      <c r="D81" s="100">
        <v>2.3746694334183736</v>
      </c>
      <c r="E81" s="100">
        <v>1789.5508850240863</v>
      </c>
      <c r="F81" s="100">
        <v>5.1367418048806845</v>
      </c>
      <c r="G81" s="100">
        <v>3871.0486241580838</v>
      </c>
      <c r="H81" s="100">
        <v>7.3304956614039583</v>
      </c>
      <c r="I81" s="100">
        <v>5524.2615304340234</v>
      </c>
      <c r="J81" s="100">
        <v>5.2290089733235758</v>
      </c>
      <c r="K81" s="100">
        <v>3940.5811622966467</v>
      </c>
      <c r="L81" s="100">
        <v>4.6125915857173782E-4</v>
      </c>
      <c r="M81" s="100">
        <v>0.34760490189966164</v>
      </c>
      <c r="N81" s="100">
        <v>4.0002363172634956</v>
      </c>
      <c r="O81" s="100">
        <v>3014.5780886897705</v>
      </c>
      <c r="P81" s="100">
        <v>4.9352962954194393</v>
      </c>
      <c r="Q81" s="100">
        <v>3719.2392882280897</v>
      </c>
      <c r="R81" s="100">
        <v>4.4386265653673611</v>
      </c>
      <c r="S81" s="100">
        <v>3344.9489796608436</v>
      </c>
      <c r="T81" s="100">
        <v>4.6445710491525576</v>
      </c>
      <c r="U81" s="100">
        <v>3500.1487426413673</v>
      </c>
      <c r="V81" s="100">
        <v>4.6321509088215738</v>
      </c>
      <c r="W81" s="100">
        <v>3490.7889248879383</v>
      </c>
      <c r="X81" s="100">
        <v>5.7633186521343394</v>
      </c>
      <c r="Y81" s="100">
        <v>4343.2369362484387</v>
      </c>
      <c r="Z81" s="100">
        <v>3.5078425636716406</v>
      </c>
      <c r="AA81" s="100">
        <v>2643.5101559829486</v>
      </c>
      <c r="AB81" s="100">
        <v>5.1997473687458333</v>
      </c>
      <c r="AC81" s="100">
        <v>3918.5296170868601</v>
      </c>
      <c r="AD81" s="100">
        <v>6.2287422626413207</v>
      </c>
      <c r="AE81" s="100">
        <v>4693.9801691264993</v>
      </c>
      <c r="AF81" s="100">
        <v>3.9915184916625885</v>
      </c>
      <c r="AG81" s="100">
        <v>3008.0083353169266</v>
      </c>
      <c r="AH81" s="100">
        <v>3.1212018271374435</v>
      </c>
      <c r="AI81" s="100">
        <v>2352.1376969307776</v>
      </c>
      <c r="AJ81" s="100">
        <v>7.2905207916535693</v>
      </c>
      <c r="AK81" s="100">
        <v>5494.1364685901299</v>
      </c>
      <c r="AL81" s="100">
        <v>4.0089900433283017</v>
      </c>
      <c r="AM81" s="100">
        <v>3021.1748966522082</v>
      </c>
      <c r="AN81" s="100">
        <v>4.8676988778890689</v>
      </c>
      <c r="AO81" s="100">
        <v>3668.2978743772023</v>
      </c>
      <c r="AP81" s="100">
        <v>7.9231510209796649</v>
      </c>
      <c r="AQ81" s="100">
        <v>5970.8866094102759</v>
      </c>
      <c r="AR81" s="100">
        <v>3.8948498620347203</v>
      </c>
      <c r="AS81" s="100">
        <v>2935.1588560293653</v>
      </c>
      <c r="AT81" s="100">
        <v>5</v>
      </c>
      <c r="AU81" s="100">
        <v>3768</v>
      </c>
      <c r="AV81" s="100">
        <v>5.1723389235832595</v>
      </c>
      <c r="AW81" s="100">
        <v>3897.8746128123444</v>
      </c>
      <c r="AX81" s="100">
        <v>7.3872839004464774</v>
      </c>
      <c r="AY81" s="100">
        <v>5567.0571473764658</v>
      </c>
      <c r="AZ81" s="100">
        <v>3.7030946951921142</v>
      </c>
      <c r="BA81" s="100">
        <v>2790.6521622967775</v>
      </c>
      <c r="BB81" s="100">
        <v>1.685114642419842</v>
      </c>
      <c r="BC81" s="100">
        <v>1269.9023945275931</v>
      </c>
      <c r="BD81" s="100">
        <v>5.5058902289203928</v>
      </c>
      <c r="BE81" s="100">
        <v>4149.2388765144078</v>
      </c>
      <c r="BF81" s="100">
        <v>9</v>
      </c>
      <c r="BG81" s="100">
        <v>6782.4000000000005</v>
      </c>
      <c r="BH81" s="100">
        <v>5.2456170634362547</v>
      </c>
      <c r="BI81" s="100">
        <v>3953.0970190055618</v>
      </c>
      <c r="BJ81" s="100">
        <v>2.0006157912343139</v>
      </c>
      <c r="BK81" s="100">
        <v>1507.6640602741791</v>
      </c>
      <c r="BL81" s="100">
        <v>3.4938143146030649</v>
      </c>
      <c r="BM81" s="100">
        <v>2632.9384674848698</v>
      </c>
      <c r="BN81" s="100">
        <v>7.3343604561124582</v>
      </c>
      <c r="BO81" s="100">
        <v>5527.1740397263484</v>
      </c>
      <c r="BP81" s="100">
        <v>8</v>
      </c>
      <c r="BQ81" s="100">
        <v>6028.8</v>
      </c>
      <c r="BR81" s="100">
        <v>6.1393236880046445</v>
      </c>
      <c r="BS81" s="100">
        <v>4626.5943312803001</v>
      </c>
      <c r="BT81" s="100">
        <v>5.5036129176259907</v>
      </c>
      <c r="BU81" s="100">
        <v>4147.5226947229467</v>
      </c>
      <c r="BV81" s="100">
        <v>6.3647224217443439</v>
      </c>
      <c r="BW81" s="100">
        <v>4796.454817026538</v>
      </c>
      <c r="BX81" s="100">
        <v>7.3990318529050692</v>
      </c>
      <c r="BY81" s="100">
        <v>5575.9104043492607</v>
      </c>
      <c r="BZ81" s="100">
        <v>4.7658270011149295E-4</v>
      </c>
      <c r="CA81" s="100">
        <v>0.35915272280402111</v>
      </c>
      <c r="CB81" s="100">
        <v>7.63420356945592</v>
      </c>
      <c r="CC81" s="100">
        <v>5753.1358099419813</v>
      </c>
      <c r="CD81" s="100">
        <v>5</v>
      </c>
      <c r="CE81" s="100">
        <v>3768</v>
      </c>
      <c r="CF81" s="100">
        <v>6.2491581055459093</v>
      </c>
      <c r="CG81" s="100">
        <v>4709.3655483393977</v>
      </c>
      <c r="CH81" s="100">
        <v>5.6886259139718502</v>
      </c>
      <c r="CI81" s="100">
        <v>4286.948488769186</v>
      </c>
      <c r="CJ81" s="100">
        <v>5</v>
      </c>
      <c r="CK81" s="100">
        <v>3768</v>
      </c>
      <c r="CL81" s="100">
        <v>1.6301871539250394</v>
      </c>
      <c r="CM81" s="100">
        <v>1228.5090391979097</v>
      </c>
      <c r="CN81" s="100">
        <v>7.6071199833044441</v>
      </c>
      <c r="CO81" s="100">
        <v>5732.7256194182291</v>
      </c>
      <c r="CP81" s="100">
        <v>3.4480859140190065</v>
      </c>
      <c r="CQ81" s="100">
        <v>2598.4775448047235</v>
      </c>
      <c r="CR81" s="100">
        <v>6.0249516640960916</v>
      </c>
      <c r="CS81" s="100">
        <v>4540.4035740628151</v>
      </c>
      <c r="CT81" s="100">
        <v>3.1487200088798222</v>
      </c>
      <c r="CU81" s="100">
        <v>2372.8753986918341</v>
      </c>
    </row>
    <row r="82" spans="2:99">
      <c r="C82" s="99" t="s">
        <v>248</v>
      </c>
      <c r="D82" s="100">
        <v>2.3548821785417822</v>
      </c>
      <c r="E82" s="100">
        <v>1198.1640524420586</v>
      </c>
      <c r="F82" s="100">
        <v>5.1367418048806845</v>
      </c>
      <c r="G82" s="100">
        <v>2613.5742303232919</v>
      </c>
      <c r="H82" s="100">
        <v>6.4158468524087731</v>
      </c>
      <c r="I82" s="100">
        <v>3264.382878505583</v>
      </c>
      <c r="J82" s="100">
        <v>5.2290089733235758</v>
      </c>
      <c r="K82" s="100">
        <v>2660.5197656270348</v>
      </c>
      <c r="L82" s="100">
        <v>5.2842475678395104E-4</v>
      </c>
      <c r="M82" s="100">
        <v>0.26886251625167423</v>
      </c>
      <c r="N82" s="100">
        <v>4.0002363172634956</v>
      </c>
      <c r="O82" s="100">
        <v>2035.3202382236661</v>
      </c>
      <c r="P82" s="100">
        <v>4.2354973616048461</v>
      </c>
      <c r="Q82" s="100">
        <v>2155.0210575845454</v>
      </c>
      <c r="R82" s="100">
        <v>5.0727160747055553</v>
      </c>
      <c r="S82" s="100">
        <v>2580.997938810186</v>
      </c>
      <c r="T82" s="100">
        <v>4.6445710491525576</v>
      </c>
      <c r="U82" s="100">
        <v>2363.1577498088209</v>
      </c>
      <c r="V82" s="100">
        <v>4.6321509088215738</v>
      </c>
      <c r="W82" s="100">
        <v>2356.8383824084162</v>
      </c>
      <c r="X82" s="100">
        <v>5.7633186521343394</v>
      </c>
      <c r="Y82" s="100">
        <v>2932.3765302059514</v>
      </c>
      <c r="Z82" s="100">
        <v>3.5078425636716406</v>
      </c>
      <c r="AA82" s="100">
        <v>1784.7902963961303</v>
      </c>
      <c r="AB82" s="100">
        <v>5.9560744853396477</v>
      </c>
      <c r="AC82" s="100">
        <v>3030.4506981408122</v>
      </c>
      <c r="AD82" s="100">
        <v>6.1263587965545705</v>
      </c>
      <c r="AE82" s="100">
        <v>3117.091355686965</v>
      </c>
      <c r="AF82" s="100">
        <v>3.9932947757481632</v>
      </c>
      <c r="AG82" s="100">
        <v>2031.7883819006649</v>
      </c>
      <c r="AH82" s="100">
        <v>3.5205851173702434</v>
      </c>
      <c r="AI82" s="100">
        <v>1791.2737077179795</v>
      </c>
      <c r="AJ82" s="100">
        <v>7.1505269885577958</v>
      </c>
      <c r="AK82" s="100">
        <v>3638.1881317782058</v>
      </c>
      <c r="AL82" s="100">
        <v>4.0089900433283017</v>
      </c>
      <c r="AM82" s="100">
        <v>2039.7741340454395</v>
      </c>
      <c r="AN82" s="100">
        <v>4.6941591023112554</v>
      </c>
      <c r="AO82" s="100">
        <v>2388.3881512559665</v>
      </c>
      <c r="AP82" s="100">
        <v>8.9135448986021224</v>
      </c>
      <c r="AQ82" s="100">
        <v>4535.2116444087587</v>
      </c>
      <c r="AR82" s="100">
        <v>3.8948498620347203</v>
      </c>
      <c r="AS82" s="100">
        <v>1981.6996098032653</v>
      </c>
      <c r="AT82" s="100">
        <v>5</v>
      </c>
      <c r="AU82" s="100">
        <v>2543.9999999999995</v>
      </c>
      <c r="AV82" s="100">
        <v>5.1723389235832595</v>
      </c>
      <c r="AW82" s="100">
        <v>2631.6860443191617</v>
      </c>
      <c r="AX82" s="100">
        <v>6.397743329760428</v>
      </c>
      <c r="AY82" s="100">
        <v>3255.1718061821052</v>
      </c>
      <c r="AZ82" s="100">
        <v>3.7030946951921142</v>
      </c>
      <c r="BA82" s="100">
        <v>1884.1345809137474</v>
      </c>
      <c r="BB82" s="100">
        <v>1.7026324663814143</v>
      </c>
      <c r="BC82" s="100">
        <v>866.29939889486343</v>
      </c>
      <c r="BD82" s="100">
        <v>5.5058902289203928</v>
      </c>
      <c r="BE82" s="100">
        <v>2801.3969484746954</v>
      </c>
      <c r="BF82" s="100">
        <v>9</v>
      </c>
      <c r="BG82" s="100">
        <v>4579.1999999999989</v>
      </c>
      <c r="BH82" s="100">
        <v>5.2456170634362547</v>
      </c>
      <c r="BI82" s="100">
        <v>2668.9699618763657</v>
      </c>
      <c r="BJ82" s="100">
        <v>1.7888807483137299</v>
      </c>
      <c r="BK82" s="100">
        <v>910.18252474202563</v>
      </c>
      <c r="BL82" s="100">
        <v>3.4938143146030649</v>
      </c>
      <c r="BM82" s="100">
        <v>1777.6527232700391</v>
      </c>
      <c r="BN82" s="100">
        <v>7.3343604561124582</v>
      </c>
      <c r="BO82" s="100">
        <v>3731.722600070018</v>
      </c>
      <c r="BP82" s="100">
        <v>9</v>
      </c>
      <c r="BQ82" s="100">
        <v>4579.1999999999989</v>
      </c>
      <c r="BR82" s="100">
        <v>5.3719082270040639</v>
      </c>
      <c r="BS82" s="100">
        <v>2733.2269058996671</v>
      </c>
      <c r="BT82" s="100">
        <v>6.1151254640288784</v>
      </c>
      <c r="BU82" s="100">
        <v>3111.3758360978927</v>
      </c>
      <c r="BV82" s="100">
        <v>6.3647224217443439</v>
      </c>
      <c r="BW82" s="100">
        <v>3238.3707681835217</v>
      </c>
      <c r="BX82" s="100">
        <v>8.3239108345182036</v>
      </c>
      <c r="BY82" s="100">
        <v>4235.2058326028609</v>
      </c>
      <c r="BZ82" s="100">
        <v>5.2953633345721436E-4</v>
      </c>
      <c r="CA82" s="100">
        <v>0.26942808646303062</v>
      </c>
      <c r="CB82" s="100">
        <v>7.772514657996032</v>
      </c>
      <c r="CC82" s="100">
        <v>3954.6554579883805</v>
      </c>
      <c r="CD82" s="100">
        <v>6</v>
      </c>
      <c r="CE82" s="100">
        <v>3052.7999999999993</v>
      </c>
      <c r="CF82" s="100">
        <v>6.2491581055459093</v>
      </c>
      <c r="CG82" s="100">
        <v>3179.571644101758</v>
      </c>
      <c r="CH82" s="100">
        <v>4.740521594976542</v>
      </c>
      <c r="CI82" s="100">
        <v>2411.9773875240639</v>
      </c>
      <c r="CJ82" s="100">
        <v>5</v>
      </c>
      <c r="CK82" s="100">
        <v>2543.9999999999995</v>
      </c>
      <c r="CL82" s="100">
        <v>1.8901716598099916</v>
      </c>
      <c r="CM82" s="100">
        <v>961.71934051132348</v>
      </c>
      <c r="CN82" s="100">
        <v>8.3990080045638251</v>
      </c>
      <c r="CO82" s="100">
        <v>4273.4152727220735</v>
      </c>
      <c r="CP82" s="100">
        <v>3.4125144303249693</v>
      </c>
      <c r="CQ82" s="100">
        <v>1736.2873421493441</v>
      </c>
      <c r="CR82" s="100">
        <v>6.1957769414454393</v>
      </c>
      <c r="CS82" s="100">
        <v>3152.4113078074388</v>
      </c>
      <c r="CT82" s="100">
        <v>3.1487200088798222</v>
      </c>
      <c r="CU82" s="100">
        <v>1602.0687405180531</v>
      </c>
    </row>
    <row r="83" spans="2:99">
      <c r="C83" s="99" t="s">
        <v>249</v>
      </c>
      <c r="D83" s="100">
        <v>2.3308930157377619</v>
      </c>
      <c r="E83" s="100">
        <v>2005.5003507407703</v>
      </c>
      <c r="F83" s="100">
        <v>6.0257837420083513</v>
      </c>
      <c r="G83" s="100">
        <v>5184.5843316239852</v>
      </c>
      <c r="H83" s="100">
        <v>6.4158468524087731</v>
      </c>
      <c r="I83" s="100">
        <v>5520.1946318125083</v>
      </c>
      <c r="J83" s="100">
        <v>5.2290089733235758</v>
      </c>
      <c r="K83" s="100">
        <v>4499.0393206476047</v>
      </c>
      <c r="L83" s="100">
        <v>5.2842475678395104E-4</v>
      </c>
      <c r="M83" s="100">
        <v>0.45465666073691147</v>
      </c>
      <c r="N83" s="100">
        <v>4.0002363172634956</v>
      </c>
      <c r="O83" s="100">
        <v>3441.8033273735114</v>
      </c>
      <c r="P83" s="100">
        <v>4.2354973616048461</v>
      </c>
      <c r="Q83" s="100">
        <v>3644.2219299248095</v>
      </c>
      <c r="R83" s="100">
        <v>4.4386265653673611</v>
      </c>
      <c r="S83" s="100">
        <v>3818.9942968420773</v>
      </c>
      <c r="T83" s="100">
        <v>4.6445710491525576</v>
      </c>
      <c r="U83" s="100">
        <v>3996.1889306908606</v>
      </c>
      <c r="V83" s="100">
        <v>4.6321509088215738</v>
      </c>
      <c r="W83" s="100">
        <v>3985.5026419500819</v>
      </c>
      <c r="X83" s="100">
        <v>5.7633186521343394</v>
      </c>
      <c r="Y83" s="100">
        <v>4958.7593682963852</v>
      </c>
      <c r="Z83" s="100">
        <v>3.5078425636716406</v>
      </c>
      <c r="AA83" s="100">
        <v>3018.1477417830797</v>
      </c>
      <c r="AB83" s="100">
        <v>5.9560744853396477</v>
      </c>
      <c r="AC83" s="100">
        <v>5124.6064871862327</v>
      </c>
      <c r="AD83" s="100">
        <v>5.3242957299658826</v>
      </c>
      <c r="AE83" s="100">
        <v>4581.0240460626455</v>
      </c>
      <c r="AF83" s="100">
        <v>3.9514058999158532</v>
      </c>
      <c r="AG83" s="100">
        <v>3399.7896362875999</v>
      </c>
      <c r="AH83" s="100">
        <v>3.1288981567194445</v>
      </c>
      <c r="AI83" s="100">
        <v>2692.1039740414099</v>
      </c>
      <c r="AJ83" s="100">
        <v>8.0968405382884345</v>
      </c>
      <c r="AK83" s="100">
        <v>6966.5215991433688</v>
      </c>
      <c r="AL83" s="100">
        <v>3.5234980884339975</v>
      </c>
      <c r="AM83" s="100">
        <v>3031.6177552886115</v>
      </c>
      <c r="AN83" s="100">
        <v>5.8676988778890689</v>
      </c>
      <c r="AO83" s="100">
        <v>5048.5681145357548</v>
      </c>
      <c r="AP83" s="100">
        <v>8.9135448986021224</v>
      </c>
      <c r="AQ83" s="100">
        <v>7669.2140307572663</v>
      </c>
      <c r="AR83" s="100">
        <v>3.8948498620347203</v>
      </c>
      <c r="AS83" s="100">
        <v>3351.1288212946733</v>
      </c>
      <c r="AT83" s="100">
        <v>5</v>
      </c>
      <c r="AU83" s="100">
        <v>4302</v>
      </c>
      <c r="AV83" s="100">
        <v>4.4334333630713649</v>
      </c>
      <c r="AW83" s="100">
        <v>3814.5260655866023</v>
      </c>
      <c r="AX83" s="100">
        <v>7.3872839004464774</v>
      </c>
      <c r="AY83" s="100">
        <v>6356.0190679441494</v>
      </c>
      <c r="AZ83" s="100">
        <v>3.7030946951921142</v>
      </c>
      <c r="BA83" s="100">
        <v>3186.1426757432951</v>
      </c>
      <c r="BB83" s="100">
        <v>1.9208402130622277</v>
      </c>
      <c r="BC83" s="100">
        <v>1652.6909193187407</v>
      </c>
      <c r="BD83" s="100">
        <v>5.5058902289203928</v>
      </c>
      <c r="BE83" s="100">
        <v>4737.2679529631059</v>
      </c>
      <c r="BF83" s="100">
        <v>8</v>
      </c>
      <c r="BG83" s="100">
        <v>6883.2</v>
      </c>
      <c r="BH83" s="100">
        <v>4.3713475528635453</v>
      </c>
      <c r="BI83" s="100">
        <v>3761.1074344837943</v>
      </c>
      <c r="BJ83" s="100">
        <v>1.7888807483137299</v>
      </c>
      <c r="BK83" s="100">
        <v>1539.152995849133</v>
      </c>
      <c r="BL83" s="100">
        <v>3.4722382710889623</v>
      </c>
      <c r="BM83" s="100">
        <v>2987.5138084449432</v>
      </c>
      <c r="BN83" s="100">
        <v>7.3343604561124582</v>
      </c>
      <c r="BO83" s="100">
        <v>6310.4837364391587</v>
      </c>
      <c r="BP83" s="100">
        <v>9</v>
      </c>
      <c r="BQ83" s="100">
        <v>7743.5999999999995</v>
      </c>
      <c r="BR83" s="100">
        <v>5.3719082270040639</v>
      </c>
      <c r="BS83" s="100">
        <v>4621.989838514296</v>
      </c>
      <c r="BT83" s="100">
        <v>4.892100371223103</v>
      </c>
      <c r="BU83" s="100">
        <v>4209.1631594003575</v>
      </c>
      <c r="BV83" s="100">
        <v>5.6575310415505271</v>
      </c>
      <c r="BW83" s="100">
        <v>4867.7397081500731</v>
      </c>
      <c r="BX83" s="100">
        <v>7.3990318529050692</v>
      </c>
      <c r="BY83" s="100">
        <v>6366.1270062395215</v>
      </c>
      <c r="BZ83" s="100">
        <v>4.7658270011149295E-4</v>
      </c>
      <c r="CA83" s="100">
        <v>0.41005175517592851</v>
      </c>
      <c r="CB83" s="100">
        <v>7.772514657996032</v>
      </c>
      <c r="CC83" s="100">
        <v>6687.4716117397857</v>
      </c>
      <c r="CD83" s="100">
        <v>5</v>
      </c>
      <c r="CE83" s="100">
        <v>4302</v>
      </c>
      <c r="CF83" s="100">
        <v>5.5548072049296975</v>
      </c>
      <c r="CG83" s="100">
        <v>4779.3561191215113</v>
      </c>
      <c r="CH83" s="100">
        <v>4.740521594976542</v>
      </c>
      <c r="CI83" s="100">
        <v>4078.7447803178165</v>
      </c>
      <c r="CJ83" s="100">
        <v>5</v>
      </c>
      <c r="CK83" s="100">
        <v>4302</v>
      </c>
      <c r="CL83" s="100">
        <v>1.8901716598099916</v>
      </c>
      <c r="CM83" s="100">
        <v>1626.3036961005166</v>
      </c>
      <c r="CN83" s="100">
        <v>6.815231962045063</v>
      </c>
      <c r="CO83" s="100">
        <v>5863.8255801435716</v>
      </c>
      <c r="CP83" s="100">
        <v>2.8620723528994629</v>
      </c>
      <c r="CQ83" s="100">
        <v>2462.5270524346979</v>
      </c>
      <c r="CR83" s="100">
        <v>6.0249516640960916</v>
      </c>
      <c r="CS83" s="100">
        <v>5183.8684117882767</v>
      </c>
      <c r="CT83" s="100">
        <v>3.7444083209410337</v>
      </c>
      <c r="CU83" s="100">
        <v>3221.6889193376655</v>
      </c>
    </row>
    <row r="84" spans="2:99">
      <c r="C84" s="99" t="s">
        <v>250</v>
      </c>
      <c r="D84" s="100">
        <v>2.3527013455595984</v>
      </c>
      <c r="E84" s="100">
        <v>1837.9302911511581</v>
      </c>
      <c r="F84" s="100">
        <v>5.1367418048806845</v>
      </c>
      <c r="G84" s="100">
        <v>4012.8226979727906</v>
      </c>
      <c r="H84" s="100">
        <v>7.3304956614039583</v>
      </c>
      <c r="I84" s="100">
        <v>5726.5832106887719</v>
      </c>
      <c r="J84" s="100">
        <v>5.2290089733235758</v>
      </c>
      <c r="K84" s="100">
        <v>4084.9018099603772</v>
      </c>
      <c r="L84" s="100">
        <v>4.6348416580017655E-4</v>
      </c>
      <c r="M84" s="100">
        <v>0.36207383032309787</v>
      </c>
      <c r="N84" s="100">
        <v>5.0002363172634956</v>
      </c>
      <c r="O84" s="100">
        <v>3906.1846110462425</v>
      </c>
      <c r="P84" s="100">
        <v>4.9049993463595651</v>
      </c>
      <c r="Q84" s="100">
        <v>3831.7854893760918</v>
      </c>
      <c r="R84" s="100">
        <v>4.4386265653673611</v>
      </c>
      <c r="S84" s="100">
        <v>3467.4550728649824</v>
      </c>
      <c r="T84" s="100">
        <v>4.6445710491525576</v>
      </c>
      <c r="U84" s="100">
        <v>3628.3389035979776</v>
      </c>
      <c r="V84" s="100">
        <v>4.6321509088215738</v>
      </c>
      <c r="W84" s="100">
        <v>3618.6362899714131</v>
      </c>
      <c r="X84" s="100">
        <v>4.9228026197413906</v>
      </c>
      <c r="Y84" s="100">
        <v>3845.6934065419741</v>
      </c>
      <c r="Z84" s="100">
        <v>3.9649266284343909</v>
      </c>
      <c r="AA84" s="100">
        <v>3097.4006821329458</v>
      </c>
      <c r="AB84" s="100">
        <v>5.9560744853396477</v>
      </c>
      <c r="AC84" s="100">
        <v>4652.8853879473327</v>
      </c>
      <c r="AD84" s="100">
        <v>6.1263587965545705</v>
      </c>
      <c r="AE84" s="100">
        <v>4785.9114918684299</v>
      </c>
      <c r="AF84" s="100">
        <v>3.9932947757481632</v>
      </c>
      <c r="AG84" s="100">
        <v>3119.5618788144648</v>
      </c>
      <c r="AH84" s="100">
        <v>3.5981166514562037</v>
      </c>
      <c r="AI84" s="100">
        <v>2810.8487281175862</v>
      </c>
      <c r="AJ84" s="100">
        <v>8.0968405382884345</v>
      </c>
      <c r="AK84" s="100">
        <v>6325.2518285109245</v>
      </c>
      <c r="AL84" s="100">
        <v>4.0089900433283017</v>
      </c>
      <c r="AM84" s="100">
        <v>3131.8230218480689</v>
      </c>
      <c r="AN84" s="100">
        <v>5.8676988778890689</v>
      </c>
      <c r="AO84" s="100">
        <v>4583.8463634069403</v>
      </c>
      <c r="AP84" s="100">
        <v>8.9135448986021224</v>
      </c>
      <c r="AQ84" s="100">
        <v>6963.2612747879775</v>
      </c>
      <c r="AR84" s="100">
        <v>3.8948498620347203</v>
      </c>
      <c r="AS84" s="100">
        <v>3042.6567122215233</v>
      </c>
      <c r="AT84" s="100">
        <v>5</v>
      </c>
      <c r="AU84" s="100">
        <v>3905.9999999999995</v>
      </c>
      <c r="AV84" s="100">
        <v>4.4334333630713649</v>
      </c>
      <c r="AW84" s="100">
        <v>3463.3981432313499</v>
      </c>
      <c r="AX84" s="100">
        <v>6.4744933140344472</v>
      </c>
      <c r="AY84" s="100">
        <v>5057.8741769237095</v>
      </c>
      <c r="AZ84" s="100">
        <v>3.7030946951921142</v>
      </c>
      <c r="BA84" s="100">
        <v>2892.8575758840793</v>
      </c>
      <c r="BB84" s="100">
        <v>1.693873554400628</v>
      </c>
      <c r="BC84" s="100">
        <v>1323.2540206977706</v>
      </c>
      <c r="BD84" s="100">
        <v>5.5058902289203928</v>
      </c>
      <c r="BE84" s="100">
        <v>4301.2014468326106</v>
      </c>
      <c r="BF84" s="100">
        <v>9</v>
      </c>
      <c r="BG84" s="100">
        <v>7030.7999999999993</v>
      </c>
      <c r="BH84" s="100">
        <v>5.2456170634362547</v>
      </c>
      <c r="BI84" s="100">
        <v>4097.8760499564014</v>
      </c>
      <c r="BJ84" s="100">
        <v>1.9919793907843992</v>
      </c>
      <c r="BK84" s="100">
        <v>1556.1343000807726</v>
      </c>
      <c r="BL84" s="100">
        <v>3.4938143146030649</v>
      </c>
      <c r="BM84" s="100">
        <v>2729.3677425679139</v>
      </c>
      <c r="BN84" s="100">
        <v>8.0174952407278202</v>
      </c>
      <c r="BO84" s="100">
        <v>6263.2672820565722</v>
      </c>
      <c r="BP84" s="100">
        <v>8</v>
      </c>
      <c r="BQ84" s="100">
        <v>6249.5999999999995</v>
      </c>
      <c r="BR84" s="100">
        <v>6.1393236880046445</v>
      </c>
      <c r="BS84" s="100">
        <v>4796.0396650692282</v>
      </c>
      <c r="BT84" s="100">
        <v>6.1151254640288784</v>
      </c>
      <c r="BU84" s="100">
        <v>4777.1360124993589</v>
      </c>
      <c r="BV84" s="100">
        <v>5.6575310415505271</v>
      </c>
      <c r="BW84" s="100">
        <v>4419.6632496592711</v>
      </c>
      <c r="BX84" s="100">
        <v>8.3239108345182036</v>
      </c>
      <c r="BY84" s="100">
        <v>6502.6391439256204</v>
      </c>
      <c r="BZ84" s="100">
        <v>4.7658270011149295E-4</v>
      </c>
      <c r="CA84" s="100">
        <v>0.37230640532709824</v>
      </c>
      <c r="CB84" s="100">
        <v>7.772514657996032</v>
      </c>
      <c r="CC84" s="100">
        <v>6071.8884508265</v>
      </c>
      <c r="CD84" s="100">
        <v>5</v>
      </c>
      <c r="CE84" s="100">
        <v>3905.9999999999995</v>
      </c>
      <c r="CF84" s="100">
        <v>5.5548072049296975</v>
      </c>
      <c r="CG84" s="100">
        <v>4339.4153884910793</v>
      </c>
      <c r="CH84" s="100">
        <v>5.6886259139718502</v>
      </c>
      <c r="CI84" s="100">
        <v>4443.9545639948092</v>
      </c>
      <c r="CJ84" s="100">
        <v>5</v>
      </c>
      <c r="CK84" s="100">
        <v>3905.9999999999995</v>
      </c>
      <c r="CL84" s="100">
        <v>1.8813866449830761</v>
      </c>
      <c r="CM84" s="100">
        <v>1469.7392470607788</v>
      </c>
      <c r="CN84" s="100">
        <v>7.6071199833044441</v>
      </c>
      <c r="CO84" s="100">
        <v>5942.6821309574316</v>
      </c>
      <c r="CP84" s="100">
        <v>3.4695818422594935</v>
      </c>
      <c r="CQ84" s="100">
        <v>2710.437335173116</v>
      </c>
      <c r="CR84" s="100">
        <v>7.0249516640960916</v>
      </c>
      <c r="CS84" s="100">
        <v>5487.8922399918665</v>
      </c>
      <c r="CT84" s="100">
        <v>3.1487200088798222</v>
      </c>
      <c r="CU84" s="100">
        <v>2459.7800709369167</v>
      </c>
    </row>
    <row r="85" spans="2:99">
      <c r="C85" s="99" t="s">
        <v>251</v>
      </c>
      <c r="D85" s="100">
        <v>2.3308930157377619</v>
      </c>
      <c r="E85" s="100">
        <v>349.6339523606643</v>
      </c>
      <c r="F85" s="100">
        <v>5.1367418048806845</v>
      </c>
      <c r="G85" s="100">
        <v>770.51127073210273</v>
      </c>
      <c r="H85" s="100">
        <v>7.3304956614039583</v>
      </c>
      <c r="I85" s="100">
        <v>1099.5743492105937</v>
      </c>
      <c r="J85" s="100">
        <v>5.2290089733235758</v>
      </c>
      <c r="K85" s="100">
        <v>784.35134599853643</v>
      </c>
      <c r="L85" s="100">
        <v>5.9114034053928675E-4</v>
      </c>
      <c r="M85" s="100">
        <v>8.8671051080893015E-2</v>
      </c>
      <c r="N85" s="100">
        <v>5.0002363172634956</v>
      </c>
      <c r="O85" s="100">
        <v>750.03544758952432</v>
      </c>
      <c r="P85" s="100">
        <v>4.9049993463595651</v>
      </c>
      <c r="Q85" s="100">
        <v>735.7499019539348</v>
      </c>
      <c r="R85" s="100">
        <v>5.0727160747055553</v>
      </c>
      <c r="S85" s="100">
        <v>760.90741120583334</v>
      </c>
      <c r="T85" s="100">
        <v>5.2285694617655336</v>
      </c>
      <c r="U85" s="100">
        <v>784.28541926483001</v>
      </c>
      <c r="V85" s="100">
        <v>4.7789659231103423</v>
      </c>
      <c r="W85" s="100">
        <v>716.84488846655131</v>
      </c>
      <c r="X85" s="100">
        <v>5.7633186521343394</v>
      </c>
      <c r="Y85" s="100">
        <v>864.49779782015094</v>
      </c>
      <c r="Z85" s="100">
        <v>3.5078425636716406</v>
      </c>
      <c r="AA85" s="100">
        <v>526.17638455074609</v>
      </c>
      <c r="AB85" s="100">
        <v>5.9560744853396477</v>
      </c>
      <c r="AC85" s="100">
        <v>893.41117280094716</v>
      </c>
      <c r="AD85" s="100">
        <v>5.3242957299658826</v>
      </c>
      <c r="AE85" s="100">
        <v>798.64435949488234</v>
      </c>
      <c r="AF85" s="100">
        <v>3.9932947757481632</v>
      </c>
      <c r="AG85" s="100">
        <v>598.99421636222451</v>
      </c>
      <c r="AH85" s="100">
        <v>3.5244332821612434</v>
      </c>
      <c r="AI85" s="100">
        <v>528.66499232418653</v>
      </c>
      <c r="AJ85" s="100">
        <v>8.9031602849232989</v>
      </c>
      <c r="AK85" s="100">
        <v>1335.4740427384947</v>
      </c>
      <c r="AL85" s="100">
        <v>4.0089900433283017</v>
      </c>
      <c r="AM85" s="100">
        <v>601.34850649924522</v>
      </c>
      <c r="AN85" s="100">
        <v>5.8676988778890689</v>
      </c>
      <c r="AO85" s="100">
        <v>880.15483168336027</v>
      </c>
      <c r="AP85" s="100">
        <v>8.9135448986021224</v>
      </c>
      <c r="AQ85" s="100">
        <v>1337.0317347903183</v>
      </c>
      <c r="AR85" s="100">
        <v>3.8948498620347203</v>
      </c>
      <c r="AS85" s="100">
        <v>584.22747930520802</v>
      </c>
      <c r="AT85" s="100">
        <v>6</v>
      </c>
      <c r="AU85" s="100">
        <v>900</v>
      </c>
      <c r="AV85" s="100">
        <v>5.1723389235832595</v>
      </c>
      <c r="AW85" s="100">
        <v>775.85083853748893</v>
      </c>
      <c r="AX85" s="100">
        <v>7.3872839004464774</v>
      </c>
      <c r="AY85" s="100">
        <v>1108.0925850669717</v>
      </c>
      <c r="AZ85" s="100">
        <v>3.7030946951921142</v>
      </c>
      <c r="BA85" s="100">
        <v>555.46420427881708</v>
      </c>
      <c r="BB85" s="100">
        <v>1.9383580370237996</v>
      </c>
      <c r="BC85" s="100">
        <v>290.75370555356994</v>
      </c>
      <c r="BD85" s="100">
        <v>6.5058902289203928</v>
      </c>
      <c r="BE85" s="100">
        <v>975.88353433805889</v>
      </c>
      <c r="BF85" s="100">
        <v>8</v>
      </c>
      <c r="BG85" s="100">
        <v>1200</v>
      </c>
      <c r="BH85" s="100">
        <v>5.2456170634362547</v>
      </c>
      <c r="BI85" s="100">
        <v>786.84255951543821</v>
      </c>
      <c r="BJ85" s="100">
        <v>2.0092521916842281</v>
      </c>
      <c r="BK85" s="100">
        <v>301.38782875263422</v>
      </c>
      <c r="BL85" s="100">
        <v>4.1222718470761599</v>
      </c>
      <c r="BM85" s="100">
        <v>618.34077706142398</v>
      </c>
      <c r="BN85" s="100">
        <v>8.1612861775885559</v>
      </c>
      <c r="BO85" s="100">
        <v>1224.1929266382833</v>
      </c>
      <c r="BP85" s="100">
        <v>9</v>
      </c>
      <c r="BQ85" s="100">
        <v>1350</v>
      </c>
      <c r="BR85" s="100">
        <v>6.1393236880046445</v>
      </c>
      <c r="BS85" s="100">
        <v>920.89855320069671</v>
      </c>
      <c r="BT85" s="100">
        <v>5.5036129176259907</v>
      </c>
      <c r="BU85" s="100">
        <v>825.54193764389856</v>
      </c>
      <c r="BV85" s="100">
        <v>5.6575310415505271</v>
      </c>
      <c r="BW85" s="100">
        <v>848.62965623257901</v>
      </c>
      <c r="BX85" s="100">
        <v>8.3239108345182036</v>
      </c>
      <c r="BY85" s="100">
        <v>1248.5866251777306</v>
      </c>
      <c r="BZ85" s="100">
        <v>4.7658270011149295E-4</v>
      </c>
      <c r="CA85" s="100">
        <v>7.1487405016723946E-2</v>
      </c>
      <c r="CB85" s="100">
        <v>8.7643215332467967</v>
      </c>
      <c r="CC85" s="100">
        <v>1314.6482299870195</v>
      </c>
      <c r="CD85" s="100">
        <v>5</v>
      </c>
      <c r="CE85" s="100">
        <v>750</v>
      </c>
      <c r="CF85" s="100">
        <v>5.5548072049296975</v>
      </c>
      <c r="CG85" s="100">
        <v>833.22108073945458</v>
      </c>
      <c r="CH85" s="100">
        <v>5.6886259139718502</v>
      </c>
      <c r="CI85" s="100">
        <v>853.29388709577756</v>
      </c>
      <c r="CJ85" s="100">
        <v>5</v>
      </c>
      <c r="CK85" s="100">
        <v>750</v>
      </c>
      <c r="CL85" s="100">
        <v>2.1325861360411129</v>
      </c>
      <c r="CM85" s="100">
        <v>319.88792040616693</v>
      </c>
      <c r="CN85" s="100">
        <v>8.5190399525563283</v>
      </c>
      <c r="CO85" s="100">
        <v>1277.8559928834493</v>
      </c>
      <c r="CP85" s="100">
        <v>3.49107777049998</v>
      </c>
      <c r="CQ85" s="100">
        <v>523.66166557499696</v>
      </c>
      <c r="CR85" s="100">
        <v>7.0249516640960916</v>
      </c>
      <c r="CS85" s="100">
        <v>1053.7427496144137</v>
      </c>
      <c r="CT85" s="100">
        <v>3.7607970231608192</v>
      </c>
      <c r="CU85" s="100">
        <v>564.11955347412288</v>
      </c>
    </row>
    <row r="86" spans="2:99">
      <c r="C86" s="99" t="s">
        <v>252</v>
      </c>
      <c r="D86" s="100">
        <v>2.3986585962223939</v>
      </c>
      <c r="E86" s="100">
        <v>1295.2756419600926</v>
      </c>
      <c r="F86" s="100">
        <v>5.1367418048806845</v>
      </c>
      <c r="G86" s="100">
        <v>2773.8405746355697</v>
      </c>
      <c r="H86" s="100">
        <v>6.4158468524087731</v>
      </c>
      <c r="I86" s="100">
        <v>3464.5573003007376</v>
      </c>
      <c r="J86" s="100">
        <v>5.2290089733235758</v>
      </c>
      <c r="K86" s="100">
        <v>2823.6648455947311</v>
      </c>
      <c r="L86" s="100">
        <v>4.6570917302861528E-4</v>
      </c>
      <c r="M86" s="100">
        <v>0.25148295343545224</v>
      </c>
      <c r="N86" s="100">
        <v>4.0002835807161956</v>
      </c>
      <c r="O86" s="100">
        <v>2160.1531335867458</v>
      </c>
      <c r="P86" s="100">
        <v>5.5745013311142841</v>
      </c>
      <c r="Q86" s="100">
        <v>3010.2307188017135</v>
      </c>
      <c r="R86" s="100">
        <v>5.0727160747055553</v>
      </c>
      <c r="S86" s="100">
        <v>2739.2666803409998</v>
      </c>
      <c r="T86" s="100">
        <v>5.2285694617655336</v>
      </c>
      <c r="U86" s="100">
        <v>2823.4275093533884</v>
      </c>
      <c r="V86" s="100">
        <v>5.3514639254223182</v>
      </c>
      <c r="W86" s="100">
        <v>2889.790519728052</v>
      </c>
      <c r="X86" s="100">
        <v>5.6430250775180433</v>
      </c>
      <c r="Y86" s="100">
        <v>3047.2335418597436</v>
      </c>
      <c r="Z86" s="100">
        <v>3.5694933857381184</v>
      </c>
      <c r="AA86" s="100">
        <v>1927.5264282985838</v>
      </c>
      <c r="AB86" s="100">
        <v>6.0884314191762376</v>
      </c>
      <c r="AC86" s="100">
        <v>3287.7529663551682</v>
      </c>
      <c r="AD86" s="100">
        <v>5.3242957299658826</v>
      </c>
      <c r="AE86" s="100">
        <v>2875.1196941815765</v>
      </c>
      <c r="AF86" s="100">
        <v>3.9755319348924196</v>
      </c>
      <c r="AG86" s="100">
        <v>2146.7872448419066</v>
      </c>
      <c r="AH86" s="100">
        <v>3.1987333612234043</v>
      </c>
      <c r="AI86" s="100">
        <v>1727.3160150606384</v>
      </c>
      <c r="AJ86" s="100">
        <v>8.0968405382884345</v>
      </c>
      <c r="AK86" s="100">
        <v>4372.2938906757545</v>
      </c>
      <c r="AL86" s="100">
        <v>3.5234980884339975</v>
      </c>
      <c r="AM86" s="100">
        <v>1902.6889677543586</v>
      </c>
      <c r="AN86" s="100">
        <v>5.6941591023112554</v>
      </c>
      <c r="AO86" s="100">
        <v>3074.8459152480777</v>
      </c>
      <c r="AP86" s="100">
        <v>8.9135448986021224</v>
      </c>
      <c r="AQ86" s="100">
        <v>4813.3142452451457</v>
      </c>
      <c r="AR86" s="100">
        <v>3.4079936292803805</v>
      </c>
      <c r="AS86" s="100">
        <v>1840.3165598114056</v>
      </c>
      <c r="AT86" s="100">
        <v>5</v>
      </c>
      <c r="AU86" s="100">
        <v>2700</v>
      </c>
      <c r="AV86" s="100">
        <v>5.1723389235832595</v>
      </c>
      <c r="AW86" s="100">
        <v>2793.0630187349602</v>
      </c>
      <c r="AX86" s="100">
        <v>7.3872839004464774</v>
      </c>
      <c r="AY86" s="100">
        <v>3989.1333062410977</v>
      </c>
      <c r="AZ86" s="100">
        <v>3.7030946951921142</v>
      </c>
      <c r="BA86" s="100">
        <v>1999.6711354037416</v>
      </c>
      <c r="BB86" s="100">
        <v>1.9208402130622277</v>
      </c>
      <c r="BC86" s="100">
        <v>1037.2537150536029</v>
      </c>
      <c r="BD86" s="100">
        <v>5.5058902289203928</v>
      </c>
      <c r="BE86" s="100">
        <v>2973.1807236170121</v>
      </c>
      <c r="BF86" s="100">
        <v>9</v>
      </c>
      <c r="BG86" s="100">
        <v>4860</v>
      </c>
      <c r="BH86" s="100">
        <v>4.3713475528635453</v>
      </c>
      <c r="BI86" s="100">
        <v>2360.5276785463143</v>
      </c>
      <c r="BJ86" s="100">
        <v>1.7802443478638155</v>
      </c>
      <c r="BK86" s="100">
        <v>961.33194784646037</v>
      </c>
      <c r="BL86" s="100">
        <v>3.4938143146030649</v>
      </c>
      <c r="BM86" s="100">
        <v>1886.659729885655</v>
      </c>
      <c r="BN86" s="100">
        <v>8.1612861775885559</v>
      </c>
      <c r="BO86" s="100">
        <v>4407.0945358978206</v>
      </c>
      <c r="BP86" s="100">
        <v>8</v>
      </c>
      <c r="BQ86" s="100">
        <v>4320</v>
      </c>
      <c r="BR86" s="100">
        <v>6.1393236880046445</v>
      </c>
      <c r="BS86" s="100">
        <v>3315.2347915225082</v>
      </c>
      <c r="BT86" s="100">
        <v>5.5036129176259907</v>
      </c>
      <c r="BU86" s="100">
        <v>2971.9509755180352</v>
      </c>
      <c r="BV86" s="100">
        <v>5.6575310415505271</v>
      </c>
      <c r="BW86" s="100">
        <v>3055.0667624372845</v>
      </c>
      <c r="BX86" s="100">
        <v>8.3239108345182036</v>
      </c>
      <c r="BY86" s="100">
        <v>4494.9118506398299</v>
      </c>
      <c r="BZ86" s="100">
        <v>5.2953633345721436E-4</v>
      </c>
      <c r="CA86" s="100">
        <v>0.28594962006689578</v>
      </c>
      <c r="CB86" s="100">
        <v>7.772514657996032</v>
      </c>
      <c r="CC86" s="100">
        <v>4197.1579153178573</v>
      </c>
      <c r="CD86" s="100">
        <v>5</v>
      </c>
      <c r="CE86" s="100">
        <v>2700</v>
      </c>
      <c r="CF86" s="100">
        <v>6.2491581055459093</v>
      </c>
      <c r="CG86" s="100">
        <v>3374.5453769947912</v>
      </c>
      <c r="CH86" s="100">
        <v>5.6886259139718502</v>
      </c>
      <c r="CI86" s="100">
        <v>3071.8579935447992</v>
      </c>
      <c r="CJ86" s="100">
        <v>5</v>
      </c>
      <c r="CK86" s="100">
        <v>2700</v>
      </c>
      <c r="CL86" s="100">
        <v>1.6301871539250394</v>
      </c>
      <c r="CM86" s="100">
        <v>880.30106311952125</v>
      </c>
      <c r="CN86" s="100">
        <v>6.815231962045063</v>
      </c>
      <c r="CO86" s="100">
        <v>3680.2252595043342</v>
      </c>
      <c r="CP86" s="100">
        <v>3.49107777049998</v>
      </c>
      <c r="CQ86" s="100">
        <v>1885.1819960699893</v>
      </c>
      <c r="CR86" s="100">
        <v>6.1957769414454393</v>
      </c>
      <c r="CS86" s="100">
        <v>3345.7195483805372</v>
      </c>
      <c r="CT86" s="100">
        <v>3.7280196187212473</v>
      </c>
      <c r="CU86" s="100">
        <v>2013.1305941094736</v>
      </c>
    </row>
    <row r="87" spans="2:99">
      <c r="B87" s="99" t="s">
        <v>131</v>
      </c>
      <c r="C87" s="99" t="s">
        <v>253</v>
      </c>
      <c r="D87" s="100">
        <v>3.9186344992176609</v>
      </c>
      <c r="E87" s="100">
        <v>4208.6134521597678</v>
      </c>
      <c r="F87" s="100">
        <v>3.6041198543606003</v>
      </c>
      <c r="G87" s="100">
        <v>3870.8247235832846</v>
      </c>
      <c r="H87" s="100">
        <v>3.3990941807372361</v>
      </c>
      <c r="I87" s="100">
        <v>3650.6271501117917</v>
      </c>
      <c r="J87" s="100">
        <v>3.1123472347730252</v>
      </c>
      <c r="K87" s="100">
        <v>3342.660930146229</v>
      </c>
      <c r="L87" s="100">
        <v>1.8520217569941679</v>
      </c>
      <c r="M87" s="100">
        <v>1989.0713670117364</v>
      </c>
      <c r="N87" s="100">
        <v>5.2980975845768334</v>
      </c>
      <c r="O87" s="100">
        <v>5690.1568058355188</v>
      </c>
      <c r="P87" s="100">
        <v>3.5426144836009246</v>
      </c>
      <c r="Q87" s="100">
        <v>3804.7679553873932</v>
      </c>
      <c r="R87" s="100">
        <v>4.5613440144299391</v>
      </c>
      <c r="S87" s="100">
        <v>4898.8834714977547</v>
      </c>
      <c r="T87" s="100">
        <v>3.7441376543590561</v>
      </c>
      <c r="U87" s="100">
        <v>4021.2038407816262</v>
      </c>
      <c r="V87" s="100">
        <v>3.2421054820345931</v>
      </c>
      <c r="W87" s="100">
        <v>3482.0212877051531</v>
      </c>
      <c r="X87" s="100">
        <v>1.4293062600540414</v>
      </c>
      <c r="Y87" s="100">
        <v>1535.0749232980404</v>
      </c>
      <c r="Z87" s="100">
        <v>2.2301390103709262</v>
      </c>
      <c r="AA87" s="100">
        <v>2395.1692971383745</v>
      </c>
      <c r="AB87" s="100">
        <v>4.5746411807933809</v>
      </c>
      <c r="AC87" s="100">
        <v>4913.1646281720914</v>
      </c>
      <c r="AD87" s="100">
        <v>3.5521132161375419</v>
      </c>
      <c r="AE87" s="100">
        <v>3814.96959413172</v>
      </c>
      <c r="AF87" s="100">
        <v>4.1856351709894692</v>
      </c>
      <c r="AG87" s="100">
        <v>4495.3721736426896</v>
      </c>
      <c r="AH87" s="100">
        <v>0.37516147571005759</v>
      </c>
      <c r="AI87" s="100">
        <v>402.92342491260183</v>
      </c>
      <c r="AJ87" s="100">
        <v>7.1781018809836556</v>
      </c>
      <c r="AK87" s="100">
        <v>7709.2814201764459</v>
      </c>
      <c r="AL87" s="100">
        <v>4</v>
      </c>
      <c r="AM87" s="100">
        <v>4296</v>
      </c>
      <c r="AN87" s="100">
        <v>6.5849295817127658</v>
      </c>
      <c r="AO87" s="100">
        <v>7072.2143707595105</v>
      </c>
      <c r="AP87" s="100">
        <v>2.9841547076436403</v>
      </c>
      <c r="AQ87" s="100">
        <v>3204.9821560092696</v>
      </c>
      <c r="AR87" s="100">
        <v>5.1509245700969402</v>
      </c>
      <c r="AS87" s="100">
        <v>5532.0929882841137</v>
      </c>
      <c r="AT87" s="100">
        <v>0.52258876317141822</v>
      </c>
      <c r="AU87" s="100">
        <v>561.26033164610317</v>
      </c>
      <c r="AV87" s="100">
        <v>8.1981445833592623</v>
      </c>
      <c r="AW87" s="100">
        <v>8804.8072825278468</v>
      </c>
      <c r="AX87" s="100">
        <v>1.3305681271001077</v>
      </c>
      <c r="AY87" s="100">
        <v>1429.0301685055158</v>
      </c>
      <c r="AZ87" s="100">
        <v>3.661418657649036</v>
      </c>
      <c r="BA87" s="100">
        <v>3932.3636383150647</v>
      </c>
      <c r="BB87" s="100">
        <v>6.5738619993604255</v>
      </c>
      <c r="BC87" s="100">
        <v>7060.3277873130974</v>
      </c>
      <c r="BD87" s="100">
        <v>5.5938085509032449</v>
      </c>
      <c r="BE87" s="100">
        <v>6007.7503836700853</v>
      </c>
      <c r="BF87" s="100">
        <v>5.1503799868465077</v>
      </c>
      <c r="BG87" s="100">
        <v>5531.5081058731494</v>
      </c>
      <c r="BH87" s="100">
        <v>4.8014184001890783</v>
      </c>
      <c r="BI87" s="100">
        <v>5156.7233618030705</v>
      </c>
      <c r="BJ87" s="100">
        <v>0.45565187124389772</v>
      </c>
      <c r="BK87" s="100">
        <v>489.37010971594617</v>
      </c>
      <c r="BL87" s="100">
        <v>6.2008062539576123</v>
      </c>
      <c r="BM87" s="100">
        <v>6659.6659167504758</v>
      </c>
      <c r="BN87" s="100">
        <v>7</v>
      </c>
      <c r="BO87" s="100">
        <v>7518</v>
      </c>
      <c r="BP87" s="100">
        <v>4.1447187003943071</v>
      </c>
      <c r="BQ87" s="100">
        <v>4451.4278842234862</v>
      </c>
      <c r="BR87" s="100">
        <v>6.0378922904949324</v>
      </c>
      <c r="BS87" s="100">
        <v>6484.6963199915572</v>
      </c>
      <c r="BT87" s="100">
        <v>5.1284009031579902</v>
      </c>
      <c r="BU87" s="100">
        <v>5507.902569991682</v>
      </c>
      <c r="BV87" s="100">
        <v>5.7486098415225664</v>
      </c>
      <c r="BW87" s="100">
        <v>6174.0069697952367</v>
      </c>
      <c r="BX87" s="100">
        <v>4.216648378275031</v>
      </c>
      <c r="BY87" s="100">
        <v>4528.6803582673829</v>
      </c>
      <c r="BZ87" s="100">
        <v>4.2111801161619296</v>
      </c>
      <c r="CA87" s="100">
        <v>4522.807444757912</v>
      </c>
      <c r="CB87" s="100">
        <v>4.2154721545774025</v>
      </c>
      <c r="CC87" s="100">
        <v>4527.4170940161302</v>
      </c>
      <c r="CD87" s="100">
        <v>4.8184818983982393E-4</v>
      </c>
      <c r="CE87" s="100">
        <v>0.51750495588797085</v>
      </c>
      <c r="CF87" s="100">
        <v>5.4882362644624898</v>
      </c>
      <c r="CG87" s="100">
        <v>5894.3657480327138</v>
      </c>
      <c r="CH87" s="100">
        <v>5.5307351574425887</v>
      </c>
      <c r="CI87" s="100">
        <v>5940.0095590933406</v>
      </c>
      <c r="CJ87" s="100">
        <v>4.5515046006990385</v>
      </c>
      <c r="CK87" s="100">
        <v>4888.3159411507677</v>
      </c>
      <c r="CL87" s="100">
        <v>0.34287033595337046</v>
      </c>
      <c r="CM87" s="100">
        <v>368.24274081391985</v>
      </c>
      <c r="CN87" s="100">
        <v>6.1888971345160178</v>
      </c>
      <c r="CO87" s="100">
        <v>6646.8755224702027</v>
      </c>
      <c r="CP87" s="100">
        <v>5.9566850288388737</v>
      </c>
      <c r="CQ87" s="100">
        <v>6397.4797209729504</v>
      </c>
      <c r="CR87" s="100">
        <v>4.3265382610007013</v>
      </c>
      <c r="CS87" s="100">
        <v>4646.7020923147529</v>
      </c>
      <c r="CT87" s="100">
        <v>5.9149457958500626</v>
      </c>
      <c r="CU87" s="100">
        <v>6352.6517847429677</v>
      </c>
    </row>
    <row r="88" spans="2:99">
      <c r="C88" s="99" t="s">
        <v>254</v>
      </c>
      <c r="D88" s="100">
        <v>3.9894985960826501</v>
      </c>
      <c r="E88" s="100">
        <v>3959.1784067524218</v>
      </c>
      <c r="F88" s="100">
        <v>3.6087601217330354</v>
      </c>
      <c r="G88" s="100">
        <v>3581.3335448078642</v>
      </c>
      <c r="H88" s="100">
        <v>4.2416246074012536</v>
      </c>
      <c r="I88" s="100">
        <v>4209.3882603850043</v>
      </c>
      <c r="J88" s="100">
        <v>3.1123472347730252</v>
      </c>
      <c r="K88" s="100">
        <v>3088.69339578875</v>
      </c>
      <c r="L88" s="100">
        <v>1.8520217569941679</v>
      </c>
      <c r="M88" s="100">
        <v>1837.9463916410123</v>
      </c>
      <c r="N88" s="100">
        <v>5.2980975845768334</v>
      </c>
      <c r="O88" s="100">
        <v>5257.8320429340492</v>
      </c>
      <c r="P88" s="100">
        <v>4.000640887526882</v>
      </c>
      <c r="Q88" s="100">
        <v>3970.2360167816778</v>
      </c>
      <c r="R88" s="100">
        <v>4.5664215925132075</v>
      </c>
      <c r="S88" s="100">
        <v>4531.7167884101073</v>
      </c>
      <c r="T88" s="100">
        <v>4.2169238606784027</v>
      </c>
      <c r="U88" s="100">
        <v>4184.875239337247</v>
      </c>
      <c r="V88" s="100">
        <v>3.2421054820345931</v>
      </c>
      <c r="W88" s="100">
        <v>3217.4654803711301</v>
      </c>
      <c r="X88" s="100">
        <v>1.4761851020040384</v>
      </c>
      <c r="Y88" s="100">
        <v>1464.9660952288077</v>
      </c>
      <c r="Z88" s="100">
        <v>2.6072417063834852</v>
      </c>
      <c r="AA88" s="100">
        <v>2587.4266694149705</v>
      </c>
      <c r="AB88" s="100">
        <v>4.6879960792280642</v>
      </c>
      <c r="AC88" s="100">
        <v>4652.3673090259308</v>
      </c>
      <c r="AD88" s="100">
        <v>3.5521132161375419</v>
      </c>
      <c r="AE88" s="100">
        <v>3525.1171556948966</v>
      </c>
      <c r="AF88" s="100">
        <v>4.8322105709025358</v>
      </c>
      <c r="AG88" s="100">
        <v>4795.4857705636769</v>
      </c>
      <c r="AH88" s="100">
        <v>0.32303325542880335</v>
      </c>
      <c r="AI88" s="100">
        <v>320.57820268754443</v>
      </c>
      <c r="AJ88" s="100">
        <v>8.1781018809836556</v>
      </c>
      <c r="AK88" s="100">
        <v>8115.9483066881794</v>
      </c>
      <c r="AL88" s="100">
        <v>5</v>
      </c>
      <c r="AM88" s="100">
        <v>4962</v>
      </c>
      <c r="AN88" s="100">
        <v>5.7539654762772479</v>
      </c>
      <c r="AO88" s="100">
        <v>5710.2353386575405</v>
      </c>
      <c r="AP88" s="100">
        <v>3.7301933845545507</v>
      </c>
      <c r="AQ88" s="100">
        <v>3701.8439148319362</v>
      </c>
      <c r="AR88" s="100">
        <v>5.1509245700969402</v>
      </c>
      <c r="AS88" s="100">
        <v>5111.7775433642037</v>
      </c>
      <c r="AT88" s="100">
        <v>0.45345607042482533</v>
      </c>
      <c r="AU88" s="100">
        <v>450.00980428959667</v>
      </c>
      <c r="AV88" s="100">
        <v>6.1981445833592623</v>
      </c>
      <c r="AW88" s="100">
        <v>6151.0386845257317</v>
      </c>
      <c r="AX88" s="100">
        <v>1.5401537866270065</v>
      </c>
      <c r="AY88" s="100">
        <v>1528.4486178486413</v>
      </c>
      <c r="AZ88" s="100">
        <v>4.4073532669580064</v>
      </c>
      <c r="BA88" s="100">
        <v>4373.8573821291257</v>
      </c>
      <c r="BB88" s="100">
        <v>6.5738619993604255</v>
      </c>
      <c r="BC88" s="100">
        <v>6523.9006481652859</v>
      </c>
      <c r="BD88" s="100">
        <v>4.6615071257527045</v>
      </c>
      <c r="BE88" s="100">
        <v>4626.0796715969836</v>
      </c>
      <c r="BF88" s="100">
        <v>5.2511620871521973</v>
      </c>
      <c r="BG88" s="100">
        <v>5211.2532552898401</v>
      </c>
      <c r="BH88" s="100">
        <v>4.9433165238984369</v>
      </c>
      <c r="BI88" s="100">
        <v>4905.7473183168086</v>
      </c>
      <c r="BJ88" s="100">
        <v>0.39899515151092263</v>
      </c>
      <c r="BK88" s="100">
        <v>395.96278835943963</v>
      </c>
      <c r="BL88" s="100">
        <v>6.2008062539576123</v>
      </c>
      <c r="BM88" s="100">
        <v>6153.6801264275346</v>
      </c>
      <c r="BN88" s="100">
        <v>7</v>
      </c>
      <c r="BO88" s="100">
        <v>6946.8</v>
      </c>
      <c r="BP88" s="100">
        <v>4.1447187003943071</v>
      </c>
      <c r="BQ88" s="100">
        <v>4113.2188382713102</v>
      </c>
      <c r="BR88" s="100">
        <v>6.0378922904949324</v>
      </c>
      <c r="BS88" s="100">
        <v>5992.0043090871704</v>
      </c>
      <c r="BT88" s="100">
        <v>5.2461366784940457</v>
      </c>
      <c r="BU88" s="100">
        <v>5206.2660397374912</v>
      </c>
      <c r="BV88" s="100">
        <v>5.7437037790857319</v>
      </c>
      <c r="BW88" s="100">
        <v>5700.05163036468</v>
      </c>
      <c r="BX88" s="100">
        <v>4.8324053016765927</v>
      </c>
      <c r="BY88" s="100">
        <v>4795.6790213838503</v>
      </c>
      <c r="BZ88" s="100">
        <v>4.2074326399562487</v>
      </c>
      <c r="CA88" s="100">
        <v>4175.4561518925811</v>
      </c>
      <c r="CB88" s="100">
        <v>4.2154721545774025</v>
      </c>
      <c r="CC88" s="100">
        <v>4183.4345662026144</v>
      </c>
      <c r="CD88" s="100">
        <v>4.8184818983982393E-4</v>
      </c>
      <c r="CE88" s="100">
        <v>0.47818614359704126</v>
      </c>
      <c r="CF88" s="100">
        <v>4.5735361300482325</v>
      </c>
      <c r="CG88" s="100">
        <v>4538.777255459866</v>
      </c>
      <c r="CH88" s="100">
        <v>4.9011970349150431</v>
      </c>
      <c r="CI88" s="100">
        <v>4863.9479374496887</v>
      </c>
      <c r="CJ88" s="100">
        <v>4.651890211617709</v>
      </c>
      <c r="CK88" s="100">
        <v>4616.5358460094139</v>
      </c>
      <c r="CL88" s="100">
        <v>0.34344706963719723</v>
      </c>
      <c r="CM88" s="100">
        <v>340.8368719079545</v>
      </c>
      <c r="CN88" s="100">
        <v>5.2266765614192217</v>
      </c>
      <c r="CO88" s="100">
        <v>5186.9538195524356</v>
      </c>
      <c r="CP88" s="100">
        <v>5.9566850288388737</v>
      </c>
      <c r="CQ88" s="100">
        <v>5911.4142226196982</v>
      </c>
      <c r="CR88" s="100">
        <v>4.3265382610007013</v>
      </c>
      <c r="CS88" s="100">
        <v>4293.6565702170956</v>
      </c>
      <c r="CT88" s="100">
        <v>5.8047788375206659</v>
      </c>
      <c r="CU88" s="100">
        <v>5760.6625183555088</v>
      </c>
    </row>
    <row r="89" spans="2:99">
      <c r="C89" s="99" t="s">
        <v>255</v>
      </c>
      <c r="D89" s="100">
        <v>3.9186344992176609</v>
      </c>
      <c r="E89" s="100">
        <v>4161.5898381691559</v>
      </c>
      <c r="F89" s="100">
        <v>3.6087601217330354</v>
      </c>
      <c r="G89" s="100">
        <v>3832.5032492804835</v>
      </c>
      <c r="H89" s="100">
        <v>3.3990941807372361</v>
      </c>
      <c r="I89" s="100">
        <v>3609.8380199429448</v>
      </c>
      <c r="J89" s="100">
        <v>3.1123472347730252</v>
      </c>
      <c r="K89" s="100">
        <v>3305.3127633289528</v>
      </c>
      <c r="L89" s="100">
        <v>1.8520217569941679</v>
      </c>
      <c r="M89" s="100">
        <v>1966.8471059278063</v>
      </c>
      <c r="N89" s="100">
        <v>5.2108494437226582</v>
      </c>
      <c r="O89" s="100">
        <v>5533.9221092334628</v>
      </c>
      <c r="P89" s="100">
        <v>3.9013895465027133</v>
      </c>
      <c r="Q89" s="100">
        <v>4143.2756983858817</v>
      </c>
      <c r="R89" s="100">
        <v>4.5613440144299391</v>
      </c>
      <c r="S89" s="100">
        <v>4844.1473433245956</v>
      </c>
      <c r="T89" s="100">
        <v>4.2133251667698959</v>
      </c>
      <c r="U89" s="100">
        <v>4474.5513271096297</v>
      </c>
      <c r="V89" s="100">
        <v>3.6941115608497181</v>
      </c>
      <c r="W89" s="100">
        <v>3923.1464776224007</v>
      </c>
      <c r="X89" s="100">
        <v>1.1751899600095579</v>
      </c>
      <c r="Y89" s="100">
        <v>1248.0517375301504</v>
      </c>
      <c r="Z89" s="100">
        <v>2.2824431060753274</v>
      </c>
      <c r="AA89" s="100">
        <v>2423.9545786519975</v>
      </c>
      <c r="AB89" s="100">
        <v>4.6038739429315703</v>
      </c>
      <c r="AC89" s="100">
        <v>4889.3141273933279</v>
      </c>
      <c r="AD89" s="100">
        <v>3.5521132161375419</v>
      </c>
      <c r="AE89" s="100">
        <v>3772.3442355380694</v>
      </c>
      <c r="AF89" s="100">
        <v>4.1856351709894692</v>
      </c>
      <c r="AG89" s="100">
        <v>4445.1445515908163</v>
      </c>
      <c r="AH89" s="100">
        <v>0.3759510090747713</v>
      </c>
      <c r="AI89" s="100">
        <v>399.25997163740715</v>
      </c>
      <c r="AJ89" s="100">
        <v>8.1781018809836556</v>
      </c>
      <c r="AK89" s="100">
        <v>8685.1441976046426</v>
      </c>
      <c r="AL89" s="100">
        <v>5</v>
      </c>
      <c r="AM89" s="100">
        <v>5310</v>
      </c>
      <c r="AN89" s="100">
        <v>7.2903271636055207</v>
      </c>
      <c r="AO89" s="100">
        <v>7742.3274477490631</v>
      </c>
      <c r="AP89" s="100">
        <v>3.0629354437216882</v>
      </c>
      <c r="AQ89" s="100">
        <v>3252.8374412324329</v>
      </c>
      <c r="AR89" s="100">
        <v>5.2629007549591904</v>
      </c>
      <c r="AS89" s="100">
        <v>5589.2006017666599</v>
      </c>
      <c r="AT89" s="100">
        <v>0.45069464800016334</v>
      </c>
      <c r="AU89" s="100">
        <v>478.63771617617346</v>
      </c>
      <c r="AV89" s="100">
        <v>7.1981445833592623</v>
      </c>
      <c r="AW89" s="100">
        <v>7644.4295475275367</v>
      </c>
      <c r="AX89" s="100">
        <v>1.5401537866270065</v>
      </c>
      <c r="AY89" s="100">
        <v>1635.643321397881</v>
      </c>
      <c r="AZ89" s="100">
        <v>3.661418657649036</v>
      </c>
      <c r="BA89" s="100">
        <v>3888.4266144232761</v>
      </c>
      <c r="BB89" s="100">
        <v>6.4303964995203193</v>
      </c>
      <c r="BC89" s="100">
        <v>6829.0810824905793</v>
      </c>
      <c r="BD89" s="100">
        <v>4.6615071257527045</v>
      </c>
      <c r="BE89" s="100">
        <v>4950.5205675493726</v>
      </c>
      <c r="BF89" s="100">
        <v>5.9293408850984468</v>
      </c>
      <c r="BG89" s="100">
        <v>6296.960019974551</v>
      </c>
      <c r="BH89" s="100">
        <v>4.1641052095510371</v>
      </c>
      <c r="BI89" s="100">
        <v>4422.2797325432011</v>
      </c>
      <c r="BJ89" s="100">
        <v>0.45505234289887331</v>
      </c>
      <c r="BK89" s="100">
        <v>483.26558815860346</v>
      </c>
      <c r="BL89" s="100">
        <v>6.2008062539576123</v>
      </c>
      <c r="BM89" s="100">
        <v>6585.256241702984</v>
      </c>
      <c r="BN89" s="100">
        <v>6</v>
      </c>
      <c r="BO89" s="100">
        <v>6372</v>
      </c>
      <c r="BP89" s="100">
        <v>4.1447187003943071</v>
      </c>
      <c r="BQ89" s="100">
        <v>4401.6912598187546</v>
      </c>
      <c r="BR89" s="100">
        <v>6.0378922904949324</v>
      </c>
      <c r="BS89" s="100">
        <v>6412.2416125056179</v>
      </c>
      <c r="BT89" s="100">
        <v>4.6117735000833351</v>
      </c>
      <c r="BU89" s="100">
        <v>4897.7034570885016</v>
      </c>
      <c r="BV89" s="100">
        <v>5.7486098415225664</v>
      </c>
      <c r="BW89" s="100">
        <v>6105.0236516969653</v>
      </c>
      <c r="BX89" s="100">
        <v>4.9357574199468273</v>
      </c>
      <c r="BY89" s="100">
        <v>5241.7743799835307</v>
      </c>
      <c r="BZ89" s="100">
        <v>4.0935179882773944</v>
      </c>
      <c r="CA89" s="100">
        <v>4347.3161035505927</v>
      </c>
      <c r="CB89" s="100">
        <v>4.1066320664681069</v>
      </c>
      <c r="CC89" s="100">
        <v>4361.2432545891297</v>
      </c>
      <c r="CD89" s="100">
        <v>4.1301273414842042E-4</v>
      </c>
      <c r="CE89" s="100">
        <v>0.43861952366562251</v>
      </c>
      <c r="CF89" s="100">
        <v>5.4882008064855432</v>
      </c>
      <c r="CG89" s="100">
        <v>5828.4692564876468</v>
      </c>
      <c r="CH89" s="100">
        <v>5.4240215592423846</v>
      </c>
      <c r="CI89" s="100">
        <v>5760.3108959154124</v>
      </c>
      <c r="CJ89" s="100">
        <v>4.0877200780195651</v>
      </c>
      <c r="CK89" s="100">
        <v>4341.1587228567778</v>
      </c>
      <c r="CL89" s="100">
        <v>0.34344706963719723</v>
      </c>
      <c r="CM89" s="100">
        <v>364.74078795470348</v>
      </c>
      <c r="CN89" s="100">
        <v>5.1888971345160178</v>
      </c>
      <c r="CO89" s="100">
        <v>5510.6087568560106</v>
      </c>
      <c r="CP89" s="100">
        <v>5.9566850288388737</v>
      </c>
      <c r="CQ89" s="100">
        <v>6325.9995006268837</v>
      </c>
      <c r="CR89" s="100">
        <v>4.3265382610007013</v>
      </c>
      <c r="CS89" s="100">
        <v>4594.7836331827448</v>
      </c>
      <c r="CT89" s="100">
        <v>5.9149457958500626</v>
      </c>
      <c r="CU89" s="100">
        <v>6281.6724351927669</v>
      </c>
    </row>
    <row r="90" spans="2:99">
      <c r="C90" s="99" t="s">
        <v>256</v>
      </c>
      <c r="D90" s="100">
        <v>3.544284329109352</v>
      </c>
      <c r="E90" s="100">
        <v>3929.9024641164492</v>
      </c>
      <c r="F90" s="100">
        <v>3.0927369756158978</v>
      </c>
      <c r="G90" s="100">
        <v>3429.2267585629074</v>
      </c>
      <c r="H90" s="100">
        <v>3.5265262201082961</v>
      </c>
      <c r="I90" s="100">
        <v>3910.2122728560785</v>
      </c>
      <c r="J90" s="100">
        <v>3.5908515106564738</v>
      </c>
      <c r="K90" s="100">
        <v>3981.5361550158977</v>
      </c>
      <c r="L90" s="100">
        <v>1.8520217569941679</v>
      </c>
      <c r="M90" s="100">
        <v>2053.5217241551331</v>
      </c>
      <c r="N90" s="100">
        <v>4.5333095854651706</v>
      </c>
      <c r="O90" s="100">
        <v>5026.5336683637806</v>
      </c>
      <c r="P90" s="100">
        <v>3.9804489848677322</v>
      </c>
      <c r="Q90" s="100">
        <v>4413.5218344213417</v>
      </c>
      <c r="R90" s="100">
        <v>4.5613440144299391</v>
      </c>
      <c r="S90" s="100">
        <v>5057.6182431999159</v>
      </c>
      <c r="T90" s="100">
        <v>3.7477363482675634</v>
      </c>
      <c r="U90" s="100">
        <v>4155.4900629590738</v>
      </c>
      <c r="V90" s="100">
        <v>3.7807084472034274</v>
      </c>
      <c r="W90" s="100">
        <v>4192.0495262591603</v>
      </c>
      <c r="X90" s="100">
        <v>1.1729289307618538</v>
      </c>
      <c r="Y90" s="100">
        <v>1300.5435984287435</v>
      </c>
      <c r="Z90" s="100">
        <v>2.5574159769290805</v>
      </c>
      <c r="AA90" s="100">
        <v>2835.6628352189646</v>
      </c>
      <c r="AB90" s="100">
        <v>4.6038739429315703</v>
      </c>
      <c r="AC90" s="100">
        <v>5104.7754279225246</v>
      </c>
      <c r="AD90" s="100">
        <v>4.1896528810196028</v>
      </c>
      <c r="AE90" s="100">
        <v>4645.4871144745357</v>
      </c>
      <c r="AF90" s="100">
        <v>4.1856351709894692</v>
      </c>
      <c r="AG90" s="100">
        <v>4641.0322775931236</v>
      </c>
      <c r="AH90" s="100">
        <v>0.37516147571005759</v>
      </c>
      <c r="AI90" s="100">
        <v>415.97904426731185</v>
      </c>
      <c r="AJ90" s="100">
        <v>8.1781018809836556</v>
      </c>
      <c r="AK90" s="100">
        <v>9067.879365634677</v>
      </c>
      <c r="AL90" s="100">
        <v>5</v>
      </c>
      <c r="AM90" s="100">
        <v>5544</v>
      </c>
      <c r="AN90" s="100">
        <v>7.3531104253769026</v>
      </c>
      <c r="AO90" s="100">
        <v>8153.1288396579093</v>
      </c>
      <c r="AP90" s="100">
        <v>2.9841547076436403</v>
      </c>
      <c r="AQ90" s="100">
        <v>3308.8307398352681</v>
      </c>
      <c r="AR90" s="100">
        <v>5.1509245700969402</v>
      </c>
      <c r="AS90" s="100">
        <v>5711.3451633234872</v>
      </c>
      <c r="AT90" s="100">
        <v>0.52258876317141822</v>
      </c>
      <c r="AU90" s="100">
        <v>579.44642060446847</v>
      </c>
      <c r="AV90" s="100">
        <v>7.1981445833592623</v>
      </c>
      <c r="AW90" s="100">
        <v>7981.3027140287495</v>
      </c>
      <c r="AX90" s="100">
        <v>1.3410044370913525</v>
      </c>
      <c r="AY90" s="100">
        <v>1486.9057198468915</v>
      </c>
      <c r="AZ90" s="100">
        <v>4.4020067829620428</v>
      </c>
      <c r="BA90" s="100">
        <v>4880.9451209483132</v>
      </c>
      <c r="BB90" s="100">
        <v>5.5738619993604255</v>
      </c>
      <c r="BC90" s="100">
        <v>6180.2981848908394</v>
      </c>
      <c r="BD90" s="100">
        <v>5.5938085509032449</v>
      </c>
      <c r="BE90" s="100">
        <v>6202.4149212415177</v>
      </c>
      <c r="BF90" s="100">
        <v>5.2511620871521973</v>
      </c>
      <c r="BG90" s="100">
        <v>5822.4885222343564</v>
      </c>
      <c r="BH90" s="100">
        <v>4.0222070858416794</v>
      </c>
      <c r="BI90" s="100">
        <v>4459.8232167812539</v>
      </c>
      <c r="BJ90" s="100">
        <v>0.39959467985594693</v>
      </c>
      <c r="BK90" s="100">
        <v>443.07058102427396</v>
      </c>
      <c r="BL90" s="100">
        <v>6.1673385449646769</v>
      </c>
      <c r="BM90" s="100">
        <v>6838.3449786568335</v>
      </c>
      <c r="BN90" s="100">
        <v>7</v>
      </c>
      <c r="BO90" s="100">
        <v>7761.5999999999995</v>
      </c>
      <c r="BP90" s="100">
        <v>4.9736624404731691</v>
      </c>
      <c r="BQ90" s="100">
        <v>5514.7969139966499</v>
      </c>
      <c r="BR90" s="100">
        <v>5.4146254496175548</v>
      </c>
      <c r="BS90" s="100">
        <v>6003.7366985359449</v>
      </c>
      <c r="BT90" s="100">
        <v>5.2414976790607195</v>
      </c>
      <c r="BU90" s="100">
        <v>5811.7726265425254</v>
      </c>
      <c r="BV90" s="100">
        <v>5.1015715228044023</v>
      </c>
      <c r="BW90" s="100">
        <v>5656.6225044855209</v>
      </c>
      <c r="BX90" s="100">
        <v>4.8322638073487854</v>
      </c>
      <c r="BY90" s="100">
        <v>5358.0141095883328</v>
      </c>
      <c r="BZ90" s="100">
        <v>4.2111801161619296</v>
      </c>
      <c r="CA90" s="100">
        <v>4669.3565128003474</v>
      </c>
      <c r="CB90" s="100">
        <v>4.7121821548136715</v>
      </c>
      <c r="CC90" s="100">
        <v>5224.8675732573984</v>
      </c>
      <c r="CD90" s="100">
        <v>4.1301273414842042E-4</v>
      </c>
      <c r="CE90" s="100">
        <v>0.45794851962376854</v>
      </c>
      <c r="CF90" s="100">
        <v>5.4882008064855432</v>
      </c>
      <c r="CG90" s="100">
        <v>6085.31705423117</v>
      </c>
      <c r="CH90" s="100">
        <v>4.9011970349150431</v>
      </c>
      <c r="CI90" s="100">
        <v>5434.4472723137997</v>
      </c>
      <c r="CJ90" s="100">
        <v>3.9873344671008941</v>
      </c>
      <c r="CK90" s="100">
        <v>4421.1564571214712</v>
      </c>
      <c r="CL90" s="100">
        <v>0.34287033595337046</v>
      </c>
      <c r="CM90" s="100">
        <v>380.17462850509713</v>
      </c>
      <c r="CN90" s="100">
        <v>6.2266765614192217</v>
      </c>
      <c r="CO90" s="100">
        <v>6904.1389713016324</v>
      </c>
      <c r="CP90" s="100">
        <v>5.9566850288388737</v>
      </c>
      <c r="CQ90" s="100">
        <v>6604.7723599765432</v>
      </c>
      <c r="CR90" s="100">
        <v>4.3265382610007013</v>
      </c>
      <c r="CS90" s="100">
        <v>4797.2656237975771</v>
      </c>
      <c r="CT90" s="100">
        <v>5.9149457958500626</v>
      </c>
      <c r="CU90" s="100">
        <v>6558.4918984385495</v>
      </c>
    </row>
    <row r="91" spans="2:99">
      <c r="C91" s="99" t="s">
        <v>257</v>
      </c>
      <c r="D91" s="100">
        <v>3.2182372042915532</v>
      </c>
      <c r="E91" s="100">
        <v>3657.2047589569206</v>
      </c>
      <c r="F91" s="100">
        <v>3.0880967082434627</v>
      </c>
      <c r="G91" s="100">
        <v>3509.3130992478705</v>
      </c>
      <c r="H91" s="100">
        <v>3.3990941807372361</v>
      </c>
      <c r="I91" s="100">
        <v>3862.7306269897945</v>
      </c>
      <c r="J91" s="100">
        <v>3.1088603900058063</v>
      </c>
      <c r="K91" s="100">
        <v>3532.908947202598</v>
      </c>
      <c r="L91" s="100">
        <v>1.8520217569941679</v>
      </c>
      <c r="M91" s="100">
        <v>2104.6375246481721</v>
      </c>
      <c r="N91" s="100">
        <v>5.3005460254729382</v>
      </c>
      <c r="O91" s="100">
        <v>6023.5405033474462</v>
      </c>
      <c r="P91" s="100">
        <v>3.9186968916391285</v>
      </c>
      <c r="Q91" s="100">
        <v>4453.2071476587053</v>
      </c>
      <c r="R91" s="100">
        <v>4.4609127426537345</v>
      </c>
      <c r="S91" s="100">
        <v>5069.3812407517034</v>
      </c>
      <c r="T91" s="100">
        <v>3.7477363482675634</v>
      </c>
      <c r="U91" s="100">
        <v>4258.9275861712586</v>
      </c>
      <c r="V91" s="100">
        <v>3.2421054820345931</v>
      </c>
      <c r="W91" s="100">
        <v>3684.3286697841113</v>
      </c>
      <c r="X91" s="100">
        <v>1.2220688019595547</v>
      </c>
      <c r="Y91" s="100">
        <v>1388.7589865468378</v>
      </c>
      <c r="Z91" s="100">
        <v>2.2799647398253304</v>
      </c>
      <c r="AA91" s="100">
        <v>2590.951930337505</v>
      </c>
      <c r="AB91" s="100">
        <v>4.7139807566842329</v>
      </c>
      <c r="AC91" s="100">
        <v>5356.9677318959621</v>
      </c>
      <c r="AD91" s="100">
        <v>3.5521132161375419</v>
      </c>
      <c r="AE91" s="100">
        <v>4036.6214588187022</v>
      </c>
      <c r="AF91" s="100">
        <v>4.8350588512153729</v>
      </c>
      <c r="AG91" s="100">
        <v>5494.5608785211489</v>
      </c>
      <c r="AH91" s="100">
        <v>0.37516147571005759</v>
      </c>
      <c r="AI91" s="100">
        <v>426.33350099690938</v>
      </c>
      <c r="AJ91" s="100">
        <v>8.1781018809836556</v>
      </c>
      <c r="AK91" s="100">
        <v>9293.5949775498248</v>
      </c>
      <c r="AL91" s="100">
        <v>4</v>
      </c>
      <c r="AM91" s="100">
        <v>4545.5999999999995</v>
      </c>
      <c r="AN91" s="100">
        <v>6.5221463199413847</v>
      </c>
      <c r="AO91" s="100">
        <v>7411.7670779813889</v>
      </c>
      <c r="AP91" s="100">
        <v>3.7301933845545507</v>
      </c>
      <c r="AQ91" s="100">
        <v>4238.991762207791</v>
      </c>
      <c r="AR91" s="100">
        <v>5.2629007549591904</v>
      </c>
      <c r="AS91" s="100">
        <v>5980.7604179356231</v>
      </c>
      <c r="AT91" s="100">
        <v>0.45069464800016334</v>
      </c>
      <c r="AU91" s="100">
        <v>512.16939798738554</v>
      </c>
      <c r="AV91" s="100">
        <v>7.1981445833592623</v>
      </c>
      <c r="AW91" s="100">
        <v>8179.9715045294652</v>
      </c>
      <c r="AX91" s="100">
        <v>1.3305681271001077</v>
      </c>
      <c r="AY91" s="100">
        <v>1512.0576196365623</v>
      </c>
      <c r="AZ91" s="100">
        <v>4.4073532669580064</v>
      </c>
      <c r="BA91" s="100">
        <v>5008.5162525710775</v>
      </c>
      <c r="BB91" s="100">
        <v>6.5738619993604255</v>
      </c>
      <c r="BC91" s="100">
        <v>7470.536776073187</v>
      </c>
      <c r="BD91" s="100">
        <v>4.6615071257527045</v>
      </c>
      <c r="BE91" s="100">
        <v>5297.3366977053729</v>
      </c>
      <c r="BF91" s="100">
        <v>5.1503799868465077</v>
      </c>
      <c r="BG91" s="100">
        <v>5852.8918170523702</v>
      </c>
      <c r="BH91" s="100">
        <v>4.9433165238984369</v>
      </c>
      <c r="BI91" s="100">
        <v>5617.5848977581827</v>
      </c>
      <c r="BJ91" s="100">
        <v>0.39959467985594693</v>
      </c>
      <c r="BK91" s="100">
        <v>454.09939418829805</v>
      </c>
      <c r="BL91" s="100">
        <v>6.1673385449646769</v>
      </c>
      <c r="BM91" s="100">
        <v>7008.5635224978578</v>
      </c>
      <c r="BN91" s="100">
        <v>6</v>
      </c>
      <c r="BO91" s="100">
        <v>6818.4</v>
      </c>
      <c r="BP91" s="100">
        <v>4.1447187003943071</v>
      </c>
      <c r="BQ91" s="100">
        <v>4710.0583311280898</v>
      </c>
      <c r="BR91" s="100">
        <v>6.0378922904949324</v>
      </c>
      <c r="BS91" s="100">
        <v>6861.4607989184406</v>
      </c>
      <c r="BT91" s="100">
        <v>5.1284009031579902</v>
      </c>
      <c r="BU91" s="100">
        <v>5827.9147863487397</v>
      </c>
      <c r="BV91" s="100">
        <v>5.1064775852412367</v>
      </c>
      <c r="BW91" s="100">
        <v>5803.0011278681404</v>
      </c>
      <c r="BX91" s="100">
        <v>4.8322638073487854</v>
      </c>
      <c r="BY91" s="100">
        <v>5491.3845906711595</v>
      </c>
      <c r="BZ91" s="100">
        <v>4.0972654644830744</v>
      </c>
      <c r="CA91" s="100">
        <v>4656.1324738385656</v>
      </c>
      <c r="CB91" s="100">
        <v>4.1037112061636805</v>
      </c>
      <c r="CC91" s="100">
        <v>4663.4574146844061</v>
      </c>
      <c r="CD91" s="100">
        <v>4.8184818983982393E-4</v>
      </c>
      <c r="CE91" s="100">
        <v>0.54757228293397586</v>
      </c>
      <c r="CF91" s="100">
        <v>5.4882362644624898</v>
      </c>
      <c r="CG91" s="100">
        <v>6236.8316909351724</v>
      </c>
      <c r="CH91" s="100">
        <v>4.896973548388706</v>
      </c>
      <c r="CI91" s="100">
        <v>5564.920740388925</v>
      </c>
      <c r="CJ91" s="100">
        <v>4.651890211617709</v>
      </c>
      <c r="CK91" s="100">
        <v>5286.408036482364</v>
      </c>
      <c r="CL91" s="100">
        <v>0.34287033595337046</v>
      </c>
      <c r="CM91" s="100">
        <v>389.63784977741017</v>
      </c>
      <c r="CN91" s="100">
        <v>6.2266765614192217</v>
      </c>
      <c r="CO91" s="100">
        <v>7075.9952443968023</v>
      </c>
      <c r="CP91" s="100">
        <v>5.9566850288388737</v>
      </c>
      <c r="CQ91" s="100">
        <v>6769.1768667724955</v>
      </c>
      <c r="CR91" s="100">
        <v>4.3265382610007013</v>
      </c>
      <c r="CS91" s="100">
        <v>4916.678079801196</v>
      </c>
      <c r="CT91" s="100">
        <v>6.4477509734637017</v>
      </c>
      <c r="CU91" s="100">
        <v>7327.2242062441501</v>
      </c>
    </row>
    <row r="92" spans="2:99">
      <c r="C92" s="99" t="s">
        <v>258</v>
      </c>
      <c r="D92" s="100">
        <v>3.4734202322443637</v>
      </c>
      <c r="E92" s="100">
        <v>2725.9401982653767</v>
      </c>
      <c r="F92" s="100">
        <v>3.7066441033666426</v>
      </c>
      <c r="G92" s="100">
        <v>2908.9742923221411</v>
      </c>
      <c r="H92" s="100">
        <v>3.3990941807372361</v>
      </c>
      <c r="I92" s="100">
        <v>2667.609113042583</v>
      </c>
      <c r="J92" s="100">
        <v>3.5908515106564738</v>
      </c>
      <c r="K92" s="100">
        <v>2818.1002655632005</v>
      </c>
      <c r="L92" s="100">
        <v>1.8496227447699825</v>
      </c>
      <c r="M92" s="100">
        <v>1451.5839300954822</v>
      </c>
      <c r="N92" s="100">
        <v>5.2132978846187639</v>
      </c>
      <c r="O92" s="100">
        <v>4091.3961798488058</v>
      </c>
      <c r="P92" s="100">
        <v>3.9804489848677322</v>
      </c>
      <c r="Q92" s="100">
        <v>3123.8563633241961</v>
      </c>
      <c r="R92" s="100">
        <v>5.0464395984145769</v>
      </c>
      <c r="S92" s="100">
        <v>3960.4457968357597</v>
      </c>
      <c r="T92" s="100">
        <v>4.2169238606784027</v>
      </c>
      <c r="U92" s="100">
        <v>3309.4418458604105</v>
      </c>
      <c r="V92" s="100">
        <v>3.3287023683883028</v>
      </c>
      <c r="W92" s="100">
        <v>2612.3656187111401</v>
      </c>
      <c r="X92" s="100">
        <v>1.2198077727118508</v>
      </c>
      <c r="Y92" s="100">
        <v>957.30514002426048</v>
      </c>
      <c r="Z92" s="100">
        <v>2.2799647398253304</v>
      </c>
      <c r="AA92" s="100">
        <v>1789.3163278149193</v>
      </c>
      <c r="AB92" s="100">
        <v>4.6038739429315703</v>
      </c>
      <c r="AC92" s="100">
        <v>3613.1202704126963</v>
      </c>
      <c r="AD92" s="100">
        <v>3.5521132161375419</v>
      </c>
      <c r="AE92" s="100">
        <v>2787.6984520247429</v>
      </c>
      <c r="AF92" s="100">
        <v>4.1856351709894692</v>
      </c>
      <c r="AG92" s="100">
        <v>3284.8864821925354</v>
      </c>
      <c r="AH92" s="100">
        <v>0.32303325542880335</v>
      </c>
      <c r="AI92" s="100">
        <v>253.51649886052485</v>
      </c>
      <c r="AJ92" s="100">
        <v>8.1781018809836556</v>
      </c>
      <c r="AK92" s="100">
        <v>6418.1743561959729</v>
      </c>
      <c r="AL92" s="100">
        <v>5</v>
      </c>
      <c r="AM92" s="100">
        <v>3924</v>
      </c>
      <c r="AN92" s="100">
        <v>7.2903271636055207</v>
      </c>
      <c r="AO92" s="100">
        <v>5721.4487579976121</v>
      </c>
      <c r="AP92" s="100">
        <v>3.6514126484765028</v>
      </c>
      <c r="AQ92" s="100">
        <v>2865.6286465243593</v>
      </c>
      <c r="AR92" s="100">
        <v>5.2629007549591904</v>
      </c>
      <c r="AS92" s="100">
        <v>4130.3245124919722</v>
      </c>
      <c r="AT92" s="100">
        <v>0.52258876317141822</v>
      </c>
      <c r="AU92" s="100">
        <v>410.12766133692901</v>
      </c>
      <c r="AV92" s="100">
        <v>7.1981445833592623</v>
      </c>
      <c r="AW92" s="100">
        <v>5649.1038690203486</v>
      </c>
      <c r="AX92" s="100">
        <v>1.5401537866270065</v>
      </c>
      <c r="AY92" s="100">
        <v>1208.7126917448747</v>
      </c>
      <c r="AZ92" s="100">
        <v>4.4073532669580064</v>
      </c>
      <c r="BA92" s="100">
        <v>3458.8908439086431</v>
      </c>
      <c r="BB92" s="100">
        <v>6.5738619993604255</v>
      </c>
      <c r="BC92" s="100">
        <v>5159.1668970980618</v>
      </c>
      <c r="BD92" s="100">
        <v>4.6615071257527045</v>
      </c>
      <c r="BE92" s="100">
        <v>3658.3507922907224</v>
      </c>
      <c r="BF92" s="100">
        <v>5.2511620871521973</v>
      </c>
      <c r="BG92" s="100">
        <v>4121.1120059970444</v>
      </c>
      <c r="BH92" s="100">
        <v>4.8059161573720726</v>
      </c>
      <c r="BI92" s="100">
        <v>3771.6830003056025</v>
      </c>
      <c r="BJ92" s="100">
        <v>0.39899515151092263</v>
      </c>
      <c r="BK92" s="100">
        <v>313.13139490577208</v>
      </c>
      <c r="BL92" s="100">
        <v>6.2008062539576123</v>
      </c>
      <c r="BM92" s="100">
        <v>4866.3927481059336</v>
      </c>
      <c r="BN92" s="100">
        <v>8</v>
      </c>
      <c r="BO92" s="100">
        <v>6278.4</v>
      </c>
      <c r="BP92" s="100">
        <v>4.1447187003943071</v>
      </c>
      <c r="BQ92" s="100">
        <v>3252.7752360694521</v>
      </c>
      <c r="BR92" s="100">
        <v>5.4146254496175548</v>
      </c>
      <c r="BS92" s="100">
        <v>4249.3980528598568</v>
      </c>
      <c r="BT92" s="100">
        <v>4.5033157236139321</v>
      </c>
      <c r="BU92" s="100">
        <v>3534.2021798922137</v>
      </c>
      <c r="BV92" s="100">
        <v>5.7437037790857319</v>
      </c>
      <c r="BW92" s="100">
        <v>4507.6587258264817</v>
      </c>
      <c r="BX92" s="100">
        <v>4.8322638073487854</v>
      </c>
      <c r="BY92" s="100">
        <v>3792.3606360073263</v>
      </c>
      <c r="BZ92" s="100">
        <v>4.2111801161619296</v>
      </c>
      <c r="CA92" s="100">
        <v>3304.9341551638822</v>
      </c>
      <c r="CB92" s="100">
        <v>4.1066320664681069</v>
      </c>
      <c r="CC92" s="100">
        <v>3222.8848457641702</v>
      </c>
      <c r="CD92" s="100">
        <v>4.1301273414842042E-4</v>
      </c>
      <c r="CE92" s="100">
        <v>0.32413239375968034</v>
      </c>
      <c r="CF92" s="100">
        <v>5.4882008064855432</v>
      </c>
      <c r="CG92" s="100">
        <v>4307.1399929298541</v>
      </c>
      <c r="CH92" s="100">
        <v>5.5349586439689276</v>
      </c>
      <c r="CI92" s="100">
        <v>4343.835543786814</v>
      </c>
      <c r="CJ92" s="100">
        <v>3.9873344671008941</v>
      </c>
      <c r="CK92" s="100">
        <v>3129.2600897807815</v>
      </c>
      <c r="CL92" s="100">
        <v>0.39028639251917929</v>
      </c>
      <c r="CM92" s="100">
        <v>306.29676084905191</v>
      </c>
      <c r="CN92" s="100">
        <v>5.2266765614192217</v>
      </c>
      <c r="CO92" s="100">
        <v>4101.895765401805</v>
      </c>
      <c r="CP92" s="100">
        <v>6.9494658669786862</v>
      </c>
      <c r="CQ92" s="100">
        <v>5453.9408124048723</v>
      </c>
      <c r="CR92" s="100">
        <v>4.3265382610007013</v>
      </c>
      <c r="CS92" s="100">
        <v>3395.4672272333501</v>
      </c>
      <c r="CT92" s="100">
        <v>6.5579179317930985</v>
      </c>
      <c r="CU92" s="100">
        <v>5146.6539928712236</v>
      </c>
    </row>
    <row r="93" spans="2:99">
      <c r="C93" s="99" t="s">
        <v>259</v>
      </c>
      <c r="D93" s="100">
        <v>3.2182372042915532</v>
      </c>
      <c r="E93" s="100">
        <v>2232.1693248966212</v>
      </c>
      <c r="F93" s="100">
        <v>3.697363568621773</v>
      </c>
      <c r="G93" s="100">
        <v>2564.4913711960617</v>
      </c>
      <c r="H93" s="100">
        <v>4.2416246074012536</v>
      </c>
      <c r="I93" s="100">
        <v>2941.9908276935098</v>
      </c>
      <c r="J93" s="100">
        <v>3.6654806292018871</v>
      </c>
      <c r="K93" s="100">
        <v>2542.3773644144289</v>
      </c>
      <c r="L93" s="100">
        <v>1.8520217569941679</v>
      </c>
      <c r="M93" s="100">
        <v>1284.5622906511549</v>
      </c>
      <c r="N93" s="100">
        <v>5.2132978846187639</v>
      </c>
      <c r="O93" s="100">
        <v>3615.9434127715749</v>
      </c>
      <c r="P93" s="100">
        <v>3.9804489848677322</v>
      </c>
      <c r="Q93" s="100">
        <v>2760.8394159042591</v>
      </c>
      <c r="R93" s="100">
        <v>5.7374753040348931</v>
      </c>
      <c r="S93" s="100">
        <v>3979.5128708786019</v>
      </c>
      <c r="T93" s="100">
        <v>4.6861113730892425</v>
      </c>
      <c r="U93" s="100">
        <v>3250.2868483746988</v>
      </c>
      <c r="V93" s="100">
        <v>3.3287023683883028</v>
      </c>
      <c r="W93" s="100">
        <v>2308.7879627141269</v>
      </c>
      <c r="X93" s="100">
        <v>1.4761851020040384</v>
      </c>
      <c r="Y93" s="100">
        <v>1023.881986750001</v>
      </c>
      <c r="Z93" s="100">
        <v>2.2799647398253304</v>
      </c>
      <c r="AA93" s="100">
        <v>1581.3835435428493</v>
      </c>
      <c r="AB93" s="100">
        <v>4.7172288413662544</v>
      </c>
      <c r="AC93" s="100">
        <v>3271.8699243716342</v>
      </c>
      <c r="AD93" s="100">
        <v>4.1896528810196028</v>
      </c>
      <c r="AE93" s="100">
        <v>2905.9432382751966</v>
      </c>
      <c r="AF93" s="100">
        <v>4.8322105709025358</v>
      </c>
      <c r="AG93" s="100">
        <v>3351.6212519779988</v>
      </c>
      <c r="AH93" s="100">
        <v>0.3759510090747713</v>
      </c>
      <c r="AI93" s="100">
        <v>260.75961989426139</v>
      </c>
      <c r="AJ93" s="100">
        <v>8.1781018809836556</v>
      </c>
      <c r="AK93" s="100">
        <v>5672.331464650264</v>
      </c>
      <c r="AL93" s="100">
        <v>4</v>
      </c>
      <c r="AM93" s="100">
        <v>2774.4</v>
      </c>
      <c r="AN93" s="100">
        <v>7.2903271636055207</v>
      </c>
      <c r="AO93" s="100">
        <v>5056.5709206767897</v>
      </c>
      <c r="AP93" s="100">
        <v>3.7301933845545507</v>
      </c>
      <c r="AQ93" s="100">
        <v>2587.2621315270367</v>
      </c>
      <c r="AR93" s="100">
        <v>5.90276753509111</v>
      </c>
      <c r="AS93" s="100">
        <v>4094.1595623391941</v>
      </c>
      <c r="AT93" s="100">
        <v>0.52535018559608027</v>
      </c>
      <c r="AU93" s="100">
        <v>364.38288872944128</v>
      </c>
      <c r="AV93" s="100">
        <v>7.1981445833592623</v>
      </c>
      <c r="AW93" s="100">
        <v>4992.6330830179841</v>
      </c>
      <c r="AX93" s="100">
        <v>1.3305681271001077</v>
      </c>
      <c r="AY93" s="100">
        <v>922.88205295663477</v>
      </c>
      <c r="AZ93" s="100">
        <v>4.3966602989660792</v>
      </c>
      <c r="BA93" s="100">
        <v>3049.5235833628726</v>
      </c>
      <c r="BB93" s="100">
        <v>6.5738619993604255</v>
      </c>
      <c r="BC93" s="100">
        <v>4559.6306827563913</v>
      </c>
      <c r="BD93" s="100">
        <v>4.6615071257527045</v>
      </c>
      <c r="BE93" s="100">
        <v>3233.2213424220758</v>
      </c>
      <c r="BF93" s="100">
        <v>5.1503799868465077</v>
      </c>
      <c r="BG93" s="100">
        <v>3572.303558876738</v>
      </c>
      <c r="BH93" s="100">
        <v>4.8059161573720726</v>
      </c>
      <c r="BI93" s="100">
        <v>3333.3834467532697</v>
      </c>
      <c r="BJ93" s="100">
        <v>0.45445281455384895</v>
      </c>
      <c r="BK93" s="100">
        <v>315.20847217454963</v>
      </c>
      <c r="BL93" s="100">
        <v>5.2008062539576123</v>
      </c>
      <c r="BM93" s="100">
        <v>3607.2792177450001</v>
      </c>
      <c r="BN93" s="100">
        <v>6</v>
      </c>
      <c r="BO93" s="100">
        <v>4161.6000000000004</v>
      </c>
      <c r="BP93" s="100">
        <v>4.9736624404731691</v>
      </c>
      <c r="BQ93" s="100">
        <v>3449.73226871219</v>
      </c>
      <c r="BR93" s="100">
        <v>6.0378922904949324</v>
      </c>
      <c r="BS93" s="100">
        <v>4187.882092687285</v>
      </c>
      <c r="BT93" s="100">
        <v>5.3592334543967732</v>
      </c>
      <c r="BU93" s="100">
        <v>3717.1643239696018</v>
      </c>
      <c r="BV93" s="100">
        <v>5.1015715228044023</v>
      </c>
      <c r="BW93" s="100">
        <v>3538.4500082171335</v>
      </c>
      <c r="BX93" s="100">
        <v>4.8324053016765927</v>
      </c>
      <c r="BY93" s="100">
        <v>3351.756317242885</v>
      </c>
      <c r="BZ93" s="100">
        <v>4.2111801161619296</v>
      </c>
      <c r="CA93" s="100">
        <v>2920.8745285699142</v>
      </c>
      <c r="CB93" s="100">
        <v>4.1066320664681069</v>
      </c>
      <c r="CC93" s="100">
        <v>2848.3600013022792</v>
      </c>
      <c r="CD93" s="100">
        <v>4.1301273414842042E-4</v>
      </c>
      <c r="CE93" s="100">
        <v>0.28646563240534439</v>
      </c>
      <c r="CF93" s="100">
        <v>5.4882008064855432</v>
      </c>
      <c r="CG93" s="100">
        <v>3806.6160793783729</v>
      </c>
      <c r="CH93" s="100">
        <v>4.905420521441382</v>
      </c>
      <c r="CI93" s="100">
        <v>3402.3996736717427</v>
      </c>
      <c r="CJ93" s="100">
        <v>4.651890211617709</v>
      </c>
      <c r="CK93" s="100">
        <v>3226.5510507780432</v>
      </c>
      <c r="CL93" s="100">
        <v>0.39086312620300606</v>
      </c>
      <c r="CM93" s="100">
        <v>271.10266433440501</v>
      </c>
      <c r="CN93" s="100">
        <v>5.2266765614192217</v>
      </c>
      <c r="CO93" s="100">
        <v>3625.2228630003724</v>
      </c>
      <c r="CP93" s="100">
        <v>5.9566850288388737</v>
      </c>
      <c r="CQ93" s="100">
        <v>4131.5567360026425</v>
      </c>
      <c r="CR93" s="100">
        <v>4.4020542127841038</v>
      </c>
      <c r="CS93" s="100">
        <v>3053.2648019870544</v>
      </c>
      <c r="CT93" s="100">
        <v>6.5579179317930985</v>
      </c>
      <c r="CU93" s="100">
        <v>4548.5718774916932</v>
      </c>
    </row>
    <row r="94" spans="2:99">
      <c r="C94" s="99" t="s">
        <v>260</v>
      </c>
      <c r="D94" s="100">
        <v>3.9212343783239998</v>
      </c>
      <c r="E94" s="100">
        <v>4677.2483664648671</v>
      </c>
      <c r="F94" s="100">
        <v>3.702003835994208</v>
      </c>
      <c r="G94" s="100">
        <v>4415.7501755738913</v>
      </c>
      <c r="H94" s="100">
        <v>3.5265262201082961</v>
      </c>
      <c r="I94" s="100">
        <v>4206.4404753451754</v>
      </c>
      <c r="J94" s="100">
        <v>3.0586463249079676</v>
      </c>
      <c r="K94" s="100">
        <v>3648.3533363502238</v>
      </c>
      <c r="L94" s="100">
        <v>1.8520217569941679</v>
      </c>
      <c r="M94" s="100">
        <v>2209.0915517426433</v>
      </c>
      <c r="N94" s="100">
        <v>5.2132978846187639</v>
      </c>
      <c r="O94" s="100">
        <v>6218.4217167732613</v>
      </c>
      <c r="P94" s="100">
        <v>4.000640887526882</v>
      </c>
      <c r="Q94" s="100">
        <v>4771.9644506420645</v>
      </c>
      <c r="R94" s="100">
        <v>5.0413620203313094</v>
      </c>
      <c r="S94" s="100">
        <v>6013.336617851186</v>
      </c>
      <c r="T94" s="100">
        <v>4.2169238606784027</v>
      </c>
      <c r="U94" s="100">
        <v>5029.9467810171982</v>
      </c>
      <c r="V94" s="100">
        <v>3.3287023683883028</v>
      </c>
      <c r="W94" s="100">
        <v>3970.4761850135674</v>
      </c>
      <c r="X94" s="100">
        <v>1.1729289307618538</v>
      </c>
      <c r="Y94" s="100">
        <v>1399.0696286127391</v>
      </c>
      <c r="Z94" s="100">
        <v>2.5574159769290805</v>
      </c>
      <c r="AA94" s="100">
        <v>3050.4857772810069</v>
      </c>
      <c r="AB94" s="100">
        <v>4.6038739429315703</v>
      </c>
      <c r="AC94" s="100">
        <v>5491.5008391287765</v>
      </c>
      <c r="AD94" s="100">
        <v>4.1896528810196028</v>
      </c>
      <c r="AE94" s="100">
        <v>4997.4179564801816</v>
      </c>
      <c r="AF94" s="100">
        <v>4.1856351709894692</v>
      </c>
      <c r="AG94" s="100">
        <v>4992.625631956239</v>
      </c>
      <c r="AH94" s="100">
        <v>0.32224372206408969</v>
      </c>
      <c r="AI94" s="100">
        <v>384.37231167804617</v>
      </c>
      <c r="AJ94" s="100">
        <v>8.1781018809836556</v>
      </c>
      <c r="AK94" s="100">
        <v>9754.8399236373043</v>
      </c>
      <c r="AL94" s="100">
        <v>4</v>
      </c>
      <c r="AM94" s="100">
        <v>4771.2</v>
      </c>
      <c r="AN94" s="100">
        <v>6.5221463199413847</v>
      </c>
      <c r="AO94" s="100">
        <v>7779.6161304260831</v>
      </c>
      <c r="AP94" s="100">
        <v>3.0629354437216882</v>
      </c>
      <c r="AQ94" s="100">
        <v>3653.4693972712298</v>
      </c>
      <c r="AR94" s="100">
        <v>5.2629007549591904</v>
      </c>
      <c r="AS94" s="100">
        <v>6277.5880205153217</v>
      </c>
      <c r="AT94" s="100">
        <v>0.52535018559608027</v>
      </c>
      <c r="AU94" s="100">
        <v>626.63770137900451</v>
      </c>
      <c r="AV94" s="100">
        <v>7.1981445833592623</v>
      </c>
      <c r="AW94" s="100">
        <v>8585.946859030928</v>
      </c>
      <c r="AX94" s="100">
        <v>1.3410044370913525</v>
      </c>
      <c r="AY94" s="100">
        <v>1599.5500925625652</v>
      </c>
      <c r="AZ94" s="100">
        <v>4.3966602989660792</v>
      </c>
      <c r="BA94" s="100">
        <v>5244.3364046067391</v>
      </c>
      <c r="BB94" s="100">
        <v>6.5738619993604255</v>
      </c>
      <c r="BC94" s="100">
        <v>7841.3025928371153</v>
      </c>
      <c r="BD94" s="100">
        <v>4.6615071257527045</v>
      </c>
      <c r="BE94" s="100">
        <v>5560.2456995978255</v>
      </c>
      <c r="BF94" s="100">
        <v>5.1503799868465077</v>
      </c>
      <c r="BG94" s="100">
        <v>6143.3732483105141</v>
      </c>
      <c r="BH94" s="100">
        <v>4.8059161573720726</v>
      </c>
      <c r="BI94" s="100">
        <v>5732.4967925134079</v>
      </c>
      <c r="BJ94" s="100">
        <v>0.39839562316589827</v>
      </c>
      <c r="BK94" s="100">
        <v>475.20629931228342</v>
      </c>
      <c r="BL94" s="100">
        <v>6.2008062539576123</v>
      </c>
      <c r="BM94" s="100">
        <v>7396.32169972064</v>
      </c>
      <c r="BN94" s="100">
        <v>6</v>
      </c>
      <c r="BO94" s="100">
        <v>7156.7999999999993</v>
      </c>
      <c r="BP94" s="100">
        <v>4.9736624404731691</v>
      </c>
      <c r="BQ94" s="100">
        <v>5932.5845589963956</v>
      </c>
      <c r="BR94" s="100">
        <v>5.4146254496175548</v>
      </c>
      <c r="BS94" s="100">
        <v>6458.5652363038189</v>
      </c>
      <c r="BT94" s="100">
        <v>5.2461366784940457</v>
      </c>
      <c r="BU94" s="100">
        <v>6257.5918301076972</v>
      </c>
      <c r="BV94" s="100">
        <v>5.7437037790857319</v>
      </c>
      <c r="BW94" s="100">
        <v>6851.0898676934612</v>
      </c>
      <c r="BX94" s="100">
        <v>4.8324053016765927</v>
      </c>
      <c r="BY94" s="100">
        <v>5764.0930438398391</v>
      </c>
      <c r="BZ94" s="100">
        <v>4.0972654644830744</v>
      </c>
      <c r="CA94" s="100">
        <v>4887.2182460354106</v>
      </c>
      <c r="CB94" s="100">
        <v>4.1066320664681069</v>
      </c>
      <c r="CC94" s="100">
        <v>4898.3907288831579</v>
      </c>
      <c r="CD94" s="100">
        <v>4.1301273414842042E-4</v>
      </c>
      <c r="CE94" s="100">
        <v>0.49264158929223584</v>
      </c>
      <c r="CF94" s="100">
        <v>5.4882008064855432</v>
      </c>
      <c r="CG94" s="100">
        <v>6546.3259219759557</v>
      </c>
      <c r="CH94" s="100">
        <v>5.5307351574425887</v>
      </c>
      <c r="CI94" s="100">
        <v>6597.0608957975192</v>
      </c>
      <c r="CJ94" s="100">
        <v>4.5515046006990385</v>
      </c>
      <c r="CK94" s="100">
        <v>5429.0346877138127</v>
      </c>
      <c r="CL94" s="100">
        <v>0.39086312620300606</v>
      </c>
      <c r="CM94" s="100">
        <v>466.22153693494562</v>
      </c>
      <c r="CN94" s="100">
        <v>5.1888971345160178</v>
      </c>
      <c r="CO94" s="100">
        <v>6189.3165020507058</v>
      </c>
      <c r="CP94" s="100">
        <v>4.9639041906990622</v>
      </c>
      <c r="CQ94" s="100">
        <v>5920.9449186658412</v>
      </c>
      <c r="CR94" s="100">
        <v>3.2553656558716235</v>
      </c>
      <c r="CS94" s="100">
        <v>3883.0001543236722</v>
      </c>
      <c r="CT94" s="100">
        <v>6.5579179317930985</v>
      </c>
      <c r="CU94" s="100">
        <v>7822.2845090428073</v>
      </c>
    </row>
    <row r="95" spans="2:99">
      <c r="B95" s="99" t="s">
        <v>132</v>
      </c>
      <c r="C95" s="99" t="s">
        <v>261</v>
      </c>
      <c r="D95" s="100">
        <v>5.2620769374565697</v>
      </c>
      <c r="E95" s="100">
        <v>1730.1708970357201</v>
      </c>
      <c r="F95" s="100">
        <v>5.8129374609995841</v>
      </c>
      <c r="G95" s="100">
        <v>1911.2938371766634</v>
      </c>
      <c r="H95" s="100">
        <v>8.170440187898059</v>
      </c>
      <c r="I95" s="100">
        <v>2686.4407337808821</v>
      </c>
      <c r="J95" s="100">
        <v>3.1290040760106952</v>
      </c>
      <c r="K95" s="100">
        <v>1028.8165401923166</v>
      </c>
      <c r="L95" s="100">
        <v>2.7973230741641766</v>
      </c>
      <c r="M95" s="100">
        <v>919.7598267851813</v>
      </c>
      <c r="N95" s="100">
        <v>6.9923761009240861</v>
      </c>
      <c r="O95" s="100">
        <v>2299.0932619838395</v>
      </c>
      <c r="P95" s="100">
        <v>6.1547533717362555</v>
      </c>
      <c r="Q95" s="100">
        <v>2023.6829086268808</v>
      </c>
      <c r="R95" s="100">
        <v>4.357231933440838</v>
      </c>
      <c r="S95" s="100">
        <v>1432.6578597153475</v>
      </c>
      <c r="T95" s="100">
        <v>5.4139201952291529</v>
      </c>
      <c r="U95" s="100">
        <v>1780.0969601913455</v>
      </c>
      <c r="V95" s="100">
        <v>5.5817409684495383</v>
      </c>
      <c r="W95" s="100">
        <v>1835.2764304262082</v>
      </c>
      <c r="X95" s="100">
        <v>3.1351901837558542</v>
      </c>
      <c r="Y95" s="100">
        <v>1030.850532418925</v>
      </c>
      <c r="Z95" s="100">
        <v>3.8764373081616852</v>
      </c>
      <c r="AA95" s="100">
        <v>1274.5725869235621</v>
      </c>
      <c r="AB95" s="100">
        <v>7.2312592286323136</v>
      </c>
      <c r="AC95" s="100">
        <v>2377.6380343743049</v>
      </c>
      <c r="AD95" s="100">
        <v>7.6736721336250087</v>
      </c>
      <c r="AE95" s="100">
        <v>2523.1033975359028</v>
      </c>
      <c r="AF95" s="100">
        <v>8.2224513766926588</v>
      </c>
      <c r="AG95" s="100">
        <v>2703.5420126565464</v>
      </c>
      <c r="AH95" s="100">
        <v>0.69424706431529259</v>
      </c>
      <c r="AI95" s="100">
        <v>228.26843474686822</v>
      </c>
      <c r="AJ95" s="100">
        <v>8.2849630095738487</v>
      </c>
      <c r="AK95" s="100">
        <v>2724.0958375478817</v>
      </c>
      <c r="AL95" s="100">
        <v>10</v>
      </c>
      <c r="AM95" s="100">
        <v>3288</v>
      </c>
      <c r="AN95" s="100">
        <v>7.4158936871482846</v>
      </c>
      <c r="AO95" s="100">
        <v>2438.3458443343561</v>
      </c>
      <c r="AP95" s="100">
        <v>9.1470376472954982</v>
      </c>
      <c r="AQ95" s="100">
        <v>3007.54597843076</v>
      </c>
      <c r="AR95" s="100">
        <v>6.8785628698097812</v>
      </c>
      <c r="AS95" s="100">
        <v>2261.6714715934563</v>
      </c>
      <c r="AT95" s="100">
        <v>0.45621749284948726</v>
      </c>
      <c r="AU95" s="100">
        <v>150.00431164891143</v>
      </c>
      <c r="AV95" s="100">
        <v>10.231168680585807</v>
      </c>
      <c r="AW95" s="100">
        <v>3364.0082621766132</v>
      </c>
      <c r="AX95" s="100">
        <v>2.1793470751989488</v>
      </c>
      <c r="AY95" s="100">
        <v>716.56931832541443</v>
      </c>
      <c r="AZ95" s="100">
        <v>6.8360319231107223</v>
      </c>
      <c r="BA95" s="100">
        <v>2247.6872963188057</v>
      </c>
      <c r="BB95" s="100">
        <v>10.147723998720851</v>
      </c>
      <c r="BC95" s="100">
        <v>3336.5716507794159</v>
      </c>
      <c r="BD95" s="100">
        <v>9.3230142515054091</v>
      </c>
      <c r="BE95" s="100">
        <v>3065.4070858949785</v>
      </c>
      <c r="BF95" s="100">
        <v>7.1114301845731447</v>
      </c>
      <c r="BG95" s="100">
        <v>2338.23824468765</v>
      </c>
      <c r="BH95" s="100">
        <v>6.1707109952888821</v>
      </c>
      <c r="BI95" s="100">
        <v>2028.9297752509844</v>
      </c>
      <c r="BJ95" s="100">
        <v>0.56776625401979919</v>
      </c>
      <c r="BK95" s="100">
        <v>186.68154432170999</v>
      </c>
      <c r="BL95" s="100">
        <v>9.2677416719434831</v>
      </c>
      <c r="BM95" s="100">
        <v>3047.2334617350175</v>
      </c>
      <c r="BN95" s="100">
        <v>8</v>
      </c>
      <c r="BO95" s="100">
        <v>2630.4</v>
      </c>
      <c r="BP95" s="100">
        <v>8.2894374007886142</v>
      </c>
      <c r="BQ95" s="100">
        <v>2725.5670173792964</v>
      </c>
      <c r="BR95" s="100">
        <v>7.355841092682776</v>
      </c>
      <c r="BS95" s="100">
        <v>2418.6005512740967</v>
      </c>
      <c r="BT95" s="100">
        <v>6.2818579667490875</v>
      </c>
      <c r="BU95" s="100">
        <v>2065.4748994670999</v>
      </c>
      <c r="BV95" s="100">
        <v>6.121428191209926</v>
      </c>
      <c r="BW95" s="100">
        <v>2012.7255892698238</v>
      </c>
      <c r="BX95" s="100">
        <v>7.0920940846675702</v>
      </c>
      <c r="BY95" s="100">
        <v>2331.880535038697</v>
      </c>
      <c r="BZ95" s="100">
        <v>6.5820018006766121</v>
      </c>
      <c r="CA95" s="100">
        <v>2164.1621920624702</v>
      </c>
      <c r="CB95" s="100">
        <v>7.3111590587464148</v>
      </c>
      <c r="CC95" s="100">
        <v>2403.9090985158214</v>
      </c>
      <c r="CD95" s="100">
        <v>6.1951910122263066E-4</v>
      </c>
      <c r="CE95" s="100">
        <v>0.20369788048200096</v>
      </c>
      <c r="CF95" s="100">
        <v>7.3175656173371113</v>
      </c>
      <c r="CG95" s="100">
        <v>2406.0155749804421</v>
      </c>
      <c r="CH95" s="100">
        <v>6.6082451054026423</v>
      </c>
      <c r="CI95" s="100">
        <v>2172.7909906563887</v>
      </c>
      <c r="CJ95" s="100">
        <v>7.4104988006036434</v>
      </c>
      <c r="CK95" s="100">
        <v>2436.572005638478</v>
      </c>
      <c r="CL95" s="100">
        <v>0.62852014271587719</v>
      </c>
      <c r="CM95" s="100">
        <v>206.65742292498044</v>
      </c>
      <c r="CN95" s="100">
        <v>12.226676561419222</v>
      </c>
      <c r="CO95" s="100">
        <v>4020.1312533946402</v>
      </c>
      <c r="CP95" s="100">
        <v>8.9350275432583111</v>
      </c>
      <c r="CQ95" s="100">
        <v>2937.8370562233326</v>
      </c>
      <c r="CR95" s="100">
        <v>7.6574198686557269</v>
      </c>
      <c r="CS95" s="100">
        <v>2517.7596528140029</v>
      </c>
      <c r="CT95" s="100">
        <v>6.0346221433451968</v>
      </c>
      <c r="CU95" s="100">
        <v>1984.1837607319007</v>
      </c>
    </row>
    <row r="96" spans="2:99">
      <c r="C96" s="99" t="s">
        <v>262</v>
      </c>
      <c r="D96" s="100">
        <v>5.2620769374565697</v>
      </c>
      <c r="E96" s="100">
        <v>3656.0910561448245</v>
      </c>
      <c r="F96" s="100">
        <v>4.7808911687653088</v>
      </c>
      <c r="G96" s="100">
        <v>3321.7631840581362</v>
      </c>
      <c r="H96" s="100">
        <v>7.455341800605102</v>
      </c>
      <c r="I96" s="100">
        <v>5179.9714830604244</v>
      </c>
      <c r="J96" s="100">
        <v>3.6075083518941442</v>
      </c>
      <c r="K96" s="100">
        <v>2506.4968028960511</v>
      </c>
      <c r="L96" s="100">
        <v>2.5391213672837862</v>
      </c>
      <c r="M96" s="100">
        <v>1764.1815259887746</v>
      </c>
      <c r="N96" s="100">
        <v>6.1378915200621433</v>
      </c>
      <c r="O96" s="100">
        <v>4264.6070281391767</v>
      </c>
      <c r="P96" s="100">
        <v>5.1719826156956588</v>
      </c>
      <c r="Q96" s="100">
        <v>3593.4935213853437</v>
      </c>
      <c r="R96" s="100">
        <v>4.462740783300311</v>
      </c>
      <c r="S96" s="100">
        <v>3100.7122962370559</v>
      </c>
      <c r="T96" s="100">
        <v>4.9447326828183131</v>
      </c>
      <c r="U96" s="100">
        <v>3435.6002680221636</v>
      </c>
      <c r="V96" s="100">
        <v>6.0337470472646633</v>
      </c>
      <c r="W96" s="100">
        <v>4192.2474484394879</v>
      </c>
      <c r="X96" s="100">
        <v>3.3893064838003379</v>
      </c>
      <c r="Y96" s="100">
        <v>2354.8901449444747</v>
      </c>
      <c r="Z96" s="100">
        <v>4.5309912412779934</v>
      </c>
      <c r="AA96" s="100">
        <v>3148.1327144399497</v>
      </c>
      <c r="AB96" s="100">
        <v>6.5151562019850173</v>
      </c>
      <c r="AC96" s="100">
        <v>4526.7305291391895</v>
      </c>
      <c r="AD96" s="100">
        <v>8.3086551585737727</v>
      </c>
      <c r="AE96" s="100">
        <v>5772.8536041770567</v>
      </c>
      <c r="AF96" s="100">
        <v>7.5758759767795922</v>
      </c>
      <c r="AG96" s="100">
        <v>5263.7186286664601</v>
      </c>
      <c r="AH96" s="100">
        <v>0.53549380337738883</v>
      </c>
      <c r="AI96" s="100">
        <v>372.06109458660973</v>
      </c>
      <c r="AJ96" s="100">
        <v>7.2493426333771174</v>
      </c>
      <c r="AK96" s="100">
        <v>5036.8432616704213</v>
      </c>
      <c r="AL96" s="100">
        <v>10</v>
      </c>
      <c r="AM96" s="100">
        <v>6948</v>
      </c>
      <c r="AN96" s="100">
        <v>6.5849295817127658</v>
      </c>
      <c r="AO96" s="100">
        <v>4575.2090733740297</v>
      </c>
      <c r="AP96" s="100">
        <v>7.8913025017078198</v>
      </c>
      <c r="AQ96" s="100">
        <v>5482.8769781865931</v>
      </c>
      <c r="AR96" s="100">
        <v>6.1267199048156105</v>
      </c>
      <c r="AS96" s="100">
        <v>4256.8449898658855</v>
      </c>
      <c r="AT96" s="100">
        <v>0.53087303044540424</v>
      </c>
      <c r="AU96" s="100">
        <v>368.85058155346684</v>
      </c>
      <c r="AV96" s="100">
        <v>10.231168680585807</v>
      </c>
      <c r="AW96" s="100">
        <v>7108.6159992710182</v>
      </c>
      <c r="AX96" s="100">
        <v>2.1793470751989488</v>
      </c>
      <c r="AY96" s="100">
        <v>1514.2103478482295</v>
      </c>
      <c r="AZ96" s="100">
        <v>6.8360319231107223</v>
      </c>
      <c r="BA96" s="100">
        <v>4749.6749801773294</v>
      </c>
      <c r="BB96" s="100">
        <v>10.004258498880745</v>
      </c>
      <c r="BC96" s="100">
        <v>6950.958805022341</v>
      </c>
      <c r="BD96" s="100">
        <v>9.3230142515054091</v>
      </c>
      <c r="BE96" s="100">
        <v>6477.6303019459574</v>
      </c>
      <c r="BF96" s="100">
        <v>6.3324692863212046</v>
      </c>
      <c r="BG96" s="100">
        <v>4399.7996601359728</v>
      </c>
      <c r="BH96" s="100">
        <v>6.9049447378063427</v>
      </c>
      <c r="BI96" s="100">
        <v>4797.5556038278464</v>
      </c>
      <c r="BJ96" s="100">
        <v>0.56716672567477477</v>
      </c>
      <c r="BK96" s="100">
        <v>394.06744099883349</v>
      </c>
      <c r="BL96" s="100">
        <v>9.2677416719434831</v>
      </c>
      <c r="BM96" s="100">
        <v>6439.2269136663317</v>
      </c>
      <c r="BN96" s="100">
        <v>7</v>
      </c>
      <c r="BO96" s="100">
        <v>4863.5999999999995</v>
      </c>
      <c r="BP96" s="100">
        <v>9.1183811408674771</v>
      </c>
      <c r="BQ96" s="100">
        <v>6335.4512166747227</v>
      </c>
      <c r="BR96" s="100">
        <v>6.66115913137231</v>
      </c>
      <c r="BS96" s="100">
        <v>4628.1733644774804</v>
      </c>
      <c r="BT96" s="100">
        <v>6.2197901846129415</v>
      </c>
      <c r="BU96" s="100">
        <v>4321.5102202690714</v>
      </c>
      <c r="BV96" s="100">
        <v>6.1672039754496861</v>
      </c>
      <c r="BW96" s="100">
        <v>4284.9733221424412</v>
      </c>
      <c r="BX96" s="100">
        <v>7.0920940846675702</v>
      </c>
      <c r="BY96" s="100">
        <v>4927.5869700270277</v>
      </c>
      <c r="BZ96" s="100">
        <v>6.5820018006766121</v>
      </c>
      <c r="CA96" s="100">
        <v>4573.1748511101096</v>
      </c>
      <c r="CB96" s="100">
        <v>7.8904214043521499</v>
      </c>
      <c r="CC96" s="100">
        <v>5482.2647917438735</v>
      </c>
      <c r="CD96" s="100">
        <v>6.1951910122263066E-4</v>
      </c>
      <c r="CE96" s="100">
        <v>0.43044187152948377</v>
      </c>
      <c r="CF96" s="100">
        <v>5.4882362644624898</v>
      </c>
      <c r="CG96" s="100">
        <v>3813.2265565485377</v>
      </c>
      <c r="CH96" s="100">
        <v>6.5997981323499655</v>
      </c>
      <c r="CI96" s="100">
        <v>4585.5397423567556</v>
      </c>
      <c r="CJ96" s="100">
        <v>6.127040142252639</v>
      </c>
      <c r="CK96" s="100">
        <v>4257.0674908371329</v>
      </c>
      <c r="CL96" s="100">
        <v>0.62794340903205037</v>
      </c>
      <c r="CM96" s="100">
        <v>436.29508059546856</v>
      </c>
      <c r="CN96" s="100">
        <v>11.226676561419222</v>
      </c>
      <c r="CO96" s="100">
        <v>7800.2948748740746</v>
      </c>
      <c r="CP96" s="100">
        <v>7.9422467051184986</v>
      </c>
      <c r="CQ96" s="100">
        <v>5518.2730107163325</v>
      </c>
      <c r="CR96" s="100">
        <v>7.7329358204391276</v>
      </c>
      <c r="CS96" s="100">
        <v>5372.8438080411051</v>
      </c>
      <c r="CT96" s="100">
        <v>5.2719736599070277</v>
      </c>
      <c r="CU96" s="100">
        <v>3662.9672989034025</v>
      </c>
    </row>
    <row r="97" spans="2:99">
      <c r="C97" s="99" t="s">
        <v>263</v>
      </c>
      <c r="D97" s="100">
        <v>5.7755554221885177</v>
      </c>
      <c r="E97" s="100">
        <v>2266.3279476667744</v>
      </c>
      <c r="F97" s="100">
        <v>5.2969143148824465</v>
      </c>
      <c r="G97" s="100">
        <v>2078.5091771598718</v>
      </c>
      <c r="H97" s="100">
        <v>7.455341800605102</v>
      </c>
      <c r="I97" s="100">
        <v>2925.4761225574421</v>
      </c>
      <c r="J97" s="100">
        <v>3.6075083518941442</v>
      </c>
      <c r="K97" s="100">
        <v>1415.586277283262</v>
      </c>
      <c r="L97" s="100">
        <v>2.9843973215621817</v>
      </c>
      <c r="M97" s="100">
        <v>1171.0775089809999</v>
      </c>
      <c r="N97" s="100">
        <v>6.9051279600699109</v>
      </c>
      <c r="O97" s="100">
        <v>2709.5722115314329</v>
      </c>
      <c r="P97" s="100">
        <v>6.1547533717362555</v>
      </c>
      <c r="Q97" s="100">
        <v>2415.1252230693067</v>
      </c>
      <c r="R97" s="100">
        <v>4.462740783300311</v>
      </c>
      <c r="S97" s="100">
        <v>1751.1794833670419</v>
      </c>
      <c r="T97" s="100">
        <v>5.4139201952291529</v>
      </c>
      <c r="U97" s="100">
        <v>2124.4222846079197</v>
      </c>
      <c r="V97" s="100">
        <v>5.1262389926272176</v>
      </c>
      <c r="W97" s="100">
        <v>2011.53618070692</v>
      </c>
      <c r="X97" s="100">
        <v>3.3893064838003379</v>
      </c>
      <c r="Y97" s="100">
        <v>1329.9638642432526</v>
      </c>
      <c r="Z97" s="100">
        <v>4.5783386044824006</v>
      </c>
      <c r="AA97" s="100">
        <v>1796.5400683988939</v>
      </c>
      <c r="AB97" s="100">
        <v>7.2020264664941243</v>
      </c>
      <c r="AC97" s="100">
        <v>2826.0751854522941</v>
      </c>
      <c r="AD97" s="100">
        <v>7.6685588537584151</v>
      </c>
      <c r="AE97" s="100">
        <v>3009.1424942148019</v>
      </c>
      <c r="AF97" s="100">
        <v>7.5763506901650652</v>
      </c>
      <c r="AG97" s="100">
        <v>2972.9600108207715</v>
      </c>
      <c r="AH97" s="100">
        <v>0.58841155702335668</v>
      </c>
      <c r="AI97" s="100">
        <v>230.89269497596516</v>
      </c>
      <c r="AJ97" s="100">
        <v>8.2849630095738487</v>
      </c>
      <c r="AK97" s="100">
        <v>3251.0194849567779</v>
      </c>
      <c r="AL97" s="100">
        <v>10</v>
      </c>
      <c r="AM97" s="100">
        <v>3924</v>
      </c>
      <c r="AN97" s="100">
        <v>5.9423152615913946</v>
      </c>
      <c r="AO97" s="100">
        <v>2331.7645086484631</v>
      </c>
      <c r="AP97" s="100">
        <v>8.5585604425406832</v>
      </c>
      <c r="AQ97" s="100">
        <v>3358.3791176529639</v>
      </c>
      <c r="AR97" s="100">
        <v>6.2386960896778607</v>
      </c>
      <c r="AS97" s="100">
        <v>2448.0643455895924</v>
      </c>
      <c r="AT97" s="100">
        <v>0.53087303044540424</v>
      </c>
      <c r="AU97" s="100">
        <v>208.3145771467766</v>
      </c>
      <c r="AV97" s="100">
        <v>11.231168680585807</v>
      </c>
      <c r="AW97" s="100">
        <v>4407.1105902618701</v>
      </c>
      <c r="AX97" s="100">
        <v>2.1793470751989488</v>
      </c>
      <c r="AY97" s="100">
        <v>855.17579230806746</v>
      </c>
      <c r="AZ97" s="100">
        <v>7.5766200484237283</v>
      </c>
      <c r="BA97" s="100">
        <v>2973.0657070014709</v>
      </c>
      <c r="BB97" s="100">
        <v>10.147723998720851</v>
      </c>
      <c r="BC97" s="100">
        <v>3981.9668970980615</v>
      </c>
      <c r="BD97" s="100">
        <v>10.25531567665595</v>
      </c>
      <c r="BE97" s="100">
        <v>4024.1858715197945</v>
      </c>
      <c r="BF97" s="100">
        <v>7.789608982519395</v>
      </c>
      <c r="BG97" s="100">
        <v>3056.6425647406104</v>
      </c>
      <c r="BH97" s="100">
        <v>6.8125219431099158</v>
      </c>
      <c r="BI97" s="100">
        <v>2673.2336104763308</v>
      </c>
      <c r="BJ97" s="100">
        <v>0.56656719732975047</v>
      </c>
      <c r="BK97" s="100">
        <v>222.32096823219408</v>
      </c>
      <c r="BL97" s="100">
        <v>9.3012093809364185</v>
      </c>
      <c r="BM97" s="100">
        <v>3649.7945610794504</v>
      </c>
      <c r="BN97" s="100">
        <v>8</v>
      </c>
      <c r="BO97" s="100">
        <v>3139.2</v>
      </c>
      <c r="BP97" s="100">
        <v>9.1183811408674771</v>
      </c>
      <c r="BQ97" s="100">
        <v>3578.0527596763977</v>
      </c>
      <c r="BR97" s="100">
        <v>7.2844259722496885</v>
      </c>
      <c r="BS97" s="100">
        <v>2858.4087515107776</v>
      </c>
      <c r="BT97" s="100">
        <v>7.0757079153957818</v>
      </c>
      <c r="BU97" s="100">
        <v>2776.5077860013048</v>
      </c>
      <c r="BV97" s="100">
        <v>6.1672039754496861</v>
      </c>
      <c r="BW97" s="100">
        <v>2420.0108399664568</v>
      </c>
      <c r="BX97" s="100">
        <v>7.1954462029378048</v>
      </c>
      <c r="BY97" s="100">
        <v>2823.4930900327945</v>
      </c>
      <c r="BZ97" s="100">
        <v>6.6232240389390968</v>
      </c>
      <c r="CA97" s="100">
        <v>2598.9531128797016</v>
      </c>
      <c r="CB97" s="100">
        <v>7.919630007396405</v>
      </c>
      <c r="CC97" s="100">
        <v>3107.6628149023491</v>
      </c>
      <c r="CD97" s="100">
        <v>5.5068364553122727E-4</v>
      </c>
      <c r="CE97" s="100">
        <v>0.21608826250645358</v>
      </c>
      <c r="CF97" s="100">
        <v>6.4029009408998014</v>
      </c>
      <c r="CG97" s="100">
        <v>2512.4983292090819</v>
      </c>
      <c r="CH97" s="100">
        <v>5.9238016580327022</v>
      </c>
      <c r="CI97" s="100">
        <v>2324.4997706120321</v>
      </c>
      <c r="CJ97" s="100">
        <v>7.3557660203675983</v>
      </c>
      <c r="CK97" s="100">
        <v>2886.4025863922452</v>
      </c>
      <c r="CL97" s="100">
        <v>0.62736667534822366</v>
      </c>
      <c r="CM97" s="100">
        <v>246.17868340664296</v>
      </c>
      <c r="CN97" s="100">
        <v>12.226676561419222</v>
      </c>
      <c r="CO97" s="100">
        <v>4797.7478827009027</v>
      </c>
      <c r="CP97" s="100">
        <v>7.9422467051184986</v>
      </c>
      <c r="CQ97" s="100">
        <v>3116.5376070884986</v>
      </c>
      <c r="CR97" s="100">
        <v>7.1903748777938565</v>
      </c>
      <c r="CS97" s="100">
        <v>2821.5031020463093</v>
      </c>
      <c r="CT97" s="100">
        <v>6.6680848901224952</v>
      </c>
      <c r="CU97" s="100">
        <v>2616.5565108840669</v>
      </c>
    </row>
    <row r="98" spans="2:99">
      <c r="C98" s="99" t="s">
        <v>264</v>
      </c>
      <c r="D98" s="100">
        <v>5.7781553012948557</v>
      </c>
      <c r="E98" s="100">
        <v>3036.9984263605761</v>
      </c>
      <c r="F98" s="100">
        <v>5.2036706006212734</v>
      </c>
      <c r="G98" s="100">
        <v>2735.0492676865415</v>
      </c>
      <c r="H98" s="100">
        <v>8.170440187898059</v>
      </c>
      <c r="I98" s="100">
        <v>4294.3833627592203</v>
      </c>
      <c r="J98" s="100">
        <v>3.3432082799437026</v>
      </c>
      <c r="K98" s="100">
        <v>1757.1902719384102</v>
      </c>
      <c r="L98" s="100">
        <v>2.9843973215621817</v>
      </c>
      <c r="M98" s="100">
        <v>1568.5992322130828</v>
      </c>
      <c r="N98" s="100">
        <v>7.5851162592235033</v>
      </c>
      <c r="O98" s="100">
        <v>3986.7371058478734</v>
      </c>
      <c r="P98" s="100">
        <v>6.1518688142135201</v>
      </c>
      <c r="Q98" s="100">
        <v>3233.4222487506263</v>
      </c>
      <c r="R98" s="100">
        <v>4.462740783300311</v>
      </c>
      <c r="S98" s="100">
        <v>2345.6165557026434</v>
      </c>
      <c r="T98" s="100">
        <v>5.4139201952291529</v>
      </c>
      <c r="U98" s="100">
        <v>2845.5564546124428</v>
      </c>
      <c r="V98" s="100">
        <v>5.5817409684495383</v>
      </c>
      <c r="W98" s="100">
        <v>2933.7630530170773</v>
      </c>
      <c r="X98" s="100">
        <v>3.1351901837558542</v>
      </c>
      <c r="Y98" s="100">
        <v>1647.8559605820772</v>
      </c>
      <c r="Z98" s="100">
        <v>3.8739589419116882</v>
      </c>
      <c r="AA98" s="100">
        <v>2036.1528198687834</v>
      </c>
      <c r="AB98" s="100">
        <v>7.2020264664941243</v>
      </c>
      <c r="AC98" s="100">
        <v>3785.385110789312</v>
      </c>
      <c r="AD98" s="100">
        <v>7.6685588537584151</v>
      </c>
      <c r="AE98" s="100">
        <v>4030.5945335354231</v>
      </c>
      <c r="AF98" s="100">
        <v>6.9288258634810536</v>
      </c>
      <c r="AG98" s="100">
        <v>3641.7908738456417</v>
      </c>
      <c r="AH98" s="100">
        <v>0.58841155702335668</v>
      </c>
      <c r="AI98" s="100">
        <v>309.26911437147629</v>
      </c>
      <c r="AJ98" s="100">
        <v>8.2493426333771165</v>
      </c>
      <c r="AK98" s="100">
        <v>4335.854488103013</v>
      </c>
      <c r="AL98" s="100">
        <v>10</v>
      </c>
      <c r="AM98" s="100">
        <v>5256</v>
      </c>
      <c r="AN98" s="100">
        <v>6.6477128434841486</v>
      </c>
      <c r="AO98" s="100">
        <v>3494.0378705352687</v>
      </c>
      <c r="AP98" s="100">
        <v>8.5585604425406832</v>
      </c>
      <c r="AQ98" s="100">
        <v>4498.3793685993833</v>
      </c>
      <c r="AR98" s="100">
        <v>6.8785628698097812</v>
      </c>
      <c r="AS98" s="100">
        <v>3615.3726443720211</v>
      </c>
      <c r="AT98" s="100">
        <v>0.5281116080207422</v>
      </c>
      <c r="AU98" s="100">
        <v>277.57546117570212</v>
      </c>
      <c r="AV98" s="100">
        <v>10.264192777812351</v>
      </c>
      <c r="AW98" s="100">
        <v>5394.8597240181716</v>
      </c>
      <c r="AX98" s="100">
        <v>1.9801977256632946</v>
      </c>
      <c r="AY98" s="100">
        <v>1040.7919246086276</v>
      </c>
      <c r="AZ98" s="100">
        <v>7.5766200484237283</v>
      </c>
      <c r="BA98" s="100">
        <v>3982.2714974515116</v>
      </c>
      <c r="BB98" s="100">
        <v>11.004258498880745</v>
      </c>
      <c r="BC98" s="100">
        <v>5783.8382670117198</v>
      </c>
      <c r="BD98" s="100">
        <v>9.3230142515054091</v>
      </c>
      <c r="BE98" s="100">
        <v>4900.1762905912428</v>
      </c>
      <c r="BF98" s="100">
        <v>6.1036091815162496</v>
      </c>
      <c r="BG98" s="100">
        <v>3208.0569858049412</v>
      </c>
      <c r="BH98" s="100">
        <v>6.0333106287625169</v>
      </c>
      <c r="BI98" s="100">
        <v>3171.1080664775791</v>
      </c>
      <c r="BJ98" s="100">
        <v>0.56656719732975047</v>
      </c>
      <c r="BK98" s="100">
        <v>297.78771891651684</v>
      </c>
      <c r="BL98" s="100">
        <v>9.3012093809364185</v>
      </c>
      <c r="BM98" s="100">
        <v>4888.7156506201818</v>
      </c>
      <c r="BN98" s="100">
        <v>8</v>
      </c>
      <c r="BO98" s="100">
        <v>4204.8</v>
      </c>
      <c r="BP98" s="100">
        <v>8.2894374007886142</v>
      </c>
      <c r="BQ98" s="100">
        <v>4356.9282978544961</v>
      </c>
      <c r="BR98" s="100">
        <v>6.0378922904949324</v>
      </c>
      <c r="BS98" s="100">
        <v>3173.5161878841368</v>
      </c>
      <c r="BT98" s="100">
        <v>6.7984853698237426</v>
      </c>
      <c r="BU98" s="100">
        <v>3573.2839103793594</v>
      </c>
      <c r="BV98" s="100">
        <v>6.1672039754496861</v>
      </c>
      <c r="BW98" s="100">
        <v>3241.4824094963551</v>
      </c>
      <c r="BX98" s="100">
        <v>7.1954462029378048</v>
      </c>
      <c r="BY98" s="100">
        <v>3781.9265242641104</v>
      </c>
      <c r="BZ98" s="100">
        <v>7.3050767055421906</v>
      </c>
      <c r="CA98" s="100">
        <v>3839.5483164329758</v>
      </c>
      <c r="CB98" s="100">
        <v>7.3111590587464148</v>
      </c>
      <c r="CC98" s="100">
        <v>3842.7452012771159</v>
      </c>
      <c r="CD98" s="100">
        <v>5.5068364553122727E-4</v>
      </c>
      <c r="CE98" s="100">
        <v>0.28943932409121309</v>
      </c>
      <c r="CF98" s="100">
        <v>6.4029438308530535</v>
      </c>
      <c r="CG98" s="100">
        <v>3365.3872774963652</v>
      </c>
      <c r="CH98" s="100">
        <v>6.5997981323499655</v>
      </c>
      <c r="CI98" s="100">
        <v>3468.853898363142</v>
      </c>
      <c r="CJ98" s="100">
        <v>6.691210275850783</v>
      </c>
      <c r="CK98" s="100">
        <v>3516.9001209871717</v>
      </c>
      <c r="CL98" s="100">
        <v>0.62794340903205037</v>
      </c>
      <c r="CM98" s="100">
        <v>330.04705578724571</v>
      </c>
      <c r="CN98" s="100">
        <v>10.226676561419222</v>
      </c>
      <c r="CO98" s="100">
        <v>5375.1412006819428</v>
      </c>
      <c r="CP98" s="100">
        <v>8.9350275432583111</v>
      </c>
      <c r="CQ98" s="100">
        <v>4696.2504767365681</v>
      </c>
      <c r="CR98" s="100">
        <v>7.7329358204391276</v>
      </c>
      <c r="CS98" s="100">
        <v>4064.4310672228057</v>
      </c>
      <c r="CT98" s="100">
        <v>6.0346221433451968</v>
      </c>
      <c r="CU98" s="100">
        <v>3171.7973985422354</v>
      </c>
    </row>
    <row r="99" spans="2:99">
      <c r="C99" s="99" t="s">
        <v>265</v>
      </c>
      <c r="D99" s="100">
        <v>4.3690485244036363</v>
      </c>
      <c r="E99" s="100">
        <v>18386.703810100262</v>
      </c>
      <c r="F99" s="100">
        <v>4.171624308386999</v>
      </c>
      <c r="G99" s="100">
        <v>17555.863739415847</v>
      </c>
      <c r="H99" s="100">
        <v>5.0551825599841074</v>
      </c>
      <c r="I99" s="100">
        <v>21274.230285437116</v>
      </c>
      <c r="J99" s="100">
        <v>2.6270472164263379</v>
      </c>
      <c r="K99" s="100">
        <v>11055.6655056086</v>
      </c>
      <c r="L99" s="100">
        <v>2.2429244829868771</v>
      </c>
      <c r="M99" s="100">
        <v>9439.1233942019735</v>
      </c>
      <c r="N99" s="100">
        <v>5.4579032209085501</v>
      </c>
      <c r="O99" s="100">
        <v>22969.039914871541</v>
      </c>
      <c r="P99" s="100">
        <v>3.3064539568642979</v>
      </c>
      <c r="Q99" s="100">
        <v>13914.880832067711</v>
      </c>
      <c r="R99" s="100">
        <v>3.0806693720596794</v>
      </c>
      <c r="S99" s="100">
        <v>12964.688985375953</v>
      </c>
      <c r="T99" s="100">
        <v>3.9129531669365947</v>
      </c>
      <c r="U99" s="100">
        <v>16467.272107735964</v>
      </c>
      <c r="V99" s="100">
        <v>4.1391258456504527</v>
      </c>
      <c r="W99" s="100">
        <v>17419.097208835363</v>
      </c>
      <c r="X99" s="100">
        <v>2.3605849145906821</v>
      </c>
      <c r="Y99" s="100">
        <v>9934.2855545634266</v>
      </c>
      <c r="Z99" s="100">
        <v>3.1646225468409814</v>
      </c>
      <c r="AA99" s="100">
        <v>13317.997526125586</v>
      </c>
      <c r="AB99" s="100">
        <v>5.488221242171857</v>
      </c>
      <c r="AC99" s="100">
        <v>23096.630275556043</v>
      </c>
      <c r="AD99" s="100">
        <v>5.571175773315316</v>
      </c>
      <c r="AE99" s="100">
        <v>23445.736124420175</v>
      </c>
      <c r="AF99" s="100">
        <v>6.2019070636064351</v>
      </c>
      <c r="AG99" s="100">
        <v>26100.105686481318</v>
      </c>
      <c r="AH99" s="100">
        <v>0.42886876272073921</v>
      </c>
      <c r="AI99" s="100">
        <v>1804.8513010339586</v>
      </c>
      <c r="AJ99" s="100">
        <v>5.2137222571803861</v>
      </c>
      <c r="AK99" s="100">
        <v>21941.428747117934</v>
      </c>
      <c r="AL99" s="100">
        <v>8</v>
      </c>
      <c r="AM99" s="100">
        <v>33667.199999999997</v>
      </c>
      <c r="AN99" s="100">
        <v>5.0485678943844938</v>
      </c>
      <c r="AO99" s="100">
        <v>21246.3931267277</v>
      </c>
      <c r="AP99" s="100">
        <v>5.8107479431311866</v>
      </c>
      <c r="AQ99" s="100">
        <v>24453.951643873283</v>
      </c>
      <c r="AR99" s="100">
        <v>5.3748769398214407</v>
      </c>
      <c r="AS99" s="100">
        <v>22619.632113544551</v>
      </c>
      <c r="AT99" s="100">
        <v>0.3096678400823154</v>
      </c>
      <c r="AU99" s="100">
        <v>1303.206138202416</v>
      </c>
      <c r="AV99" s="100">
        <v>8.2311686805858066</v>
      </c>
      <c r="AW99" s="100">
        <v>34640.050275377303</v>
      </c>
      <c r="AX99" s="100">
        <v>1.3305681271001077</v>
      </c>
      <c r="AY99" s="100">
        <v>5599.5629060880929</v>
      </c>
      <c r="AZ99" s="100">
        <v>5.224666112398042</v>
      </c>
      <c r="BA99" s="100">
        <v>21987.484867415918</v>
      </c>
      <c r="BB99" s="100">
        <v>7.8607929990406387</v>
      </c>
      <c r="BC99" s="100">
        <v>33081.361257162622</v>
      </c>
      <c r="BD99" s="100">
        <v>6.5261099760537862</v>
      </c>
      <c r="BE99" s="100">
        <v>27464.48122322475</v>
      </c>
      <c r="BF99" s="100">
        <v>5.6542904883749552</v>
      </c>
      <c r="BG99" s="100">
        <v>23795.516091277161</v>
      </c>
      <c r="BH99" s="100">
        <v>5.0537303473268391</v>
      </c>
      <c r="BI99" s="100">
        <v>21268.118793690268</v>
      </c>
      <c r="BJ99" s="100">
        <v>0.34233843177794754</v>
      </c>
      <c r="BK99" s="100">
        <v>1440.6970562943143</v>
      </c>
      <c r="BL99" s="100">
        <v>6.2342739629505477</v>
      </c>
      <c r="BM99" s="100">
        <v>26236.318545681082</v>
      </c>
      <c r="BN99" s="100">
        <v>6</v>
      </c>
      <c r="BO99" s="100">
        <v>25250.399999999998</v>
      </c>
      <c r="BP99" s="100">
        <v>5.8026061805520301</v>
      </c>
      <c r="BQ99" s="100">
        <v>24419.687850235161</v>
      </c>
      <c r="BR99" s="100">
        <v>4.7199434883070879</v>
      </c>
      <c r="BS99" s="100">
        <v>19863.410176191548</v>
      </c>
      <c r="BT99" s="100">
        <v>4.7962160569888628</v>
      </c>
      <c r="BU99" s="100">
        <v>20184.395654231928</v>
      </c>
      <c r="BV99" s="100">
        <v>4.654018146176127</v>
      </c>
      <c r="BW99" s="100">
        <v>19585.969966367611</v>
      </c>
      <c r="BX99" s="100">
        <v>5.5505238830537431</v>
      </c>
      <c r="BY99" s="100">
        <v>23358.824709443372</v>
      </c>
      <c r="BZ99" s="100">
        <v>4.9080226875877466</v>
      </c>
      <c r="CA99" s="100">
        <v>20654.922678444273</v>
      </c>
      <c r="CB99" s="100">
        <v>5.1533842278597044</v>
      </c>
      <c r="CC99" s="100">
        <v>21687.502184524779</v>
      </c>
      <c r="CD99" s="100">
        <v>4.8184818983982393E-4</v>
      </c>
      <c r="CE99" s="100">
        <v>2.0278099221219148</v>
      </c>
      <c r="CF99" s="100">
        <v>4.5735361300482325</v>
      </c>
      <c r="CG99" s="100">
        <v>19247.269449694981</v>
      </c>
      <c r="CH99" s="100">
        <v>4.4808626222615686</v>
      </c>
      <c r="CI99" s="100">
        <v>18857.262259525585</v>
      </c>
      <c r="CJ99" s="100">
        <v>4.8526614334550526</v>
      </c>
      <c r="CK99" s="100">
        <v>20421.94037655224</v>
      </c>
      <c r="CL99" s="100">
        <v>0.43539551434968121</v>
      </c>
      <c r="CM99" s="100">
        <v>1832.3184825891983</v>
      </c>
      <c r="CN99" s="100">
        <v>8.1888971345160186</v>
      </c>
      <c r="CO99" s="100">
        <v>34462.154700897212</v>
      </c>
      <c r="CP99" s="100">
        <v>5.9566850288388737</v>
      </c>
      <c r="CQ99" s="100">
        <v>25068.113275365515</v>
      </c>
      <c r="CR99" s="100">
        <v>5.4871760980746451</v>
      </c>
      <c r="CS99" s="100">
        <v>23092.231891137333</v>
      </c>
      <c r="CT99" s="100">
        <v>3.8840133346907617</v>
      </c>
      <c r="CU99" s="100">
        <v>16345.481717712601</v>
      </c>
    </row>
    <row r="100" spans="2:99">
      <c r="C100" s="99" t="s">
        <v>266</v>
      </c>
      <c r="D100" s="100">
        <v>5.3329410343215589</v>
      </c>
      <c r="E100" s="100">
        <v>1727.8728951201851</v>
      </c>
      <c r="F100" s="100">
        <v>5.8129374609995841</v>
      </c>
      <c r="G100" s="100">
        <v>1883.3917373638653</v>
      </c>
      <c r="H100" s="100">
        <v>8.297872227269119</v>
      </c>
      <c r="I100" s="100">
        <v>2688.5106016351947</v>
      </c>
      <c r="J100" s="100">
        <v>3.1290040760106952</v>
      </c>
      <c r="K100" s="100">
        <v>1013.7973206274653</v>
      </c>
      <c r="L100" s="100">
        <v>3.2552640875814118</v>
      </c>
      <c r="M100" s="100">
        <v>1054.7055643763774</v>
      </c>
      <c r="N100" s="100">
        <v>6.8178798192157366</v>
      </c>
      <c r="O100" s="100">
        <v>2208.9930614258988</v>
      </c>
      <c r="P100" s="100">
        <v>5.6300090196216166</v>
      </c>
      <c r="Q100" s="100">
        <v>1824.1229223574037</v>
      </c>
      <c r="R100" s="100">
        <v>5.0482676390611543</v>
      </c>
      <c r="S100" s="100">
        <v>1635.6387150558139</v>
      </c>
      <c r="T100" s="100">
        <v>5.496528604563669</v>
      </c>
      <c r="U100" s="100">
        <v>1780.8752678786288</v>
      </c>
      <c r="V100" s="100">
        <v>5.1297348896344133</v>
      </c>
      <c r="W100" s="100">
        <v>1662.0341042415498</v>
      </c>
      <c r="X100" s="100">
        <v>3.1351901837558542</v>
      </c>
      <c r="Y100" s="100">
        <v>1015.8016195368967</v>
      </c>
      <c r="Z100" s="100">
        <v>3.8764373081616852</v>
      </c>
      <c r="AA100" s="100">
        <v>1255.9656878443859</v>
      </c>
      <c r="AB100" s="100">
        <v>7.8047745947067364</v>
      </c>
      <c r="AC100" s="100">
        <v>2528.7469686849827</v>
      </c>
      <c r="AD100" s="100">
        <v>8.214994795708666</v>
      </c>
      <c r="AE100" s="100">
        <v>2661.658313809608</v>
      </c>
      <c r="AF100" s="100">
        <v>8.2224513766926588</v>
      </c>
      <c r="AG100" s="100">
        <v>2664.0742460484216</v>
      </c>
      <c r="AH100" s="100">
        <v>0.64132931066932464</v>
      </c>
      <c r="AI100" s="100">
        <v>207.79069665686117</v>
      </c>
      <c r="AJ100" s="100">
        <v>7.3205833857705791</v>
      </c>
      <c r="AK100" s="100">
        <v>2371.8690169896677</v>
      </c>
      <c r="AL100" s="100">
        <v>10</v>
      </c>
      <c r="AM100" s="100">
        <v>3240</v>
      </c>
      <c r="AN100" s="100">
        <v>6.6477128434841486</v>
      </c>
      <c r="AO100" s="100">
        <v>2153.8589612888641</v>
      </c>
      <c r="AP100" s="100">
        <v>8.5585604425406832</v>
      </c>
      <c r="AQ100" s="100">
        <v>2772.9735833831814</v>
      </c>
      <c r="AR100" s="100">
        <v>6.9905390546720305</v>
      </c>
      <c r="AS100" s="100">
        <v>2264.934653713738</v>
      </c>
      <c r="AT100" s="100">
        <v>0.5281116080207422</v>
      </c>
      <c r="AU100" s="100">
        <v>171.10816099872048</v>
      </c>
      <c r="AV100" s="100">
        <v>12.264192777812351</v>
      </c>
      <c r="AW100" s="100">
        <v>3973.5984600112015</v>
      </c>
      <c r="AX100" s="100">
        <v>2.1793470751989488</v>
      </c>
      <c r="AY100" s="100">
        <v>706.10845236445937</v>
      </c>
      <c r="AZ100" s="100">
        <v>6.8360319231107223</v>
      </c>
      <c r="BA100" s="100">
        <v>2214.874343087874</v>
      </c>
      <c r="BB100" s="100">
        <v>10.004258498880745</v>
      </c>
      <c r="BC100" s="100">
        <v>3241.3797536373613</v>
      </c>
      <c r="BD100" s="100">
        <v>10.25531567665595</v>
      </c>
      <c r="BE100" s="100">
        <v>3322.7222792365278</v>
      </c>
      <c r="BF100" s="100">
        <v>6.1036091815162496</v>
      </c>
      <c r="BG100" s="100">
        <v>1977.5693748112649</v>
      </c>
      <c r="BH100" s="100">
        <v>6.9544200668192753</v>
      </c>
      <c r="BI100" s="100">
        <v>2253.2321016494452</v>
      </c>
      <c r="BJ100" s="100">
        <v>0.56716672567477477</v>
      </c>
      <c r="BK100" s="100">
        <v>183.76201911862702</v>
      </c>
      <c r="BL100" s="100">
        <v>10.234273962950548</v>
      </c>
      <c r="BM100" s="100">
        <v>3315.9047639959776</v>
      </c>
      <c r="BN100" s="100">
        <v>9</v>
      </c>
      <c r="BO100" s="100">
        <v>2916</v>
      </c>
      <c r="BP100" s="100">
        <v>9.1183811408674771</v>
      </c>
      <c r="BQ100" s="100">
        <v>2954.3554896410624</v>
      </c>
      <c r="BR100" s="100">
        <v>6.1093074109280199</v>
      </c>
      <c r="BS100" s="100">
        <v>1979.4156011406785</v>
      </c>
      <c r="BT100" s="100">
        <v>6.7984853698237426</v>
      </c>
      <c r="BU100" s="100">
        <v>2202.7092598228928</v>
      </c>
      <c r="BV100" s="100">
        <v>6.1672039754496861</v>
      </c>
      <c r="BW100" s="100">
        <v>1998.1740880456982</v>
      </c>
      <c r="BX100" s="100">
        <v>7.1954462029378048</v>
      </c>
      <c r="BY100" s="100">
        <v>2331.3245697518487</v>
      </c>
      <c r="BZ100" s="100">
        <v>7.4189913572210466</v>
      </c>
      <c r="CA100" s="100">
        <v>2403.753199739619</v>
      </c>
      <c r="CB100" s="100">
        <v>7.8107899192871102</v>
      </c>
      <c r="CC100" s="100">
        <v>2530.6959338490237</v>
      </c>
      <c r="CD100" s="100">
        <v>6.1951910122263066E-4</v>
      </c>
      <c r="CE100" s="100">
        <v>0.20072418879613232</v>
      </c>
      <c r="CF100" s="100">
        <v>7.317601075314057</v>
      </c>
      <c r="CG100" s="100">
        <v>2370.9027484017543</v>
      </c>
      <c r="CH100" s="100">
        <v>6.7149587036028455</v>
      </c>
      <c r="CI100" s="100">
        <v>2175.6466199673218</v>
      </c>
      <c r="CJ100" s="100">
        <v>7.9746689342017882</v>
      </c>
      <c r="CK100" s="100">
        <v>2583.7927346813794</v>
      </c>
      <c r="CL100" s="100">
        <v>0.62852014271587719</v>
      </c>
      <c r="CM100" s="100">
        <v>203.64052623994422</v>
      </c>
      <c r="CN100" s="100">
        <v>12.226676561419222</v>
      </c>
      <c r="CO100" s="100">
        <v>3961.4432058998277</v>
      </c>
      <c r="CP100" s="100">
        <v>7.9422467051184986</v>
      </c>
      <c r="CQ100" s="100">
        <v>2573.2879324583937</v>
      </c>
      <c r="CR100" s="100">
        <v>8.3510127148677995</v>
      </c>
      <c r="CS100" s="100">
        <v>2705.7281196171671</v>
      </c>
      <c r="CT100" s="100">
        <v>6.0346221433451968</v>
      </c>
      <c r="CU100" s="100">
        <v>1955.2175744438437</v>
      </c>
    </row>
    <row r="101" spans="2:99">
      <c r="C101" s="99" t="s">
        <v>267</v>
      </c>
      <c r="D101" s="100">
        <v>5.2646768165629094</v>
      </c>
      <c r="E101" s="100">
        <v>3809.5201444649215</v>
      </c>
      <c r="F101" s="100">
        <v>5.2969143148824465</v>
      </c>
      <c r="G101" s="100">
        <v>3832.8471982489382</v>
      </c>
      <c r="H101" s="100">
        <v>8.170440187898059</v>
      </c>
      <c r="I101" s="100">
        <v>5912.130519963036</v>
      </c>
      <c r="J101" s="100">
        <v>3.584055768193235</v>
      </c>
      <c r="K101" s="100">
        <v>2593.4227538646251</v>
      </c>
      <c r="L101" s="100">
        <v>2.9843973215621817</v>
      </c>
      <c r="M101" s="100">
        <v>2159.5099018823948</v>
      </c>
      <c r="N101" s="100">
        <v>7.5851162592235033</v>
      </c>
      <c r="O101" s="100">
        <v>5488.590125174127</v>
      </c>
      <c r="P101" s="100">
        <v>5.3177600022493596</v>
      </c>
      <c r="Q101" s="100">
        <v>3847.9311376276369</v>
      </c>
      <c r="R101" s="100">
        <v>4.462740783300311</v>
      </c>
      <c r="S101" s="100">
        <v>3229.2392307961049</v>
      </c>
      <c r="T101" s="100">
        <v>5.4103215013206452</v>
      </c>
      <c r="U101" s="100">
        <v>3914.9086383556191</v>
      </c>
      <c r="V101" s="100">
        <v>6.0302511502574685</v>
      </c>
      <c r="W101" s="100">
        <v>4363.489732326304</v>
      </c>
      <c r="X101" s="100">
        <v>3.1474465527875761</v>
      </c>
      <c r="Y101" s="100">
        <v>2277.4923255970903</v>
      </c>
      <c r="Z101" s="100">
        <v>3.9262630376160894</v>
      </c>
      <c r="AA101" s="100">
        <v>2841.0439340190023</v>
      </c>
      <c r="AB101" s="100">
        <v>6.4018013035503323</v>
      </c>
      <c r="AC101" s="100">
        <v>4632.3434232490208</v>
      </c>
      <c r="AD101" s="100">
        <v>7.580011770759902</v>
      </c>
      <c r="AE101" s="100">
        <v>5484.8965173218648</v>
      </c>
      <c r="AF101" s="100">
        <v>7.5754012633941192</v>
      </c>
      <c r="AG101" s="100">
        <v>5481.5603541919845</v>
      </c>
      <c r="AH101" s="100">
        <v>0.64053977730461087</v>
      </c>
      <c r="AI101" s="100">
        <v>463.49458285761642</v>
      </c>
      <c r="AJ101" s="100">
        <v>7.2493426333771174</v>
      </c>
      <c r="AK101" s="100">
        <v>5245.6243295116819</v>
      </c>
      <c r="AL101" s="100">
        <v>10</v>
      </c>
      <c r="AM101" s="100">
        <v>7236</v>
      </c>
      <c r="AN101" s="100">
        <v>5.9423152615913946</v>
      </c>
      <c r="AO101" s="100">
        <v>4299.8593232875328</v>
      </c>
      <c r="AP101" s="100">
        <v>7.8125217656297741</v>
      </c>
      <c r="AQ101" s="100">
        <v>5653.1407496097045</v>
      </c>
      <c r="AR101" s="100">
        <v>6.7665866849475309</v>
      </c>
      <c r="AS101" s="100">
        <v>4896.3021252280332</v>
      </c>
      <c r="AT101" s="100">
        <v>0.53087303044540424</v>
      </c>
      <c r="AU101" s="100">
        <v>384.13972483029454</v>
      </c>
      <c r="AV101" s="100">
        <v>11.264192777812351</v>
      </c>
      <c r="AW101" s="100">
        <v>8150.7698940250175</v>
      </c>
      <c r="AX101" s="100">
        <v>1.9697614156720498</v>
      </c>
      <c r="AY101" s="100">
        <v>1425.3193603802952</v>
      </c>
      <c r="AZ101" s="100">
        <v>6.9662214831973897</v>
      </c>
      <c r="BA101" s="100">
        <v>5040.7578652416314</v>
      </c>
      <c r="BB101" s="100">
        <v>10.147723998720851</v>
      </c>
      <c r="BC101" s="100">
        <v>7342.8930854744076</v>
      </c>
      <c r="BD101" s="100">
        <v>9.3230142515054091</v>
      </c>
      <c r="BE101" s="100">
        <v>6746.1331123893142</v>
      </c>
      <c r="BF101" s="100">
        <v>7.2122122848788344</v>
      </c>
      <c r="BG101" s="100">
        <v>5218.7568093383243</v>
      </c>
      <c r="BH101" s="100">
        <v>6.0333106287625169</v>
      </c>
      <c r="BI101" s="100">
        <v>4365.7035709725569</v>
      </c>
      <c r="BJ101" s="100">
        <v>0.56656719732975047</v>
      </c>
      <c r="BK101" s="100">
        <v>409.96802398780744</v>
      </c>
      <c r="BL101" s="100">
        <v>9.2342739629505477</v>
      </c>
      <c r="BM101" s="100">
        <v>6681.9206395910169</v>
      </c>
      <c r="BN101" s="100">
        <v>7</v>
      </c>
      <c r="BO101" s="100">
        <v>5065.2</v>
      </c>
      <c r="BP101" s="100">
        <v>9.1183811408674771</v>
      </c>
      <c r="BQ101" s="100">
        <v>6598.0605935317062</v>
      </c>
      <c r="BR101" s="100">
        <v>6.7325742518053984</v>
      </c>
      <c r="BS101" s="100">
        <v>4871.6907286063861</v>
      </c>
      <c r="BT101" s="100">
        <v>6.1687611908463591</v>
      </c>
      <c r="BU101" s="100">
        <v>4463.7155976964259</v>
      </c>
      <c r="BV101" s="100">
        <v>6.7586543850544203</v>
      </c>
      <c r="BW101" s="100">
        <v>4890.5623130253789</v>
      </c>
      <c r="BX101" s="100">
        <v>7.0920940846675702</v>
      </c>
      <c r="BY101" s="100">
        <v>5131.8392796654543</v>
      </c>
      <c r="BZ101" s="100">
        <v>6.5055619110545608</v>
      </c>
      <c r="CA101" s="100">
        <v>4707.4245988390803</v>
      </c>
      <c r="CB101" s="100">
        <v>7.20231897063712</v>
      </c>
      <c r="CC101" s="100">
        <v>5211.5980071530203</v>
      </c>
      <c r="CD101" s="100">
        <v>5.5068364553122727E-4</v>
      </c>
      <c r="CE101" s="100">
        <v>0.39847468590639606</v>
      </c>
      <c r="CF101" s="100">
        <v>5.4882782254187052</v>
      </c>
      <c r="CG101" s="100">
        <v>3971.3181239129754</v>
      </c>
      <c r="CH101" s="100">
        <v>5.9702600098224208</v>
      </c>
      <c r="CI101" s="100">
        <v>4320.0801431075042</v>
      </c>
      <c r="CJ101" s="100">
        <v>7.4520013739514859</v>
      </c>
      <c r="CK101" s="100">
        <v>5392.2681941912952</v>
      </c>
      <c r="CL101" s="100">
        <v>0.57995061878241472</v>
      </c>
      <c r="CM101" s="100">
        <v>419.65226775095528</v>
      </c>
      <c r="CN101" s="100">
        <v>11.264455988322425</v>
      </c>
      <c r="CO101" s="100">
        <v>8150.960353150107</v>
      </c>
      <c r="CP101" s="100">
        <v>7.9422467051184986</v>
      </c>
      <c r="CQ101" s="100">
        <v>5747.0097158237459</v>
      </c>
      <c r="CR101" s="100">
        <v>7.1903748777938565</v>
      </c>
      <c r="CS101" s="100">
        <v>5202.9552615716348</v>
      </c>
      <c r="CT101" s="100">
        <v>5.9244551850157983</v>
      </c>
      <c r="CU101" s="100">
        <v>4286.9357718774318</v>
      </c>
    </row>
    <row r="102" spans="2:99">
      <c r="C102" s="99" t="s">
        <v>268</v>
      </c>
      <c r="D102" s="100">
        <v>6.2207696891618145</v>
      </c>
      <c r="E102" s="100">
        <v>3306.9611667584209</v>
      </c>
      <c r="F102" s="100">
        <v>5.7196937467384101</v>
      </c>
      <c r="G102" s="100">
        <v>3040.5891957661388</v>
      </c>
      <c r="H102" s="100">
        <v>7.455341800605102</v>
      </c>
      <c r="I102" s="100">
        <v>3963.2597012016722</v>
      </c>
      <c r="J102" s="100">
        <v>3.1524566597116053</v>
      </c>
      <c r="K102" s="100">
        <v>1675.8459603026895</v>
      </c>
      <c r="L102" s="100">
        <v>2.9843973215621817</v>
      </c>
      <c r="M102" s="100">
        <v>1586.5056161424559</v>
      </c>
      <c r="N102" s="100">
        <v>7.5851162592235033</v>
      </c>
      <c r="O102" s="100">
        <v>4032.2478034032147</v>
      </c>
      <c r="P102" s="100">
        <v>5.1719826156956588</v>
      </c>
      <c r="Q102" s="100">
        <v>2749.4259585038121</v>
      </c>
      <c r="R102" s="100">
        <v>4.462740783300311</v>
      </c>
      <c r="S102" s="100">
        <v>2372.3930004024455</v>
      </c>
      <c r="T102" s="100">
        <v>4.9411339889098054</v>
      </c>
      <c r="U102" s="100">
        <v>2626.7068285044525</v>
      </c>
      <c r="V102" s="100">
        <v>5.5782450714423426</v>
      </c>
      <c r="W102" s="100">
        <v>2965.3950799787494</v>
      </c>
      <c r="X102" s="100">
        <v>3.3893064838003379</v>
      </c>
      <c r="Y102" s="100">
        <v>1801.7553267882597</v>
      </c>
      <c r="Z102" s="100">
        <v>3.8491752794117184</v>
      </c>
      <c r="AA102" s="100">
        <v>2046.2215785352696</v>
      </c>
      <c r="AB102" s="100">
        <v>7.2280111439502921</v>
      </c>
      <c r="AC102" s="100">
        <v>3842.4107241239753</v>
      </c>
      <c r="AD102" s="100">
        <v>7.671115493691711</v>
      </c>
      <c r="AE102" s="100">
        <v>4077.9649964465139</v>
      </c>
      <c r="AF102" s="100">
        <v>7.4993302839018243</v>
      </c>
      <c r="AG102" s="100">
        <v>3986.64397892221</v>
      </c>
      <c r="AH102" s="100">
        <v>0.58841155702335668</v>
      </c>
      <c r="AI102" s="100">
        <v>312.79958371361641</v>
      </c>
      <c r="AJ102" s="100">
        <v>7.2849630095738487</v>
      </c>
      <c r="AK102" s="100">
        <v>3872.686335889458</v>
      </c>
      <c r="AL102" s="100">
        <v>11</v>
      </c>
      <c r="AM102" s="100">
        <v>5847.6</v>
      </c>
      <c r="AN102" s="100">
        <v>6.6477128434841486</v>
      </c>
      <c r="AO102" s="100">
        <v>3533.9241475961735</v>
      </c>
      <c r="AP102" s="100">
        <v>8.5585604425406832</v>
      </c>
      <c r="AQ102" s="100">
        <v>4549.7307312546272</v>
      </c>
      <c r="AR102" s="100">
        <v>6.8785628698097812</v>
      </c>
      <c r="AS102" s="100">
        <v>3656.6440215908797</v>
      </c>
      <c r="AT102" s="100">
        <v>0.53087303044540424</v>
      </c>
      <c r="AU102" s="100">
        <v>282.21210298477689</v>
      </c>
      <c r="AV102" s="100">
        <v>11.264192777812351</v>
      </c>
      <c r="AW102" s="100">
        <v>5988.0448806850463</v>
      </c>
      <c r="AX102" s="100">
        <v>2.1897833851901933</v>
      </c>
      <c r="AY102" s="100">
        <v>1164.0888475671068</v>
      </c>
      <c r="AZ102" s="100">
        <v>6.8360319231107223</v>
      </c>
      <c r="BA102" s="100">
        <v>3634.0345703256603</v>
      </c>
      <c r="BB102" s="100">
        <v>10.004258498880745</v>
      </c>
      <c r="BC102" s="100">
        <v>5318.2638180050044</v>
      </c>
      <c r="BD102" s="100">
        <v>9.3230142515054091</v>
      </c>
      <c r="BE102" s="100">
        <v>4956.1143761002759</v>
      </c>
      <c r="BF102" s="100">
        <v>6.534033486932584</v>
      </c>
      <c r="BG102" s="100">
        <v>3473.4922016533619</v>
      </c>
      <c r="BH102" s="100">
        <v>6.0288128715795226</v>
      </c>
      <c r="BI102" s="100">
        <v>3204.9169225316746</v>
      </c>
      <c r="BJ102" s="100">
        <v>0.56716672567477477</v>
      </c>
      <c r="BK102" s="100">
        <v>301.50583136871029</v>
      </c>
      <c r="BL102" s="100">
        <v>9.3012093809364185</v>
      </c>
      <c r="BM102" s="100">
        <v>4944.5229069058005</v>
      </c>
      <c r="BN102" s="100">
        <v>7</v>
      </c>
      <c r="BO102" s="100">
        <v>3721.2000000000003</v>
      </c>
      <c r="BP102" s="100">
        <v>8.2894374007886142</v>
      </c>
      <c r="BQ102" s="100">
        <v>4406.6649222592278</v>
      </c>
      <c r="BR102" s="100">
        <v>6.0378922904949324</v>
      </c>
      <c r="BS102" s="100">
        <v>3209.743541627106</v>
      </c>
      <c r="BT102" s="100">
        <v>6.911582145726471</v>
      </c>
      <c r="BU102" s="100">
        <v>3674.1970686681921</v>
      </c>
      <c r="BV102" s="100">
        <v>6.1672039754496861</v>
      </c>
      <c r="BW102" s="100">
        <v>3278.4856333490534</v>
      </c>
      <c r="BX102" s="100">
        <v>7.9145552446096001</v>
      </c>
      <c r="BY102" s="100">
        <v>4207.3775680344634</v>
      </c>
      <c r="BZ102" s="100">
        <v>7.3050767055421906</v>
      </c>
      <c r="CA102" s="100">
        <v>3883.3787766662285</v>
      </c>
      <c r="CB102" s="100">
        <v>7.919630007396405</v>
      </c>
      <c r="CC102" s="100">
        <v>4210.0753119319288</v>
      </c>
      <c r="CD102" s="100">
        <v>5.5068364553122727E-4</v>
      </c>
      <c r="CE102" s="100">
        <v>0.29274342596440045</v>
      </c>
      <c r="CF102" s="100">
        <v>6.4029009408998014</v>
      </c>
      <c r="CG102" s="100">
        <v>3403.7821401823344</v>
      </c>
      <c r="CH102" s="100">
        <v>5.9787069828750967</v>
      </c>
      <c r="CI102" s="100">
        <v>3178.2806320964014</v>
      </c>
      <c r="CJ102" s="100">
        <v>6.8878312403533419</v>
      </c>
      <c r="CK102" s="100">
        <v>3661.5710873718367</v>
      </c>
      <c r="CL102" s="100">
        <v>0.58052735246624154</v>
      </c>
      <c r="CM102" s="100">
        <v>308.60834057105404</v>
      </c>
      <c r="CN102" s="100">
        <v>12.226676561419222</v>
      </c>
      <c r="CO102" s="100">
        <v>6499.7012600504586</v>
      </c>
      <c r="CP102" s="100">
        <v>8.9350275432583111</v>
      </c>
      <c r="CQ102" s="100">
        <v>4749.8606419961179</v>
      </c>
      <c r="CR102" s="100">
        <v>7.1903748777938565</v>
      </c>
      <c r="CS102" s="100">
        <v>3822.4032850352141</v>
      </c>
      <c r="CT102" s="100">
        <v>6.0346221433451968</v>
      </c>
      <c r="CU102" s="100">
        <v>3208.0051314023067</v>
      </c>
    </row>
    <row r="103" spans="2:99">
      <c r="C103" s="99" t="s">
        <v>269</v>
      </c>
      <c r="D103" s="100">
        <v>6.2207696891618145</v>
      </c>
      <c r="E103" s="100">
        <v>3665.2775008541407</v>
      </c>
      <c r="F103" s="100">
        <v>5.2969143148824465</v>
      </c>
      <c r="G103" s="100">
        <v>3120.9419143287373</v>
      </c>
      <c r="H103" s="100">
        <v>8.297872227269119</v>
      </c>
      <c r="I103" s="100">
        <v>4889.1063163069648</v>
      </c>
      <c r="J103" s="100">
        <v>3.1290040760106952</v>
      </c>
      <c r="K103" s="100">
        <v>1843.6092015855013</v>
      </c>
      <c r="L103" s="100">
        <v>3.080854899322246</v>
      </c>
      <c r="M103" s="100">
        <v>1815.239706680667</v>
      </c>
      <c r="N103" s="100">
        <v>6.9923761009240861</v>
      </c>
      <c r="O103" s="100">
        <v>4119.9079986644711</v>
      </c>
      <c r="P103" s="100">
        <v>5.1719826156956588</v>
      </c>
      <c r="Q103" s="100">
        <v>3047.3321571678816</v>
      </c>
      <c r="R103" s="100">
        <v>4.462740783300311</v>
      </c>
      <c r="S103" s="100">
        <v>2629.4468695205428</v>
      </c>
      <c r="T103" s="100">
        <v>4.9411339889098054</v>
      </c>
      <c r="U103" s="100">
        <v>2911.3161462656572</v>
      </c>
      <c r="V103" s="100">
        <v>5.5782450714423426</v>
      </c>
      <c r="W103" s="100">
        <v>3286.7019960938278</v>
      </c>
      <c r="X103" s="100">
        <v>3.3893064838003379</v>
      </c>
      <c r="Y103" s="100">
        <v>1996.979380255159</v>
      </c>
      <c r="Z103" s="100">
        <v>4.580816970732398</v>
      </c>
      <c r="AA103" s="100">
        <v>2699.0173591555285</v>
      </c>
      <c r="AB103" s="100">
        <v>7.0886715680594401</v>
      </c>
      <c r="AC103" s="100">
        <v>4176.645287900622</v>
      </c>
      <c r="AD103" s="100">
        <v>7.671115493691711</v>
      </c>
      <c r="AE103" s="100">
        <v>4519.8212488831559</v>
      </c>
      <c r="AF103" s="100">
        <v>7.5754012633941192</v>
      </c>
      <c r="AG103" s="100">
        <v>4463.4264243918142</v>
      </c>
      <c r="AH103" s="100">
        <v>0.53549380337738883</v>
      </c>
      <c r="AI103" s="100">
        <v>315.51294894995749</v>
      </c>
      <c r="AJ103" s="100">
        <v>7.2493426333771174</v>
      </c>
      <c r="AK103" s="100">
        <v>4271.312679585797</v>
      </c>
      <c r="AL103" s="100">
        <v>10</v>
      </c>
      <c r="AM103" s="100">
        <v>5891.9999999999991</v>
      </c>
      <c r="AN103" s="100">
        <v>5.8795319998200117</v>
      </c>
      <c r="AO103" s="100">
        <v>3464.2202542939503</v>
      </c>
      <c r="AP103" s="100">
        <v>8.5585604425406832</v>
      </c>
      <c r="AQ103" s="100">
        <v>5042.7038127449696</v>
      </c>
      <c r="AR103" s="100">
        <v>6.8785628698097812</v>
      </c>
      <c r="AS103" s="100">
        <v>4052.8492428919226</v>
      </c>
      <c r="AT103" s="100">
        <v>0.45621749284948726</v>
      </c>
      <c r="AU103" s="100">
        <v>268.80334678691787</v>
      </c>
      <c r="AV103" s="100">
        <v>11.264192777812351</v>
      </c>
      <c r="AW103" s="100">
        <v>6636.8623846870369</v>
      </c>
      <c r="AX103" s="100">
        <v>1.9697614156720498</v>
      </c>
      <c r="AY103" s="100">
        <v>1160.5834261139717</v>
      </c>
      <c r="AZ103" s="100">
        <v>6.2256333578843837</v>
      </c>
      <c r="BA103" s="100">
        <v>3668.1431744654783</v>
      </c>
      <c r="BB103" s="100">
        <v>11.147723998720851</v>
      </c>
      <c r="BC103" s="100">
        <v>6568.2389800463243</v>
      </c>
      <c r="BD103" s="100">
        <v>9.3230142515054091</v>
      </c>
      <c r="BE103" s="100">
        <v>5493.1199969869867</v>
      </c>
      <c r="BF103" s="100">
        <v>6.1036091815162496</v>
      </c>
      <c r="BG103" s="100">
        <v>3596.2465297493741</v>
      </c>
      <c r="BH103" s="100">
        <v>6.1707109952888821</v>
      </c>
      <c r="BI103" s="100">
        <v>3635.7829184242091</v>
      </c>
      <c r="BJ103" s="100">
        <v>0.56656719732975047</v>
      </c>
      <c r="BK103" s="100">
        <v>333.82139266668895</v>
      </c>
      <c r="BL103" s="100">
        <v>8.3012093809364185</v>
      </c>
      <c r="BM103" s="100">
        <v>4891.0725672477374</v>
      </c>
      <c r="BN103" s="100">
        <v>8</v>
      </c>
      <c r="BO103" s="100">
        <v>4713.5999999999995</v>
      </c>
      <c r="BP103" s="100">
        <v>8.2894374007886142</v>
      </c>
      <c r="BQ103" s="100">
        <v>4884.1365165446514</v>
      </c>
      <c r="BR103" s="100">
        <v>6.7325742518053984</v>
      </c>
      <c r="BS103" s="100">
        <v>3966.8327491637401</v>
      </c>
      <c r="BT103" s="100">
        <v>6.1687611908463591</v>
      </c>
      <c r="BU103" s="100">
        <v>3634.6340936466745</v>
      </c>
      <c r="BV103" s="100">
        <v>6.1672039754496861</v>
      </c>
      <c r="BW103" s="100">
        <v>3633.7165823349546</v>
      </c>
      <c r="BX103" s="100">
        <v>6.4763371612660094</v>
      </c>
      <c r="BY103" s="100">
        <v>3815.8578554179321</v>
      </c>
      <c r="BZ103" s="100">
        <v>6.619476562733416</v>
      </c>
      <c r="CA103" s="100">
        <v>3900.1955907625284</v>
      </c>
      <c r="CB103" s="100">
        <v>6.593848021987128</v>
      </c>
      <c r="CC103" s="100">
        <v>3885.0952545548153</v>
      </c>
      <c r="CD103" s="100">
        <v>6.1951910122263066E-4</v>
      </c>
      <c r="CE103" s="100">
        <v>0.36502065444037396</v>
      </c>
      <c r="CF103" s="100">
        <v>6.4029363988767471</v>
      </c>
      <c r="CG103" s="100">
        <v>3772.6101262181792</v>
      </c>
      <c r="CH103" s="100">
        <v>6.5015315072024373</v>
      </c>
      <c r="CI103" s="100">
        <v>3830.7023640436755</v>
      </c>
      <c r="CJ103" s="100">
        <v>7.3101131896849711</v>
      </c>
      <c r="CK103" s="100">
        <v>4307.1186913623842</v>
      </c>
      <c r="CL103" s="100">
        <v>0.62794340903205037</v>
      </c>
      <c r="CM103" s="100">
        <v>369.98425660168402</v>
      </c>
      <c r="CN103" s="100">
        <v>12.264455988322425</v>
      </c>
      <c r="CO103" s="100">
        <v>7226.2174683195717</v>
      </c>
      <c r="CP103" s="100">
        <v>8.9350275432583111</v>
      </c>
      <c r="CQ103" s="100">
        <v>5264.5182284877965</v>
      </c>
      <c r="CR103" s="100">
        <v>7.1903748777938565</v>
      </c>
      <c r="CS103" s="100">
        <v>4236.5688779961401</v>
      </c>
      <c r="CT103" s="100">
        <v>5.2814830490727633</v>
      </c>
      <c r="CU103" s="100">
        <v>3111.8498125136716</v>
      </c>
    </row>
    <row r="104" spans="2:99">
      <c r="C104" s="99" t="s">
        <v>270</v>
      </c>
      <c r="D104" s="100">
        <v>6.2207696891618145</v>
      </c>
      <c r="E104" s="100">
        <v>3934.0147514259315</v>
      </c>
      <c r="F104" s="100">
        <v>5.2969143148824465</v>
      </c>
      <c r="G104" s="100">
        <v>3349.7686127316592</v>
      </c>
      <c r="H104" s="100">
        <v>7.3279097612340403</v>
      </c>
      <c r="I104" s="100">
        <v>4634.170133004407</v>
      </c>
      <c r="J104" s="100">
        <v>3.105551492309786</v>
      </c>
      <c r="K104" s="100">
        <v>1963.9507637367085</v>
      </c>
      <c r="L104" s="100">
        <v>2.9843973215621817</v>
      </c>
      <c r="M104" s="100">
        <v>1887.3328661559237</v>
      </c>
      <c r="N104" s="100">
        <v>6.2251396609163177</v>
      </c>
      <c r="O104" s="100">
        <v>3936.778321563479</v>
      </c>
      <c r="P104" s="100">
        <v>5.6300090196216166</v>
      </c>
      <c r="Q104" s="100">
        <v>3560.4177040087102</v>
      </c>
      <c r="R104" s="100">
        <v>4.462740783300311</v>
      </c>
      <c r="S104" s="100">
        <v>2822.2372713591167</v>
      </c>
      <c r="T104" s="100">
        <v>4.9411339889098054</v>
      </c>
      <c r="U104" s="100">
        <v>3124.7731345865609</v>
      </c>
      <c r="V104" s="100">
        <v>5.9471501609109536</v>
      </c>
      <c r="W104" s="100">
        <v>3760.9777617600871</v>
      </c>
      <c r="X104" s="100">
        <v>2.881073883711371</v>
      </c>
      <c r="Y104" s="100">
        <v>1821.9911240590709</v>
      </c>
      <c r="Z104" s="100">
        <v>4.226277975424277</v>
      </c>
      <c r="AA104" s="100">
        <v>2672.6981916583127</v>
      </c>
      <c r="AB104" s="100">
        <v>7.2020264664941243</v>
      </c>
      <c r="AC104" s="100">
        <v>4554.5615374108838</v>
      </c>
      <c r="AD104" s="100">
        <v>7.7622192166235218</v>
      </c>
      <c r="AE104" s="100">
        <v>4908.827432592715</v>
      </c>
      <c r="AF104" s="100">
        <v>7.5754012633941192</v>
      </c>
      <c r="AG104" s="100">
        <v>4790.683758970441</v>
      </c>
      <c r="AH104" s="100">
        <v>0.64053977730461087</v>
      </c>
      <c r="AI104" s="100">
        <v>405.07735516743588</v>
      </c>
      <c r="AJ104" s="100">
        <v>6.2493426333771174</v>
      </c>
      <c r="AK104" s="100">
        <v>3952.0842813476888</v>
      </c>
      <c r="AL104" s="100">
        <v>11</v>
      </c>
      <c r="AM104" s="100">
        <v>6956.4</v>
      </c>
      <c r="AN104" s="100">
        <v>5.8795319998200117</v>
      </c>
      <c r="AO104" s="100">
        <v>3718.2160366861754</v>
      </c>
      <c r="AP104" s="100">
        <v>8.4797797064626366</v>
      </c>
      <c r="AQ104" s="100">
        <v>5362.6126863669715</v>
      </c>
      <c r="AR104" s="100">
        <v>6.3506722745401101</v>
      </c>
      <c r="AS104" s="100">
        <v>4016.1651464191655</v>
      </c>
      <c r="AT104" s="100">
        <v>0.53087303044540424</v>
      </c>
      <c r="AU104" s="100">
        <v>335.72410445367365</v>
      </c>
      <c r="AV104" s="100">
        <v>11.231168680585807</v>
      </c>
      <c r="AW104" s="100">
        <v>7102.5910736024634</v>
      </c>
      <c r="AX104" s="100">
        <v>1.9697614156720498</v>
      </c>
      <c r="AY104" s="100">
        <v>1245.6771192710041</v>
      </c>
      <c r="AZ104" s="100">
        <v>6.8360319231107223</v>
      </c>
      <c r="BA104" s="100">
        <v>4323.1065881752202</v>
      </c>
      <c r="BB104" s="100">
        <v>10.004258498880745</v>
      </c>
      <c r="BC104" s="100">
        <v>6326.6930746921826</v>
      </c>
      <c r="BD104" s="100">
        <v>9.3230142515054091</v>
      </c>
      <c r="BE104" s="100">
        <v>5895.8742126520201</v>
      </c>
      <c r="BF104" s="100">
        <v>7.1114301845731447</v>
      </c>
      <c r="BG104" s="100">
        <v>4497.2684487240567</v>
      </c>
      <c r="BH104" s="100">
        <v>6.0333106287625169</v>
      </c>
      <c r="BI104" s="100">
        <v>3815.4656416294156</v>
      </c>
      <c r="BJ104" s="100">
        <v>0.56776625401979919</v>
      </c>
      <c r="BK104" s="100">
        <v>359.05537904212099</v>
      </c>
      <c r="BL104" s="100">
        <v>8.2342739629505477</v>
      </c>
      <c r="BM104" s="100">
        <v>5207.3548541699265</v>
      </c>
      <c r="BN104" s="100">
        <v>8</v>
      </c>
      <c r="BO104" s="100">
        <v>5059.2</v>
      </c>
      <c r="BP104" s="100">
        <v>9.1183811408674771</v>
      </c>
      <c r="BQ104" s="100">
        <v>5766.4642334845921</v>
      </c>
      <c r="BR104" s="100">
        <v>6.0378922904949324</v>
      </c>
      <c r="BS104" s="100">
        <v>3818.3630845089951</v>
      </c>
      <c r="BT104" s="100">
        <v>6.2197901846129415</v>
      </c>
      <c r="BU104" s="100">
        <v>3933.3953127492241</v>
      </c>
      <c r="BV104" s="100">
        <v>6.1165221287730906</v>
      </c>
      <c r="BW104" s="100">
        <v>3868.0885942361024</v>
      </c>
      <c r="BX104" s="100">
        <v>7.8112031263393664</v>
      </c>
      <c r="BY104" s="100">
        <v>4939.804857097015</v>
      </c>
      <c r="BZ104" s="100">
        <v>7.3050767055421906</v>
      </c>
      <c r="CA104" s="100">
        <v>4619.7305085848811</v>
      </c>
      <c r="CB104" s="100">
        <v>7.8078690589826856</v>
      </c>
      <c r="CC104" s="100">
        <v>4937.6963929006506</v>
      </c>
      <c r="CD104" s="100">
        <v>5.5068364553122727E-4</v>
      </c>
      <c r="CE104" s="100">
        <v>0.34825233743394812</v>
      </c>
      <c r="CF104" s="100">
        <v>6.4029438308530535</v>
      </c>
      <c r="CG104" s="100">
        <v>4049.2216786314707</v>
      </c>
      <c r="CH104" s="100">
        <v>6.0769736080226249</v>
      </c>
      <c r="CI104" s="100">
        <v>3843.0781097135077</v>
      </c>
      <c r="CJ104" s="100">
        <v>7.2512301521141431</v>
      </c>
      <c r="CK104" s="100">
        <v>4585.6779481969843</v>
      </c>
      <c r="CL104" s="100">
        <v>0.62794340903205037</v>
      </c>
      <c r="CM104" s="100">
        <v>397.11141187186865</v>
      </c>
      <c r="CN104" s="100">
        <v>12.264455988322425</v>
      </c>
      <c r="CO104" s="100">
        <v>7756.0419670151014</v>
      </c>
      <c r="CP104" s="100">
        <v>7.9422467051184986</v>
      </c>
      <c r="CQ104" s="100">
        <v>5022.6768163169381</v>
      </c>
      <c r="CR104" s="100">
        <v>8.2754967630843979</v>
      </c>
      <c r="CS104" s="100">
        <v>5233.4241529745732</v>
      </c>
      <c r="CT104" s="100">
        <v>5.3821406182364253</v>
      </c>
      <c r="CU104" s="100">
        <v>3403.6657269727152</v>
      </c>
    </row>
    <row r="105" spans="2:99">
      <c r="C105" s="99" t="s">
        <v>271</v>
      </c>
      <c r="D105" s="100">
        <v>6.1525054714031651</v>
      </c>
      <c r="E105" s="100">
        <v>3425.7150464772822</v>
      </c>
      <c r="F105" s="100">
        <v>5.2036706006212734</v>
      </c>
      <c r="G105" s="100">
        <v>2897.4037904259249</v>
      </c>
      <c r="H105" s="100">
        <v>7.455341800605102</v>
      </c>
      <c r="I105" s="100">
        <v>4151.1343145769206</v>
      </c>
      <c r="J105" s="100">
        <v>3.584055768193235</v>
      </c>
      <c r="K105" s="100">
        <v>1995.602251729993</v>
      </c>
      <c r="L105" s="100">
        <v>3.2552640875814118</v>
      </c>
      <c r="M105" s="100">
        <v>1812.5310439653299</v>
      </c>
      <c r="N105" s="100">
        <v>6.2251396609163177</v>
      </c>
      <c r="O105" s="100">
        <v>3466.1577631982054</v>
      </c>
      <c r="P105" s="100">
        <v>5.6300090196216166</v>
      </c>
      <c r="Q105" s="100">
        <v>3134.789022125316</v>
      </c>
      <c r="R105" s="100">
        <v>4.9427587892016813</v>
      </c>
      <c r="S105" s="100">
        <v>2752.1280938274958</v>
      </c>
      <c r="T105" s="100">
        <v>5.4103215013206452</v>
      </c>
      <c r="U105" s="100">
        <v>3012.467011935335</v>
      </c>
      <c r="V105" s="100">
        <v>5.5817409684495383</v>
      </c>
      <c r="W105" s="100">
        <v>3107.9133712327025</v>
      </c>
      <c r="X105" s="100">
        <v>3.3893064838003379</v>
      </c>
      <c r="Y105" s="100">
        <v>1887.165850180028</v>
      </c>
      <c r="Z105" s="100">
        <v>4.2535400041742442</v>
      </c>
      <c r="AA105" s="100">
        <v>2368.3710743242191</v>
      </c>
      <c r="AB105" s="100">
        <v>6.4018013035503323</v>
      </c>
      <c r="AC105" s="100">
        <v>3564.5229658168246</v>
      </c>
      <c r="AD105" s="100">
        <v>6.9424721058778411</v>
      </c>
      <c r="AE105" s="100">
        <v>3865.5684685527817</v>
      </c>
      <c r="AF105" s="100">
        <v>7.5754012633941192</v>
      </c>
      <c r="AG105" s="100">
        <v>4217.9834234578457</v>
      </c>
      <c r="AH105" s="100">
        <v>0.53628333674210249</v>
      </c>
      <c r="AI105" s="100">
        <v>298.60256189800265</v>
      </c>
      <c r="AJ105" s="100">
        <v>8.2849630095738487</v>
      </c>
      <c r="AK105" s="100">
        <v>4613.067403730719</v>
      </c>
      <c r="AL105" s="100">
        <v>9</v>
      </c>
      <c r="AM105" s="100">
        <v>5011.2</v>
      </c>
      <c r="AN105" s="100">
        <v>6.6477128434841486</v>
      </c>
      <c r="AO105" s="100">
        <v>3701.4465112519738</v>
      </c>
      <c r="AP105" s="100">
        <v>8.5585604425406832</v>
      </c>
      <c r="AQ105" s="100">
        <v>4765.4064544066523</v>
      </c>
      <c r="AR105" s="100">
        <v>6.3506722745401101</v>
      </c>
      <c r="AS105" s="100">
        <v>3536.0543224639332</v>
      </c>
      <c r="AT105" s="100">
        <v>0.45621749284948726</v>
      </c>
      <c r="AU105" s="100">
        <v>254.02190001859449</v>
      </c>
      <c r="AV105" s="100">
        <v>10.231168680585807</v>
      </c>
      <c r="AW105" s="100">
        <v>5696.7147213501767</v>
      </c>
      <c r="AX105" s="100">
        <v>2.1689107652077038</v>
      </c>
      <c r="AY105" s="100">
        <v>1207.6495140676493</v>
      </c>
      <c r="AZ105" s="100">
        <v>6.8360319231107223</v>
      </c>
      <c r="BA105" s="100">
        <v>3806.3025747880497</v>
      </c>
      <c r="BB105" s="100">
        <v>10.004258498880745</v>
      </c>
      <c r="BC105" s="100">
        <v>5570.3711321767987</v>
      </c>
      <c r="BD105" s="100">
        <v>10.25531567665595</v>
      </c>
      <c r="BE105" s="100">
        <v>5710.1597687620324</v>
      </c>
      <c r="BF105" s="100">
        <v>6.534033486932584</v>
      </c>
      <c r="BG105" s="100">
        <v>3638.1498455240626</v>
      </c>
      <c r="BH105" s="100">
        <v>6.9544200668192753</v>
      </c>
      <c r="BI105" s="100">
        <v>3872.221093204972</v>
      </c>
      <c r="BJ105" s="100">
        <v>0.56716672567477477</v>
      </c>
      <c r="BK105" s="100">
        <v>315.79843285571457</v>
      </c>
      <c r="BL105" s="100">
        <v>10.234273962950548</v>
      </c>
      <c r="BM105" s="100">
        <v>5698.4437425708647</v>
      </c>
      <c r="BN105" s="100">
        <v>9</v>
      </c>
      <c r="BO105" s="100">
        <v>5011.2</v>
      </c>
      <c r="BP105" s="100">
        <v>9.1183811408674771</v>
      </c>
      <c r="BQ105" s="100">
        <v>5077.1146192350107</v>
      </c>
      <c r="BR105" s="100">
        <v>6.66115913137231</v>
      </c>
      <c r="BS105" s="100">
        <v>3708.9334043481017</v>
      </c>
      <c r="BT105" s="100">
        <v>5.5390370118689747</v>
      </c>
      <c r="BU105" s="100">
        <v>3084.1358082086449</v>
      </c>
      <c r="BV105" s="100">
        <v>6.2358888495653755</v>
      </c>
      <c r="BW105" s="100">
        <v>3472.1429114380007</v>
      </c>
      <c r="BX105" s="100">
        <v>7.1954462029378048</v>
      </c>
      <c r="BY105" s="100">
        <v>4006.4244457957693</v>
      </c>
      <c r="BZ105" s="100">
        <v>7.3050767055421906</v>
      </c>
      <c r="CA105" s="100">
        <v>4067.4667096458916</v>
      </c>
      <c r="CB105" s="100">
        <v>7.3111590587464148</v>
      </c>
      <c r="CC105" s="100">
        <v>4070.8533639100033</v>
      </c>
      <c r="CD105" s="100">
        <v>6.1951910122263066E-4</v>
      </c>
      <c r="CE105" s="100">
        <v>0.34494823556076071</v>
      </c>
      <c r="CF105" s="100">
        <v>6.4029074438790694</v>
      </c>
      <c r="CG105" s="100">
        <v>3565.1388647518656</v>
      </c>
      <c r="CH105" s="100">
        <v>6.6040216188763035</v>
      </c>
      <c r="CI105" s="100">
        <v>3677.1192373903255</v>
      </c>
      <c r="CJ105" s="100">
        <v>6.7874456294346697</v>
      </c>
      <c r="CK105" s="100">
        <v>3779.2497264692238</v>
      </c>
      <c r="CL105" s="100">
        <v>0.53195782853277918</v>
      </c>
      <c r="CM105" s="100">
        <v>296.19411892705142</v>
      </c>
      <c r="CN105" s="100">
        <v>11.226676561419222</v>
      </c>
      <c r="CO105" s="100">
        <v>6251.0135093982217</v>
      </c>
      <c r="CP105" s="100">
        <v>8.9350275432583111</v>
      </c>
      <c r="CQ105" s="100">
        <v>4975.0233360862276</v>
      </c>
      <c r="CR105" s="100">
        <v>7.7329358204391276</v>
      </c>
      <c r="CS105" s="100">
        <v>4305.6986648205057</v>
      </c>
      <c r="CT105" s="100">
        <v>5.9244551850157983</v>
      </c>
      <c r="CU105" s="100">
        <v>3298.7366470167963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211.67538176320141</v>
      </c>
      <c r="E109" s="100">
        <f>SUM(L$6:L$19)+SUM(N$6:N$19)+SUM(P$6:P$19)+SUM(R$6:R$19)</f>
        <v>270.06475347645778</v>
      </c>
      <c r="F109" s="100">
        <f>SUM(T$6:T$19)+SUM(V$6:V$19)+SUM(X$6:X$19)+SUM(Z$6:Z$19)</f>
        <v>276.02405547315095</v>
      </c>
      <c r="G109" s="100">
        <f>SUM(AB$6:AB$19)+SUM(AD$6:AD$19)+SUM(AF$6:AF$19)+SUM(AH$6:AH$19)</f>
        <v>313.51114494132042</v>
      </c>
      <c r="H109" s="100">
        <f>SUM(AJ$6:AJ$19)+SUM(AL$6:AL$19)+SUM(AN$6:AN$19)+SUM(AP$6:AP$19)</f>
        <v>250.28199260310711</v>
      </c>
      <c r="I109" s="100">
        <f>SUM(AR$6:AR$19)+SUM(AT$6:AT$19)+SUM(AV$6:AV$19)+SUM(AX$6:AX$19)</f>
        <v>238.28681644817721</v>
      </c>
      <c r="J109" s="100">
        <f>SUM(AZ$6:AZ$19)+SUM(BB$6:BB$19)+SUM(BD$6:BD$19)+SUM(BF$6:BF$19)</f>
        <v>394.95590378213308</v>
      </c>
      <c r="K109" s="100">
        <f>SUM(BH$6:BH$19)+SUM(BJ$6:BJ$19)+SUM(BL$6:BL$19)+SUM(BN$6:BN$19)</f>
        <v>354.92382025466895</v>
      </c>
      <c r="L109" s="100">
        <f>SUM(BP$6:BP$19)+SUM(BR$6:BR$19)+SUM(BT$6:BT$19)+SUM(BV$6:BV$19)</f>
        <v>276.85695191212812</v>
      </c>
      <c r="M109" s="100">
        <f>SUM(BX$6:BX$19)+SUM(BZ$6:BZ$19)+SUM(CB$6:CB$19)+SUM(CD$6:CD$19)</f>
        <v>300.12184076751203</v>
      </c>
      <c r="N109" s="100">
        <f>SUM(CF$6:CF$19)+SUM(CH$6:CH$19)+SUM(CJ$6:CJ$19)+SUM(CL$6:CL$19)</f>
        <v>351.01997640942824</v>
      </c>
      <c r="O109" s="100">
        <f>SUM(CN$6:CN$19)+SUM(CP$6:CP$19)+SUM(CR$6:CR$19)+SUM(CT$6:CT$19)</f>
        <v>206.86929887049644</v>
      </c>
    </row>
    <row r="110" spans="2:99">
      <c r="C110" s="99" t="s">
        <v>127</v>
      </c>
      <c r="D110" s="100">
        <f>SUM(D$20:D$36)+SUM(F$20:F$36)+SUM(H$20:H$36)+SUM(J$20:J$36)</f>
        <v>427.68824568526168</v>
      </c>
      <c r="E110" s="100">
        <f>SUM(L$20:L$36)+SUM(N$20:N$36)+SUM(P$20:P$36)+SUM(R$20:R$36)</f>
        <v>344.46665111918071</v>
      </c>
      <c r="F110" s="100">
        <f>SUM(T$20:T$36)+SUM(V$20:V$36)+SUM(X$20:X$36)+SUM(Z$20:Z$36)</f>
        <v>329.03291217702349</v>
      </c>
      <c r="G110" s="100">
        <f>SUM(AB$20:AB$36)+SUM(AD$20:AD$36)+SUM(AF$20:AF$36)+SUM(AH$20:AH$36)</f>
        <v>415.32320637947862</v>
      </c>
      <c r="H110" s="100">
        <f>SUM(AJ$20:AJ$36)+SUM(AL$20:AL$36)+SUM(AN$20:AN$36)+SUM(AP$20:AP$36)</f>
        <v>338.60735880676884</v>
      </c>
      <c r="I110" s="100">
        <f>SUM(AR$20:AR$36)+SUM(AT$20:AT$36)+SUM(AV$20:AV$36)+SUM(AX$20:AX$36)</f>
        <v>388.45634693649907</v>
      </c>
      <c r="J110" s="100">
        <f>SUM(AZ$20:AZ$36)+SUM(BB$20:BB$36)+SUM(BD$20:BD$36)+SUM(BF$20:BF$36)</f>
        <v>500.1471302855964</v>
      </c>
      <c r="K110" s="100">
        <f>SUM(BH$20:BH$36)+SUM(BJ$20:BJ$36)+SUM(BL$20:BL$36)+SUM(BN$20:BN$36)</f>
        <v>358.45109324925261</v>
      </c>
      <c r="L110" s="100">
        <f>SUM(BP$20:BP$36)+SUM(BR$20:BR$36)+SUM(BT$20:BT$36)+SUM(BV$20:BV$36)</f>
        <v>391.893343106511</v>
      </c>
      <c r="M110" s="100">
        <f>SUM(BX$20:BX$36)+SUM(BZ$20:BZ$36)+SUM(CB$20:CB$36)+SUM(CD$20:CD$36)</f>
        <v>522.29554399234883</v>
      </c>
      <c r="N110" s="100">
        <f>SUM(CF$20:CF$36)+SUM(CH$20:CH$36)+SUM(CJ$20:CJ$36)+SUM(CL$20:CL$36)</f>
        <v>439.18326095688519</v>
      </c>
      <c r="O110" s="100">
        <f>SUM(CN$20:CN$36)+SUM(CP$20:CP$36)+SUM(CR$20:CR$36)+SUM(CT$20:CT$36)</f>
        <v>273.83714873724711</v>
      </c>
    </row>
    <row r="111" spans="2:99">
      <c r="C111" s="99" t="s">
        <v>128</v>
      </c>
      <c r="D111" s="100">
        <f>SUM(D$37:D$48)+SUM(F$37:F$48)+SUM(H$37:H$48)+SUM(J$37:J$48)</f>
        <v>545.66255805581864</v>
      </c>
      <c r="E111" s="100">
        <f>SUM(L$37:L$48)+SUM(N$37:N$48)+SUM(P$37:P$48)+SUM(R$37:R$48)</f>
        <v>426.27624619532446</v>
      </c>
      <c r="F111" s="100">
        <f>SUM(T$37:T$48)+SUM(V$37:V$48)+SUM(X$37:X$48)+SUM(Z$37:Z$48)</f>
        <v>436.02601575103733</v>
      </c>
      <c r="G111" s="100">
        <f>SUM(AB$37:AB$48)+SUM(AD$37:AD$48)+SUM(AF$37:AF$48)+SUM(AH$37:AH$48)</f>
        <v>400.52018891989638</v>
      </c>
      <c r="H111" s="100">
        <f>SUM(AJ$37:AJ$48)+SUM(AL$37:AL$48)+SUM(AN$37:AN$48)+SUM(AP$37:AP$48)</f>
        <v>393.65333940582337</v>
      </c>
      <c r="I111" s="100">
        <f>SUM(AR$37:AR$48)+SUM(AT$37:AT$48)+SUM(AV$37:AV$48)+SUM(AX$37:AX$48)</f>
        <v>364.63999705841326</v>
      </c>
      <c r="J111" s="100">
        <f>SUM(AZ$37:AZ$48)+SUM(BB$37:BB$48)+SUM(BD$37:BD$48)+SUM(BF$37:BF$48)</f>
        <v>647.90955960166139</v>
      </c>
      <c r="K111" s="100">
        <f>SUM(BH$37:BH$48)+SUM(BJ$37:BJ$48)+SUM(BL$37:BL$48)+SUM(BN$37:BN$48)</f>
        <v>516.62803256920097</v>
      </c>
      <c r="L111" s="100">
        <f>SUM(BP$37:BP$48)+SUM(BR$37:BR$48)+SUM(BT$37:BT$48)+SUM(BV$37:BV$48)</f>
        <v>506.19342414928786</v>
      </c>
      <c r="M111" s="100">
        <f>SUM(BX$37:BX$48)+SUM(BZ$37:BZ$48)+SUM(CB$37:CB$48)+SUM(CD$37:CD$48)</f>
        <v>548.76087516137102</v>
      </c>
      <c r="N111" s="100">
        <f>SUM(CF$37:CF$48)+SUM(CH$37:CH$48)+SUM(CJ$37:CJ$48)+SUM(CL$37:CL$48)</f>
        <v>495.14312254128879</v>
      </c>
      <c r="O111" s="100">
        <f>SUM(CN$37:CN$48)+SUM(CP$37:CP$48)+SUM(CR$37:CR$48)+SUM(CT$37:CT$48)</f>
        <v>415.24887702154774</v>
      </c>
    </row>
    <row r="112" spans="2:99">
      <c r="C112" s="99" t="s">
        <v>129</v>
      </c>
      <c r="D112" s="100">
        <f>SUM(D$49:D$70)+SUM(F$49:F$70)+SUM(H$49:H$70)+SUM(J$49:J$70)</f>
        <v>516.70790234819844</v>
      </c>
      <c r="E112" s="100">
        <f>SUM(L$49:L$70)+SUM(N$49:N$70)+SUM(P$49:P$70)+SUM(R$49:R$70)</f>
        <v>474.62808962822305</v>
      </c>
      <c r="F112" s="100">
        <f>SUM(T$49:T$70)+SUM(V$49:V$70)+SUM(X$49:X$70)+SUM(Z$49:Z$70)</f>
        <v>561.59779325171371</v>
      </c>
      <c r="G112" s="100">
        <f>SUM(AB$49:AB$70)+SUM(AD$49:AD$70)+SUM(AF$49:AF$70)+SUM(AH$49:AH$70)</f>
        <v>414.28831538596467</v>
      </c>
      <c r="H112" s="100">
        <f>SUM(AJ$49:AJ$70)+SUM(AL$49:AL$70)+SUM(AN$49:AN$70)+SUM(AP$49:AP$70)</f>
        <v>399.27820421398263</v>
      </c>
      <c r="I112" s="100">
        <f>SUM(AR$49:AR$70)+SUM(AT$49:AT$70)+SUM(AV$49:AV$70)+SUM(AX$49:AX$70)</f>
        <v>478.23770999541193</v>
      </c>
      <c r="J112" s="100">
        <f>SUM(AZ$49:AZ$70)+SUM(BB$49:BB$70)+SUM(BD$49:BD$70)+SUM(BF$49:BF$70)</f>
        <v>660.41478444261895</v>
      </c>
      <c r="K112" s="100">
        <f>SUM(BH$49:BH$70)+SUM(BJ$49:BJ$70)+SUM(BL$49:BL$70)+SUM(BN$49:BN$70)</f>
        <v>520.39085480731819</v>
      </c>
      <c r="L112" s="100">
        <f>SUM(BP$49:BP$70)+SUM(BR$49:BR$70)+SUM(BT$49:BT$70)+SUM(BV$49:BV$70)</f>
        <v>458.95845563362053</v>
      </c>
      <c r="M112" s="100">
        <f>SUM(BX$49:BX$70)+SUM(BZ$49:BZ$70)+SUM(CB$49:CB$70)+SUM(CD$49:CD$70)</f>
        <v>481.97807708177703</v>
      </c>
      <c r="N112" s="100">
        <f>SUM(CF$49:CF$70)+SUM(CH$49:CH$70)+SUM(CJ$49:CJ$70)+SUM(CL$49:CL$70)</f>
        <v>579.90260621551363</v>
      </c>
      <c r="O112" s="100">
        <f>SUM(CN$49:CN$70)+SUM(CP$49:CP$70)+SUM(CR$49:CR$70)+SUM(CT$49:CT$70)</f>
        <v>411.05158256003148</v>
      </c>
    </row>
    <row r="113" spans="2:15">
      <c r="C113" s="99" t="s">
        <v>130</v>
      </c>
      <c r="D113" s="100">
        <f>SUM(D$71:D$86)+SUM(F$71:F$86)+SUM(H$71:H$86)+SUM(J$71:J$86)</f>
        <v>321.15111156264061</v>
      </c>
      <c r="E113" s="100">
        <f>SUM(L$71:L$86)+SUM(N$71:N$86)+SUM(P$71:P$86)+SUM(R$71:R$86)</f>
        <v>227.21800836353833</v>
      </c>
      <c r="F113" s="100">
        <f>SUM(T$71:T$86)+SUM(V$71:V$86)+SUM(X$71:X$86)+SUM(Z$71:Z$86)</f>
        <v>299.16219155946715</v>
      </c>
      <c r="G113" s="100">
        <f>SUM(AB$71:AB$86)+SUM(AD$71:AD$86)+SUM(AF$71:AF$86)+SUM(AH$71:AH$86)</f>
        <v>297.25349589259048</v>
      </c>
      <c r="H113" s="100">
        <f>SUM(AJ$71:AJ$86)+SUM(AL$71:AL$86)+SUM(AN$71:AN$86)+SUM(AP$71:AP$86)</f>
        <v>412.24131631184218</v>
      </c>
      <c r="I113" s="100">
        <f>SUM(AR$71:AR$86)+SUM(AT$71:AT$86)+SUM(AV$71:AV$86)+SUM(AX$71:AX$86)</f>
        <v>342.02300787044982</v>
      </c>
      <c r="J113" s="100">
        <f>SUM(AZ$71:AZ$86)+SUM(BB$71:BB$86)+SUM(BD$71:BD$86)+SUM(BF$71:BF$86)</f>
        <v>313.05338076304793</v>
      </c>
      <c r="K113" s="100">
        <f>SUM(BH$71:BH$86)+SUM(BJ$71:BJ$86)+SUM(BL$71:BL$86)+SUM(BN$71:BN$86)</f>
        <v>290.22220289462575</v>
      </c>
      <c r="L113" s="100">
        <f>SUM(BP$71:BP$86)+SUM(BR$71:BR$86)+SUM(BT$71:BT$86)+SUM(BV$71:BV$86)</f>
        <v>411.11408716950746</v>
      </c>
      <c r="M113" s="100">
        <f>SUM(BX$71:BX$86)+SUM(BZ$71:BZ$86)+SUM(CB$71:CB$86)+SUM(CD$71:CD$86)</f>
        <v>332.96159849906746</v>
      </c>
      <c r="N113" s="100">
        <f>SUM(CF$71:CF$86)+SUM(CH$71:CH$86)+SUM(CJ$71:CJ$86)+SUM(CL$71:CL$86)</f>
        <v>295.68830092107964</v>
      </c>
      <c r="O113" s="100">
        <f>SUM(CN$71:CN$86)+SUM(CP$71:CP$86)+SUM(CR$71:CR$86)+SUM(CT$71:CT$86)</f>
        <v>336.74044933152766</v>
      </c>
    </row>
    <row r="114" spans="2:15">
      <c r="C114" s="99" t="s">
        <v>131</v>
      </c>
      <c r="D114" s="100">
        <f>SUM(D$87:D$94)+SUM(F$87:F$94)+SUM(H$87:H$94)+SUM(J$87:J$94)</f>
        <v>112.79507668016318</v>
      </c>
      <c r="E114" s="100">
        <f>SUM(L$87:L$94)+SUM(N$87:N$94)+SUM(P$87:P$94)+SUM(R$87:R$94)</f>
        <v>125.93654187403713</v>
      </c>
      <c r="F114" s="100">
        <f>SUM(T$87:T$94)+SUM(V$87:V$94)+SUM(X$87:X$94)+SUM(Z$87:Z$94)</f>
        <v>89.396212888541058</v>
      </c>
      <c r="G114" s="100">
        <f>SUM(AB$87:AB$94)+SUM(AD$87:AD$94)+SUM(AF$87:AF$94)+SUM(AH$87:AH$94)</f>
        <v>105.71221987971394</v>
      </c>
      <c r="H114" s="100">
        <f>SUM(AJ$87:AJ$94)+SUM(AL$87:AL$94)+SUM(AN$87:AN$94)+SUM(AP$87:AP$94)</f>
        <v>181.96826776680632</v>
      </c>
      <c r="I114" s="100">
        <f>SUM(AR$87:AR$94)+SUM(AT$87:AT$94)+SUM(AV$87:AV$94)+SUM(AX$87:AX$94)</f>
        <v>115.25978757458842</v>
      </c>
      <c r="J114" s="100">
        <f>SUM(AZ$87:AZ$94)+SUM(BB$87:BB$94)+SUM(BD$87:BD$94)+SUM(BF$87:BF$94)</f>
        <v>166.62866194237338</v>
      </c>
      <c r="K114" s="100">
        <f>SUM(BH$87:BH$94)+SUM(BJ$87:BJ$94)+SUM(BL$87:BL$94)+SUM(BN$87:BN$94)</f>
        <v>142.19235914376617</v>
      </c>
      <c r="L114" s="100">
        <f>SUM(BP$87:BP$94)+SUM(BR$87:BR$94)+SUM(BT$87:BT$94)+SUM(BV$87:BV$94)</f>
        <v>166.58076579632956</v>
      </c>
      <c r="M114" s="100">
        <f>SUM(BX$87:BX$94)+SUM(BZ$87:BZ$94)+SUM(CB$87:CB$94)+SUM(CD$87:CD$94)</f>
        <v>105.16349169139035</v>
      </c>
      <c r="N114" s="100">
        <f>SUM(CF$87:CF$94)+SUM(CH$87:CH$94)+SUM(CJ$87:CJ$94)+SUM(CL$87:CL$94)</f>
        <v>122.62483798968987</v>
      </c>
      <c r="O114" s="100">
        <f>SUM(CN$87:CN$94)+SUM(CP$87:CP$94)+SUM(CR$87:CR$94)+SUM(CT$87:CT$94)</f>
        <v>175.64132486992895</v>
      </c>
    </row>
    <row r="115" spans="2:15">
      <c r="C115" s="99" t="s">
        <v>132</v>
      </c>
      <c r="D115" s="100">
        <f>SUM(D$95:D$105)+SUM(F$95:F$105)+SUM(H$95:H$105)+SUM(J$95:J$105)</f>
        <v>239.06235677770468</v>
      </c>
      <c r="E115" s="100">
        <f>SUM(L$95:L$105)+SUM(N$95:N$105)+SUM(P$95:P$105)+SUM(R$95:R$105)</f>
        <v>214.7615990679555</v>
      </c>
      <c r="F115" s="100">
        <f>SUM(T$95:T$105)+SUM(V$95:V$105)+SUM(X$95:X$105)+SUM(Z$95:Z$105)</f>
        <v>196.02604868350923</v>
      </c>
      <c r="G115" s="100">
        <f>SUM(AB$95:AB$105)+SUM(AD$95:AD$105)+SUM(AF$95:AF$105)+SUM(AH$95:AH$105)</f>
        <v>247.44515362725022</v>
      </c>
      <c r="H115" s="100">
        <f>SUM(AJ$95:AJ$105)+SUM(AL$95:AL$105)+SUM(AN$95:AN$105)+SUM(AP$95:AP$105)</f>
        <v>349.69756012760791</v>
      </c>
      <c r="I115" s="100">
        <f>SUM(AR$95:AR$105)+SUM(AT$95:AT$105)+SUM(AV$95:AV$105)+SUM(AX$95:AX$105)</f>
        <v>217.10603191270297</v>
      </c>
      <c r="J115" s="100">
        <f>SUM(AZ$95:AZ$105)+SUM(BB$95:BB$105)+SUM(BD$95:BD$105)+SUM(BF$95:BF$105)</f>
        <v>360.20668527241423</v>
      </c>
      <c r="K115" s="100">
        <f>SUM(BH$95:BH$105)+SUM(BJ$95:BJ$105)+SUM(BL$95:BL$105)+SUM(BN$95:BN$105)</f>
        <v>259.07470122454754</v>
      </c>
      <c r="L115" s="100">
        <f>SUM(BP$95:BP$105)+SUM(BR$95:BR$105)+SUM(BT$95:BT$105)+SUM(BV$95:BV$105)</f>
        <v>299.90951437169144</v>
      </c>
      <c r="M115" s="100">
        <f>SUM(BX$95:BX$105)+SUM(BZ$95:BZ$105)+SUM(CB$95:CB$105)+SUM(CD$95:CD$105)</f>
        <v>232.50797511814207</v>
      </c>
      <c r="N115" s="100">
        <f>SUM(CF$95:CF$105)+SUM(CH$95:CH$105)+SUM(CJ$95:CJ$105)+SUM(CL$95:CL$105)</f>
        <v>219.28618788295012</v>
      </c>
      <c r="O115" s="100">
        <f>SUM(CN$95:CN$105)+SUM(CP$95:CP$105)+SUM(CR$95:CR$105)+SUM(CT$95:CT$105)</f>
        <v>360.11856421275797</v>
      </c>
    </row>
    <row r="116" spans="2:15">
      <c r="C116" s="99" t="s">
        <v>278</v>
      </c>
      <c r="D116" s="100">
        <f t="shared" ref="D116:O116" si="0">SUM(D$109:D$115)</f>
        <v>2374.7426328729885</v>
      </c>
      <c r="E116" s="100">
        <f t="shared" si="0"/>
        <v>2083.3518897247168</v>
      </c>
      <c r="F116" s="100">
        <f t="shared" si="0"/>
        <v>2187.2652297844429</v>
      </c>
      <c r="G116" s="100">
        <f t="shared" si="0"/>
        <v>2194.053725026215</v>
      </c>
      <c r="H116" s="100">
        <f t="shared" si="0"/>
        <v>2325.7280392359385</v>
      </c>
      <c r="I116" s="100">
        <f t="shared" si="0"/>
        <v>2144.009697796243</v>
      </c>
      <c r="J116" s="100">
        <f t="shared" si="0"/>
        <v>3043.3161060898451</v>
      </c>
      <c r="K116" s="100">
        <f t="shared" si="0"/>
        <v>2441.8830641433801</v>
      </c>
      <c r="L116" s="100">
        <f t="shared" si="0"/>
        <v>2511.5065421390759</v>
      </c>
      <c r="M116" s="100">
        <f t="shared" si="0"/>
        <v>2523.7894023116087</v>
      </c>
      <c r="N116" s="100">
        <f t="shared" si="0"/>
        <v>2502.8482929168349</v>
      </c>
      <c r="O116" s="100">
        <f t="shared" si="0"/>
        <v>2179.5072456035368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1143047.0615212878</v>
      </c>
      <c r="E120" s="100">
        <f>E109*pricing!E33*2000</f>
        <v>1458349.6687728721</v>
      </c>
      <c r="F120" s="100">
        <f>F109*pricing!F33*2000</f>
        <v>1490529.8995550151</v>
      </c>
      <c r="G120" s="100">
        <f>G109*pricing!G33*2000</f>
        <v>1692960.1826831303</v>
      </c>
      <c r="H120" s="100">
        <f>H109*pricing!H33*2000</f>
        <v>1351522.7600567786</v>
      </c>
      <c r="I120" s="100">
        <f>I109*pricing!I33*2000</f>
        <v>1286748.8088201568</v>
      </c>
      <c r="J120" s="100">
        <f>J109*pricing!J33*2000</f>
        <v>2132761.8804235188</v>
      </c>
      <c r="K120" s="100">
        <f>K109*pricing!K33*2000</f>
        <v>1916588.6293752126</v>
      </c>
      <c r="L120" s="100">
        <f>L109*pricing!L33*2000</f>
        <v>1495027.5403254922</v>
      </c>
      <c r="M120" s="100">
        <f>M109*pricing!M33*2000</f>
        <v>1620657.9401445652</v>
      </c>
      <c r="N120" s="100">
        <f>N109*pricing!N33*2000</f>
        <v>1895507.8726109124</v>
      </c>
      <c r="O120" s="100">
        <f>O109*pricing!O33*2000</f>
        <v>1117094.2139006809</v>
      </c>
    </row>
    <row r="121" spans="2:15">
      <c r="C121" s="99" t="s">
        <v>127</v>
      </c>
      <c r="D121" s="100">
        <f>D110*pricing!D34*2000</f>
        <v>2052903.5792892559</v>
      </c>
      <c r="E121" s="100">
        <f>E110*pricing!E34*2000</f>
        <v>1653439.9253720674</v>
      </c>
      <c r="F121" s="100">
        <f>F110*pricing!F34*2000</f>
        <v>1579357.9784497125</v>
      </c>
      <c r="G121" s="100">
        <f>G110*pricing!G34*2000</f>
        <v>1993551.3906214973</v>
      </c>
      <c r="H121" s="100">
        <f>H110*pricing!H34*2000</f>
        <v>1625315.3222724905</v>
      </c>
      <c r="I121" s="100">
        <f>I110*pricing!I34*2000</f>
        <v>1864590.4652951953</v>
      </c>
      <c r="J121" s="100">
        <f>J110*pricing!J34*2000</f>
        <v>2400706.2253708625</v>
      </c>
      <c r="K121" s="100">
        <f>K110*pricing!K34*2000</f>
        <v>1720565.2475964124</v>
      </c>
      <c r="L121" s="100">
        <f>L110*pricing!L34*2000</f>
        <v>1881088.0469112527</v>
      </c>
      <c r="M121" s="100">
        <f>M110*pricing!M34*2000</f>
        <v>2507018.6111632744</v>
      </c>
      <c r="N121" s="100">
        <f>N110*pricing!N34*2000</f>
        <v>2108079.6525930488</v>
      </c>
      <c r="O121" s="100">
        <f>O110*pricing!O34*2000</f>
        <v>1314418.313938786</v>
      </c>
    </row>
    <row r="122" spans="2:15">
      <c r="C122" s="99" t="s">
        <v>128</v>
      </c>
      <c r="D122" s="100">
        <f>D111*pricing!D35*2000</f>
        <v>2510047.7670567655</v>
      </c>
      <c r="E122" s="100">
        <f>E111*pricing!E35*2000</f>
        <v>1960870.7324984923</v>
      </c>
      <c r="F122" s="100">
        <f>F111*pricing!F35*2000</f>
        <v>2005719.6724547716</v>
      </c>
      <c r="G122" s="100">
        <f>G111*pricing!G35*2000</f>
        <v>1842392.8690315234</v>
      </c>
      <c r="H122" s="100">
        <f>H111*pricing!H35*2000</f>
        <v>1810805.3612667874</v>
      </c>
      <c r="I122" s="100">
        <f>I111*pricing!I35*2000</f>
        <v>1677343.9864687009</v>
      </c>
      <c r="J122" s="100">
        <f>J111*pricing!J35*2000</f>
        <v>2980383.9741676422</v>
      </c>
      <c r="K122" s="100">
        <f>K111*pricing!K35*2000</f>
        <v>2376488.9498183243</v>
      </c>
      <c r="L122" s="100">
        <f>L111*pricing!L35*2000</f>
        <v>2328489.751086724</v>
      </c>
      <c r="M122" s="100">
        <f>M111*pricing!M35*2000</f>
        <v>2524300.0257423064</v>
      </c>
      <c r="N122" s="100">
        <f>N111*pricing!N35*2000</f>
        <v>2277658.3636899283</v>
      </c>
      <c r="O122" s="100">
        <f>O111*pricing!O35*2000</f>
        <v>1910144.8342991197</v>
      </c>
    </row>
    <row r="123" spans="2:15">
      <c r="C123" s="99" t="s">
        <v>129</v>
      </c>
      <c r="D123" s="100">
        <f>D112*pricing!D36*2000</f>
        <v>2583539.5117409923</v>
      </c>
      <c r="E123" s="100">
        <f>E112*pricing!E36*2000</f>
        <v>2373140.4481411157</v>
      </c>
      <c r="F123" s="100">
        <f>F112*pricing!F36*2000</f>
        <v>2807988.9662585682</v>
      </c>
      <c r="G123" s="100">
        <f>G112*pricing!G36*2000</f>
        <v>2071441.5769298235</v>
      </c>
      <c r="H123" s="100">
        <f>H112*pricing!H36*2000</f>
        <v>1996391.0210699132</v>
      </c>
      <c r="I123" s="100">
        <f>I112*pricing!I36*2000</f>
        <v>2391188.5499770595</v>
      </c>
      <c r="J123" s="100">
        <f>J112*pricing!J36*2000</f>
        <v>3302073.9222130948</v>
      </c>
      <c r="K123" s="100">
        <f>K112*pricing!K36*2000</f>
        <v>2601954.2740365909</v>
      </c>
      <c r="L123" s="100">
        <f>L112*pricing!L36*2000</f>
        <v>2294792.2781681027</v>
      </c>
      <c r="M123" s="100">
        <f>M112*pricing!M36*2000</f>
        <v>2409890.3854088853</v>
      </c>
      <c r="N123" s="100">
        <f>N112*pricing!N36*2000</f>
        <v>2899513.031077568</v>
      </c>
      <c r="O123" s="100">
        <f>O112*pricing!O36*2000</f>
        <v>2055257.9128001574</v>
      </c>
    </row>
    <row r="124" spans="2:15">
      <c r="C124" s="99" t="s">
        <v>130</v>
      </c>
      <c r="D124" s="100">
        <f>D113*pricing!D37*2000</f>
        <v>1669985.7801257311</v>
      </c>
      <c r="E124" s="100">
        <f>E113*pricing!E37*2000</f>
        <v>1181533.6434903992</v>
      </c>
      <c r="F124" s="100">
        <f>F113*pricing!F37*2000</f>
        <v>1555643.3961092292</v>
      </c>
      <c r="G124" s="100">
        <f>G113*pricing!G37*2000</f>
        <v>1545718.1786414706</v>
      </c>
      <c r="H124" s="100">
        <f>H113*pricing!H37*2000</f>
        <v>2143654.8448215793</v>
      </c>
      <c r="I124" s="100">
        <f>I113*pricing!I37*2000</f>
        <v>1778519.6409263392</v>
      </c>
      <c r="J124" s="100">
        <f>J113*pricing!J37*2000</f>
        <v>1627877.5799678492</v>
      </c>
      <c r="K124" s="100">
        <f>K113*pricing!K37*2000</f>
        <v>1509155.4550520538</v>
      </c>
      <c r="L124" s="100">
        <f>L113*pricing!L37*2000</f>
        <v>2137793.2532814387</v>
      </c>
      <c r="M124" s="100">
        <f>M113*pricing!M37*2000</f>
        <v>1731400.3121951509</v>
      </c>
      <c r="N124" s="100">
        <f>N113*pricing!N37*2000</f>
        <v>1537579.1647896143</v>
      </c>
      <c r="O124" s="100">
        <f>O113*pricing!O37*2000</f>
        <v>1751050.3365239438</v>
      </c>
    </row>
    <row r="125" spans="2:15">
      <c r="C125" s="99" t="s">
        <v>131</v>
      </c>
      <c r="D125" s="100">
        <f>D114*pricing!D38*2000</f>
        <v>631652.42940891383</v>
      </c>
      <c r="E125" s="100">
        <f>E114*pricing!E38*2000</f>
        <v>705244.63449460792</v>
      </c>
      <c r="F125" s="100">
        <f>F114*pricing!F38*2000</f>
        <v>500618.79217582988</v>
      </c>
      <c r="G125" s="100">
        <f>G114*pricing!G38*2000</f>
        <v>591988.43132639804</v>
      </c>
      <c r="H125" s="100">
        <f>H114*pricing!H38*2000</f>
        <v>1019022.2994941154</v>
      </c>
      <c r="I125" s="100">
        <f>I114*pricing!I38*2000</f>
        <v>645454.81041769509</v>
      </c>
      <c r="J125" s="100">
        <f>J114*pricing!J38*2000</f>
        <v>933120.50687729078</v>
      </c>
      <c r="K125" s="100">
        <f>K114*pricing!K38*2000</f>
        <v>796277.2112050904</v>
      </c>
      <c r="L125" s="100">
        <f>L114*pricing!L38*2000</f>
        <v>932852.28845944547</v>
      </c>
      <c r="M125" s="100">
        <f>M114*pricing!M38*2000</f>
        <v>588915.55347178585</v>
      </c>
      <c r="N125" s="100">
        <f>N114*pricing!N38*2000</f>
        <v>686699.09274226322</v>
      </c>
      <c r="O125" s="100">
        <f>O114*pricing!O38*2000</f>
        <v>983591.41927160206</v>
      </c>
    </row>
    <row r="126" spans="2:15">
      <c r="C126" s="99" t="s">
        <v>132</v>
      </c>
      <c r="D126" s="100">
        <f>D115*pricing!D39*2000</f>
        <v>1243124.2552440644</v>
      </c>
      <c r="E126" s="100">
        <f>E115*pricing!E39*2000</f>
        <v>1116760.3151533685</v>
      </c>
      <c r="F126" s="100">
        <f>F115*pricing!F39*2000</f>
        <v>1019335.4531542481</v>
      </c>
      <c r="G126" s="100">
        <f>G115*pricing!G39*2000</f>
        <v>1286714.7988617013</v>
      </c>
      <c r="H126" s="100">
        <f>H115*pricing!H39*2000</f>
        <v>1818427.3126635612</v>
      </c>
      <c r="I126" s="100">
        <f>I115*pricing!I39*2000</f>
        <v>1128951.3659460556</v>
      </c>
      <c r="J126" s="100">
        <f>J115*pricing!J39*2000</f>
        <v>1873074.7634165541</v>
      </c>
      <c r="K126" s="100">
        <f>K115*pricing!K39*2000</f>
        <v>1347188.4463676473</v>
      </c>
      <c r="L126" s="100">
        <f>L115*pricing!L39*2000</f>
        <v>1559529.4747327955</v>
      </c>
      <c r="M126" s="100">
        <f>M115*pricing!M39*2000</f>
        <v>1209041.4706143388</v>
      </c>
      <c r="N126" s="100">
        <f>N115*pricing!N39*2000</f>
        <v>1140288.1769913407</v>
      </c>
      <c r="O126" s="100">
        <f>O115*pricing!O39*2000</f>
        <v>1872616.5339063415</v>
      </c>
    </row>
    <row r="127" spans="2:15">
      <c r="C127" s="99" t="s">
        <v>278</v>
      </c>
      <c r="D127" s="100">
        <f>SUM(D$120:D$126)</f>
        <v>11834300.384387011</v>
      </c>
      <c r="E127" s="100">
        <f t="shared" ref="E127:O127" si="1">SUM(E$120:E$126)</f>
        <v>10449339.367922923</v>
      </c>
      <c r="F127" s="100">
        <f t="shared" si="1"/>
        <v>10959194.158157373</v>
      </c>
      <c r="G127" s="100">
        <f t="shared" si="1"/>
        <v>11024767.428095546</v>
      </c>
      <c r="H127" s="100">
        <f t="shared" si="1"/>
        <v>11765138.921645226</v>
      </c>
      <c r="I127" s="100">
        <f t="shared" si="1"/>
        <v>10772797.627851203</v>
      </c>
      <c r="J127" s="100">
        <f t="shared" si="1"/>
        <v>15249998.852436813</v>
      </c>
      <c r="K127" s="100">
        <f t="shared" si="1"/>
        <v>12268218.21345133</v>
      </c>
      <c r="L127" s="100">
        <f t="shared" si="1"/>
        <v>12629572.632965252</v>
      </c>
      <c r="M127" s="100">
        <f t="shared" si="1"/>
        <v>12591224.298740305</v>
      </c>
      <c r="N127" s="100">
        <f t="shared" si="1"/>
        <v>12545325.354494676</v>
      </c>
      <c r="O127" s="100">
        <f t="shared" si="1"/>
        <v>11004173.56464063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106813.57872651854</v>
      </c>
      <c r="E131" s="106">
        <f>SUM(M$6:M$19)+SUM(O$6:O$19)+SUM(Q$6:Q$19)+SUM(S$6:S$19)</f>
        <v>136145.79375342702</v>
      </c>
      <c r="F131" s="106">
        <f>SUM(U$6:U$19)+SUM(W$6:W$19)+SUM(Y$6:Y$19)+SUM(AA$6:AA$19)</f>
        <v>138246.02651606675</v>
      </c>
      <c r="G131" s="106">
        <f>SUM(AC$6:AC$19)+SUM(AE$6:AE$19)+SUM(AG$6:AG$19)+SUM(AI$6:AI$19)</f>
        <v>158580.91524364252</v>
      </c>
      <c r="H131" s="106">
        <f>SUM(AK$6:AK$19)+SUM(AM$6:AM$19)+SUM(AO$6:AO$19)+SUM(AQ$6:AQ$19)</f>
        <v>125548.55916814512</v>
      </c>
      <c r="I131" s="106">
        <f>SUM(AS$6:AS$19)+SUM(AU$6:AU$19)+SUM(AW$6:AW$19)+SUM(AY$6:AY$19)</f>
        <v>121367.72273714461</v>
      </c>
      <c r="J131" s="106">
        <f>SUM(BA$6:BA$19)+SUM(BC$6:BC$19)+SUM(BE$6:BE$19)+SUM(BG$6:BG$19)</f>
        <v>198559.71679639455</v>
      </c>
      <c r="K131" s="106">
        <f>SUM(BI$6:BI$19)+SUM(BK$6:BK$19)+SUM(BM$6:BM$19)+SUM(BO$6:BO$19)</f>
        <v>179026.75048852037</v>
      </c>
      <c r="L131" s="106">
        <f>SUM(BQ$6:BQ$19)+SUM(BS$6:BS$19)+SUM(BU$6:BU$19)+SUM(BW$6:BW$19)</f>
        <v>138218.22352977694</v>
      </c>
      <c r="M131" s="106">
        <f>SUM(BY$6:BY$19)+SUM(CA$6:CA$19)+SUM(CC$6:CC$19)+SUM(CE$6:CE$19)</f>
        <v>150471.32280842963</v>
      </c>
      <c r="N131" s="106">
        <f>SUM(CG$6:CG$19)+SUM(CI$6:CI$19)+SUM(CK$6:CK$19)+SUM(CM$6:CM$19)</f>
        <v>176333.03074446565</v>
      </c>
      <c r="O131" s="106">
        <f>SUM(CO$6:CO$19)+SUM(CQ$6:CQ$19)+SUM(CS$6:CS$19)+SUM(CU$6:CU$19)</f>
        <v>105209.96856651311</v>
      </c>
    </row>
    <row r="132" spans="2:15">
      <c r="C132" s="105" t="s">
        <v>127</v>
      </c>
      <c r="D132" s="106">
        <f>SUM(E$20:E$36)+SUM(G$20:G$36)+SUM(I$20:I$36)+SUM(K$20:K$36)</f>
        <v>182521.09652812174</v>
      </c>
      <c r="E132" s="106">
        <f>SUM(M$20:M$36)+SUM(O$20:O$36)+SUM(Q$20:Q$36)+SUM(S$20:S$36)</f>
        <v>147953.46482859857</v>
      </c>
      <c r="F132" s="106">
        <f>SUM(U$20:U$36)+SUM(W$20:W$36)+SUM(Y$20:Y$36)+SUM(AA$20:AA$36)</f>
        <v>140026.47057814954</v>
      </c>
      <c r="G132" s="106">
        <f>SUM(AC$20:AC$36)+SUM(AE$20:AE$36)+SUM(AG$20:AG$36)+SUM(AI$20:AI$36)</f>
        <v>176897.75410788189</v>
      </c>
      <c r="H132" s="106">
        <f>SUM(AK$20:AK$36)+SUM(AM$20:AM$36)+SUM(AO$20:AO$36)+SUM(AQ$20:AQ$36)</f>
        <v>144358.77168482562</v>
      </c>
      <c r="I132" s="106">
        <f>SUM(AS$20:AS$36)+SUM(AU$20:AU$36)+SUM(AW$20:AW$36)+SUM(AY$20:AY$36)</f>
        <v>164449.88517693523</v>
      </c>
      <c r="J132" s="106">
        <f>SUM(BA$20:BA$36)+SUM(BC$20:BC$36)+SUM(BE$20:BE$36)+SUM(BG$20:BG$36)</f>
        <v>213667.45723299909</v>
      </c>
      <c r="K132" s="106">
        <f>SUM(BI$20:BI$36)+SUM(BK$20:BK$36)+SUM(BM$20:BM$36)+SUM(BO$20:BO$36)</f>
        <v>152959.02925650321</v>
      </c>
      <c r="L132" s="106">
        <f>SUM(BQ$20:BQ$36)+SUM(BS$20:BS$36)+SUM(BU$20:BU$36)+SUM(BW$20:BW$36)</f>
        <v>166711.37444711605</v>
      </c>
      <c r="M132" s="106">
        <f>SUM(BY$20:BY$36)+SUM(CA$20:CA$36)+SUM(CC$20:CC$36)+SUM(CE$20:CE$36)</f>
        <v>223674.39905275177</v>
      </c>
      <c r="N132" s="106">
        <f>SUM(CG$20:CG$36)+SUM(CI$20:CI$36)+SUM(CK$20:CK$36)+SUM(CM$20:CM$36)</f>
        <v>186768.00491965195</v>
      </c>
      <c r="O132" s="106">
        <f>SUM(CO$20:CO$36)+SUM(CQ$20:CQ$36)+SUM(CS$20:CS$36)+SUM(CU$20:CU$36)</f>
        <v>116671.12226325634</v>
      </c>
    </row>
    <row r="133" spans="2:15">
      <c r="C133" s="105" t="s">
        <v>128</v>
      </c>
      <c r="D133" s="106">
        <f>SUM(E$37:E$48)+SUM(G$37:G$48)+SUM(I$37:I$48)+SUM(K$37:K$48)</f>
        <v>572989.38816900924</v>
      </c>
      <c r="E133" s="106">
        <f>SUM(M$37:M$48)+SUM(O$37:O$48)+SUM(Q$37:Q$48)+SUM(S$37:S$48)</f>
        <v>445878.02932941308</v>
      </c>
      <c r="F133" s="106">
        <f>SUM(U$37:U$48)+SUM(W$37:W$48)+SUM(Y$37:Y$48)+SUM(AA$37:AA$48)</f>
        <v>456876.23990325205</v>
      </c>
      <c r="G133" s="106">
        <f>SUM(AC$37:AC$48)+SUM(AE$37:AE$48)+SUM(AG$37:AG$48)+SUM(AI$37:AI$48)</f>
        <v>419534.71009034209</v>
      </c>
      <c r="H133" s="106">
        <f>SUM(AK$37:AK$48)+SUM(AM$37:AM$48)+SUM(AO$37:AO$48)+SUM(AQ$37:AQ$48)</f>
        <v>412314.38960111683</v>
      </c>
      <c r="I133" s="106">
        <f>SUM(AS$37:AS$48)+SUM(AU$37:AU$48)+SUM(AW$37:AW$48)+SUM(AY$37:AY$48)</f>
        <v>381686.53983679193</v>
      </c>
      <c r="J133" s="106">
        <f>SUM(BA$37:BA$48)+SUM(BC$37:BC$48)+SUM(BE$37:BE$48)+SUM(BG$37:BG$48)</f>
        <v>677808.69931858045</v>
      </c>
      <c r="K133" s="106">
        <f>SUM(BI$37:BI$48)+SUM(BK$37:BK$48)+SUM(BM$37:BM$48)+SUM(BO$37:BO$48)</f>
        <v>540735.35976782523</v>
      </c>
      <c r="L133" s="106">
        <f>SUM(BQ$37:BQ$48)+SUM(BS$37:BS$48)+SUM(BU$37:BU$48)+SUM(BW$37:BW$48)</f>
        <v>528859.38314619008</v>
      </c>
      <c r="M133" s="106">
        <f>SUM(BY$37:BY$48)+SUM(CA$37:CA$48)+SUM(CC$37:CC$48)+SUM(CE$37:CE$48)</f>
        <v>574229.62909804005</v>
      </c>
      <c r="N133" s="106">
        <f>SUM(CG$37:CG$48)+SUM(CI$37:CI$48)+SUM(CK$37:CK$48)+SUM(CM$37:CM$48)</f>
        <v>518835.56693150563</v>
      </c>
      <c r="O133" s="106">
        <f>SUM(CO$37:CO$48)+SUM(CQ$37:CQ$48)+SUM(CS$37:CS$48)+SUM(CU$37:CU$48)</f>
        <v>436056.34068215161</v>
      </c>
    </row>
    <row r="134" spans="2:15">
      <c r="C134" s="105" t="s">
        <v>129</v>
      </c>
      <c r="D134" s="106">
        <f>SUM(E$49:E$70)+SUM(G$49:G$70)+SUM(I$49:I$70)+SUM(K$49:K$70)</f>
        <v>430581.80085685803</v>
      </c>
      <c r="E134" s="106">
        <f>SUM(M$49:M$70)+SUM(O$49:O$70)+SUM(Q$49:Q$70)+SUM(S$49:S$70)</f>
        <v>389863.07822607737</v>
      </c>
      <c r="F134" s="106">
        <f>SUM(U$49:U$70)+SUM(W$49:W$70)+SUM(Y$49:Y$70)+SUM(AA$49:AA$70)</f>
        <v>461686.26237165829</v>
      </c>
      <c r="G134" s="106">
        <f>SUM(AC$49:AC$70)+SUM(AE$49:AE$70)+SUM(AG$49:AG$70)+SUM(AI$49:AI$70)</f>
        <v>343927.10278789565</v>
      </c>
      <c r="H134" s="106">
        <f>SUM(AK$49:AK$70)+SUM(AM$49:AM$70)+SUM(AO$49:AO$70)+SUM(AQ$49:AQ$70)</f>
        <v>342757.45283429907</v>
      </c>
      <c r="I134" s="106">
        <f>SUM(AS$49:AS$70)+SUM(AU$49:AU$70)+SUM(AW$49:AW$70)+SUM(AY$49:AY$70)</f>
        <v>402766.54647761775</v>
      </c>
      <c r="J134" s="106">
        <f>SUM(BA$49:BA$70)+SUM(BC$49:BC$70)+SUM(BE$49:BE$70)+SUM(BG$49:BG$70)</f>
        <v>554650.94238887343</v>
      </c>
      <c r="K134" s="106">
        <f>SUM(BI$49:BI$70)+SUM(BK$49:BK$70)+SUM(BM$49:BM$70)+SUM(BO$49:BO$70)</f>
        <v>433443.26777920371</v>
      </c>
      <c r="L134" s="106">
        <f>SUM(BQ$49:BQ$70)+SUM(BS$49:BS$70)+SUM(BU$49:BU$70)+SUM(BW$49:BW$70)</f>
        <v>387618.64689349412</v>
      </c>
      <c r="M134" s="106">
        <f>SUM(BY$49:BY$70)+SUM(CA$49:CA$70)+SUM(CC$49:CC$70)+SUM(CE$49:CE$70)</f>
        <v>400037.02395916538</v>
      </c>
      <c r="N134" s="106">
        <f>SUM(CG$49:CG$70)+SUM(CI$49:CI$70)+SUM(CK$49:CK$70)+SUM(CM$49:CM$70)</f>
        <v>477972.47642097971</v>
      </c>
      <c r="O134" s="106">
        <f>SUM(CO$49:CO$70)+SUM(CQ$49:CQ$70)+SUM(CS$49:CS$70)+SUM(CU$49:CU$70)</f>
        <v>362627.46511622024</v>
      </c>
    </row>
    <row r="135" spans="2:15">
      <c r="C135" s="105" t="s">
        <v>130</v>
      </c>
      <c r="D135" s="106">
        <f>SUM(E$71:E$86)+SUM(G$71:G$86)+SUM(I$71:I$86)+SUM(K$71:K$86)</f>
        <v>180215.54320743296</v>
      </c>
      <c r="E135" s="106">
        <f>SUM(M$71:M$86)+SUM(O$71:O$86)+SUM(Q$71:Q$86)+SUM(S$71:S$86)</f>
        <v>125689.2943916423</v>
      </c>
      <c r="F135" s="106">
        <f>SUM(U$71:U$86)+SUM(W$71:W$86)+SUM(Y$71:Y$86)+SUM(AA$71:AA$86)</f>
        <v>166392.4340867078</v>
      </c>
      <c r="G135" s="106">
        <f>SUM(AC$71:AC$86)+SUM(AE$71:AE$86)+SUM(AG$71:AG$86)+SUM(AI$71:AI$86)</f>
        <v>166334.96167613057</v>
      </c>
      <c r="H135" s="106">
        <f>SUM(AK$71:AK$86)+SUM(AM$71:AM$86)+SUM(AO$71:AO$86)+SUM(AQ$71:AQ$86)</f>
        <v>230990.41115008362</v>
      </c>
      <c r="I135" s="106">
        <f>SUM(AS$71:AS$86)+SUM(AU$71:AU$86)+SUM(AW$71:AW$86)+SUM(AY$71:AY$86)</f>
        <v>190919.00994307161</v>
      </c>
      <c r="J135" s="106">
        <f>SUM(BA$71:BA$86)+SUM(BC$71:BC$86)+SUM(BE$71:BE$86)+SUM(BG$71:BG$86)</f>
        <v>174816.01461149848</v>
      </c>
      <c r="K135" s="106">
        <f>SUM(BI$71:BI$86)+SUM(BK$71:BK$86)+SUM(BM$71:BM$86)+SUM(BO$71:BO$86)</f>
        <v>162015.1187059345</v>
      </c>
      <c r="L135" s="106">
        <f>SUM(BQ$71:BQ$86)+SUM(BS$71:BS$86)+SUM(BU$71:BU$86)+SUM(BW$71:BW$86)</f>
        <v>229838.18152322236</v>
      </c>
      <c r="M135" s="106">
        <f>SUM(BY$71:BY$86)+SUM(CA$71:CA$86)+SUM(CC$71:CC$86)+SUM(CE$71:CE$86)</f>
        <v>185839.65284841898</v>
      </c>
      <c r="N135" s="106">
        <f>SUM(CG$71:CG$86)+SUM(CI$71:CI$86)+SUM(CK$71:CK$86)+SUM(CM$71:CM$86)</f>
        <v>164258.22873459186</v>
      </c>
      <c r="O135" s="106">
        <f>SUM(CO$71:CO$86)+SUM(CQ$71:CQ$86)+SUM(CS$71:CS$86)+SUM(CU$71:CU$86)</f>
        <v>188419.60004388788</v>
      </c>
    </row>
    <row r="136" spans="2:15">
      <c r="C136" s="105" t="s">
        <v>131</v>
      </c>
      <c r="D136" s="106">
        <f>SUM(E$87:E$94)+SUM(G$87:G$94)+SUM(I$87:I$94)+SUM(K$87:K$94)</f>
        <v>112983.04392853325</v>
      </c>
      <c r="E136" s="106">
        <f>SUM(M$87:M$94)+SUM(O$87:O$94)+SUM(Q$87:Q$94)+SUM(S$87:S$94)</f>
        <v>126151.71958023618</v>
      </c>
      <c r="F136" s="106">
        <f>SUM(U$87:U$94)+SUM(W$87:W$94)+SUM(Y$87:Y$94)+SUM(AA$87:AA$94)</f>
        <v>89647.36779561211</v>
      </c>
      <c r="G136" s="106">
        <f>SUM(AC$87:AC$94)+SUM(AE$87:AE$94)+SUM(AG$87:AG$94)+SUM(AI$87:AI$94)</f>
        <v>106143.13105673382</v>
      </c>
      <c r="H136" s="106">
        <f>SUM(AK$87:AK$94)+SUM(AM$87:AM$94)+SUM(AO$87:AO$94)+SUM(AQ$87:AQ$94)</f>
        <v>182305.54908548252</v>
      </c>
      <c r="I136" s="106">
        <f>SUM(AS$87:AS$94)+SUM(AU$87:AU$94)+SUM(AW$87:AW$94)+SUM(AY$87:AY$94)</f>
        <v>115722.38456087784</v>
      </c>
      <c r="J136" s="106">
        <f>SUM(BA$87:BA$94)+SUM(BC$87:BC$94)+SUM(BE$87:BE$94)+SUM(BG$87:BG$94)</f>
        <v>167548.91510157217</v>
      </c>
      <c r="K136" s="106">
        <f>SUM(BI$87:BI$94)+SUM(BK$87:BK$94)+SUM(BM$87:BM$94)+SUM(BO$87:BO$94)</f>
        <v>142898.14084622124</v>
      </c>
      <c r="L136" s="106">
        <f>SUM(BQ$87:BQ$94)+SUM(BS$87:BS$94)+SUM(BU$87:BU$94)+SUM(BW$87:BW$94)</f>
        <v>167572.69271173209</v>
      </c>
      <c r="M136" s="106">
        <f>SUM(BY$87:BY$94)+SUM(CA$87:CA$94)+SUM(CC$87:CC$94)+SUM(CE$87:CE$94)</f>
        <v>105741.43662333395</v>
      </c>
      <c r="N136" s="106">
        <f>SUM(CG$87:CG$94)+SUM(CI$87:CI$94)+SUM(CK$87:CK$94)+SUM(CM$87:CM$94)</f>
        <v>123376.45019081891</v>
      </c>
      <c r="O136" s="106">
        <f>SUM(CO$87:CO$94)+SUM(CQ$87:CQ$94)+SUM(CS$87:CS$94)+SUM(CU$87:CU$94)</f>
        <v>176135.32398830901</v>
      </c>
    </row>
    <row r="137" spans="2:15">
      <c r="C137" s="105" t="s">
        <v>132</v>
      </c>
      <c r="D137" s="106">
        <f>SUM(E$95:E$105)+SUM(G$95:G$105)+SUM(I$95:I$105)+SUM(K$95:K$105)</f>
        <v>186121.87252082027</v>
      </c>
      <c r="E137" s="106">
        <f>SUM(M$95:M$105)+SUM(O$95:O$105)+SUM(Q$95:Q$105)+SUM(S$95:S$105)</f>
        <v>165040.85278022662</v>
      </c>
      <c r="F137" s="106">
        <f>SUM(U$95:U$105)+SUM(W$95:W$105)+SUM(Y$95:Y$105)+SUM(AA$95:AA$105)</f>
        <v>154118.17269421651</v>
      </c>
      <c r="G137" s="106">
        <f>SUM(AC$95:AC$105)+SUM(AE$95:AE$105)+SUM(AG$95:AG$105)+SUM(AI$95:AI$105)</f>
        <v>195446.9669413993</v>
      </c>
      <c r="H137" s="106">
        <f>SUM(AK$95:AK$105)+SUM(AM$95:AM$105)+SUM(AO$95:AO$105)+SUM(AQ$95:AQ$105)</f>
        <v>272787.26262898458</v>
      </c>
      <c r="I137" s="106">
        <f>SUM(AS$95:AS$105)+SUM(AU$95:AU$105)+SUM(AW$95:AW$105)+SUM(AY$95:AY$105)</f>
        <v>170727.45876148227</v>
      </c>
      <c r="J137" s="106">
        <f>SUM(BA$95:BA$105)+SUM(BC$95:BC$105)+SUM(BE$95:BE$105)+SUM(BG$95:BG$105)</f>
        <v>283385.68146130588</v>
      </c>
      <c r="K137" s="106">
        <f>SUM(BI$95:BI$105)+SUM(BK$95:BK$105)+SUM(BM$95:BM$105)+SUM(BO$95:BO$105)</f>
        <v>201107.04251320189</v>
      </c>
      <c r="L137" s="106">
        <f>SUM(BQ$95:BQ$105)+SUM(BS$95:BS$105)+SUM(BU$95:BU$105)+SUM(BW$95:BW$105)</f>
        <v>232199.86351806208</v>
      </c>
      <c r="M137" s="106">
        <f>SUM(BY$95:BY$105)+SUM(CA$95:CA$105)+SUM(CC$95:CC$105)+SUM(CE$95:CE$105)</f>
        <v>180444.26693578847</v>
      </c>
      <c r="N137" s="106">
        <f>SUM(CG$95:CG$105)+SUM(CI$95:CI$105)+SUM(CK$95:CK$105)+SUM(CM$95:CM$105)</f>
        <v>167786.47324780707</v>
      </c>
      <c r="O137" s="106">
        <f>SUM(CO$95:CO$105)+SUM(CQ$95:CQ$105)+SUM(CS$95:CS$105)+SUM(CU$95:CU$105)</f>
        <v>276391.1810079593</v>
      </c>
    </row>
    <row r="138" spans="2:15">
      <c r="C138" s="105" t="s">
        <v>278</v>
      </c>
      <c r="D138" s="100">
        <f t="shared" ref="D138:O138" si="2">SUM(D$131:D$137)</f>
        <v>1772226.3239372941</v>
      </c>
      <c r="E138" s="100">
        <f t="shared" si="2"/>
        <v>1536722.2328896211</v>
      </c>
      <c r="F138" s="100">
        <f t="shared" si="2"/>
        <v>1606992.9739456633</v>
      </c>
      <c r="G138" s="100">
        <f t="shared" si="2"/>
        <v>1566865.5419040259</v>
      </c>
      <c r="H138" s="100">
        <f t="shared" si="2"/>
        <v>1711062.3961529373</v>
      </c>
      <c r="I138" s="100">
        <f t="shared" si="2"/>
        <v>1547639.5474939211</v>
      </c>
      <c r="J138" s="100">
        <f t="shared" si="2"/>
        <v>2270437.4269112241</v>
      </c>
      <c r="K138" s="100">
        <f t="shared" si="2"/>
        <v>1812184.7093574102</v>
      </c>
      <c r="L138" s="100">
        <f t="shared" si="2"/>
        <v>1851018.3657695937</v>
      </c>
      <c r="M138" s="100">
        <f t="shared" si="2"/>
        <v>1820437.7313259284</v>
      </c>
      <c r="N138" s="100">
        <f t="shared" si="2"/>
        <v>1815330.2311898209</v>
      </c>
      <c r="O138" s="100">
        <f t="shared" si="2"/>
        <v>1661511.0016682977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2015-01-12T20:16:47Z</dcterms:modified>
</cp:coreProperties>
</file>