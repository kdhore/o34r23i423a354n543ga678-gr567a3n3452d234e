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25520" windowHeight="1726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16" i="20" l="1"/>
  <c r="S15" i="20"/>
  <c r="S14" i="20"/>
  <c r="H40" i="20"/>
  <c r="H39" i="20"/>
  <c r="H38" i="20"/>
  <c r="H35" i="20"/>
  <c r="H34" i="20"/>
  <c r="S39" i="20"/>
  <c r="H33" i="20"/>
  <c r="S36" i="20"/>
  <c r="H30" i="20"/>
  <c r="H29" i="20"/>
  <c r="H28" i="20"/>
  <c r="S40" i="20"/>
  <c r="H27" i="20"/>
  <c r="S37" i="20"/>
  <c r="H24" i="20"/>
  <c r="H23" i="20"/>
  <c r="H15" i="20"/>
  <c r="H14" i="20"/>
  <c r="H13" i="20"/>
  <c r="H7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Y14" i="14"/>
  <c r="AX259" i="14"/>
  <c r="AX181" i="14"/>
  <c r="AX179" i="14"/>
  <c r="AX260" i="14"/>
  <c r="AX177" i="14"/>
  <c r="AX175" i="14"/>
  <c r="AW259" i="14"/>
  <c r="AX14" i="14"/>
  <c r="AW181" i="14"/>
  <c r="AW179" i="14"/>
  <c r="AW177" i="14"/>
  <c r="AW260" i="14"/>
  <c r="AW175" i="14"/>
  <c r="AW14" i="14"/>
  <c r="AV259" i="14"/>
  <c r="AV181" i="14"/>
  <c r="AV179" i="14"/>
  <c r="AV177" i="14"/>
  <c r="AV175" i="14"/>
  <c r="AV260" i="14"/>
  <c r="AU259" i="14"/>
  <c r="AV14" i="14"/>
  <c r="AU181" i="14"/>
  <c r="AU179" i="14"/>
  <c r="AU177" i="14"/>
  <c r="AU175" i="14"/>
  <c r="AU14" i="14"/>
  <c r="AT259" i="14"/>
  <c r="AT181" i="14"/>
  <c r="AT179" i="14"/>
  <c r="AT177" i="14"/>
  <c r="AT175" i="14"/>
  <c r="AT260" i="14"/>
  <c r="AS259" i="14"/>
  <c r="AT14" i="14"/>
  <c r="AS181" i="14"/>
  <c r="AS179" i="14"/>
  <c r="AS177" i="14"/>
  <c r="AS175" i="14"/>
  <c r="AR259" i="14"/>
  <c r="AS14" i="14"/>
  <c r="AR181" i="14"/>
  <c r="AR179" i="14"/>
  <c r="AR260" i="14"/>
  <c r="AR177" i="14"/>
  <c r="AR175" i="14"/>
  <c r="AR14" i="14"/>
  <c r="AQ259" i="14"/>
  <c r="AQ181" i="14"/>
  <c r="AQ179" i="14"/>
  <c r="AQ177" i="14"/>
  <c r="AQ175" i="14"/>
  <c r="AP260" i="14"/>
  <c r="AQ14" i="14"/>
  <c r="AP259" i="14"/>
  <c r="AP181" i="14"/>
  <c r="AP179" i="14"/>
  <c r="AP177" i="14"/>
  <c r="AP175" i="14"/>
  <c r="AO259" i="14"/>
  <c r="AP14" i="14"/>
  <c r="AO181" i="14"/>
  <c r="AO179" i="14"/>
  <c r="AO177" i="14"/>
  <c r="AO260" i="14"/>
  <c r="AO175" i="14"/>
  <c r="AO14" i="14"/>
  <c r="AN259" i="14"/>
  <c r="AN181" i="14"/>
  <c r="AN179" i="14"/>
  <c r="AN177" i="14"/>
  <c r="AN175" i="14"/>
  <c r="AN260" i="14"/>
  <c r="AM259" i="14"/>
  <c r="AN14" i="14"/>
  <c r="AM181" i="14"/>
  <c r="AM179" i="14"/>
  <c r="AM177" i="14"/>
  <c r="AM175" i="14"/>
  <c r="AM14" i="14"/>
  <c r="AL259" i="14"/>
  <c r="AL181" i="14"/>
  <c r="AL179" i="14"/>
  <c r="AL177" i="14"/>
  <c r="AL175" i="14"/>
  <c r="AK259" i="14"/>
  <c r="AL14" i="14"/>
  <c r="AK181" i="14"/>
  <c r="AK179" i="14"/>
  <c r="AK260" i="14"/>
  <c r="AK177" i="14"/>
  <c r="AK175" i="14"/>
  <c r="AJ259" i="14"/>
  <c r="AK14" i="14"/>
  <c r="AJ181" i="14"/>
  <c r="AJ179" i="14"/>
  <c r="AJ177" i="14"/>
  <c r="AJ260" i="14"/>
  <c r="AJ175" i="14"/>
  <c r="AJ14" i="14"/>
  <c r="AI259" i="14"/>
  <c r="AI181" i="14"/>
  <c r="AI179" i="14"/>
  <c r="AI177" i="14"/>
  <c r="AI175" i="14"/>
  <c r="AI260" i="14"/>
  <c r="AI14" i="14"/>
  <c r="AH259" i="14"/>
  <c r="AH181" i="14"/>
  <c r="AH179" i="14"/>
  <c r="AH260" i="14"/>
  <c r="AH177" i="14"/>
  <c r="AH175" i="14"/>
  <c r="AG259" i="14"/>
  <c r="AH14" i="14"/>
  <c r="AG181" i="14"/>
  <c r="AG179" i="14"/>
  <c r="AG177" i="14"/>
  <c r="AG260" i="14"/>
  <c r="AG175" i="14"/>
  <c r="AG14" i="14"/>
  <c r="AF259" i="14"/>
  <c r="AF181" i="14"/>
  <c r="AF179" i="14"/>
  <c r="AF177" i="14"/>
  <c r="AF175" i="14"/>
  <c r="AF260" i="14"/>
  <c r="AE259" i="14"/>
  <c r="AF14" i="14"/>
  <c r="AE181" i="14"/>
  <c r="AE179" i="14"/>
  <c r="AE177" i="14"/>
  <c r="AE175" i="14"/>
  <c r="AE14" i="14"/>
  <c r="AD259" i="14"/>
  <c r="AD181" i="14"/>
  <c r="AD179" i="14"/>
  <c r="AD177" i="14"/>
  <c r="AD175" i="14"/>
  <c r="AD260" i="14"/>
  <c r="AC259" i="14"/>
  <c r="AD14" i="14"/>
  <c r="AC181" i="14"/>
  <c r="AC179" i="14"/>
  <c r="AC177" i="14"/>
  <c r="AC175" i="14"/>
  <c r="AB259" i="14"/>
  <c r="AC14" i="14"/>
  <c r="AB181" i="14"/>
  <c r="AB179" i="14"/>
  <c r="AB260" i="14"/>
  <c r="AB177" i="14"/>
  <c r="AB175" i="14"/>
  <c r="AB14" i="14"/>
  <c r="AA259" i="14"/>
  <c r="AA181" i="14"/>
  <c r="AA179" i="14"/>
  <c r="AA177" i="14"/>
  <c r="AA175" i="14"/>
  <c r="Z260" i="14"/>
  <c r="AA14" i="14"/>
  <c r="Z259" i="14"/>
  <c r="Z181" i="14"/>
  <c r="Z179" i="14"/>
  <c r="Z177" i="14"/>
  <c r="Z175" i="14"/>
  <c r="Y259" i="14"/>
  <c r="Z14" i="14"/>
  <c r="Y181" i="14"/>
  <c r="Y179" i="14"/>
  <c r="Y177" i="14"/>
  <c r="Y260" i="14"/>
  <c r="Y175" i="14"/>
  <c r="Y14" i="14"/>
  <c r="X259" i="14"/>
  <c r="X181" i="14"/>
  <c r="X179" i="14"/>
  <c r="X177" i="14"/>
  <c r="X175" i="14"/>
  <c r="X260" i="14"/>
  <c r="W259" i="14"/>
  <c r="X14" i="14"/>
  <c r="W181" i="14"/>
  <c r="W179" i="14"/>
  <c r="W177" i="14"/>
  <c r="W175" i="14"/>
  <c r="W14" i="14"/>
  <c r="V259" i="14"/>
  <c r="V181" i="14"/>
  <c r="V179" i="14"/>
  <c r="V177" i="14"/>
  <c r="V175" i="14"/>
  <c r="U259" i="14"/>
  <c r="V14" i="14"/>
  <c r="U181" i="14"/>
  <c r="U179" i="14"/>
  <c r="U260" i="14"/>
  <c r="U177" i="14"/>
  <c r="U175" i="14"/>
  <c r="T259" i="14"/>
  <c r="U14" i="14"/>
  <c r="T181" i="14"/>
  <c r="T179" i="14"/>
  <c r="T177" i="14"/>
  <c r="T260" i="14"/>
  <c r="T175" i="14"/>
  <c r="T14" i="14"/>
  <c r="S259" i="14"/>
  <c r="S181" i="14"/>
  <c r="S179" i="14"/>
  <c r="S177" i="14"/>
  <c r="S175" i="14"/>
  <c r="S260" i="14"/>
  <c r="S14" i="14"/>
  <c r="R259" i="14"/>
  <c r="R181" i="14"/>
  <c r="R179" i="14"/>
  <c r="R260" i="14"/>
  <c r="R177" i="14"/>
  <c r="R175" i="14"/>
  <c r="Q259" i="14"/>
  <c r="R14" i="14"/>
  <c r="Q181" i="14"/>
  <c r="Q179" i="14"/>
  <c r="Q177" i="14"/>
  <c r="Q260" i="14"/>
  <c r="Q175" i="14"/>
  <c r="Q14" i="14"/>
  <c r="P259" i="14"/>
  <c r="P181" i="14"/>
  <c r="P179" i="14"/>
  <c r="P177" i="14"/>
  <c r="P175" i="14"/>
  <c r="P260" i="14"/>
  <c r="O259" i="14"/>
  <c r="P14" i="14"/>
  <c r="O181" i="14"/>
  <c r="O179" i="14"/>
  <c r="O177" i="14"/>
  <c r="O175" i="14"/>
  <c r="O14" i="14"/>
  <c r="N259" i="14"/>
  <c r="N181" i="14"/>
  <c r="N179" i="14"/>
  <c r="N177" i="14"/>
  <c r="N175" i="14"/>
  <c r="N260" i="14"/>
  <c r="M259" i="14"/>
  <c r="N14" i="14"/>
  <c r="M181" i="14"/>
  <c r="M179" i="14"/>
  <c r="M177" i="14"/>
  <c r="M175" i="14"/>
  <c r="L259" i="14"/>
  <c r="M14" i="14"/>
  <c r="L181" i="14"/>
  <c r="L179" i="14"/>
  <c r="L260" i="14"/>
  <c r="L177" i="14"/>
  <c r="L175" i="14"/>
  <c r="L14" i="14"/>
  <c r="K259" i="14"/>
  <c r="K181" i="14"/>
  <c r="K179" i="14"/>
  <c r="K177" i="14"/>
  <c r="K175" i="14"/>
  <c r="J260" i="14"/>
  <c r="K14" i="14"/>
  <c r="J259" i="14"/>
  <c r="J181" i="14"/>
  <c r="J179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G259" i="14"/>
  <c r="H14" i="14"/>
  <c r="G181" i="14"/>
  <c r="G179" i="14"/>
  <c r="G177" i="14"/>
  <c r="G175" i="14"/>
  <c r="G14" i="14"/>
  <c r="F259" i="14"/>
  <c r="F181" i="14"/>
  <c r="F179" i="14"/>
  <c r="F177" i="14"/>
  <c r="F175" i="14"/>
  <c r="E259" i="14"/>
  <c r="F14" i="14"/>
  <c r="E181" i="14"/>
  <c r="E179" i="14"/>
  <c r="E260" i="14"/>
  <c r="E177" i="14"/>
  <c r="E175" i="14"/>
  <c r="D259" i="14"/>
  <c r="E14" i="14"/>
  <c r="BA14" i="14"/>
  <c r="D181" i="14"/>
  <c r="D179" i="14"/>
  <c r="D177" i="14"/>
  <c r="D260" i="14"/>
  <c r="D175" i="14"/>
  <c r="AZ14" i="15"/>
  <c r="AY259" i="15"/>
  <c r="AY181" i="15"/>
  <c r="AY179" i="15"/>
  <c r="AY177" i="15"/>
  <c r="AY175" i="15"/>
  <c r="AY14" i="15"/>
  <c r="AX259" i="15"/>
  <c r="AX181" i="15"/>
  <c r="AX179" i="15"/>
  <c r="AX177" i="15"/>
  <c r="AX175" i="15"/>
  <c r="AX260" i="15"/>
  <c r="AW259" i="15"/>
  <c r="AX14" i="15"/>
  <c r="AW181" i="15"/>
  <c r="AW179" i="15"/>
  <c r="AW177" i="15"/>
  <c r="AW175" i="15"/>
  <c r="AW14" i="15"/>
  <c r="AV259" i="15"/>
  <c r="AV181" i="15"/>
  <c r="AV179" i="15"/>
  <c r="AV177" i="15"/>
  <c r="AV175" i="15"/>
  <c r="AV260" i="15"/>
  <c r="AV14" i="15"/>
  <c r="AU259" i="15"/>
  <c r="AU181" i="15"/>
  <c r="AU179" i="15"/>
  <c r="AU177" i="15"/>
  <c r="AU175" i="15"/>
  <c r="AU260" i="15"/>
  <c r="AU14" i="15"/>
  <c r="AT259" i="15"/>
  <c r="AT181" i="15"/>
  <c r="AT179" i="15"/>
  <c r="AT177" i="15"/>
  <c r="AT175" i="15"/>
  <c r="AS259" i="15"/>
  <c r="AT14" i="15"/>
  <c r="AS181" i="15"/>
  <c r="AS179" i="15"/>
  <c r="AS260" i="15"/>
  <c r="AS177" i="15"/>
  <c r="AS175" i="15"/>
  <c r="AR259" i="15"/>
  <c r="AS14" i="15"/>
  <c r="AR181" i="15"/>
  <c r="AR179" i="15"/>
  <c r="AR177" i="15"/>
  <c r="AR260" i="15"/>
  <c r="AR175" i="15"/>
  <c r="AR14" i="15"/>
  <c r="AQ259" i="15"/>
  <c r="AQ181" i="15"/>
  <c r="AQ179" i="15"/>
  <c r="AQ177" i="15"/>
  <c r="AQ175" i="15"/>
  <c r="AQ260" i="15"/>
  <c r="AQ14" i="15"/>
  <c r="AP259" i="15"/>
  <c r="AP181" i="15"/>
  <c r="AP179" i="15"/>
  <c r="AP177" i="15"/>
  <c r="AP175" i="15"/>
  <c r="AP260" i="15"/>
  <c r="AO259" i="15"/>
  <c r="AP14" i="15"/>
  <c r="AO181" i="15"/>
  <c r="AO179" i="15"/>
  <c r="AO177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260" i="15"/>
  <c r="AM14" i="15"/>
  <c r="AL259" i="15"/>
  <c r="AL181" i="15"/>
  <c r="AL179" i="15"/>
  <c r="AL177" i="15"/>
  <c r="AL175" i="15"/>
  <c r="AL260" i="15"/>
  <c r="AK259" i="15"/>
  <c r="AL14" i="15"/>
  <c r="AK181" i="15"/>
  <c r="AK179" i="15"/>
  <c r="AK177" i="15"/>
  <c r="AK175" i="15"/>
  <c r="AJ259" i="15"/>
  <c r="AK14" i="15"/>
  <c r="AJ181" i="15"/>
  <c r="AJ179" i="15"/>
  <c r="AJ260" i="15"/>
  <c r="AJ177" i="15"/>
  <c r="AJ175" i="15"/>
  <c r="AJ14" i="15"/>
  <c r="AI259" i="15"/>
  <c r="AI181" i="15"/>
  <c r="AI179" i="15"/>
  <c r="AI177" i="15"/>
  <c r="AI175" i="15"/>
  <c r="AI260" i="15"/>
  <c r="AI14" i="15"/>
  <c r="AH259" i="15"/>
  <c r="AH181" i="15"/>
  <c r="AH179" i="15"/>
  <c r="AH260" i="15"/>
  <c r="AH177" i="15"/>
  <c r="AH175" i="15"/>
  <c r="AG259" i="15"/>
  <c r="AH14" i="15"/>
  <c r="AG181" i="15"/>
  <c r="AG179" i="15"/>
  <c r="AG177" i="15"/>
  <c r="AG175" i="15"/>
  <c r="AG14" i="15"/>
  <c r="AF259" i="15"/>
  <c r="AF181" i="15"/>
  <c r="AF179" i="15"/>
  <c r="AF260" i="15"/>
  <c r="AF177" i="15"/>
  <c r="AF175" i="15"/>
  <c r="AF14" i="15"/>
  <c r="AE259" i="15"/>
  <c r="AE181" i="15"/>
  <c r="AE179" i="15"/>
  <c r="AE177" i="15"/>
  <c r="AE175" i="15"/>
  <c r="AE260" i="15"/>
  <c r="AE14" i="15"/>
  <c r="AD259" i="15"/>
  <c r="AD181" i="15"/>
  <c r="AD179" i="15"/>
  <c r="AD177" i="15"/>
  <c r="AD175" i="15"/>
  <c r="AD260" i="15"/>
  <c r="AC259" i="15"/>
  <c r="AD14" i="15"/>
  <c r="AC181" i="15"/>
  <c r="AC179" i="15"/>
  <c r="AC260" i="15"/>
  <c r="AC177" i="15"/>
  <c r="AC175" i="15"/>
  <c r="AB259" i="15"/>
  <c r="AC14" i="15"/>
  <c r="AB181" i="15"/>
  <c r="AB179" i="15"/>
  <c r="AB260" i="15"/>
  <c r="AB177" i="15"/>
  <c r="AB175" i="15"/>
  <c r="AB14" i="15"/>
  <c r="AA259" i="15"/>
  <c r="AA181" i="15"/>
  <c r="AA179" i="15"/>
  <c r="AA177" i="15"/>
  <c r="AA175" i="15"/>
  <c r="Z260" i="15"/>
  <c r="AA14" i="15"/>
  <c r="Z259" i="15"/>
  <c r="Z181" i="15"/>
  <c r="Z179" i="15"/>
  <c r="Z177" i="15"/>
  <c r="Z175" i="15"/>
  <c r="Y259" i="15"/>
  <c r="Z14" i="15"/>
  <c r="Y181" i="15"/>
  <c r="Y179" i="15"/>
  <c r="Y177" i="15"/>
  <c r="Y175" i="15"/>
  <c r="X260" i="15"/>
  <c r="Y14" i="15"/>
  <c r="X259" i="15"/>
  <c r="X181" i="15"/>
  <c r="X179" i="15"/>
  <c r="X177" i="15"/>
  <c r="X175" i="15"/>
  <c r="X14" i="15"/>
  <c r="W259" i="15"/>
  <c r="W181" i="15"/>
  <c r="W179" i="15"/>
  <c r="W177" i="15"/>
  <c r="W175" i="15"/>
  <c r="W260" i="15"/>
  <c r="W14" i="15"/>
  <c r="V259" i="15"/>
  <c r="V181" i="15"/>
  <c r="V179" i="15"/>
  <c r="V177" i="15"/>
  <c r="V175" i="15"/>
  <c r="U259" i="15"/>
  <c r="V14" i="15"/>
  <c r="U181" i="15"/>
  <c r="U179" i="15"/>
  <c r="U260" i="15"/>
  <c r="U177" i="15"/>
  <c r="U175" i="15"/>
  <c r="T259" i="15"/>
  <c r="U14" i="15"/>
  <c r="T181" i="15"/>
  <c r="T179" i="15"/>
  <c r="T177" i="15"/>
  <c r="T260" i="15"/>
  <c r="T175" i="15"/>
  <c r="T14" i="15"/>
  <c r="S259" i="15"/>
  <c r="S181" i="15"/>
  <c r="S179" i="15"/>
  <c r="S177" i="15"/>
  <c r="S175" i="15"/>
  <c r="S14" i="15"/>
  <c r="R259" i="15"/>
  <c r="R181" i="15"/>
  <c r="R179" i="15"/>
  <c r="R177" i="15"/>
  <c r="R175" i="15"/>
  <c r="R260" i="15"/>
  <c r="Q259" i="15"/>
  <c r="R14" i="15"/>
  <c r="Q181" i="15"/>
  <c r="Q179" i="15"/>
  <c r="Q177" i="15"/>
  <c r="Q175" i="15"/>
  <c r="Q14" i="15"/>
  <c r="P259" i="15"/>
  <c r="P181" i="15"/>
  <c r="P179" i="15"/>
  <c r="P177" i="15"/>
  <c r="P175" i="15"/>
  <c r="P260" i="15"/>
  <c r="P14" i="15"/>
  <c r="O259" i="15"/>
  <c r="O181" i="15"/>
  <c r="O179" i="15"/>
  <c r="O177" i="15"/>
  <c r="O175" i="15"/>
  <c r="O260" i="15"/>
  <c r="O14" i="15"/>
  <c r="N259" i="15"/>
  <c r="N181" i="15"/>
  <c r="N179" i="15"/>
  <c r="N177" i="15"/>
  <c r="N175" i="15"/>
  <c r="M259" i="15"/>
  <c r="N14" i="15"/>
  <c r="M181" i="15"/>
  <c r="M179" i="15"/>
  <c r="M260" i="15"/>
  <c r="M177" i="15"/>
  <c r="M175" i="15"/>
  <c r="L259" i="15"/>
  <c r="M14" i="15"/>
  <c r="L181" i="15"/>
  <c r="L179" i="15"/>
  <c r="L177" i="15"/>
  <c r="L260" i="15"/>
  <c r="L175" i="15"/>
  <c r="L14" i="15"/>
  <c r="K259" i="15"/>
  <c r="K181" i="15"/>
  <c r="K179" i="15"/>
  <c r="K177" i="15"/>
  <c r="K175" i="15"/>
  <c r="K260" i="15"/>
  <c r="K14" i="15"/>
  <c r="J259" i="15"/>
  <c r="J181" i="15"/>
  <c r="J179" i="15"/>
  <c r="J177" i="15"/>
  <c r="J175" i="15"/>
  <c r="J260" i="15"/>
  <c r="I259" i="15"/>
  <c r="J14" i="15"/>
  <c r="I181" i="15"/>
  <c r="I179" i="15"/>
  <c r="I177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G14" i="15"/>
  <c r="F259" i="15"/>
  <c r="F181" i="15"/>
  <c r="F179" i="15"/>
  <c r="F177" i="15"/>
  <c r="F175" i="15"/>
  <c r="F260" i="15"/>
  <c r="E259" i="15"/>
  <c r="F14" i="15"/>
  <c r="E181" i="15"/>
  <c r="E179" i="15"/>
  <c r="E177" i="15"/>
  <c r="E175" i="15"/>
  <c r="D259" i="15"/>
  <c r="E14" i="15"/>
  <c r="D181" i="15"/>
  <c r="D179" i="15"/>
  <c r="D260" i="15"/>
  <c r="D177" i="15"/>
  <c r="D175" i="15"/>
  <c r="AZ14" i="16"/>
  <c r="AY259" i="16"/>
  <c r="AY181" i="16"/>
  <c r="AY179" i="16"/>
  <c r="AY177" i="16"/>
  <c r="AY175" i="16"/>
  <c r="AY260" i="16"/>
  <c r="AY14" i="16"/>
  <c r="AX259" i="16"/>
  <c r="AX181" i="16"/>
  <c r="AX179" i="16"/>
  <c r="AX260" i="16"/>
  <c r="AX177" i="16"/>
  <c r="AX175" i="16"/>
  <c r="AW259" i="16"/>
  <c r="AX14" i="16"/>
  <c r="AW181" i="16"/>
  <c r="AW179" i="16"/>
  <c r="AW177" i="16"/>
  <c r="AW175" i="16"/>
  <c r="AW14" i="16"/>
  <c r="AV259" i="16"/>
  <c r="AV181" i="16"/>
  <c r="AV179" i="16"/>
  <c r="AV260" i="16"/>
  <c r="AV177" i="16"/>
  <c r="AV175" i="16"/>
  <c r="AV14" i="16"/>
  <c r="AU259" i="16"/>
  <c r="AU181" i="16"/>
  <c r="AU179" i="16"/>
  <c r="AU177" i="16"/>
  <c r="AU175" i="16"/>
  <c r="AU260" i="16"/>
  <c r="AU14" i="16"/>
  <c r="AT259" i="16"/>
  <c r="AT181" i="16"/>
  <c r="AT179" i="16"/>
  <c r="AT177" i="16"/>
  <c r="AT175" i="16"/>
  <c r="AT260" i="16"/>
  <c r="AS259" i="16"/>
  <c r="AT14" i="16"/>
  <c r="AS181" i="16"/>
  <c r="AS179" i="16"/>
  <c r="AS260" i="16"/>
  <c r="AS177" i="16"/>
  <c r="AS175" i="16"/>
  <c r="AR259" i="16"/>
  <c r="AS14" i="16"/>
  <c r="AR181" i="16"/>
  <c r="AR179" i="16"/>
  <c r="AR260" i="16"/>
  <c r="AR177" i="16"/>
  <c r="AR175" i="16"/>
  <c r="AR14" i="16"/>
  <c r="AQ259" i="16"/>
  <c r="AQ181" i="16"/>
  <c r="AQ179" i="16"/>
  <c r="AQ177" i="16"/>
  <c r="AQ175" i="16"/>
  <c r="AP260" i="16"/>
  <c r="AQ14" i="16"/>
  <c r="AP259" i="16"/>
  <c r="AP181" i="16"/>
  <c r="AP179" i="16"/>
  <c r="AP177" i="16"/>
  <c r="AP175" i="16"/>
  <c r="AO259" i="16"/>
  <c r="AP14" i="16"/>
  <c r="AO181" i="16"/>
  <c r="AO179" i="16"/>
  <c r="AO177" i="16"/>
  <c r="AO175" i="16"/>
  <c r="AN260" i="16"/>
  <c r="AO14" i="16"/>
  <c r="AN259" i="16"/>
  <c r="AN181" i="16"/>
  <c r="AN179" i="16"/>
  <c r="AN177" i="16"/>
  <c r="AN175" i="16"/>
  <c r="AN14" i="16"/>
  <c r="AM259" i="16"/>
  <c r="AM181" i="16"/>
  <c r="AM179" i="16"/>
  <c r="AM177" i="16"/>
  <c r="AM175" i="16"/>
  <c r="AM260" i="16"/>
  <c r="AM14" i="16"/>
  <c r="AL259" i="16"/>
  <c r="AL181" i="16"/>
  <c r="AL179" i="16"/>
  <c r="AL177" i="16"/>
  <c r="AL175" i="16"/>
  <c r="AK259" i="16"/>
  <c r="AL14" i="16"/>
  <c r="AK181" i="16"/>
  <c r="AK179" i="16"/>
  <c r="AK260" i="16"/>
  <c r="AK177" i="16"/>
  <c r="AK175" i="16"/>
  <c r="AJ259" i="16"/>
  <c r="AK14" i="16"/>
  <c r="AJ181" i="16"/>
  <c r="AJ179" i="16"/>
  <c r="AJ177" i="16"/>
  <c r="AJ260" i="16"/>
  <c r="AJ175" i="16"/>
  <c r="AJ14" i="16"/>
  <c r="AI259" i="16"/>
  <c r="AI181" i="16"/>
  <c r="AI179" i="16"/>
  <c r="AI177" i="16"/>
  <c r="AI175" i="16"/>
  <c r="AI14" i="16"/>
  <c r="AH259" i="16"/>
  <c r="AH181" i="16"/>
  <c r="AH179" i="16"/>
  <c r="AH177" i="16"/>
  <c r="AH175" i="16"/>
  <c r="AH260" i="16"/>
  <c r="AG259" i="16"/>
  <c r="AH14" i="16"/>
  <c r="AG181" i="16"/>
  <c r="AG179" i="16"/>
  <c r="AG177" i="16"/>
  <c r="AG175" i="16"/>
  <c r="AG14" i="16"/>
  <c r="AF259" i="16"/>
  <c r="AF181" i="16"/>
  <c r="AF179" i="16"/>
  <c r="AF177" i="16"/>
  <c r="AF175" i="16"/>
  <c r="AF260" i="16"/>
  <c r="AF14" i="16"/>
  <c r="AE259" i="16"/>
  <c r="AE181" i="16"/>
  <c r="AE179" i="16"/>
  <c r="AE177" i="16"/>
  <c r="AE175" i="16"/>
  <c r="AE260" i="16"/>
  <c r="AE14" i="16"/>
  <c r="AD259" i="16"/>
  <c r="AD181" i="16"/>
  <c r="AD179" i="16"/>
  <c r="AD177" i="16"/>
  <c r="AD175" i="16"/>
  <c r="AC259" i="16"/>
  <c r="AD14" i="16"/>
  <c r="AC181" i="16"/>
  <c r="AC179" i="16"/>
  <c r="AC260" i="16"/>
  <c r="AC177" i="16"/>
  <c r="AC175" i="16"/>
  <c r="AB259" i="16"/>
  <c r="AC14" i="16"/>
  <c r="AB181" i="16"/>
  <c r="AB179" i="16"/>
  <c r="AB177" i="16"/>
  <c r="AB260" i="16"/>
  <c r="AB175" i="16"/>
  <c r="AB14" i="16"/>
  <c r="AA259" i="16"/>
  <c r="AA181" i="16"/>
  <c r="AA179" i="16"/>
  <c r="AA177" i="16"/>
  <c r="AA175" i="16"/>
  <c r="AA260" i="16"/>
  <c r="AA14" i="16"/>
  <c r="Z259" i="16"/>
  <c r="Z181" i="16"/>
  <c r="Z179" i="16"/>
  <c r="Z177" i="16"/>
  <c r="Z175" i="16"/>
  <c r="Z260" i="16"/>
  <c r="Y259" i="16"/>
  <c r="Z14" i="16"/>
  <c r="Y181" i="16"/>
  <c r="Y179" i="16"/>
  <c r="Y177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W260" i="16"/>
  <c r="W14" i="16"/>
  <c r="V259" i="16"/>
  <c r="V181" i="16"/>
  <c r="V179" i="16"/>
  <c r="V177" i="16"/>
  <c r="V175" i="16"/>
  <c r="V260" i="16"/>
  <c r="U259" i="16"/>
  <c r="V14" i="16"/>
  <c r="U181" i="16"/>
  <c r="U179" i="16"/>
  <c r="U177" i="16"/>
  <c r="U175" i="16"/>
  <c r="T259" i="16"/>
  <c r="U14" i="16"/>
  <c r="T181" i="16"/>
  <c r="T179" i="16"/>
  <c r="T260" i="16"/>
  <c r="T177" i="16"/>
  <c r="T175" i="16"/>
  <c r="T14" i="16"/>
  <c r="S259" i="16"/>
  <c r="S181" i="16"/>
  <c r="S179" i="16"/>
  <c r="S177" i="16"/>
  <c r="S175" i="16"/>
  <c r="S260" i="16"/>
  <c r="S14" i="16"/>
  <c r="R259" i="16"/>
  <c r="R181" i="16"/>
  <c r="R179" i="16"/>
  <c r="R260" i="16"/>
  <c r="R177" i="16"/>
  <c r="R175" i="16"/>
  <c r="Q259" i="16"/>
  <c r="R14" i="16"/>
  <c r="Q181" i="16"/>
  <c r="Q179" i="16"/>
  <c r="Q177" i="16"/>
  <c r="Q175" i="16"/>
  <c r="Q14" i="16"/>
  <c r="P259" i="16"/>
  <c r="P181" i="16"/>
  <c r="P179" i="16"/>
  <c r="P260" i="16"/>
  <c r="P177" i="16"/>
  <c r="P175" i="16"/>
  <c r="P14" i="16"/>
  <c r="O259" i="16"/>
  <c r="O181" i="16"/>
  <c r="O179" i="16"/>
  <c r="O177" i="16"/>
  <c r="O175" i="16"/>
  <c r="O260" i="16"/>
  <c r="O14" i="16"/>
  <c r="N259" i="16"/>
  <c r="N181" i="16"/>
  <c r="N179" i="16"/>
  <c r="N177" i="16"/>
  <c r="N175" i="16"/>
  <c r="N260" i="16"/>
  <c r="M259" i="16"/>
  <c r="N14" i="16"/>
  <c r="M181" i="16"/>
  <c r="M179" i="16"/>
  <c r="M260" i="16"/>
  <c r="M177" i="16"/>
  <c r="M175" i="16"/>
  <c r="L259" i="16"/>
  <c r="M14" i="16"/>
  <c r="L181" i="16"/>
  <c r="L179" i="16"/>
  <c r="L260" i="16"/>
  <c r="L177" i="16"/>
  <c r="L175" i="16"/>
  <c r="L14" i="16"/>
  <c r="K259" i="16"/>
  <c r="K181" i="16"/>
  <c r="K179" i="16"/>
  <c r="K177" i="16"/>
  <c r="K175" i="16"/>
  <c r="J260" i="16"/>
  <c r="K14" i="16"/>
  <c r="J259" i="16"/>
  <c r="J181" i="16"/>
  <c r="J179" i="16"/>
  <c r="J177" i="16"/>
  <c r="J175" i="16"/>
  <c r="I259" i="16"/>
  <c r="J14" i="16"/>
  <c r="I181" i="16"/>
  <c r="I179" i="16"/>
  <c r="I177" i="16"/>
  <c r="I175" i="16"/>
  <c r="H260" i="16"/>
  <c r="I14" i="16"/>
  <c r="H259" i="16"/>
  <c r="H181" i="16"/>
  <c r="H179" i="16"/>
  <c r="H177" i="16"/>
  <c r="H175" i="16"/>
  <c r="H14" i="16"/>
  <c r="G259" i="16"/>
  <c r="G181" i="16"/>
  <c r="G179" i="16"/>
  <c r="G177" i="16"/>
  <c r="G175" i="16"/>
  <c r="G260" i="16"/>
  <c r="G14" i="16"/>
  <c r="F259" i="16"/>
  <c r="F181" i="16"/>
  <c r="F179" i="16"/>
  <c r="F177" i="16"/>
  <c r="F175" i="16"/>
  <c r="E259" i="16"/>
  <c r="F14" i="16"/>
  <c r="E181" i="16"/>
  <c r="E179" i="16"/>
  <c r="E260" i="16"/>
  <c r="E177" i="16"/>
  <c r="E175" i="16"/>
  <c r="D259" i="16"/>
  <c r="E14" i="16"/>
  <c r="D181" i="16"/>
  <c r="D179" i="16"/>
  <c r="D177" i="16"/>
  <c r="D260" i="16"/>
  <c r="D175" i="16"/>
  <c r="AY14" i="17"/>
  <c r="AY15" i="17"/>
  <c r="AY16" i="17"/>
  <c r="AY17" i="17"/>
  <c r="AY29" i="17"/>
  <c r="AX14" i="17"/>
  <c r="AX10" i="17"/>
  <c r="AX13" i="17"/>
  <c r="AX15" i="17"/>
  <c r="AX16" i="17"/>
  <c r="AX17" i="17"/>
  <c r="AX29" i="17"/>
  <c r="AW14" i="17"/>
  <c r="AW10" i="17"/>
  <c r="AW13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0" i="17"/>
  <c r="AU13" i="17"/>
  <c r="AU15" i="17"/>
  <c r="AU16" i="17"/>
  <c r="AU17" i="17"/>
  <c r="AU29" i="17"/>
  <c r="AT14" i="17"/>
  <c r="AT10" i="17"/>
  <c r="AT13" i="17"/>
  <c r="AT15" i="17"/>
  <c r="AT16" i="17"/>
  <c r="AT17" i="17"/>
  <c r="AT29" i="17"/>
  <c r="AS14" i="17"/>
  <c r="AS10" i="17"/>
  <c r="AS13" i="17"/>
  <c r="AS15" i="17"/>
  <c r="AS16" i="17"/>
  <c r="AS17" i="17"/>
  <c r="AS29" i="17"/>
  <c r="AR14" i="17"/>
  <c r="AR10" i="17"/>
  <c r="AR13" i="17"/>
  <c r="AR15" i="17"/>
  <c r="AR16" i="17"/>
  <c r="AR17" i="17"/>
  <c r="AR29" i="17"/>
  <c r="AQ15" i="17"/>
  <c r="AQ17" i="17"/>
  <c r="AQ21" i="17"/>
  <c r="AQ22" i="17"/>
  <c r="AQ23" i="17"/>
  <c r="AQ29" i="17"/>
  <c r="AQ33" i="17"/>
  <c r="AQ39" i="17"/>
  <c r="AQ44" i="17"/>
  <c r="AQ50" i="17"/>
  <c r="AQ55" i="17"/>
  <c r="AQ61" i="17"/>
  <c r="AP14" i="17"/>
  <c r="AP15" i="17"/>
  <c r="AQ16" i="17"/>
  <c r="AP16" i="17"/>
  <c r="AP10" i="17"/>
  <c r="AP13" i="17"/>
  <c r="AQ14" i="17"/>
  <c r="AQ10" i="17"/>
  <c r="AQ13" i="17"/>
  <c r="AP17" i="17"/>
  <c r="AP29" i="17"/>
  <c r="AO14" i="17"/>
  <c r="AO10" i="17"/>
  <c r="AO13" i="17"/>
  <c r="AO15" i="17"/>
  <c r="AO16" i="17"/>
  <c r="AO17" i="17"/>
  <c r="AO29" i="17"/>
  <c r="AN14" i="17"/>
  <c r="AN15" i="17"/>
  <c r="AN16" i="17"/>
  <c r="AN10" i="17"/>
  <c r="AN13" i="17"/>
  <c r="AN17" i="17"/>
  <c r="AN29" i="17"/>
  <c r="AM14" i="17"/>
  <c r="AM15" i="17"/>
  <c r="AM16" i="17"/>
  <c r="AM10" i="17"/>
  <c r="AM13" i="17"/>
  <c r="AM17" i="17"/>
  <c r="AM29" i="17"/>
  <c r="AL15" i="17"/>
  <c r="AL17" i="17"/>
  <c r="AL21" i="17"/>
  <c r="AL22" i="17"/>
  <c r="AL23" i="17"/>
  <c r="AL29" i="17"/>
  <c r="AL33" i="17"/>
  <c r="AL44" i="17"/>
  <c r="AL50" i="17"/>
  <c r="AL55" i="17"/>
  <c r="AL61" i="17"/>
  <c r="AK14" i="17"/>
  <c r="AK15" i="17"/>
  <c r="AL16" i="17"/>
  <c r="AK16" i="17"/>
  <c r="AK10" i="17"/>
  <c r="AK13" i="17"/>
  <c r="AL14" i="17"/>
  <c r="AL10" i="17"/>
  <c r="AL13" i="17"/>
  <c r="AK17" i="17"/>
  <c r="AK29" i="17"/>
  <c r="AJ14" i="17"/>
  <c r="AJ10" i="17"/>
  <c r="AJ13" i="17"/>
  <c r="AJ15" i="17"/>
  <c r="AJ16" i="17"/>
  <c r="AJ17" i="17"/>
  <c r="AJ29" i="17"/>
  <c r="AI14" i="17"/>
  <c r="AI15" i="17"/>
  <c r="AI16" i="17"/>
  <c r="AI10" i="17"/>
  <c r="AI13" i="17"/>
  <c r="AI17" i="17"/>
  <c r="AI29" i="17"/>
  <c r="AH14" i="17"/>
  <c r="AH10" i="17"/>
  <c r="AH13" i="17"/>
  <c r="AH15" i="17"/>
  <c r="AH16" i="17"/>
  <c r="AH17" i="17"/>
  <c r="AH29" i="17"/>
  <c r="AG14" i="17"/>
  <c r="AG15" i="17"/>
  <c r="AG16" i="17"/>
  <c r="AG10" i="17"/>
  <c r="AG13" i="17"/>
  <c r="AG17" i="17"/>
  <c r="AG29" i="17"/>
  <c r="AF14" i="17"/>
  <c r="AF10" i="17"/>
  <c r="AF13" i="17"/>
  <c r="AF15" i="17"/>
  <c r="AF16" i="17"/>
  <c r="AF17" i="17"/>
  <c r="AF29" i="17"/>
  <c r="AE14" i="17"/>
  <c r="AE15" i="17"/>
  <c r="AE16" i="17"/>
  <c r="AE10" i="17"/>
  <c r="AE13" i="17"/>
  <c r="AE17" i="17"/>
  <c r="AE29" i="17"/>
  <c r="AD14" i="17"/>
  <c r="AD10" i="17"/>
  <c r="AD13" i="17"/>
  <c r="AD15" i="17"/>
  <c r="AD16" i="17"/>
  <c r="AD17" i="17"/>
  <c r="AD29" i="17"/>
  <c r="AC14" i="17"/>
  <c r="AC15" i="17"/>
  <c r="AC16" i="17"/>
  <c r="AC10" i="17"/>
  <c r="AC13" i="17"/>
  <c r="AC17" i="17"/>
  <c r="AC29" i="17"/>
  <c r="AB15" i="17"/>
  <c r="AB17" i="17"/>
  <c r="AB21" i="17"/>
  <c r="AB22" i="17"/>
  <c r="AB24" i="17"/>
  <c r="AB29" i="17"/>
  <c r="AB33" i="17"/>
  <c r="AB34" i="17"/>
  <c r="AB40" i="17"/>
  <c r="AB45" i="17"/>
  <c r="AB51" i="17"/>
  <c r="AB56" i="17"/>
  <c r="AB62" i="17"/>
  <c r="AA14" i="17"/>
  <c r="AA15" i="17"/>
  <c r="AB16" i="17"/>
  <c r="AA16" i="17"/>
  <c r="AA17" i="17"/>
  <c r="AA29" i="17"/>
  <c r="Z14" i="17"/>
  <c r="Z15" i="17"/>
  <c r="Z16" i="17"/>
  <c r="Z17" i="17"/>
  <c r="Z29" i="17"/>
  <c r="Y14" i="17"/>
  <c r="Y10" i="17"/>
  <c r="Y13" i="17"/>
  <c r="Y15" i="17"/>
  <c r="Y16" i="17"/>
  <c r="Y17" i="17"/>
  <c r="Y29" i="17"/>
  <c r="X15" i="17"/>
  <c r="X16" i="17"/>
  <c r="X21" i="17"/>
  <c r="X55" i="17"/>
  <c r="X22" i="17"/>
  <c r="X23" i="17"/>
  <c r="X24" i="17"/>
  <c r="X29" i="17"/>
  <c r="X34" i="17"/>
  <c r="X40" i="17"/>
  <c r="X45" i="17"/>
  <c r="X51" i="17"/>
  <c r="X56" i="17"/>
  <c r="X62" i="17"/>
  <c r="X57" i="17"/>
  <c r="X61" i="17"/>
  <c r="W14" i="17"/>
  <c r="W15" i="17"/>
  <c r="W16" i="17"/>
  <c r="X17" i="17"/>
  <c r="W17" i="17"/>
  <c r="W29" i="17"/>
  <c r="V14" i="17"/>
  <c r="V15" i="17"/>
  <c r="V16" i="17"/>
  <c r="V17" i="17"/>
  <c r="V29" i="17"/>
  <c r="U14" i="17"/>
  <c r="U15" i="17"/>
  <c r="U16" i="17"/>
  <c r="U17" i="17"/>
  <c r="U29" i="17"/>
  <c r="T14" i="17"/>
  <c r="T15" i="17"/>
  <c r="T16" i="17"/>
  <c r="T17" i="17"/>
  <c r="T29" i="17"/>
  <c r="S14" i="17"/>
  <c r="S15" i="17"/>
  <c r="S16" i="17"/>
  <c r="S17" i="17"/>
  <c r="S29" i="17"/>
  <c r="R14" i="17"/>
  <c r="R10" i="17"/>
  <c r="R13" i="17"/>
  <c r="R15" i="17"/>
  <c r="R16" i="17"/>
  <c r="R17" i="17"/>
  <c r="R29" i="17"/>
  <c r="Q14" i="17"/>
  <c r="Q15" i="17"/>
  <c r="Q16" i="17"/>
  <c r="Q17" i="17"/>
  <c r="Q29" i="17"/>
  <c r="P14" i="17"/>
  <c r="P15" i="17"/>
  <c r="P16" i="17"/>
  <c r="P17" i="17"/>
  <c r="P29" i="17"/>
  <c r="O14" i="17"/>
  <c r="O15" i="17"/>
  <c r="O16" i="17"/>
  <c r="O17" i="17"/>
  <c r="O29" i="17"/>
  <c r="N14" i="17"/>
  <c r="N15" i="17"/>
  <c r="N16" i="17"/>
  <c r="N17" i="17"/>
  <c r="N29" i="17"/>
  <c r="M14" i="17"/>
  <c r="M15" i="17"/>
  <c r="M16" i="17"/>
  <c r="M17" i="17"/>
  <c r="M29" i="17"/>
  <c r="L14" i="17"/>
  <c r="L15" i="17"/>
  <c r="L16" i="17"/>
  <c r="L17" i="17"/>
  <c r="L29" i="17"/>
  <c r="K14" i="17"/>
  <c r="K15" i="17"/>
  <c r="K16" i="17"/>
  <c r="K17" i="17"/>
  <c r="K29" i="17"/>
  <c r="J14" i="17"/>
  <c r="J10" i="17"/>
  <c r="J13" i="17"/>
  <c r="J15" i="17"/>
  <c r="J16" i="17"/>
  <c r="J17" i="17"/>
  <c r="J29" i="17"/>
  <c r="I14" i="17"/>
  <c r="I15" i="17"/>
  <c r="I16" i="17"/>
  <c r="I17" i="17"/>
  <c r="I29" i="17"/>
  <c r="H14" i="17"/>
  <c r="H15" i="17"/>
  <c r="H16" i="17"/>
  <c r="H17" i="17"/>
  <c r="H29" i="17"/>
  <c r="G14" i="17"/>
  <c r="G15" i="17"/>
  <c r="G16" i="17"/>
  <c r="G17" i="17"/>
  <c r="G29" i="17"/>
  <c r="F14" i="17"/>
  <c r="F15" i="17"/>
  <c r="F16" i="17"/>
  <c r="F17" i="17"/>
  <c r="F27" i="17"/>
  <c r="F29" i="17"/>
  <c r="E15" i="17"/>
  <c r="E16" i="17"/>
  <c r="E21" i="17"/>
  <c r="E55" i="17"/>
  <c r="E22" i="17"/>
  <c r="E23" i="17"/>
  <c r="E24" i="17"/>
  <c r="E27" i="17"/>
  <c r="E29" i="17"/>
  <c r="E30" i="17"/>
  <c r="E34" i="17"/>
  <c r="E40" i="17"/>
  <c r="E45" i="17"/>
  <c r="E51" i="17"/>
  <c r="E56" i="17"/>
  <c r="E62" i="17"/>
  <c r="E57" i="17"/>
  <c r="E61" i="17"/>
  <c r="D14" i="17"/>
  <c r="D15" i="17"/>
  <c r="D16" i="17"/>
  <c r="E17" i="17"/>
  <c r="D17" i="17"/>
  <c r="D27" i="17"/>
  <c r="D29" i="17"/>
  <c r="D30" i="17"/>
  <c r="AY14" i="18"/>
  <c r="AY15" i="18"/>
  <c r="AY16" i="18"/>
  <c r="AY17" i="18"/>
  <c r="AY29" i="18"/>
  <c r="AX14" i="18"/>
  <c r="AX15" i="18"/>
  <c r="AX16" i="18"/>
  <c r="AX17" i="18"/>
  <c r="AX29" i="18"/>
  <c r="AW14" i="18"/>
  <c r="AW15" i="18"/>
  <c r="AW16" i="18"/>
  <c r="AW17" i="18"/>
  <c r="AW29" i="18"/>
  <c r="AV14" i="18"/>
  <c r="AV15" i="18"/>
  <c r="AV16" i="18"/>
  <c r="AV17" i="18"/>
  <c r="AV29" i="18"/>
  <c r="AU14" i="18"/>
  <c r="AU10" i="18"/>
  <c r="AU13" i="18"/>
  <c r="AU15" i="18"/>
  <c r="AU16" i="18"/>
  <c r="AU17" i="18"/>
  <c r="AU29" i="18"/>
  <c r="AT14" i="18"/>
  <c r="AT15" i="18"/>
  <c r="AT16" i="18"/>
  <c r="AT17" i="18"/>
  <c r="AT29" i="18"/>
  <c r="AS14" i="18"/>
  <c r="AS15" i="18"/>
  <c r="AS16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5" i="18"/>
  <c r="AP16" i="18"/>
  <c r="AP17" i="18"/>
  <c r="AP29" i="18"/>
  <c r="AO14" i="18"/>
  <c r="AO15" i="18"/>
  <c r="AO16" i="18"/>
  <c r="AO17" i="18"/>
  <c r="AO29" i="18"/>
  <c r="AN14" i="18"/>
  <c r="AN15" i="18"/>
  <c r="AN16" i="18"/>
  <c r="AN17" i="18"/>
  <c r="AN29" i="18"/>
  <c r="AM14" i="18"/>
  <c r="AM10" i="18"/>
  <c r="AM13" i="18"/>
  <c r="AM15" i="18"/>
  <c r="AM16" i="18"/>
  <c r="AM17" i="18"/>
  <c r="AM29" i="18"/>
  <c r="AL14" i="18"/>
  <c r="AL15" i="18"/>
  <c r="AL16" i="18"/>
  <c r="AL17" i="18"/>
  <c r="AL29" i="18"/>
  <c r="AK14" i="18"/>
  <c r="AK15" i="18"/>
  <c r="AK16" i="18"/>
  <c r="AK10" i="18"/>
  <c r="AK13" i="18"/>
  <c r="AK17" i="18"/>
  <c r="AK29" i="18"/>
  <c r="AJ14" i="18"/>
  <c r="AJ10" i="18"/>
  <c r="AJ13" i="18"/>
  <c r="AJ15" i="18"/>
  <c r="AJ16" i="18"/>
  <c r="AJ17" i="18"/>
  <c r="AJ29" i="18"/>
  <c r="AI14" i="18"/>
  <c r="AI10" i="18"/>
  <c r="AI13" i="18"/>
  <c r="AI15" i="18"/>
  <c r="AI16" i="18"/>
  <c r="AI17" i="18"/>
  <c r="AI29" i="18"/>
  <c r="AH14" i="18"/>
  <c r="AH15" i="18"/>
  <c r="AH16" i="18"/>
  <c r="AH10" i="18"/>
  <c r="AH13" i="18"/>
  <c r="AH17" i="18"/>
  <c r="AH29" i="18"/>
  <c r="AG14" i="18"/>
  <c r="AG10" i="18"/>
  <c r="AG13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0" i="18"/>
  <c r="AE13" i="18"/>
  <c r="AE15" i="18"/>
  <c r="AE16" i="18"/>
  <c r="AE17" i="18"/>
  <c r="AE29" i="18"/>
  <c r="AD16" i="18"/>
  <c r="AD21" i="18"/>
  <c r="AD33" i="18"/>
  <c r="AD22" i="18"/>
  <c r="AD24" i="18"/>
  <c r="AD23" i="18"/>
  <c r="AD29" i="18"/>
  <c r="AD34" i="18"/>
  <c r="AD40" i="18"/>
  <c r="AD35" i="18"/>
  <c r="AD39" i="18"/>
  <c r="AD44" i="18"/>
  <c r="AD50" i="18"/>
  <c r="AD45" i="18"/>
  <c r="AD51" i="18"/>
  <c r="AD46" i="18"/>
  <c r="AD55" i="18"/>
  <c r="AD56" i="18"/>
  <c r="AD62" i="18"/>
  <c r="AD61" i="18"/>
  <c r="AC14" i="18"/>
  <c r="AD15" i="18"/>
  <c r="AC15" i="18"/>
  <c r="AC16" i="18"/>
  <c r="AD17" i="18"/>
  <c r="AC17" i="18"/>
  <c r="AC29" i="18"/>
  <c r="AB14" i="18"/>
  <c r="AB15" i="18"/>
  <c r="AB16" i="18"/>
  <c r="AB10" i="18"/>
  <c r="AB13" i="18"/>
  <c r="AC22" i="18"/>
  <c r="AB17" i="18"/>
  <c r="AB29" i="18"/>
  <c r="AA14" i="18"/>
  <c r="AA10" i="18"/>
  <c r="AA13" i="18"/>
  <c r="AA15" i="18"/>
  <c r="AA16" i="18"/>
  <c r="AA17" i="18"/>
  <c r="AA29" i="18"/>
  <c r="Z14" i="18"/>
  <c r="Z10" i="18"/>
  <c r="Z13" i="18"/>
  <c r="Z15" i="18"/>
  <c r="Z16" i="18"/>
  <c r="Z17" i="18"/>
  <c r="Z29" i="18"/>
  <c r="Y14" i="18"/>
  <c r="Y15" i="18"/>
  <c r="Y16" i="18"/>
  <c r="Y17" i="18"/>
  <c r="Y29" i="18"/>
  <c r="X14" i="18"/>
  <c r="X15" i="18"/>
  <c r="X16" i="18"/>
  <c r="X10" i="18"/>
  <c r="X13" i="18"/>
  <c r="Y22" i="18"/>
  <c r="X17" i="18"/>
  <c r="X29" i="18"/>
  <c r="W14" i="18"/>
  <c r="W10" i="18"/>
  <c r="W13" i="18"/>
  <c r="W15" i="18"/>
  <c r="W16" i="18"/>
  <c r="W17" i="18"/>
  <c r="W29" i="18"/>
  <c r="V14" i="18"/>
  <c r="V10" i="18"/>
  <c r="V13" i="18"/>
  <c r="V15" i="18"/>
  <c r="V16" i="18"/>
  <c r="V17" i="18"/>
  <c r="V29" i="18"/>
  <c r="U14" i="18"/>
  <c r="U10" i="18"/>
  <c r="U13" i="18"/>
  <c r="U15" i="18"/>
  <c r="U16" i="18"/>
  <c r="U17" i="18"/>
  <c r="U29" i="18"/>
  <c r="T14" i="18"/>
  <c r="T15" i="18"/>
  <c r="T16" i="18"/>
  <c r="T10" i="18"/>
  <c r="T13" i="18"/>
  <c r="U22" i="18"/>
  <c r="T17" i="18"/>
  <c r="T29" i="18"/>
  <c r="S14" i="18"/>
  <c r="S10" i="18"/>
  <c r="S13" i="18"/>
  <c r="S15" i="18"/>
  <c r="S16" i="18"/>
  <c r="S17" i="18"/>
  <c r="S29" i="18"/>
  <c r="R14" i="18"/>
  <c r="R10" i="18"/>
  <c r="R13" i="18"/>
  <c r="R15" i="18"/>
  <c r="R16" i="18"/>
  <c r="R17" i="18"/>
  <c r="R29" i="18"/>
  <c r="Q14" i="18"/>
  <c r="Q15" i="18"/>
  <c r="Q16" i="18"/>
  <c r="Q17" i="18"/>
  <c r="Q29" i="18"/>
  <c r="P14" i="18"/>
  <c r="P15" i="18"/>
  <c r="P16" i="18"/>
  <c r="P10" i="18"/>
  <c r="P13" i="18"/>
  <c r="Q22" i="18"/>
  <c r="P17" i="18"/>
  <c r="P29" i="18"/>
  <c r="O14" i="18"/>
  <c r="O10" i="18"/>
  <c r="O13" i="18"/>
  <c r="O15" i="18"/>
  <c r="O16" i="18"/>
  <c r="O17" i="18"/>
  <c r="O29" i="18"/>
  <c r="N14" i="18"/>
  <c r="N10" i="18"/>
  <c r="N13" i="18"/>
  <c r="N15" i="18"/>
  <c r="N16" i="18"/>
  <c r="N17" i="18"/>
  <c r="N29" i="18"/>
  <c r="M14" i="18"/>
  <c r="M10" i="18"/>
  <c r="M13" i="18"/>
  <c r="M15" i="18"/>
  <c r="M16" i="18"/>
  <c r="M17" i="18"/>
  <c r="M29" i="18"/>
  <c r="L14" i="18"/>
  <c r="L15" i="18"/>
  <c r="L16" i="18"/>
  <c r="L10" i="18"/>
  <c r="L13" i="18"/>
  <c r="M22" i="18"/>
  <c r="L17" i="18"/>
  <c r="L29" i="18"/>
  <c r="K14" i="18"/>
  <c r="K10" i="18"/>
  <c r="K13" i="18"/>
  <c r="K15" i="18"/>
  <c r="K16" i="18"/>
  <c r="K17" i="18"/>
  <c r="K29" i="18"/>
  <c r="J14" i="18"/>
  <c r="J10" i="18"/>
  <c r="J13" i="18"/>
  <c r="J15" i="18"/>
  <c r="J16" i="18"/>
  <c r="J17" i="18"/>
  <c r="J29" i="18"/>
  <c r="I14" i="18"/>
  <c r="I15" i="18"/>
  <c r="I16" i="18"/>
  <c r="I17" i="18"/>
  <c r="I29" i="18"/>
  <c r="H14" i="18"/>
  <c r="H15" i="18"/>
  <c r="H16" i="18"/>
  <c r="H10" i="18"/>
  <c r="H13" i="18"/>
  <c r="I22" i="18"/>
  <c r="H17" i="18"/>
  <c r="H29" i="18"/>
  <c r="G14" i="18"/>
  <c r="G10" i="18"/>
  <c r="G13" i="18"/>
  <c r="G15" i="18"/>
  <c r="G16" i="18"/>
  <c r="G17" i="18"/>
  <c r="G29" i="18"/>
  <c r="F14" i="18"/>
  <c r="F10" i="18"/>
  <c r="F13" i="18"/>
  <c r="F15" i="18"/>
  <c r="F16" i="18"/>
  <c r="F17" i="18"/>
  <c r="F29" i="18"/>
  <c r="E14" i="18"/>
  <c r="E15" i="18"/>
  <c r="E16" i="18"/>
  <c r="E17" i="18"/>
  <c r="E29" i="18"/>
  <c r="D14" i="18"/>
  <c r="D15" i="18"/>
  <c r="D16" i="18"/>
  <c r="D10" i="18"/>
  <c r="D17" i="18"/>
  <c r="D21" i="18"/>
  <c r="D22" i="18"/>
  <c r="D27" i="18"/>
  <c r="D29" i="18"/>
  <c r="E27" i="18"/>
  <c r="E30" i="18"/>
  <c r="D30" i="18"/>
  <c r="D44" i="18"/>
  <c r="D55" i="18"/>
  <c r="B21" i="17"/>
  <c r="B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T21" i="18"/>
  <c r="T22" i="18"/>
  <c r="H21" i="18"/>
  <c r="H22" i="18"/>
  <c r="X21" i="18"/>
  <c r="X22" i="18"/>
  <c r="L21" i="18"/>
  <c r="L22" i="18"/>
  <c r="AB21" i="18"/>
  <c r="AB22" i="18"/>
  <c r="P21" i="18"/>
  <c r="P22" i="18"/>
  <c r="B22" i="17"/>
  <c r="D22" i="17"/>
  <c r="D21" i="17"/>
  <c r="K21" i="18"/>
  <c r="K22" i="18"/>
  <c r="S21" i="18"/>
  <c r="S22" i="18"/>
  <c r="AA21" i="18"/>
  <c r="AA22" i="18"/>
  <c r="AF21" i="18"/>
  <c r="AF22" i="18"/>
  <c r="AK21" i="17"/>
  <c r="AK22" i="17"/>
  <c r="AR21" i="17"/>
  <c r="AR22" i="17"/>
  <c r="D61" i="18"/>
  <c r="D13" i="18"/>
  <c r="E10" i="18"/>
  <c r="E13" i="18"/>
  <c r="M24" i="18"/>
  <c r="M34" i="18"/>
  <c r="M40" i="18"/>
  <c r="M45" i="18"/>
  <c r="M51" i="18"/>
  <c r="M56" i="18"/>
  <c r="M62" i="18"/>
  <c r="M21" i="18"/>
  <c r="N21" i="18"/>
  <c r="N22" i="18"/>
  <c r="U24" i="18"/>
  <c r="U34" i="18"/>
  <c r="U40" i="18"/>
  <c r="U45" i="18"/>
  <c r="U51" i="18"/>
  <c r="U56" i="18"/>
  <c r="U62" i="18"/>
  <c r="U21" i="18"/>
  <c r="V21" i="18"/>
  <c r="V22" i="18"/>
  <c r="AC24" i="18"/>
  <c r="AC34" i="18"/>
  <c r="AC40" i="18"/>
  <c r="AC45" i="18"/>
  <c r="AC51" i="18"/>
  <c r="AC56" i="18"/>
  <c r="AC62" i="18"/>
  <c r="AC21" i="18"/>
  <c r="AG21" i="18"/>
  <c r="AG22" i="18"/>
  <c r="AI21" i="18"/>
  <c r="AI22" i="18"/>
  <c r="AJ21" i="18"/>
  <c r="AJ22" i="18"/>
  <c r="AL21" i="18"/>
  <c r="AL22" i="18"/>
  <c r="AI21" i="17"/>
  <c r="AI22" i="17"/>
  <c r="AU21" i="17"/>
  <c r="AU22" i="17"/>
  <c r="AY21" i="17"/>
  <c r="AY22" i="17"/>
  <c r="D50" i="18"/>
  <c r="D24" i="18"/>
  <c r="D34" i="18"/>
  <c r="D40" i="18"/>
  <c r="D45" i="18"/>
  <c r="D51" i="18"/>
  <c r="D56" i="18"/>
  <c r="D62" i="18"/>
  <c r="F27" i="18"/>
  <c r="G21" i="18"/>
  <c r="G22" i="18"/>
  <c r="O21" i="18"/>
  <c r="O22" i="18"/>
  <c r="W21" i="18"/>
  <c r="W22" i="18"/>
  <c r="AH21" i="18"/>
  <c r="AH22" i="18"/>
  <c r="AK21" i="18"/>
  <c r="AK22" i="18"/>
  <c r="AG21" i="17"/>
  <c r="AG22" i="17"/>
  <c r="I24" i="18"/>
  <c r="I34" i="18"/>
  <c r="I40" i="18"/>
  <c r="I45" i="18"/>
  <c r="I51" i="18"/>
  <c r="I56" i="18"/>
  <c r="I62" i="18"/>
  <c r="I21" i="18"/>
  <c r="I10" i="18"/>
  <c r="I13" i="18"/>
  <c r="Q24" i="18"/>
  <c r="Q34" i="18"/>
  <c r="Q40" i="18"/>
  <c r="Q45" i="18"/>
  <c r="Q51" i="18"/>
  <c r="Q56" i="18"/>
  <c r="Q62" i="18"/>
  <c r="Q21" i="18"/>
  <c r="Q10" i="18"/>
  <c r="Q13" i="18"/>
  <c r="Y24" i="18"/>
  <c r="Y34" i="18"/>
  <c r="Y40" i="18"/>
  <c r="Y45" i="18"/>
  <c r="Y51" i="18"/>
  <c r="Y56" i="18"/>
  <c r="Y62" i="18"/>
  <c r="Y21" i="18"/>
  <c r="Y10" i="18"/>
  <c r="Y13" i="18"/>
  <c r="AE21" i="17"/>
  <c r="AE22" i="17"/>
  <c r="AM21" i="17"/>
  <c r="AM22" i="17"/>
  <c r="AS21" i="17"/>
  <c r="AS22" i="17"/>
  <c r="AW21" i="17"/>
  <c r="AW22" i="17"/>
  <c r="S22" i="17"/>
  <c r="S21" i="17"/>
  <c r="AF21" i="17"/>
  <c r="AF22" i="17"/>
  <c r="AJ21" i="17"/>
  <c r="AJ22" i="17"/>
  <c r="AP21" i="17"/>
  <c r="AP22" i="17"/>
  <c r="AV21" i="17"/>
  <c r="AV22" i="17"/>
  <c r="AN22" i="18"/>
  <c r="AN21" i="18"/>
  <c r="AV22" i="18"/>
  <c r="AV21" i="18"/>
  <c r="K22" i="17"/>
  <c r="K21" i="17"/>
  <c r="Z22" i="17"/>
  <c r="Z21" i="17"/>
  <c r="AD21" i="17"/>
  <c r="AD22" i="17"/>
  <c r="AH21" i="17"/>
  <c r="AH22" i="17"/>
  <c r="AQ34" i="17"/>
  <c r="AQ24" i="17"/>
  <c r="AQ45" i="17"/>
  <c r="AQ56" i="17"/>
  <c r="AT21" i="17"/>
  <c r="AT22" i="17"/>
  <c r="AX21" i="17"/>
  <c r="AX22" i="17"/>
  <c r="D33" i="18"/>
  <c r="AS10" i="18"/>
  <c r="AS13" i="18"/>
  <c r="G27" i="17"/>
  <c r="F30" i="17"/>
  <c r="H10" i="17"/>
  <c r="H13" i="17"/>
  <c r="P10" i="17"/>
  <c r="P13" i="17"/>
  <c r="AB35" i="17"/>
  <c r="AB39" i="17"/>
  <c r="AZ259" i="16"/>
  <c r="AZ259" i="14"/>
  <c r="AD57" i="18"/>
  <c r="AQ10" i="18"/>
  <c r="AQ13" i="18"/>
  <c r="AY10" i="18"/>
  <c r="AY13" i="18"/>
  <c r="F10" i="17"/>
  <c r="F13" i="17"/>
  <c r="N10" i="17"/>
  <c r="N13" i="17"/>
  <c r="V10" i="17"/>
  <c r="V13" i="17"/>
  <c r="AB55" i="17"/>
  <c r="AB23" i="17"/>
  <c r="AL39" i="17"/>
  <c r="AL34" i="17"/>
  <c r="AL40" i="17"/>
  <c r="AL24" i="17"/>
  <c r="AL45" i="17"/>
  <c r="AL56" i="17"/>
  <c r="AO21" i="17"/>
  <c r="AO22" i="17"/>
  <c r="D23" i="18"/>
  <c r="AC10" i="18"/>
  <c r="AC13" i="18"/>
  <c r="AD14" i="18"/>
  <c r="AD10" i="18"/>
  <c r="AD13" i="18"/>
  <c r="AO10" i="18"/>
  <c r="AO13" i="18"/>
  <c r="AW10" i="18"/>
  <c r="AW13" i="18"/>
  <c r="L10" i="17"/>
  <c r="L13" i="17"/>
  <c r="T10" i="17"/>
  <c r="T13" i="17"/>
  <c r="AA10" i="17"/>
  <c r="AA13" i="17"/>
  <c r="AB14" i="17"/>
  <c r="AB10" i="17"/>
  <c r="AB13" i="17"/>
  <c r="AB44" i="17"/>
  <c r="AN21" i="17"/>
  <c r="AN22" i="17"/>
  <c r="M260" i="14"/>
  <c r="AL260" i="16"/>
  <c r="AQ260" i="16"/>
  <c r="V260" i="15"/>
  <c r="AA260" i="15"/>
  <c r="F260" i="14"/>
  <c r="AZ260" i="14"/>
  <c r="K260" i="14"/>
  <c r="AS260" i="14"/>
  <c r="AY10" i="17"/>
  <c r="AY13" i="17"/>
  <c r="F260" i="16"/>
  <c r="AZ260" i="16"/>
  <c r="K260" i="16"/>
  <c r="AZ17" i="18"/>
  <c r="AL10" i="18"/>
  <c r="AL13" i="18"/>
  <c r="AN10" i="18"/>
  <c r="AN13" i="18"/>
  <c r="AP10" i="18"/>
  <c r="AP13" i="18"/>
  <c r="AR10" i="18"/>
  <c r="AR13" i="18"/>
  <c r="AT10" i="18"/>
  <c r="AT13" i="18"/>
  <c r="AV10" i="18"/>
  <c r="AV13" i="18"/>
  <c r="AX10" i="18"/>
  <c r="AX13" i="18"/>
  <c r="AZ17" i="17"/>
  <c r="D10" i="17"/>
  <c r="E44" i="17"/>
  <c r="E33" i="17"/>
  <c r="G10" i="17"/>
  <c r="G13" i="17"/>
  <c r="I10" i="17"/>
  <c r="I13" i="17"/>
  <c r="K10" i="17"/>
  <c r="K13" i="17"/>
  <c r="M10" i="17"/>
  <c r="M13" i="17"/>
  <c r="O10" i="17"/>
  <c r="O13" i="17"/>
  <c r="Q10" i="17"/>
  <c r="Q13" i="17"/>
  <c r="S10" i="17"/>
  <c r="S13" i="17"/>
  <c r="U10" i="17"/>
  <c r="U13" i="17"/>
  <c r="W10" i="17"/>
  <c r="W13" i="17"/>
  <c r="X14" i="17"/>
  <c r="X10" i="17"/>
  <c r="X13" i="17"/>
  <c r="X44" i="17"/>
  <c r="X33" i="17"/>
  <c r="Z10" i="17"/>
  <c r="Z13" i="17"/>
  <c r="U260" i="16"/>
  <c r="E260" i="15"/>
  <c r="AK260" i="15"/>
  <c r="AC260" i="14"/>
  <c r="S10" i="20"/>
  <c r="AD260" i="16"/>
  <c r="AI260" i="16"/>
  <c r="AZ259" i="15"/>
  <c r="N260" i="15"/>
  <c r="AZ260" i="15"/>
  <c r="S260" i="15"/>
  <c r="AT260" i="15"/>
  <c r="AY260" i="15"/>
  <c r="AL260" i="14"/>
  <c r="AQ260" i="14"/>
  <c r="S31" i="20"/>
  <c r="T32" i="20"/>
  <c r="H8" i="20"/>
  <c r="BA14" i="16"/>
  <c r="I260" i="16"/>
  <c r="Q260" i="16"/>
  <c r="Y260" i="16"/>
  <c r="AG260" i="16"/>
  <c r="AO260" i="16"/>
  <c r="AW260" i="16"/>
  <c r="BA14" i="15"/>
  <c r="I260" i="15"/>
  <c r="Q260" i="15"/>
  <c r="Y260" i="15"/>
  <c r="AG260" i="15"/>
  <c r="AO260" i="15"/>
  <c r="AW260" i="15"/>
  <c r="V260" i="14"/>
  <c r="AA260" i="14"/>
  <c r="S8" i="20"/>
  <c r="S9" i="20"/>
  <c r="H9" i="20"/>
  <c r="S7" i="20"/>
  <c r="T11" i="20"/>
  <c r="H10" i="20"/>
  <c r="S42" i="20"/>
  <c r="T43" i="20"/>
  <c r="G260" i="14"/>
  <c r="O260" i="14"/>
  <c r="W260" i="14"/>
  <c r="AE260" i="14"/>
  <c r="AM260" i="14"/>
  <c r="AU260" i="14"/>
  <c r="X35" i="17"/>
  <c r="X39" i="17"/>
  <c r="T22" i="17"/>
  <c r="T21" i="17"/>
  <c r="L22" i="17"/>
  <c r="L21" i="17"/>
  <c r="E46" i="17"/>
  <c r="E50" i="17"/>
  <c r="AW22" i="18"/>
  <c r="AW21" i="18"/>
  <c r="AO22" i="18"/>
  <c r="AO21" i="18"/>
  <c r="AB46" i="17"/>
  <c r="AB50" i="17"/>
  <c r="AX22" i="18"/>
  <c r="AX21" i="18"/>
  <c r="AO34" i="17"/>
  <c r="AO40" i="17"/>
  <c r="AO24" i="17"/>
  <c r="AO56" i="17"/>
  <c r="AO62" i="17"/>
  <c r="AO45" i="17"/>
  <c r="AO51" i="17"/>
  <c r="G22" i="17"/>
  <c r="G21" i="17"/>
  <c r="AT44" i="17"/>
  <c r="AT23" i="17"/>
  <c r="AT55" i="17"/>
  <c r="AT33" i="17"/>
  <c r="AQ35" i="17"/>
  <c r="AQ40" i="17"/>
  <c r="AD44" i="17"/>
  <c r="AD23" i="17"/>
  <c r="AD33" i="17"/>
  <c r="AD55" i="17"/>
  <c r="K45" i="17"/>
  <c r="K51" i="17"/>
  <c r="K34" i="17"/>
  <c r="K40" i="17"/>
  <c r="K56" i="17"/>
  <c r="K62" i="17"/>
  <c r="K24" i="17"/>
  <c r="AN55" i="18"/>
  <c r="AN44" i="18"/>
  <c r="AN23" i="18"/>
  <c r="AN33" i="18"/>
  <c r="AP34" i="17"/>
  <c r="AP40" i="17"/>
  <c r="AP24" i="17"/>
  <c r="AP45" i="17"/>
  <c r="AP51" i="17"/>
  <c r="AP56" i="17"/>
  <c r="AP62" i="17"/>
  <c r="AF34" i="17"/>
  <c r="AF40" i="17"/>
  <c r="AF45" i="17"/>
  <c r="AF51" i="17"/>
  <c r="AF56" i="17"/>
  <c r="AF62" i="17"/>
  <c r="AF24" i="17"/>
  <c r="AS44" i="17"/>
  <c r="AS23" i="17"/>
  <c r="AS33" i="17"/>
  <c r="AS55" i="17"/>
  <c r="AE44" i="17"/>
  <c r="AE55" i="17"/>
  <c r="AE33" i="17"/>
  <c r="AE23" i="17"/>
  <c r="Q33" i="18"/>
  <c r="Q44" i="18"/>
  <c r="Q55" i="18"/>
  <c r="Q23" i="18"/>
  <c r="AG34" i="17"/>
  <c r="AG40" i="17"/>
  <c r="AG24" i="17"/>
  <c r="AG56" i="17"/>
  <c r="AG62" i="17"/>
  <c r="AG45" i="17"/>
  <c r="AG51" i="17"/>
  <c r="AH24" i="18"/>
  <c r="AH34" i="18"/>
  <c r="AH40" i="18"/>
  <c r="AH45" i="18"/>
  <c r="AH51" i="18"/>
  <c r="AH56" i="18"/>
  <c r="AH62" i="18"/>
  <c r="O24" i="18"/>
  <c r="O56" i="18"/>
  <c r="O62" i="18"/>
  <c r="O34" i="18"/>
  <c r="O40" i="18"/>
  <c r="O45" i="18"/>
  <c r="O51" i="18"/>
  <c r="G27" i="18"/>
  <c r="F30" i="18"/>
  <c r="AY24" i="17"/>
  <c r="AY34" i="17"/>
  <c r="AY40" i="17"/>
  <c r="AY45" i="17"/>
  <c r="AY51" i="17"/>
  <c r="AY56" i="17"/>
  <c r="AY62" i="17"/>
  <c r="AI34" i="17"/>
  <c r="AI40" i="17"/>
  <c r="AI24" i="17"/>
  <c r="AI56" i="17"/>
  <c r="AI62" i="17"/>
  <c r="AI45" i="17"/>
  <c r="AI51" i="17"/>
  <c r="AJ24" i="18"/>
  <c r="AJ34" i="18"/>
  <c r="AJ40" i="18"/>
  <c r="AJ56" i="18"/>
  <c r="AJ62" i="18"/>
  <c r="AJ45" i="18"/>
  <c r="AJ51" i="18"/>
  <c r="AG24" i="18"/>
  <c r="AG34" i="18"/>
  <c r="AG40" i="18"/>
  <c r="AG56" i="18"/>
  <c r="AG62" i="18"/>
  <c r="AG45" i="18"/>
  <c r="AG51" i="18"/>
  <c r="V33" i="18"/>
  <c r="V44" i="18"/>
  <c r="V55" i="18"/>
  <c r="V23" i="18"/>
  <c r="M33" i="18"/>
  <c r="M44" i="18"/>
  <c r="M55" i="18"/>
  <c r="M23" i="18"/>
  <c r="AK34" i="17"/>
  <c r="AK40" i="17"/>
  <c r="AK24" i="17"/>
  <c r="AK56" i="17"/>
  <c r="AK62" i="17"/>
  <c r="AK45" i="17"/>
  <c r="AK51" i="17"/>
  <c r="AA24" i="18"/>
  <c r="AA34" i="18"/>
  <c r="AA40" i="18"/>
  <c r="AA45" i="18"/>
  <c r="AA51" i="18"/>
  <c r="AA56" i="18"/>
  <c r="AA62" i="18"/>
  <c r="K24" i="18"/>
  <c r="K34" i="18"/>
  <c r="K40" i="18"/>
  <c r="K45" i="18"/>
  <c r="K51" i="18"/>
  <c r="K56" i="18"/>
  <c r="K62" i="18"/>
  <c r="P24" i="18"/>
  <c r="P34" i="18"/>
  <c r="P40" i="18"/>
  <c r="P45" i="18"/>
  <c r="P51" i="18"/>
  <c r="P56" i="18"/>
  <c r="P62" i="18"/>
  <c r="L24" i="18"/>
  <c r="L34" i="18"/>
  <c r="L40" i="18"/>
  <c r="L45" i="18"/>
  <c r="L51" i="18"/>
  <c r="L56" i="18"/>
  <c r="L62" i="18"/>
  <c r="H24" i="18"/>
  <c r="H34" i="18"/>
  <c r="H40" i="18"/>
  <c r="H45" i="18"/>
  <c r="H51" i="18"/>
  <c r="H56" i="18"/>
  <c r="H62" i="18"/>
  <c r="X46" i="17"/>
  <c r="X50" i="17"/>
  <c r="R22" i="17"/>
  <c r="R21" i="17"/>
  <c r="J22" i="17"/>
  <c r="J21" i="17"/>
  <c r="D13" i="17"/>
  <c r="E14" i="17"/>
  <c r="E10" i="17"/>
  <c r="E13" i="17"/>
  <c r="AU22" i="18"/>
  <c r="AU21" i="18"/>
  <c r="AM22" i="18"/>
  <c r="AM21" i="18"/>
  <c r="AC21" i="17"/>
  <c r="AC22" i="17"/>
  <c r="AP22" i="18"/>
  <c r="AP21" i="18"/>
  <c r="AO44" i="17"/>
  <c r="AO55" i="17"/>
  <c r="AO33" i="17"/>
  <c r="AO23" i="17"/>
  <c r="AB57" i="17"/>
  <c r="AB61" i="17"/>
  <c r="H27" i="17"/>
  <c r="G30" i="17"/>
  <c r="AX34" i="17"/>
  <c r="AX40" i="17"/>
  <c r="AX56" i="17"/>
  <c r="AX62" i="17"/>
  <c r="AX45" i="17"/>
  <c r="AX51" i="17"/>
  <c r="AX24" i="17"/>
  <c r="AQ57" i="17"/>
  <c r="AQ62" i="17"/>
  <c r="AH34" i="17"/>
  <c r="AH40" i="17"/>
  <c r="AH45" i="17"/>
  <c r="AH51" i="17"/>
  <c r="AH56" i="17"/>
  <c r="AH62" i="17"/>
  <c r="AH24" i="17"/>
  <c r="Z55" i="17"/>
  <c r="Z44" i="17"/>
  <c r="Z23" i="17"/>
  <c r="Z33" i="17"/>
  <c r="AN45" i="18"/>
  <c r="AN51" i="18"/>
  <c r="AN34" i="18"/>
  <c r="AN40" i="18"/>
  <c r="AN56" i="18"/>
  <c r="AN62" i="18"/>
  <c r="AN24" i="18"/>
  <c r="AP44" i="17"/>
  <c r="AP33" i="17"/>
  <c r="AP23" i="17"/>
  <c r="AP55" i="17"/>
  <c r="AF44" i="17"/>
  <c r="AF23" i="17"/>
  <c r="AF33" i="17"/>
  <c r="AF55" i="17"/>
  <c r="AW34" i="17"/>
  <c r="AW40" i="17"/>
  <c r="AW45" i="17"/>
  <c r="AW51" i="17"/>
  <c r="AW56" i="17"/>
  <c r="AW62" i="17"/>
  <c r="AW24" i="17"/>
  <c r="AM34" i="17"/>
  <c r="AM40" i="17"/>
  <c r="AM45" i="17"/>
  <c r="AM51" i="17"/>
  <c r="AM56" i="17"/>
  <c r="AM62" i="17"/>
  <c r="AM24" i="17"/>
  <c r="Z21" i="18"/>
  <c r="Z22" i="18"/>
  <c r="J21" i="18"/>
  <c r="J22" i="18"/>
  <c r="AG44" i="17"/>
  <c r="AG55" i="17"/>
  <c r="AG33" i="17"/>
  <c r="AG23" i="17"/>
  <c r="AH33" i="18"/>
  <c r="AH23" i="18"/>
  <c r="AH55" i="18"/>
  <c r="AH44" i="18"/>
  <c r="O33" i="18"/>
  <c r="O44" i="18"/>
  <c r="O55" i="18"/>
  <c r="O23" i="18"/>
  <c r="AY23" i="17"/>
  <c r="AY44" i="17"/>
  <c r="AY33" i="17"/>
  <c r="AY55" i="17"/>
  <c r="AI44" i="17"/>
  <c r="AI55" i="17"/>
  <c r="AI33" i="17"/>
  <c r="AI23" i="17"/>
  <c r="AJ33" i="18"/>
  <c r="AJ44" i="18"/>
  <c r="AJ23" i="18"/>
  <c r="AJ55" i="18"/>
  <c r="AG33" i="18"/>
  <c r="AG44" i="18"/>
  <c r="AG55" i="18"/>
  <c r="AG23" i="18"/>
  <c r="U33" i="18"/>
  <c r="U44" i="18"/>
  <c r="U55" i="18"/>
  <c r="U23" i="18"/>
  <c r="F21" i="18"/>
  <c r="F22" i="18"/>
  <c r="D57" i="18"/>
  <c r="AK44" i="17"/>
  <c r="AK55" i="17"/>
  <c r="AK33" i="17"/>
  <c r="AK23" i="17"/>
  <c r="AA33" i="18"/>
  <c r="AA44" i="18"/>
  <c r="AA55" i="18"/>
  <c r="AA23" i="18"/>
  <c r="K33" i="18"/>
  <c r="K44" i="18"/>
  <c r="K55" i="18"/>
  <c r="K23" i="18"/>
  <c r="P33" i="18"/>
  <c r="P23" i="18"/>
  <c r="P44" i="18"/>
  <c r="P55" i="18"/>
  <c r="L33" i="18"/>
  <c r="L23" i="18"/>
  <c r="L55" i="18"/>
  <c r="L44" i="18"/>
  <c r="H33" i="18"/>
  <c r="H23" i="18"/>
  <c r="H44" i="18"/>
  <c r="H55" i="18"/>
  <c r="T45" i="20"/>
  <c r="Y22" i="17"/>
  <c r="Y21" i="17"/>
  <c r="P22" i="17"/>
  <c r="P21" i="17"/>
  <c r="H22" i="17"/>
  <c r="H21" i="17"/>
  <c r="AS22" i="18"/>
  <c r="AS21" i="18"/>
  <c r="AN34" i="17"/>
  <c r="AN40" i="17"/>
  <c r="AN24" i="17"/>
  <c r="AN45" i="17"/>
  <c r="AN51" i="17"/>
  <c r="AN56" i="17"/>
  <c r="AN62" i="17"/>
  <c r="U22" i="17"/>
  <c r="U21" i="17"/>
  <c r="AE22" i="18"/>
  <c r="AE21" i="18"/>
  <c r="AL57" i="17"/>
  <c r="AL62" i="17"/>
  <c r="W22" i="17"/>
  <c r="W21" i="17"/>
  <c r="AR22" i="18"/>
  <c r="AR21" i="18"/>
  <c r="Q22" i="17"/>
  <c r="Q21" i="17"/>
  <c r="AT22" i="18"/>
  <c r="AT21" i="18"/>
  <c r="AX44" i="17"/>
  <c r="AX23" i="17"/>
  <c r="AX55" i="17"/>
  <c r="AX33" i="17"/>
  <c r="AQ51" i="17"/>
  <c r="AQ46" i="17"/>
  <c r="AH44" i="17"/>
  <c r="AH23" i="17"/>
  <c r="AH33" i="17"/>
  <c r="AH55" i="17"/>
  <c r="Z45" i="17"/>
  <c r="Z51" i="17"/>
  <c r="Z34" i="17"/>
  <c r="Z40" i="17"/>
  <c r="Z56" i="17"/>
  <c r="Z62" i="17"/>
  <c r="Z24" i="17"/>
  <c r="AV55" i="18"/>
  <c r="AV44" i="18"/>
  <c r="AV23" i="18"/>
  <c r="AV33" i="18"/>
  <c r="AV34" i="17"/>
  <c r="AV40" i="17"/>
  <c r="AV56" i="17"/>
  <c r="AV62" i="17"/>
  <c r="AV45" i="17"/>
  <c r="AV51" i="17"/>
  <c r="AV24" i="17"/>
  <c r="AJ34" i="17"/>
  <c r="AJ40" i="17"/>
  <c r="AJ45" i="17"/>
  <c r="AJ51" i="17"/>
  <c r="AJ56" i="17"/>
  <c r="AJ62" i="17"/>
  <c r="AJ24" i="17"/>
  <c r="S55" i="17"/>
  <c r="S44" i="17"/>
  <c r="S23" i="17"/>
  <c r="S33" i="17"/>
  <c r="AW44" i="17"/>
  <c r="AW23" i="17"/>
  <c r="AW33" i="17"/>
  <c r="AW55" i="17"/>
  <c r="AM44" i="17"/>
  <c r="AM55" i="17"/>
  <c r="AM33" i="17"/>
  <c r="AM23" i="17"/>
  <c r="Y33" i="18"/>
  <c r="Y44" i="18"/>
  <c r="Y55" i="18"/>
  <c r="Y23" i="18"/>
  <c r="I33" i="18"/>
  <c r="I44" i="18"/>
  <c r="I55" i="18"/>
  <c r="I23" i="18"/>
  <c r="AK24" i="18"/>
  <c r="AK34" i="18"/>
  <c r="AK40" i="18"/>
  <c r="AK45" i="18"/>
  <c r="AK51" i="18"/>
  <c r="AK56" i="18"/>
  <c r="AK62" i="18"/>
  <c r="W24" i="18"/>
  <c r="W56" i="18"/>
  <c r="W62" i="18"/>
  <c r="W34" i="18"/>
  <c r="W40" i="18"/>
  <c r="W45" i="18"/>
  <c r="W51" i="18"/>
  <c r="G24" i="18"/>
  <c r="G56" i="18"/>
  <c r="G62" i="18"/>
  <c r="G34" i="18"/>
  <c r="G40" i="18"/>
  <c r="G45" i="18"/>
  <c r="G51" i="18"/>
  <c r="D46" i="18"/>
  <c r="AU34" i="17"/>
  <c r="AU40" i="17"/>
  <c r="AU45" i="17"/>
  <c r="AU51" i="17"/>
  <c r="AU56" i="17"/>
  <c r="AU62" i="17"/>
  <c r="AU24" i="17"/>
  <c r="AL24" i="18"/>
  <c r="AL34" i="18"/>
  <c r="AL40" i="18"/>
  <c r="AL56" i="18"/>
  <c r="AL62" i="18"/>
  <c r="AL45" i="18"/>
  <c r="AL51" i="18"/>
  <c r="AI24" i="18"/>
  <c r="AI34" i="18"/>
  <c r="AI40" i="18"/>
  <c r="AI45" i="18"/>
  <c r="AI51" i="18"/>
  <c r="AI56" i="18"/>
  <c r="AI62" i="18"/>
  <c r="AC33" i="18"/>
  <c r="AC44" i="18"/>
  <c r="AC55" i="18"/>
  <c r="AC23" i="18"/>
  <c r="N24" i="18"/>
  <c r="N34" i="18"/>
  <c r="N40" i="18"/>
  <c r="N45" i="18"/>
  <c r="N51" i="18"/>
  <c r="N56" i="18"/>
  <c r="N62" i="18"/>
  <c r="E22" i="18"/>
  <c r="E21" i="18"/>
  <c r="AR34" i="17"/>
  <c r="AR40" i="17"/>
  <c r="AR56" i="17"/>
  <c r="AR62" i="17"/>
  <c r="AR45" i="17"/>
  <c r="AR51" i="17"/>
  <c r="AR24" i="17"/>
  <c r="AF24" i="18"/>
  <c r="AF34" i="18"/>
  <c r="AF40" i="18"/>
  <c r="AF45" i="18"/>
  <c r="AF51" i="18"/>
  <c r="AF56" i="18"/>
  <c r="AF62" i="18"/>
  <c r="S24" i="18"/>
  <c r="S34" i="18"/>
  <c r="S40" i="18"/>
  <c r="S45" i="18"/>
  <c r="S51" i="18"/>
  <c r="S56" i="18"/>
  <c r="S62" i="18"/>
  <c r="D55" i="17"/>
  <c r="D33" i="17"/>
  <c r="D44" i="17"/>
  <c r="D23" i="17"/>
  <c r="AB24" i="18"/>
  <c r="AB34" i="18"/>
  <c r="AB40" i="18"/>
  <c r="AB45" i="18"/>
  <c r="AB51" i="18"/>
  <c r="AB56" i="18"/>
  <c r="AB62" i="18"/>
  <c r="X24" i="18"/>
  <c r="X34" i="18"/>
  <c r="X40" i="18"/>
  <c r="X45" i="18"/>
  <c r="X51" i="18"/>
  <c r="X56" i="18"/>
  <c r="X62" i="18"/>
  <c r="T24" i="18"/>
  <c r="T34" i="18"/>
  <c r="T40" i="18"/>
  <c r="T45" i="18"/>
  <c r="T51" i="18"/>
  <c r="T56" i="18"/>
  <c r="T62" i="18"/>
  <c r="AA22" i="17"/>
  <c r="AA21" i="17"/>
  <c r="V22" i="17"/>
  <c r="V21" i="17"/>
  <c r="N22" i="17"/>
  <c r="N21" i="17"/>
  <c r="E35" i="17"/>
  <c r="E39" i="17"/>
  <c r="AY22" i="18"/>
  <c r="AY21" i="18"/>
  <c r="AQ22" i="18"/>
  <c r="AQ21" i="18"/>
  <c r="AN44" i="17"/>
  <c r="AN33" i="17"/>
  <c r="AN23" i="17"/>
  <c r="AN55" i="17"/>
  <c r="M22" i="17"/>
  <c r="M21" i="17"/>
  <c r="AL51" i="17"/>
  <c r="AL46" i="17"/>
  <c r="AL35" i="17"/>
  <c r="O22" i="17"/>
  <c r="O21" i="17"/>
  <c r="I22" i="17"/>
  <c r="I21" i="17"/>
  <c r="D35" i="18"/>
  <c r="D39" i="18"/>
  <c r="AT34" i="17"/>
  <c r="AT40" i="17"/>
  <c r="AT56" i="17"/>
  <c r="AT62" i="17"/>
  <c r="AT45" i="17"/>
  <c r="AT51" i="17"/>
  <c r="AT24" i="17"/>
  <c r="AD34" i="17"/>
  <c r="AD40" i="17"/>
  <c r="AD45" i="17"/>
  <c r="AD51" i="17"/>
  <c r="AD56" i="17"/>
  <c r="AD62" i="17"/>
  <c r="AD24" i="17"/>
  <c r="K55" i="17"/>
  <c r="K44" i="17"/>
  <c r="K23" i="17"/>
  <c r="K33" i="17"/>
  <c r="AV45" i="18"/>
  <c r="AV51" i="18"/>
  <c r="AV34" i="18"/>
  <c r="AV40" i="18"/>
  <c r="AV56" i="18"/>
  <c r="AV62" i="18"/>
  <c r="AV24" i="18"/>
  <c r="AV44" i="17"/>
  <c r="AV23" i="17"/>
  <c r="AV55" i="17"/>
  <c r="AV33" i="17"/>
  <c r="AJ44" i="17"/>
  <c r="AJ23" i="17"/>
  <c r="AJ33" i="17"/>
  <c r="AJ55" i="17"/>
  <c r="S45" i="17"/>
  <c r="S51" i="17"/>
  <c r="S34" i="17"/>
  <c r="S40" i="17"/>
  <c r="S56" i="17"/>
  <c r="S62" i="17"/>
  <c r="S24" i="17"/>
  <c r="AS34" i="17"/>
  <c r="AS40" i="17"/>
  <c r="AS45" i="17"/>
  <c r="AS51" i="17"/>
  <c r="AS56" i="17"/>
  <c r="AS62" i="17"/>
  <c r="AS24" i="17"/>
  <c r="AE34" i="17"/>
  <c r="AE40" i="17"/>
  <c r="AE24" i="17"/>
  <c r="AE56" i="17"/>
  <c r="AE62" i="17"/>
  <c r="AE45" i="17"/>
  <c r="AE51" i="17"/>
  <c r="R21" i="18"/>
  <c r="R22" i="18"/>
  <c r="AK33" i="18"/>
  <c r="AK44" i="18"/>
  <c r="AK55" i="18"/>
  <c r="AK23" i="18"/>
  <c r="W33" i="18"/>
  <c r="W44" i="18"/>
  <c r="W55" i="18"/>
  <c r="W23" i="18"/>
  <c r="G33" i="18"/>
  <c r="G44" i="18"/>
  <c r="G55" i="18"/>
  <c r="G23" i="18"/>
  <c r="AU44" i="17"/>
  <c r="AU23" i="17"/>
  <c r="AU33" i="17"/>
  <c r="AU55" i="17"/>
  <c r="AL33" i="18"/>
  <c r="AL44" i="18"/>
  <c r="AL55" i="18"/>
  <c r="AL23" i="18"/>
  <c r="AI33" i="18"/>
  <c r="AI44" i="18"/>
  <c r="AI55" i="18"/>
  <c r="AI23" i="18"/>
  <c r="V24" i="18"/>
  <c r="V34" i="18"/>
  <c r="V40" i="18"/>
  <c r="V45" i="18"/>
  <c r="V51" i="18"/>
  <c r="V56" i="18"/>
  <c r="V62" i="18"/>
  <c r="N33" i="18"/>
  <c r="N44" i="18"/>
  <c r="N55" i="18"/>
  <c r="N23" i="18"/>
  <c r="AZ10" i="18"/>
  <c r="AR44" i="17"/>
  <c r="AR23" i="17"/>
  <c r="AR55" i="17"/>
  <c r="AR33" i="17"/>
  <c r="AF33" i="18"/>
  <c r="AF44" i="18"/>
  <c r="AF55" i="18"/>
  <c r="AF23" i="18"/>
  <c r="S33" i="18"/>
  <c r="S44" i="18"/>
  <c r="S55" i="18"/>
  <c r="S23" i="18"/>
  <c r="D45" i="17"/>
  <c r="D51" i="17"/>
  <c r="D34" i="17"/>
  <c r="D40" i="17"/>
  <c r="D24" i="17"/>
  <c r="D56" i="17"/>
  <c r="D62" i="17"/>
  <c r="AB33" i="18"/>
  <c r="AB23" i="18"/>
  <c r="AB55" i="18"/>
  <c r="AB44" i="18"/>
  <c r="X33" i="18"/>
  <c r="X23" i="18"/>
  <c r="X44" i="18"/>
  <c r="X55" i="18"/>
  <c r="T33" i="18"/>
  <c r="T23" i="18"/>
  <c r="T55" i="18"/>
  <c r="T44" i="18"/>
  <c r="AR61" i="17"/>
  <c r="AR57" i="17"/>
  <c r="M55" i="17"/>
  <c r="M44" i="17"/>
  <c r="M33" i="17"/>
  <c r="M23" i="17"/>
  <c r="AA55" i="17"/>
  <c r="AA23" i="17"/>
  <c r="AA33" i="17"/>
  <c r="AA44" i="17"/>
  <c r="E24" i="18"/>
  <c r="E34" i="18"/>
  <c r="E40" i="18"/>
  <c r="E45" i="18"/>
  <c r="E51" i="18"/>
  <c r="E56" i="18"/>
  <c r="E62" i="18"/>
  <c r="AZ22" i="18"/>
  <c r="AM61" i="17"/>
  <c r="AM57" i="17"/>
  <c r="AX39" i="17"/>
  <c r="AX35" i="17"/>
  <c r="Y55" i="17"/>
  <c r="Y23" i="17"/>
  <c r="Y33" i="17"/>
  <c r="Y44" i="17"/>
  <c r="K57" i="18"/>
  <c r="K61" i="18"/>
  <c r="U50" i="18"/>
  <c r="U46" i="18"/>
  <c r="AI61" i="17"/>
  <c r="AI57" i="17"/>
  <c r="AG61" i="17"/>
  <c r="AG57" i="17"/>
  <c r="F22" i="17"/>
  <c r="F21" i="17"/>
  <c r="Q57" i="18"/>
  <c r="Q61" i="18"/>
  <c r="AE39" i="17"/>
  <c r="AE35" i="17"/>
  <c r="AS39" i="17"/>
  <c r="AS35" i="17"/>
  <c r="AD35" i="17"/>
  <c r="AD39" i="17"/>
  <c r="AT50" i="17"/>
  <c r="AT46" i="17"/>
  <c r="AX45" i="18"/>
  <c r="AX51" i="18"/>
  <c r="AX34" i="18"/>
  <c r="AX40" i="18"/>
  <c r="AX24" i="18"/>
  <c r="AX56" i="18"/>
  <c r="AX62" i="18"/>
  <c r="AO45" i="18"/>
  <c r="AO51" i="18"/>
  <c r="AO24" i="18"/>
  <c r="AO56" i="18"/>
  <c r="AO62" i="18"/>
  <c r="AO34" i="18"/>
  <c r="AO40" i="18"/>
  <c r="T45" i="17"/>
  <c r="T51" i="17"/>
  <c r="T24" i="17"/>
  <c r="T56" i="17"/>
  <c r="T62" i="17"/>
  <c r="T34" i="17"/>
  <c r="T40" i="17"/>
  <c r="T35" i="18"/>
  <c r="T39" i="18"/>
  <c r="X35" i="18"/>
  <c r="X39" i="18"/>
  <c r="AB35" i="18"/>
  <c r="AB39" i="18"/>
  <c r="S50" i="18"/>
  <c r="S46" i="18"/>
  <c r="AF50" i="18"/>
  <c r="AF46" i="18"/>
  <c r="N57" i="18"/>
  <c r="N61" i="18"/>
  <c r="AI57" i="18"/>
  <c r="AI61" i="18"/>
  <c r="AL57" i="18"/>
  <c r="AL61" i="18"/>
  <c r="AU39" i="17"/>
  <c r="AU35" i="17"/>
  <c r="G57" i="18"/>
  <c r="G61" i="18"/>
  <c r="W57" i="18"/>
  <c r="W61" i="18"/>
  <c r="AK57" i="18"/>
  <c r="AK61" i="18"/>
  <c r="R33" i="18"/>
  <c r="R44" i="18"/>
  <c r="R55" i="18"/>
  <c r="R23" i="18"/>
  <c r="AJ50" i="17"/>
  <c r="AJ46" i="17"/>
  <c r="AV50" i="17"/>
  <c r="AV46" i="17"/>
  <c r="K57" i="17"/>
  <c r="K61" i="17"/>
  <c r="I45" i="17"/>
  <c r="I51" i="17"/>
  <c r="I34" i="17"/>
  <c r="I40" i="17"/>
  <c r="I56" i="17"/>
  <c r="I62" i="17"/>
  <c r="I24" i="17"/>
  <c r="M45" i="17"/>
  <c r="M51" i="17"/>
  <c r="M34" i="17"/>
  <c r="M40" i="17"/>
  <c r="M24" i="17"/>
  <c r="M56" i="17"/>
  <c r="M62" i="17"/>
  <c r="AN46" i="17"/>
  <c r="AN50" i="17"/>
  <c r="AY45" i="18"/>
  <c r="AY51" i="18"/>
  <c r="AY24" i="18"/>
  <c r="AY56" i="18"/>
  <c r="AY62" i="18"/>
  <c r="AY34" i="18"/>
  <c r="AY40" i="18"/>
  <c r="N45" i="17"/>
  <c r="N51" i="17"/>
  <c r="N24" i="17"/>
  <c r="N56" i="17"/>
  <c r="N62" i="17"/>
  <c r="N34" i="17"/>
  <c r="N40" i="17"/>
  <c r="AA45" i="17"/>
  <c r="AA51" i="17"/>
  <c r="AA24" i="17"/>
  <c r="AA56" i="17"/>
  <c r="AA62" i="17"/>
  <c r="AA34" i="17"/>
  <c r="AA40" i="17"/>
  <c r="D57" i="17"/>
  <c r="D61" i="17"/>
  <c r="I35" i="18"/>
  <c r="I39" i="18"/>
  <c r="Y35" i="18"/>
  <c r="Y39" i="18"/>
  <c r="AM46" i="17"/>
  <c r="AM50" i="17"/>
  <c r="AW50" i="17"/>
  <c r="AW46" i="17"/>
  <c r="S57" i="17"/>
  <c r="S61" i="17"/>
  <c r="AV57" i="18"/>
  <c r="AV61" i="18"/>
  <c r="AH50" i="17"/>
  <c r="AH46" i="17"/>
  <c r="AX61" i="17"/>
  <c r="AX57" i="17"/>
  <c r="AT45" i="18"/>
  <c r="AT51" i="18"/>
  <c r="AT34" i="18"/>
  <c r="AT40" i="18"/>
  <c r="AT56" i="18"/>
  <c r="AT62" i="18"/>
  <c r="AT24" i="18"/>
  <c r="AR45" i="18"/>
  <c r="AR51" i="18"/>
  <c r="AR34" i="18"/>
  <c r="AR40" i="18"/>
  <c r="AR56" i="18"/>
  <c r="AR62" i="18"/>
  <c r="AR24" i="18"/>
  <c r="U45" i="17"/>
  <c r="U51" i="17"/>
  <c r="U34" i="17"/>
  <c r="U40" i="17"/>
  <c r="U24" i="17"/>
  <c r="U56" i="17"/>
  <c r="U62" i="17"/>
  <c r="H45" i="17"/>
  <c r="H51" i="17"/>
  <c r="H24" i="17"/>
  <c r="H56" i="17"/>
  <c r="H62" i="17"/>
  <c r="H34" i="17"/>
  <c r="H40" i="17"/>
  <c r="Y45" i="17"/>
  <c r="Y51" i="17"/>
  <c r="Y24" i="17"/>
  <c r="Y56" i="17"/>
  <c r="Y62" i="17"/>
  <c r="Y34" i="17"/>
  <c r="Y40" i="17"/>
  <c r="K50" i="18"/>
  <c r="K46" i="18"/>
  <c r="AA50" i="18"/>
  <c r="AA46" i="18"/>
  <c r="AK61" i="17"/>
  <c r="AK57" i="17"/>
  <c r="F33" i="18"/>
  <c r="F44" i="18"/>
  <c r="F55" i="18"/>
  <c r="F23" i="18"/>
  <c r="U35" i="18"/>
  <c r="U39" i="18"/>
  <c r="AG35" i="18"/>
  <c r="AG39" i="18"/>
  <c r="AJ39" i="18"/>
  <c r="AJ35" i="18"/>
  <c r="AI50" i="17"/>
  <c r="AI46" i="17"/>
  <c r="O35" i="18"/>
  <c r="O39" i="18"/>
  <c r="AH35" i="18"/>
  <c r="AH39" i="18"/>
  <c r="AG50" i="17"/>
  <c r="AG46" i="17"/>
  <c r="Z33" i="18"/>
  <c r="Z44" i="18"/>
  <c r="Z55" i="18"/>
  <c r="Z23" i="18"/>
  <c r="AF50" i="17"/>
  <c r="AF46" i="17"/>
  <c r="AP46" i="17"/>
  <c r="AP50" i="17"/>
  <c r="Z57" i="17"/>
  <c r="Z61" i="17"/>
  <c r="I27" i="17"/>
  <c r="H30" i="17"/>
  <c r="AO39" i="17"/>
  <c r="AO35" i="17"/>
  <c r="AP45" i="18"/>
  <c r="AP51" i="18"/>
  <c r="AP34" i="18"/>
  <c r="AP40" i="18"/>
  <c r="AP24" i="18"/>
  <c r="AP56" i="18"/>
  <c r="AP62" i="18"/>
  <c r="AM45" i="18"/>
  <c r="AM51" i="18"/>
  <c r="AM24" i="18"/>
  <c r="AM56" i="18"/>
  <c r="AM62" i="18"/>
  <c r="AM34" i="18"/>
  <c r="AM40" i="18"/>
  <c r="AZ10" i="17"/>
  <c r="R45" i="17"/>
  <c r="R51" i="17"/>
  <c r="R24" i="17"/>
  <c r="R56" i="17"/>
  <c r="R62" i="17"/>
  <c r="R34" i="17"/>
  <c r="R40" i="17"/>
  <c r="M57" i="18"/>
  <c r="M61" i="18"/>
  <c r="V57" i="18"/>
  <c r="V61" i="18"/>
  <c r="Q50" i="18"/>
  <c r="Q46" i="18"/>
  <c r="AE61" i="17"/>
  <c r="AE57" i="17"/>
  <c r="AN46" i="18"/>
  <c r="AN50" i="18"/>
  <c r="AT39" i="17"/>
  <c r="AT35" i="17"/>
  <c r="G55" i="17"/>
  <c r="G23" i="17"/>
  <c r="G33" i="17"/>
  <c r="G44" i="17"/>
  <c r="AW55" i="18"/>
  <c r="AW23" i="18"/>
  <c r="AW33" i="18"/>
  <c r="AW44" i="18"/>
  <c r="L55" i="17"/>
  <c r="L23" i="17"/>
  <c r="L33" i="17"/>
  <c r="L44" i="17"/>
  <c r="S57" i="18"/>
  <c r="S61" i="18"/>
  <c r="AU61" i="17"/>
  <c r="AU57" i="17"/>
  <c r="AY55" i="18"/>
  <c r="AY23" i="18"/>
  <c r="AY33" i="18"/>
  <c r="AY44" i="18"/>
  <c r="N55" i="17"/>
  <c r="N23" i="17"/>
  <c r="N33" i="17"/>
  <c r="N44" i="17"/>
  <c r="D35" i="17"/>
  <c r="D39" i="17"/>
  <c r="Y50" i="18"/>
  <c r="Y46" i="18"/>
  <c r="AV46" i="18"/>
  <c r="AV50" i="18"/>
  <c r="AT55" i="18"/>
  <c r="AT23" i="18"/>
  <c r="AT33" i="18"/>
  <c r="AT44" i="18"/>
  <c r="U55" i="17"/>
  <c r="U44" i="17"/>
  <c r="U23" i="17"/>
  <c r="U33" i="17"/>
  <c r="H50" i="18"/>
  <c r="H46" i="18"/>
  <c r="P50" i="18"/>
  <c r="P46" i="18"/>
  <c r="AA57" i="18"/>
  <c r="AA61" i="18"/>
  <c r="AK39" i="17"/>
  <c r="AK35" i="17"/>
  <c r="AG50" i="18"/>
  <c r="AG46" i="18"/>
  <c r="AY50" i="17"/>
  <c r="AY46" i="17"/>
  <c r="Z24" i="18"/>
  <c r="Z34" i="18"/>
  <c r="Z40" i="18"/>
  <c r="Z45" i="18"/>
  <c r="Z51" i="18"/>
  <c r="Z56" i="18"/>
  <c r="Z62" i="18"/>
  <c r="T50" i="18"/>
  <c r="T46" i="18"/>
  <c r="AB50" i="18"/>
  <c r="AB46" i="18"/>
  <c r="S35" i="18"/>
  <c r="S39" i="18"/>
  <c r="AR50" i="17"/>
  <c r="AR46" i="17"/>
  <c r="AL50" i="18"/>
  <c r="AL46" i="18"/>
  <c r="G50" i="18"/>
  <c r="G46" i="18"/>
  <c r="AK50" i="18"/>
  <c r="AK46" i="18"/>
  <c r="AV39" i="17"/>
  <c r="AV35" i="17"/>
  <c r="K35" i="17"/>
  <c r="K39" i="17"/>
  <c r="AQ55" i="18"/>
  <c r="AQ23" i="18"/>
  <c r="AQ33" i="18"/>
  <c r="AQ44" i="18"/>
  <c r="AC57" i="18"/>
  <c r="AC61" i="18"/>
  <c r="AW61" i="17"/>
  <c r="AW57" i="17"/>
  <c r="S35" i="17"/>
  <c r="S39" i="17"/>
  <c r="AV35" i="18"/>
  <c r="AV39" i="18"/>
  <c r="AH61" i="17"/>
  <c r="AH57" i="17"/>
  <c r="Q55" i="17"/>
  <c r="Q23" i="17"/>
  <c r="Q33" i="17"/>
  <c r="Q44" i="17"/>
  <c r="W55" i="17"/>
  <c r="W23" i="17"/>
  <c r="W33" i="17"/>
  <c r="W44" i="17"/>
  <c r="AE33" i="18"/>
  <c r="AE44" i="18"/>
  <c r="AE55" i="18"/>
  <c r="AE23" i="18"/>
  <c r="AS55" i="18"/>
  <c r="AS23" i="18"/>
  <c r="AS33" i="18"/>
  <c r="AS44" i="18"/>
  <c r="P55" i="17"/>
  <c r="P23" i="17"/>
  <c r="P33" i="17"/>
  <c r="P44" i="17"/>
  <c r="H35" i="18"/>
  <c r="H39" i="18"/>
  <c r="L35" i="18"/>
  <c r="L39" i="18"/>
  <c r="P35" i="18"/>
  <c r="P39" i="18"/>
  <c r="K35" i="18"/>
  <c r="K39" i="18"/>
  <c r="AA35" i="18"/>
  <c r="AA39" i="18"/>
  <c r="AK50" i="17"/>
  <c r="AK46" i="17"/>
  <c r="AJ57" i="18"/>
  <c r="AJ61" i="18"/>
  <c r="AY61" i="17"/>
  <c r="AY57" i="17"/>
  <c r="AH50" i="18"/>
  <c r="AH46" i="18"/>
  <c r="J24" i="18"/>
  <c r="J34" i="18"/>
  <c r="J40" i="18"/>
  <c r="J45" i="18"/>
  <c r="J51" i="18"/>
  <c r="J56" i="18"/>
  <c r="J62" i="18"/>
  <c r="AF61" i="17"/>
  <c r="AF57" i="17"/>
  <c r="AP61" i="17"/>
  <c r="AP57" i="17"/>
  <c r="Z35" i="17"/>
  <c r="Z39" i="17"/>
  <c r="AO61" i="17"/>
  <c r="AO57" i="17"/>
  <c r="AC45" i="17"/>
  <c r="AC51" i="17"/>
  <c r="AC24" i="17"/>
  <c r="AC34" i="17"/>
  <c r="AC40" i="17"/>
  <c r="AC56" i="17"/>
  <c r="AC62" i="17"/>
  <c r="AU55" i="18"/>
  <c r="AU23" i="18"/>
  <c r="AU33" i="18"/>
  <c r="AU44" i="18"/>
  <c r="J55" i="17"/>
  <c r="J23" i="17"/>
  <c r="J33" i="17"/>
  <c r="J44" i="17"/>
  <c r="M50" i="18"/>
  <c r="M46" i="18"/>
  <c r="V50" i="18"/>
  <c r="V46" i="18"/>
  <c r="H27" i="18"/>
  <c r="G30" i="18"/>
  <c r="Q35" i="18"/>
  <c r="Q39" i="18"/>
  <c r="AE50" i="17"/>
  <c r="AE46" i="17"/>
  <c r="AS50" i="17"/>
  <c r="AS46" i="17"/>
  <c r="AN57" i="18"/>
  <c r="AN61" i="18"/>
  <c r="AD50" i="17"/>
  <c r="AD46" i="17"/>
  <c r="AT61" i="17"/>
  <c r="AT57" i="17"/>
  <c r="G45" i="17"/>
  <c r="G51" i="17"/>
  <c r="G34" i="17"/>
  <c r="G40" i="17"/>
  <c r="G56" i="17"/>
  <c r="G62" i="17"/>
  <c r="G24" i="17"/>
  <c r="AW45" i="18"/>
  <c r="AW51" i="18"/>
  <c r="AW24" i="18"/>
  <c r="AW56" i="18"/>
  <c r="AW62" i="18"/>
  <c r="AW34" i="18"/>
  <c r="AW40" i="18"/>
  <c r="L45" i="17"/>
  <c r="L51" i="17"/>
  <c r="L24" i="17"/>
  <c r="L56" i="17"/>
  <c r="L62" i="17"/>
  <c r="L34" i="17"/>
  <c r="L40" i="17"/>
  <c r="AF57" i="18"/>
  <c r="AF61" i="18"/>
  <c r="R24" i="18"/>
  <c r="R34" i="18"/>
  <c r="R40" i="18"/>
  <c r="R45" i="18"/>
  <c r="R51" i="18"/>
  <c r="R56" i="18"/>
  <c r="R62" i="18"/>
  <c r="K46" i="17"/>
  <c r="K50" i="17"/>
  <c r="I55" i="17"/>
  <c r="I23" i="17"/>
  <c r="I33" i="17"/>
  <c r="I44" i="17"/>
  <c r="AN35" i="17"/>
  <c r="AN39" i="17"/>
  <c r="AC35" i="18"/>
  <c r="AC39" i="18"/>
  <c r="I50" i="18"/>
  <c r="I46" i="18"/>
  <c r="S46" i="17"/>
  <c r="S50" i="17"/>
  <c r="AR55" i="18"/>
  <c r="AR23" i="18"/>
  <c r="AR33" i="18"/>
  <c r="AR44" i="18"/>
  <c r="H55" i="17"/>
  <c r="H23" i="17"/>
  <c r="H33" i="17"/>
  <c r="H44" i="17"/>
  <c r="L57" i="18"/>
  <c r="L61" i="18"/>
  <c r="F24" i="18"/>
  <c r="F34" i="18"/>
  <c r="F40" i="18"/>
  <c r="F45" i="18"/>
  <c r="F51" i="18"/>
  <c r="F56" i="18"/>
  <c r="F62" i="18"/>
  <c r="AJ50" i="18"/>
  <c r="AJ46" i="18"/>
  <c r="O50" i="18"/>
  <c r="O46" i="18"/>
  <c r="AP35" i="17"/>
  <c r="AP39" i="17"/>
  <c r="Z46" i="17"/>
  <c r="Z50" i="17"/>
  <c r="AP55" i="18"/>
  <c r="AP44" i="18"/>
  <c r="AP33" i="18"/>
  <c r="AP23" i="18"/>
  <c r="AM55" i="18"/>
  <c r="AM23" i="18"/>
  <c r="AM33" i="18"/>
  <c r="AM44" i="18"/>
  <c r="R55" i="17"/>
  <c r="R23" i="17"/>
  <c r="R33" i="17"/>
  <c r="R44" i="17"/>
  <c r="X57" i="18"/>
  <c r="X61" i="18"/>
  <c r="AF39" i="18"/>
  <c r="AF35" i="18"/>
  <c r="N50" i="18"/>
  <c r="N46" i="18"/>
  <c r="AI50" i="18"/>
  <c r="AI46" i="18"/>
  <c r="W50" i="18"/>
  <c r="W46" i="18"/>
  <c r="AJ61" i="17"/>
  <c r="AJ57" i="17"/>
  <c r="O55" i="17"/>
  <c r="O23" i="17"/>
  <c r="O33" i="17"/>
  <c r="O44" i="17"/>
  <c r="AN61" i="17"/>
  <c r="AN57" i="17"/>
  <c r="V55" i="17"/>
  <c r="V23" i="17"/>
  <c r="V33" i="17"/>
  <c r="V44" i="17"/>
  <c r="T57" i="18"/>
  <c r="T61" i="18"/>
  <c r="X50" i="18"/>
  <c r="X46" i="18"/>
  <c r="AB57" i="18"/>
  <c r="AB61" i="18"/>
  <c r="AR39" i="17"/>
  <c r="AR35" i="17"/>
  <c r="N39" i="18"/>
  <c r="N35" i="18"/>
  <c r="AI35" i="18"/>
  <c r="AI39" i="18"/>
  <c r="AL35" i="18"/>
  <c r="AL39" i="18"/>
  <c r="AU50" i="17"/>
  <c r="AU46" i="17"/>
  <c r="G35" i="18"/>
  <c r="G39" i="18"/>
  <c r="W35" i="18"/>
  <c r="W39" i="18"/>
  <c r="AK35" i="18"/>
  <c r="AK39" i="18"/>
  <c r="AJ35" i="17"/>
  <c r="AJ39" i="17"/>
  <c r="AV61" i="17"/>
  <c r="AV57" i="17"/>
  <c r="O45" i="17"/>
  <c r="O51" i="17"/>
  <c r="O34" i="17"/>
  <c r="O40" i="17"/>
  <c r="O56" i="17"/>
  <c r="O62" i="17"/>
  <c r="O24" i="17"/>
  <c r="AQ45" i="18"/>
  <c r="AQ51" i="18"/>
  <c r="AQ24" i="18"/>
  <c r="AQ56" i="18"/>
  <c r="AQ62" i="18"/>
  <c r="AQ34" i="18"/>
  <c r="AQ40" i="18"/>
  <c r="V45" i="17"/>
  <c r="V51" i="17"/>
  <c r="V24" i="17"/>
  <c r="V56" i="17"/>
  <c r="V62" i="17"/>
  <c r="V34" i="17"/>
  <c r="V40" i="17"/>
  <c r="D46" i="17"/>
  <c r="D50" i="17"/>
  <c r="E33" i="18"/>
  <c r="E44" i="18"/>
  <c r="E55" i="18"/>
  <c r="E23" i="18"/>
  <c r="AZ21" i="18"/>
  <c r="AC50" i="18"/>
  <c r="AC46" i="18"/>
  <c r="I57" i="18"/>
  <c r="I61" i="18"/>
  <c r="Y57" i="18"/>
  <c r="Y61" i="18"/>
  <c r="AM35" i="17"/>
  <c r="AM39" i="17"/>
  <c r="AW39" i="17"/>
  <c r="AW35" i="17"/>
  <c r="AH35" i="17"/>
  <c r="AH39" i="17"/>
  <c r="AX50" i="17"/>
  <c r="AX46" i="17"/>
  <c r="Q45" i="17"/>
  <c r="Q51" i="17"/>
  <c r="Q34" i="17"/>
  <c r="Q40" i="17"/>
  <c r="Q56" i="17"/>
  <c r="Q62" i="17"/>
  <c r="Q24" i="17"/>
  <c r="W45" i="17"/>
  <c r="W51" i="17"/>
  <c r="W34" i="17"/>
  <c r="W40" i="17"/>
  <c r="W56" i="17"/>
  <c r="W62" i="17"/>
  <c r="W24" i="17"/>
  <c r="AE24" i="18"/>
  <c r="AE34" i="18"/>
  <c r="AE40" i="18"/>
  <c r="AE45" i="18"/>
  <c r="AE51" i="18"/>
  <c r="AE56" i="18"/>
  <c r="AE62" i="18"/>
  <c r="AS45" i="18"/>
  <c r="AS51" i="18"/>
  <c r="AS24" i="18"/>
  <c r="AS56" i="18"/>
  <c r="AS62" i="18"/>
  <c r="AS34" i="18"/>
  <c r="AS40" i="18"/>
  <c r="P45" i="17"/>
  <c r="P51" i="17"/>
  <c r="P24" i="17"/>
  <c r="P56" i="17"/>
  <c r="P62" i="17"/>
  <c r="P34" i="17"/>
  <c r="P40" i="17"/>
  <c r="H57" i="18"/>
  <c r="H61" i="18"/>
  <c r="L50" i="18"/>
  <c r="L46" i="18"/>
  <c r="P57" i="18"/>
  <c r="P61" i="18"/>
  <c r="U57" i="18"/>
  <c r="U61" i="18"/>
  <c r="AG57" i="18"/>
  <c r="AG61" i="18"/>
  <c r="AI39" i="17"/>
  <c r="AI35" i="17"/>
  <c r="AY39" i="17"/>
  <c r="AY35" i="17"/>
  <c r="O57" i="18"/>
  <c r="O61" i="18"/>
  <c r="AH57" i="18"/>
  <c r="AH61" i="18"/>
  <c r="AG39" i="17"/>
  <c r="AG35" i="17"/>
  <c r="J33" i="18"/>
  <c r="J44" i="18"/>
  <c r="J55" i="18"/>
  <c r="J23" i="18"/>
  <c r="AF35" i="17"/>
  <c r="AF39" i="17"/>
  <c r="AO50" i="17"/>
  <c r="AO46" i="17"/>
  <c r="AC55" i="17"/>
  <c r="AC33" i="17"/>
  <c r="AC23" i="17"/>
  <c r="AC44" i="17"/>
  <c r="AU45" i="18"/>
  <c r="AU51" i="18"/>
  <c r="AU24" i="18"/>
  <c r="AU56" i="18"/>
  <c r="AU62" i="18"/>
  <c r="AU34" i="18"/>
  <c r="AU40" i="18"/>
  <c r="J45" i="17"/>
  <c r="J51" i="17"/>
  <c r="J24" i="17"/>
  <c r="J56" i="17"/>
  <c r="J62" i="17"/>
  <c r="J34" i="17"/>
  <c r="J40" i="17"/>
  <c r="M35" i="18"/>
  <c r="M39" i="18"/>
  <c r="V39" i="18"/>
  <c r="V35" i="18"/>
  <c r="AS61" i="17"/>
  <c r="AS57" i="17"/>
  <c r="AN35" i="18"/>
  <c r="AN39" i="18"/>
  <c r="AD61" i="17"/>
  <c r="AD57" i="17"/>
  <c r="AX55" i="18"/>
  <c r="AX44" i="18"/>
  <c r="AX23" i="18"/>
  <c r="AX33" i="18"/>
  <c r="AO55" i="18"/>
  <c r="AO23" i="18"/>
  <c r="AO33" i="18"/>
  <c r="AO44" i="18"/>
  <c r="T55" i="17"/>
  <c r="T23" i="17"/>
  <c r="T33" i="17"/>
  <c r="T44" i="17"/>
  <c r="T61" i="17"/>
  <c r="T57" i="17"/>
  <c r="E50" i="18"/>
  <c r="E46" i="18"/>
  <c r="R57" i="17"/>
  <c r="R61" i="17"/>
  <c r="W46" i="17"/>
  <c r="W50" i="17"/>
  <c r="AA61" i="17"/>
  <c r="AA57" i="17"/>
  <c r="T46" i="17"/>
  <c r="T50" i="17"/>
  <c r="AO46" i="18"/>
  <c r="AO50" i="18"/>
  <c r="AX35" i="18"/>
  <c r="AX39" i="18"/>
  <c r="AC35" i="17"/>
  <c r="AC39" i="17"/>
  <c r="J50" i="18"/>
  <c r="J46" i="18"/>
  <c r="E35" i="18"/>
  <c r="E39" i="18"/>
  <c r="O46" i="17"/>
  <c r="O50" i="17"/>
  <c r="R46" i="17"/>
  <c r="R50" i="17"/>
  <c r="AM46" i="18"/>
  <c r="AM50" i="18"/>
  <c r="I27" i="18"/>
  <c r="H30" i="18"/>
  <c r="J57" i="17"/>
  <c r="J61" i="17"/>
  <c r="AU57" i="18"/>
  <c r="AU61" i="18"/>
  <c r="P35" i="17"/>
  <c r="P39" i="17"/>
  <c r="AS35" i="18"/>
  <c r="AS39" i="18"/>
  <c r="AE57" i="18"/>
  <c r="AE61" i="18"/>
  <c r="W35" i="17"/>
  <c r="W39" i="17"/>
  <c r="Q35" i="17"/>
  <c r="Q39" i="17"/>
  <c r="AQ57" i="18"/>
  <c r="AQ61" i="18"/>
  <c r="AT35" i="18"/>
  <c r="AT39" i="18"/>
  <c r="N57" i="17"/>
  <c r="N61" i="17"/>
  <c r="AY57" i="18"/>
  <c r="AY61" i="18"/>
  <c r="L61" i="17"/>
  <c r="L57" i="17"/>
  <c r="AW61" i="18"/>
  <c r="AW57" i="18"/>
  <c r="G57" i="17"/>
  <c r="G61" i="17"/>
  <c r="Z39" i="18"/>
  <c r="Z35" i="18"/>
  <c r="F57" i="18"/>
  <c r="F61" i="18"/>
  <c r="R57" i="18"/>
  <c r="R61" i="18"/>
  <c r="Y35" i="17"/>
  <c r="Y39" i="17"/>
  <c r="AA46" i="17"/>
  <c r="AA50" i="17"/>
  <c r="AO61" i="18"/>
  <c r="AO57" i="18"/>
  <c r="J57" i="18"/>
  <c r="J61" i="18"/>
  <c r="V35" i="17"/>
  <c r="V39" i="17"/>
  <c r="AM57" i="18"/>
  <c r="AM61" i="18"/>
  <c r="H35" i="17"/>
  <c r="H39" i="17"/>
  <c r="P50" i="17"/>
  <c r="P46" i="17"/>
  <c r="Q46" i="17"/>
  <c r="Q50" i="17"/>
  <c r="AT46" i="18"/>
  <c r="AT50" i="18"/>
  <c r="M57" i="17"/>
  <c r="M61" i="17"/>
  <c r="T35" i="17"/>
  <c r="T39" i="17"/>
  <c r="AO35" i="18"/>
  <c r="AO39" i="18"/>
  <c r="AC57" i="17"/>
  <c r="AC61" i="17"/>
  <c r="J39" i="18"/>
  <c r="J35" i="18"/>
  <c r="AZ23" i="18"/>
  <c r="V57" i="17"/>
  <c r="V61" i="17"/>
  <c r="O35" i="17"/>
  <c r="O39" i="17"/>
  <c r="R35" i="17"/>
  <c r="R39" i="17"/>
  <c r="AM35" i="18"/>
  <c r="AM39" i="18"/>
  <c r="AP35" i="18"/>
  <c r="AP39" i="18"/>
  <c r="H57" i="17"/>
  <c r="H61" i="17"/>
  <c r="AR57" i="18"/>
  <c r="AR61" i="18"/>
  <c r="I57" i="17"/>
  <c r="I61" i="17"/>
  <c r="J46" i="17"/>
  <c r="J50" i="17"/>
  <c r="AU46" i="18"/>
  <c r="AU50" i="18"/>
  <c r="AE50" i="18"/>
  <c r="AE46" i="18"/>
  <c r="AQ46" i="18"/>
  <c r="AQ50" i="18"/>
  <c r="U46" i="17"/>
  <c r="U50" i="17"/>
  <c r="N46" i="17"/>
  <c r="N50" i="17"/>
  <c r="AY46" i="18"/>
  <c r="AY50" i="18"/>
  <c r="L46" i="17"/>
  <c r="L50" i="17"/>
  <c r="AW46" i="18"/>
  <c r="AW50" i="18"/>
  <c r="G46" i="17"/>
  <c r="G50" i="17"/>
  <c r="F50" i="18"/>
  <c r="F46" i="18"/>
  <c r="R50" i="18"/>
  <c r="R46" i="18"/>
  <c r="F55" i="17"/>
  <c r="F23" i="17"/>
  <c r="AZ23" i="17"/>
  <c r="F33" i="17"/>
  <c r="F44" i="17"/>
  <c r="AZ21" i="17"/>
  <c r="AA35" i="17"/>
  <c r="AA39" i="17"/>
  <c r="M35" i="17"/>
  <c r="M39" i="17"/>
  <c r="AX57" i="18"/>
  <c r="AX61" i="18"/>
  <c r="O57" i="17"/>
  <c r="O61" i="17"/>
  <c r="AP57" i="18"/>
  <c r="AP61" i="18"/>
  <c r="AR35" i="18"/>
  <c r="AR39" i="18"/>
  <c r="I35" i="17"/>
  <c r="I39" i="17"/>
  <c r="AS50" i="18"/>
  <c r="AS46" i="18"/>
  <c r="U35" i="17"/>
  <c r="U39" i="17"/>
  <c r="Z50" i="18"/>
  <c r="Z46" i="18"/>
  <c r="Y46" i="17"/>
  <c r="Y50" i="17"/>
  <c r="AZ24" i="18"/>
  <c r="AX46" i="18"/>
  <c r="AX50" i="18"/>
  <c r="AC46" i="17"/>
  <c r="AC50" i="17"/>
  <c r="E57" i="18"/>
  <c r="E61" i="18"/>
  <c r="V46" i="17"/>
  <c r="V50" i="17"/>
  <c r="AP46" i="18"/>
  <c r="AP50" i="18"/>
  <c r="H50" i="17"/>
  <c r="H46" i="17"/>
  <c r="AR46" i="18"/>
  <c r="AR50" i="18"/>
  <c r="I46" i="17"/>
  <c r="I50" i="17"/>
  <c r="J35" i="17"/>
  <c r="J39" i="17"/>
  <c r="AU35" i="18"/>
  <c r="AU39" i="18"/>
  <c r="P57" i="17"/>
  <c r="P61" i="17"/>
  <c r="AS57" i="18"/>
  <c r="AS61" i="18"/>
  <c r="AE35" i="18"/>
  <c r="AE39" i="18"/>
  <c r="W57" i="17"/>
  <c r="W61" i="17"/>
  <c r="Q57" i="17"/>
  <c r="Q61" i="17"/>
  <c r="AQ35" i="18"/>
  <c r="AQ39" i="18"/>
  <c r="U57" i="17"/>
  <c r="U61" i="17"/>
  <c r="AT57" i="18"/>
  <c r="AT61" i="18"/>
  <c r="N35" i="17"/>
  <c r="N39" i="17"/>
  <c r="AY35" i="18"/>
  <c r="AY39" i="18"/>
  <c r="L35" i="17"/>
  <c r="L39" i="17"/>
  <c r="AW35" i="18"/>
  <c r="AW39" i="18"/>
  <c r="G35" i="17"/>
  <c r="G39" i="17"/>
  <c r="J27" i="17"/>
  <c r="I30" i="17"/>
  <c r="Z57" i="18"/>
  <c r="Z61" i="18"/>
  <c r="F39" i="18"/>
  <c r="F35" i="18"/>
  <c r="R39" i="18"/>
  <c r="R35" i="18"/>
  <c r="F45" i="17"/>
  <c r="F51" i="17"/>
  <c r="F24" i="17"/>
  <c r="AZ24" i="17"/>
  <c r="F56" i="17"/>
  <c r="F62" i="17"/>
  <c r="F34" i="17"/>
  <c r="F40" i="17"/>
  <c r="AZ22" i="17"/>
  <c r="Y57" i="17"/>
  <c r="Y61" i="17"/>
  <c r="M46" i="17"/>
  <c r="M50" i="17"/>
  <c r="K27" i="17"/>
  <c r="J30" i="17"/>
  <c r="F35" i="17"/>
  <c r="F39" i="17"/>
  <c r="I30" i="18"/>
  <c r="J27" i="18"/>
  <c r="F46" i="17"/>
  <c r="F50" i="17"/>
  <c r="F57" i="17"/>
  <c r="F61" i="17"/>
  <c r="K27" i="18"/>
  <c r="J30" i="18"/>
  <c r="L27" i="17"/>
  <c r="K30" i="17"/>
  <c r="M27" i="17"/>
  <c r="L30" i="17"/>
  <c r="L27" i="18"/>
  <c r="K30" i="18"/>
  <c r="M27" i="18"/>
  <c r="L30" i="18"/>
  <c r="N27" i="17"/>
  <c r="M30" i="17"/>
  <c r="O27" i="17"/>
  <c r="N30" i="17"/>
  <c r="M30" i="18"/>
  <c r="N27" i="18"/>
  <c r="O27" i="18"/>
  <c r="N30" i="18"/>
  <c r="P27" i="17"/>
  <c r="O30" i="17"/>
  <c r="Q27" i="17"/>
  <c r="P30" i="17"/>
  <c r="P27" i="18"/>
  <c r="O30" i="18"/>
  <c r="Q27" i="18"/>
  <c r="P30" i="18"/>
  <c r="R27" i="17"/>
  <c r="Q30" i="17"/>
  <c r="S27" i="17"/>
  <c r="R30" i="17"/>
  <c r="Q30" i="18"/>
  <c r="R27" i="18"/>
  <c r="S27" i="18"/>
  <c r="R30" i="18"/>
  <c r="T27" i="17"/>
  <c r="S30" i="17"/>
  <c r="U27" i="17"/>
  <c r="T30" i="17"/>
  <c r="T27" i="18"/>
  <c r="S30" i="18"/>
  <c r="V27" i="17"/>
  <c r="U30" i="17"/>
  <c r="U27" i="18"/>
  <c r="T30" i="18"/>
  <c r="U30" i="18"/>
  <c r="V27" i="18"/>
  <c r="W27" i="17"/>
  <c r="V30" i="17"/>
  <c r="W27" i="18"/>
  <c r="V30" i="18"/>
  <c r="X27" i="17"/>
  <c r="W30" i="17"/>
  <c r="Y27" i="17"/>
  <c r="X30" i="17"/>
  <c r="X27" i="18"/>
  <c r="W30" i="18"/>
  <c r="Y27" i="18"/>
  <c r="X30" i="18"/>
  <c r="Z27" i="17"/>
  <c r="Y30" i="17"/>
  <c r="AA27" i="17"/>
  <c r="Z30" i="17"/>
  <c r="Y30" i="18"/>
  <c r="Z27" i="18"/>
  <c r="AA27" i="18"/>
  <c r="Z30" i="18"/>
  <c r="AA30" i="17"/>
  <c r="AB27" i="17"/>
  <c r="AC27" i="17"/>
  <c r="AB30" i="17"/>
  <c r="AB27" i="18"/>
  <c r="AA30" i="18"/>
  <c r="AC27" i="18"/>
  <c r="AB30" i="18"/>
  <c r="AD27" i="17"/>
  <c r="AC30" i="17"/>
  <c r="AE27" i="17"/>
  <c r="AD30" i="17"/>
  <c r="AC30" i="18"/>
  <c r="AD27" i="18"/>
  <c r="AD30" i="18"/>
  <c r="AE27" i="18"/>
  <c r="AF27" i="17"/>
  <c r="AE30" i="17"/>
  <c r="AG27" i="17"/>
  <c r="AF30" i="17"/>
  <c r="AE30" i="18"/>
  <c r="AF27" i="18"/>
  <c r="AG27" i="18"/>
  <c r="AF30" i="18"/>
  <c r="AH27" i="17"/>
  <c r="AG30" i="17"/>
  <c r="AI27" i="17"/>
  <c r="AH30" i="17"/>
  <c r="AH27" i="18"/>
  <c r="AG30" i="18"/>
  <c r="AI27" i="18"/>
  <c r="AH30" i="18"/>
  <c r="AJ27" i="17"/>
  <c r="AI30" i="17"/>
  <c r="AK27" i="17"/>
  <c r="AJ30" i="17"/>
  <c r="AJ27" i="18"/>
  <c r="AI30" i="18"/>
  <c r="AK27" i="18"/>
  <c r="AJ30" i="18"/>
  <c r="AL27" i="17"/>
  <c r="AK30" i="17"/>
  <c r="AM27" i="17"/>
  <c r="AL30" i="17"/>
  <c r="AL27" i="18"/>
  <c r="AK30" i="18"/>
  <c r="AM27" i="18"/>
  <c r="AL30" i="18"/>
  <c r="AN27" i="17"/>
  <c r="AM30" i="17"/>
  <c r="AO27" i="17"/>
  <c r="AN30" i="17"/>
  <c r="AN27" i="18"/>
  <c r="AM30" i="18"/>
  <c r="AO27" i="18"/>
  <c r="AN30" i="18"/>
  <c r="AP27" i="17"/>
  <c r="AO30" i="17"/>
  <c r="AQ27" i="17"/>
  <c r="AP30" i="17"/>
  <c r="AP27" i="18"/>
  <c r="AO30" i="18"/>
  <c r="AQ27" i="18"/>
  <c r="AP30" i="18"/>
  <c r="AR27" i="17"/>
  <c r="AQ30" i="17"/>
  <c r="AS27" i="17"/>
  <c r="AR30" i="17"/>
  <c r="AR27" i="18"/>
  <c r="AQ30" i="18"/>
  <c r="AS27" i="18"/>
  <c r="AR30" i="18"/>
  <c r="AT27" i="17"/>
  <c r="AS30" i="17"/>
  <c r="AU27" i="17"/>
  <c r="AT30" i="17"/>
  <c r="AT27" i="18"/>
  <c r="AS30" i="18"/>
  <c r="AU27" i="18"/>
  <c r="AT30" i="18"/>
  <c r="AV27" i="17"/>
  <c r="AU30" i="17"/>
  <c r="AW27" i="17"/>
  <c r="AV30" i="17"/>
  <c r="AV27" i="18"/>
  <c r="AU30" i="18"/>
  <c r="AW27" i="18"/>
  <c r="AV30" i="18"/>
  <c r="AX27" i="17"/>
  <c r="AW30" i="17"/>
  <c r="AY27" i="17"/>
  <c r="AY30" i="17"/>
  <c r="AZ30" i="17"/>
  <c r="AX30" i="17"/>
  <c r="AX27" i="18"/>
  <c r="AW30" i="18"/>
  <c r="AY27" i="18"/>
  <c r="AY30" i="18"/>
  <c r="AZ30" i="18"/>
  <c r="AX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1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10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</calcChain>
</file>

<file path=xl/sharedStrings.xml><?xml version="1.0" encoding="utf-8"?>
<sst xmlns="http://schemas.openxmlformats.org/spreadsheetml/2006/main" count="2633" uniqueCount="414">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</sst>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2024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1600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0</v>
      </c>
      <c r="D76" s="15">
        <v>5500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2603.953984875317</v>
      </c>
      <c r="D6" s="87">
        <v>2603.953984875317</v>
      </c>
      <c r="E6" s="87">
        <v>2603.953984875317</v>
      </c>
      <c r="F6" s="87">
        <v>2603.953984875317</v>
      </c>
      <c r="G6" s="87">
        <v>2603.953984875317</v>
      </c>
      <c r="H6" s="87">
        <v>2603.953984875317</v>
      </c>
      <c r="I6" s="87">
        <v>2603.953984875317</v>
      </c>
      <c r="J6" s="87">
        <v>2603.953984875317</v>
      </c>
      <c r="K6" s="87">
        <v>2603.953984875317</v>
      </c>
      <c r="L6" s="87">
        <v>2603.953984875317</v>
      </c>
      <c r="M6" s="87">
        <v>2603.953984875317</v>
      </c>
      <c r="N6" s="87">
        <v>2603.953984875317</v>
      </c>
    </row>
    <row r="7" spans="2:14">
      <c r="B7" s="36" t="s">
        <v>105</v>
      </c>
      <c r="C7" s="88">
        <v>1.6000973590098739E-19</v>
      </c>
      <c r="D7" s="89">
        <v>1.6000973590098739E-19</v>
      </c>
      <c r="E7" s="89">
        <v>1.6000973590098739E-19</v>
      </c>
      <c r="F7" s="89">
        <v>1.6000973590098739E-19</v>
      </c>
      <c r="G7" s="89">
        <v>1.6000973590098739E-19</v>
      </c>
      <c r="H7" s="89">
        <v>1.6000973590098739E-19</v>
      </c>
      <c r="I7" s="89">
        <v>1.6000973590098739E-19</v>
      </c>
      <c r="J7" s="89">
        <v>1.6000973590098739E-19</v>
      </c>
      <c r="K7" s="89">
        <v>1.6000973590098739E-19</v>
      </c>
      <c r="L7" s="89">
        <v>1.6000973590098739E-19</v>
      </c>
      <c r="M7" s="89">
        <v>1.6000973590098739E-19</v>
      </c>
      <c r="N7" s="89">
        <v>1.6000973590098739E-19</v>
      </c>
    </row>
    <row r="8" spans="2:14">
      <c r="B8" s="36" t="s">
        <v>106</v>
      </c>
      <c r="C8" s="88">
        <v>80</v>
      </c>
      <c r="D8" s="89">
        <v>150</v>
      </c>
      <c r="E8" s="89">
        <v>150</v>
      </c>
      <c r="F8" s="89">
        <v>150</v>
      </c>
      <c r="G8" s="89">
        <v>150</v>
      </c>
      <c r="H8" s="89">
        <v>150</v>
      </c>
      <c r="I8" s="89">
        <v>150</v>
      </c>
      <c r="J8" s="89">
        <v>150</v>
      </c>
      <c r="K8" s="89">
        <v>150</v>
      </c>
      <c r="L8" s="89">
        <v>150</v>
      </c>
      <c r="M8" s="89">
        <v>150</v>
      </c>
      <c r="N8" s="89">
        <v>150</v>
      </c>
    </row>
    <row r="9" spans="2:14">
      <c r="B9" s="36" t="s">
        <v>107</v>
      </c>
      <c r="C9" s="88">
        <v>817.22257048204995</v>
      </c>
      <c r="D9" s="89">
        <v>817.22257048204995</v>
      </c>
      <c r="E9" s="89">
        <v>817.22257048204995</v>
      </c>
      <c r="F9" s="89">
        <v>817.22257048204995</v>
      </c>
      <c r="G9" s="89">
        <v>817.22257048204995</v>
      </c>
      <c r="H9" s="89">
        <v>817.22257048204995</v>
      </c>
      <c r="I9" s="89">
        <v>817.22257048204995</v>
      </c>
      <c r="J9" s="89">
        <v>817.22257048204995</v>
      </c>
      <c r="K9" s="89">
        <v>817.22257048204995</v>
      </c>
      <c r="L9" s="89">
        <v>817.22257048204995</v>
      </c>
      <c r="M9" s="89">
        <v>817.22257048204995</v>
      </c>
      <c r="N9" s="89">
        <v>817.22257048204995</v>
      </c>
    </row>
    <row r="10" spans="2:14">
      <c r="B10" s="36" t="s">
        <v>108</v>
      </c>
      <c r="C10" s="88">
        <v>1.057453170178104E-19</v>
      </c>
      <c r="D10" s="89">
        <v>1.057453170178104E-19</v>
      </c>
      <c r="E10" s="89">
        <v>1.057453170178104E-19</v>
      </c>
      <c r="F10" s="89">
        <v>1.057453170178104E-19</v>
      </c>
      <c r="G10" s="89">
        <v>1.057453170178104E-19</v>
      </c>
      <c r="H10" s="89">
        <v>1.057453170178104E-19</v>
      </c>
      <c r="I10" s="89">
        <v>1.057453170178104E-19</v>
      </c>
      <c r="J10" s="89">
        <v>1.057453170178104E-19</v>
      </c>
      <c r="K10" s="89">
        <v>1.057453170178104E-19</v>
      </c>
      <c r="L10" s="89">
        <v>1.057453170178104E-19</v>
      </c>
      <c r="M10" s="89">
        <v>1.057453170178104E-19</v>
      </c>
      <c r="N10" s="89">
        <v>1.057453170178104E-19</v>
      </c>
    </row>
    <row r="11" spans="2:14">
      <c r="B11" s="37" t="s">
        <v>109</v>
      </c>
      <c r="C11" s="88">
        <v>8.1679311824908848E-20</v>
      </c>
      <c r="D11" s="89">
        <v>8.1679311824908848E-20</v>
      </c>
      <c r="E11" s="89">
        <v>8.1679311824908848E-20</v>
      </c>
      <c r="F11" s="89">
        <v>8.1679311824908848E-20</v>
      </c>
      <c r="G11" s="89">
        <v>8.1679311824908848E-20</v>
      </c>
      <c r="H11" s="89">
        <v>8.1679311824908848E-20</v>
      </c>
      <c r="I11" s="89">
        <v>8.1679311824908848E-20</v>
      </c>
      <c r="J11" s="89">
        <v>8.1679311824908848E-20</v>
      </c>
      <c r="K11" s="89">
        <v>8.1679311824908848E-20</v>
      </c>
      <c r="L11" s="89">
        <v>8.1679311824908848E-20</v>
      </c>
      <c r="M11" s="89">
        <v>8.1679311824908848E-20</v>
      </c>
      <c r="N11" s="89">
        <v>8.1679311824908848E-20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0.55569335073238002</v>
      </c>
      <c r="E17" s="90">
        <v>1</v>
      </c>
      <c r="F17" s="90">
        <v>0.77974667154230315</v>
      </c>
      <c r="G17" s="90">
        <v>0.8</v>
      </c>
      <c r="H17" s="90">
        <v>1.0037999923522265</v>
      </c>
      <c r="I17" s="29" t="s">
        <v>110</v>
      </c>
    </row>
    <row r="18" spans="2:33">
      <c r="B18" s="36" t="s">
        <v>105</v>
      </c>
      <c r="C18" s="91">
        <v>1.2</v>
      </c>
      <c r="D18" s="91">
        <v>0.64065100136784991</v>
      </c>
      <c r="E18" s="91">
        <v>1</v>
      </c>
      <c r="F18" s="91">
        <v>0.76842137865664806</v>
      </c>
      <c r="G18" s="91">
        <v>0.8</v>
      </c>
      <c r="H18" s="91">
        <v>0.89619175594544642</v>
      </c>
      <c r="I18" s="29" t="s">
        <v>110</v>
      </c>
    </row>
    <row r="19" spans="2:33">
      <c r="B19" s="36" t="s">
        <v>106</v>
      </c>
      <c r="C19" s="91">
        <v>1.2</v>
      </c>
      <c r="D19" s="91">
        <v>0.68216510209807391</v>
      </c>
      <c r="E19" s="91">
        <v>1</v>
      </c>
      <c r="F19" s="91">
        <v>0.83854181149438811</v>
      </c>
      <c r="G19" s="91">
        <v>0.8</v>
      </c>
      <c r="H19" s="91">
        <v>0.99491852089070221</v>
      </c>
      <c r="I19" s="29" t="s">
        <v>110</v>
      </c>
    </row>
    <row r="20" spans="2:33">
      <c r="B20" s="36" t="s">
        <v>107</v>
      </c>
      <c r="C20" s="91">
        <v>1.2</v>
      </c>
      <c r="D20" s="91">
        <v>0.64389008241292622</v>
      </c>
      <c r="E20" s="91">
        <v>1</v>
      </c>
      <c r="F20" s="91">
        <v>0.81638573486934207</v>
      </c>
      <c r="G20" s="91">
        <v>0.8</v>
      </c>
      <c r="H20" s="91">
        <v>0.98888138732575803</v>
      </c>
    </row>
    <row r="21" spans="2:33">
      <c r="B21" s="36" t="s">
        <v>108</v>
      </c>
      <c r="C21" s="91">
        <v>1.2</v>
      </c>
      <c r="D21" s="91">
        <v>0.69734374955425094</v>
      </c>
      <c r="E21" s="91">
        <v>1</v>
      </c>
      <c r="F21" s="91">
        <v>0.72432544366389795</v>
      </c>
      <c r="G21" s="91">
        <v>0.8</v>
      </c>
      <c r="H21" s="91">
        <v>0.75130713777354508</v>
      </c>
    </row>
    <row r="22" spans="2:33">
      <c r="B22" s="37" t="s">
        <v>109</v>
      </c>
      <c r="C22" s="91">
        <v>1.2</v>
      </c>
      <c r="D22" s="91">
        <v>0.69619110780715321</v>
      </c>
      <c r="E22" s="91">
        <v>1</v>
      </c>
      <c r="F22" s="91">
        <v>0.76044504960008541</v>
      </c>
      <c r="G22" s="91">
        <v>0.8</v>
      </c>
      <c r="H22" s="91">
        <v>0.82469899139301761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2019</v>
      </c>
      <c r="E28" s="49"/>
      <c r="F28" s="45">
        <f>basic_info!$D$5-4</f>
        <v>2020</v>
      </c>
      <c r="G28" s="49"/>
      <c r="H28" s="45">
        <f>basic_info!$D$5-3</f>
        <v>2021</v>
      </c>
      <c r="I28" s="49"/>
      <c r="J28" s="45">
        <f>basic_info!$D$5-2</f>
        <v>2022</v>
      </c>
      <c r="K28" s="49"/>
      <c r="L28" s="45">
        <f>basic_info!$D$5-1</f>
        <v>2023</v>
      </c>
      <c r="N28" s="45">
        <f>basic_info!$D$5</f>
        <v>2024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2024</v>
      </c>
      <c r="D30" s="44">
        <v>0.74555828573405758</v>
      </c>
      <c r="E30" s="35">
        <v>0.74555828573405758</v>
      </c>
      <c r="F30" s="47">
        <v>0.64461704818677901</v>
      </c>
      <c r="G30" s="46">
        <v>0.64461704818677901</v>
      </c>
      <c r="H30" s="47">
        <v>0.87899184604331659</v>
      </c>
      <c r="I30" s="46">
        <v>0.87899184604331659</v>
      </c>
      <c r="J30" s="47">
        <v>0.79466405801506501</v>
      </c>
      <c r="K30" s="46">
        <v>0.79466405801506501</v>
      </c>
      <c r="L30" s="47">
        <v>0.76811972479298318</v>
      </c>
      <c r="M30" s="46">
        <v>0.76811972479298318</v>
      </c>
      <c r="N30" s="60"/>
      <c r="O30" s="71" t="s">
        <v>162</v>
      </c>
      <c r="P30" s="41">
        <f>M30+K30+I30+E30+G30</f>
        <v>3.8319509627722015</v>
      </c>
      <c r="Q30" s="70"/>
    </row>
    <row r="31" spans="2:33">
      <c r="B31" s="36"/>
      <c r="C31" s="47">
        <f>basic_info!$D$5+1</f>
        <v>2025</v>
      </c>
      <c r="D31" s="76"/>
      <c r="E31" s="75"/>
      <c r="F31" s="69">
        <v>0.64994232899248594</v>
      </c>
      <c r="G31" s="79">
        <v>0.64994232899248594</v>
      </c>
      <c r="H31" s="61">
        <v>0.79960135907517904</v>
      </c>
      <c r="I31" s="62">
        <v>0.79960135907517904</v>
      </c>
      <c r="J31" s="61">
        <v>0.80975882421710899</v>
      </c>
      <c r="K31" s="62">
        <v>0.80975882421710899</v>
      </c>
      <c r="L31" s="61">
        <v>0.72057475068865573</v>
      </c>
      <c r="M31" s="62">
        <v>0.72057475068865573</v>
      </c>
      <c r="N31" s="63">
        <v>0.85838837956517655</v>
      </c>
      <c r="O31" s="89">
        <v>0.85838837956517655</v>
      </c>
      <c r="P31" s="63">
        <f>O31+M31+K31+I31+G31</f>
        <v>3.8382656425386061</v>
      </c>
    </row>
    <row r="32" spans="2:33">
      <c r="B32" s="36"/>
      <c r="C32" s="47">
        <f>basic_info!$D$5+2</f>
        <v>2026</v>
      </c>
      <c r="D32" s="76"/>
      <c r="E32" s="75"/>
      <c r="F32" s="75"/>
      <c r="G32" s="75"/>
      <c r="H32" s="69">
        <v>0.73880555482804788</v>
      </c>
      <c r="I32" s="79">
        <v>0.73880555482804788</v>
      </c>
      <c r="J32" s="61">
        <v>0.80660806339327296</v>
      </c>
      <c r="K32" s="62">
        <v>0.80660806339327296</v>
      </c>
      <c r="L32" s="61">
        <v>0.66770912421851791</v>
      </c>
      <c r="M32" s="62">
        <v>0.66770912421851791</v>
      </c>
      <c r="N32" s="63">
        <v>0.80424226781322339</v>
      </c>
      <c r="O32" s="89">
        <v>0.80424226781322339</v>
      </c>
      <c r="P32" s="63">
        <f>O32+M32+K32+I32</f>
        <v>3.0173650102530623</v>
      </c>
    </row>
    <row r="33" spans="2:17">
      <c r="B33" s="36"/>
      <c r="C33" s="47">
        <f>basic_info!$D$5+3</f>
        <v>2027</v>
      </c>
      <c r="D33" s="76"/>
      <c r="E33" s="75"/>
      <c r="F33" s="75"/>
      <c r="G33" s="75"/>
      <c r="H33" s="75"/>
      <c r="I33" s="75"/>
      <c r="J33" s="69">
        <v>0.76512732076942924</v>
      </c>
      <c r="K33" s="79">
        <v>0.76512732076942924</v>
      </c>
      <c r="L33" s="61">
        <v>0.65019748550057865</v>
      </c>
      <c r="M33" s="62">
        <v>0.65019748550057865</v>
      </c>
      <c r="N33" s="63">
        <v>0.78825317361714797</v>
      </c>
      <c r="O33" s="89">
        <v>0.78825317361714797</v>
      </c>
      <c r="P33" s="63">
        <f>O33+M33+K33</f>
        <v>2.203577979887156</v>
      </c>
    </row>
    <row r="34" spans="2:17">
      <c r="B34" s="36"/>
      <c r="C34" s="47">
        <f>basic_info!$D$5+4</f>
        <v>2028</v>
      </c>
      <c r="D34" s="76"/>
      <c r="E34" s="75"/>
      <c r="F34" s="75"/>
      <c r="G34" s="75"/>
      <c r="H34" s="75"/>
      <c r="I34" s="75"/>
      <c r="J34" s="75"/>
      <c r="K34" s="75"/>
      <c r="L34" s="69">
        <v>0.66023955697715286</v>
      </c>
      <c r="M34" s="79">
        <v>0.66023955697715286</v>
      </c>
      <c r="N34" s="63">
        <v>0.76028061435442029</v>
      </c>
      <c r="O34" s="89">
        <v>0.76028061435442029</v>
      </c>
      <c r="P34" s="63">
        <f>O34+M34</f>
        <v>1.4205201713315732</v>
      </c>
    </row>
    <row r="35" spans="2:17">
      <c r="B35" s="37"/>
      <c r="C35" s="72">
        <f>basic_info!$D$5+5</f>
        <v>2029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0.77380428089201447</v>
      </c>
      <c r="O35" s="89">
        <v>0.77380428089201447</v>
      </c>
      <c r="P35" s="65">
        <f>O35</f>
        <v>0.77380428089201447</v>
      </c>
    </row>
    <row r="36" spans="2:17">
      <c r="B36" s="41" t="s">
        <v>113</v>
      </c>
      <c r="C36" s="36">
        <f>basic_info!$D$5</f>
        <v>2024</v>
      </c>
      <c r="D36" s="44">
        <v>0.91845404595136637</v>
      </c>
      <c r="E36" s="35">
        <v>0.91845404595136637</v>
      </c>
      <c r="F36" s="73">
        <v>1.0508784733022103</v>
      </c>
      <c r="G36" s="74">
        <v>1.0508784733022103</v>
      </c>
      <c r="H36" s="73">
        <v>0.98950169448473901</v>
      </c>
      <c r="I36" s="74">
        <v>0.98950169448473901</v>
      </c>
      <c r="J36" s="73">
        <v>1.0747725428407104</v>
      </c>
      <c r="K36" s="74">
        <v>1.0747725428407104</v>
      </c>
      <c r="L36" s="66">
        <v>0.99252468488777346</v>
      </c>
      <c r="M36" s="67">
        <v>0.99252468488777346</v>
      </c>
      <c r="N36" s="68"/>
      <c r="O36" s="71" t="s">
        <v>162</v>
      </c>
      <c r="P36" s="41">
        <f>M36+K36+I36+E36+G36</f>
        <v>5.0261314414667995</v>
      </c>
      <c r="Q36" s="70"/>
    </row>
    <row r="37" spans="2:17">
      <c r="B37" s="36"/>
      <c r="C37" s="47">
        <f>basic_info!$D$5+1</f>
        <v>2025</v>
      </c>
      <c r="D37" s="76"/>
      <c r="E37" s="75"/>
      <c r="F37" s="69">
        <v>1.0247439911663534</v>
      </c>
      <c r="G37" s="79">
        <v>1.0247439911663534</v>
      </c>
      <c r="H37" s="61">
        <v>0.93453935364490526</v>
      </c>
      <c r="I37" s="62">
        <v>0.93453935364490526</v>
      </c>
      <c r="J37" s="61">
        <v>1.047211124819112</v>
      </c>
      <c r="K37" s="62">
        <v>1.047211124819112</v>
      </c>
      <c r="L37" s="61">
        <v>0.92187316482345938</v>
      </c>
      <c r="M37" s="62">
        <v>0.92187316482345938</v>
      </c>
      <c r="N37" s="61">
        <v>0.97206752932198937</v>
      </c>
      <c r="O37" s="89">
        <v>0.97206752932198937</v>
      </c>
      <c r="P37" s="63">
        <f>O37+M37+K37+I37+G37</f>
        <v>4.9004351637758194</v>
      </c>
    </row>
    <row r="38" spans="2:17">
      <c r="B38" s="36"/>
      <c r="C38" s="47">
        <f>basic_info!$D$5+2</f>
        <v>2026</v>
      </c>
      <c r="D38" s="76"/>
      <c r="E38" s="75"/>
      <c r="F38" s="75"/>
      <c r="G38" s="75"/>
      <c r="H38" s="69">
        <v>0.93520843183994296</v>
      </c>
      <c r="I38" s="79">
        <v>0.93520843183994296</v>
      </c>
      <c r="J38" s="61">
        <v>1.0352907467437555</v>
      </c>
      <c r="K38" s="62">
        <v>1.0352907467437555</v>
      </c>
      <c r="L38" s="61">
        <v>0.88683645767326402</v>
      </c>
      <c r="M38" s="62">
        <v>0.88683645767326402</v>
      </c>
      <c r="N38" s="61">
        <v>0.95481203910000689</v>
      </c>
      <c r="O38" s="89">
        <v>0.95481203910000689</v>
      </c>
      <c r="P38" s="63">
        <f>O38+M38+K38+I38</f>
        <v>3.812147675356969</v>
      </c>
    </row>
    <row r="39" spans="2:17">
      <c r="B39" s="36"/>
      <c r="C39" s="47">
        <f>basic_info!$D$5+3</f>
        <v>2027</v>
      </c>
      <c r="D39" s="76"/>
      <c r="E39" s="75"/>
      <c r="F39" s="75"/>
      <c r="G39" s="75"/>
      <c r="H39" s="75"/>
      <c r="I39" s="75"/>
      <c r="J39" s="69">
        <v>1.0053375317752362</v>
      </c>
      <c r="K39" s="79">
        <v>1.0053375317752362</v>
      </c>
      <c r="L39" s="61">
        <v>0.87530734595100446</v>
      </c>
      <c r="M39" s="62">
        <v>0.87530734595100446</v>
      </c>
      <c r="N39" s="61">
        <v>0.97417948833143708</v>
      </c>
      <c r="O39" s="89">
        <v>0.97417948833143708</v>
      </c>
      <c r="P39" s="63">
        <f>O39+M39+K39</f>
        <v>2.8548243660576778</v>
      </c>
    </row>
    <row r="40" spans="2:17">
      <c r="B40" s="36"/>
      <c r="C40" s="47">
        <f>basic_info!$D$5+4</f>
        <v>2028</v>
      </c>
      <c r="D40" s="76"/>
      <c r="E40" s="75"/>
      <c r="F40" s="75"/>
      <c r="G40" s="75"/>
      <c r="H40" s="75"/>
      <c r="I40" s="75"/>
      <c r="J40" s="75"/>
      <c r="K40" s="75"/>
      <c r="L40" s="69">
        <v>0.87304416900873183</v>
      </c>
      <c r="M40" s="79">
        <v>0.87304416900873183</v>
      </c>
      <c r="N40" s="61">
        <v>0.95442559833887075</v>
      </c>
      <c r="O40" s="89">
        <v>0.95442559833887075</v>
      </c>
      <c r="P40" s="63">
        <f>O40+M40</f>
        <v>1.8274697673476026</v>
      </c>
    </row>
    <row r="41" spans="2:17">
      <c r="B41" s="37"/>
      <c r="C41" s="72">
        <f>basic_info!$D$5+5</f>
        <v>2029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0.88631273952126499</v>
      </c>
      <c r="O41" s="89">
        <v>0.88631273952126499</v>
      </c>
      <c r="P41" s="64">
        <f>O41</f>
        <v>0.88631273952126499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8.3333333333333357</v>
      </c>
      <c r="D48" s="92">
        <v>8.3333333333333357</v>
      </c>
      <c r="E48" s="92">
        <v>8.3333333333333357</v>
      </c>
      <c r="F48" s="92">
        <v>8.3333333333333357</v>
      </c>
      <c r="G48" s="92">
        <v>8.3333333333333357</v>
      </c>
      <c r="H48" s="92">
        <v>8.3333333333333357</v>
      </c>
      <c r="I48" s="92">
        <v>8.3333333333333357</v>
      </c>
      <c r="J48" s="92">
        <v>8.3333333333333357</v>
      </c>
      <c r="K48" s="92">
        <v>8.3333333333333357</v>
      </c>
      <c r="L48" s="92">
        <v>8.3333333333333357</v>
      </c>
      <c r="M48" s="92">
        <v>8.3333333333333357</v>
      </c>
      <c r="N48" s="92">
        <v>8.3333333333333357</v>
      </c>
      <c r="O48" s="33">
        <f>SUM(C48:N48)</f>
        <v>100.00000000000006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1.3548176078242224E-21</v>
      </c>
      <c r="D6" s="93">
        <v>59.709698562336229</v>
      </c>
      <c r="E6" s="93">
        <v>1.9688584506789432E-22</v>
      </c>
      <c r="F6" s="93">
        <v>0</v>
      </c>
      <c r="G6" s="93">
        <v>40.290301437663771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38.502608046235743</v>
      </c>
      <c r="D7" s="93">
        <v>61.497391953764257</v>
      </c>
      <c r="E7" s="93">
        <v>0</v>
      </c>
      <c r="F7" s="93">
        <v>0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3.4213022883051908E-20</v>
      </c>
      <c r="D8" s="93">
        <v>5.2770757860799285E-20</v>
      </c>
      <c r="E8" s="93">
        <v>100.00000000000001</v>
      </c>
      <c r="F8" s="93">
        <v>0</v>
      </c>
      <c r="G8" s="93">
        <v>0</v>
      </c>
      <c r="H8" s="97">
        <f>SUM($C$8:$G$8)</f>
        <v>100.00000000000001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73.41941126834989</v>
      </c>
      <c r="D9" s="93">
        <v>7.2982841739120826E-21</v>
      </c>
      <c r="E9" s="93">
        <v>2.8201529976092218E-21</v>
      </c>
      <c r="F9" s="93">
        <v>26.580588731650113</v>
      </c>
      <c r="G9" s="93">
        <v>0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40.148128335033029</v>
      </c>
      <c r="D10" s="93">
        <v>55.121487902608308</v>
      </c>
      <c r="E10" s="93">
        <v>4.7303837623586755</v>
      </c>
      <c r="F10" s="93">
        <v>0</v>
      </c>
      <c r="G10" s="93">
        <v>0</v>
      </c>
      <c r="H10" s="97">
        <f>SUM($C$10:$G$10)</f>
        <v>100.00000000000001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17.797308701975524</v>
      </c>
      <c r="D11" s="94">
        <v>68.749297385610916</v>
      </c>
      <c r="E11" s="94">
        <v>2.7675377809959816</v>
      </c>
      <c r="F11" s="94">
        <v>0</v>
      </c>
      <c r="G11" s="94">
        <v>10.685856131417587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44.33992055887547</v>
      </c>
      <c r="D19" s="44">
        <f>100-$C$19</f>
        <v>55.66007944112453</v>
      </c>
      <c r="E19" s="94">
        <v>42.709880236632785</v>
      </c>
      <c r="F19" s="33">
        <f>100-$E$19</f>
        <v>57.290119763367215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14.579112003591343</v>
      </c>
      <c r="D27" s="93">
        <v>42.770236899801183</v>
      </c>
      <c r="E27" s="93">
        <v>35.331847010660681</v>
      </c>
      <c r="F27" s="93">
        <v>8.48525053541535</v>
      </c>
      <c r="G27" s="95">
        <v>6.7987611100999468</v>
      </c>
      <c r="N27" s="50"/>
      <c r="O27" s="50"/>
      <c r="P27" s="50"/>
    </row>
    <row r="28" spans="2:16">
      <c r="B28" s="45" t="s">
        <v>46</v>
      </c>
      <c r="C28" s="93">
        <v>17.633596437640897</v>
      </c>
      <c r="D28" s="93">
        <v>57.229763100198831</v>
      </c>
      <c r="E28" s="93">
        <v>64.668152989339333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67.787291558767762</v>
      </c>
      <c r="D29" s="93">
        <v>0</v>
      </c>
      <c r="E29" s="93">
        <v>0</v>
      </c>
      <c r="F29" s="93">
        <v>91.514749464584654</v>
      </c>
      <c r="G29" s="95">
        <v>93.201238889900054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100.00000000000001</v>
      </c>
      <c r="E30" s="98">
        <f>SUM($E$27:$E$29)</f>
        <v>100.00000000000001</v>
      </c>
      <c r="F30" s="98">
        <f>SUM($F$27:$F$29)</f>
        <v>100</v>
      </c>
      <c r="G30" s="96">
        <f>SUM($G$27:$G$29)</f>
        <v>100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40.17522728785773</v>
      </c>
      <c r="D37" s="93">
        <v>40.17522728785773</v>
      </c>
      <c r="E37" s="93">
        <v>40.17522728785773</v>
      </c>
      <c r="F37" s="93">
        <v>40.17522728785773</v>
      </c>
      <c r="G37" s="93">
        <v>40.17522728785773</v>
      </c>
      <c r="H37" s="93">
        <v>40.17522728785773</v>
      </c>
      <c r="I37" s="93">
        <v>40.17522728785773</v>
      </c>
      <c r="J37" s="93">
        <v>40.17522728785773</v>
      </c>
      <c r="K37" s="93">
        <v>40.17522728785773</v>
      </c>
      <c r="L37" s="93">
        <v>40.17522728785773</v>
      </c>
      <c r="M37" s="93">
        <v>40.17522728785773</v>
      </c>
      <c r="N37" s="95">
        <v>40.17522728785773</v>
      </c>
    </row>
    <row r="38" spans="2:14">
      <c r="B38" s="45" t="s">
        <v>46</v>
      </c>
      <c r="C38" s="93">
        <v>40.507190466766311</v>
      </c>
      <c r="D38" s="93">
        <v>40.507190466766311</v>
      </c>
      <c r="E38" s="93">
        <v>40.507190466766311</v>
      </c>
      <c r="F38" s="93">
        <v>40.507190466766311</v>
      </c>
      <c r="G38" s="93">
        <v>40.507190466766311</v>
      </c>
      <c r="H38" s="93">
        <v>40.507190466766311</v>
      </c>
      <c r="I38" s="93">
        <v>40.507190466766311</v>
      </c>
      <c r="J38" s="93">
        <v>40.507190466766311</v>
      </c>
      <c r="K38" s="93">
        <v>40.507190466766311</v>
      </c>
      <c r="L38" s="93">
        <v>40.507190466766311</v>
      </c>
      <c r="M38" s="93">
        <v>40.507190466766311</v>
      </c>
      <c r="N38" s="95">
        <v>40.507190466766311</v>
      </c>
    </row>
    <row r="39" spans="2:14">
      <c r="B39" s="45" t="s">
        <v>59</v>
      </c>
      <c r="C39" s="94">
        <v>43.664799200775917</v>
      </c>
      <c r="D39" s="94">
        <v>43.664799200775917</v>
      </c>
      <c r="E39" s="94">
        <v>43.664799200775917</v>
      </c>
      <c r="F39" s="94">
        <v>43.664799200775917</v>
      </c>
      <c r="G39" s="94">
        <v>43.664799200775917</v>
      </c>
      <c r="H39" s="94">
        <v>43.664799200775917</v>
      </c>
      <c r="I39" s="94">
        <v>43.664799200775917</v>
      </c>
      <c r="J39" s="94">
        <v>43.664799200775917</v>
      </c>
      <c r="K39" s="94">
        <v>43.664799200775917</v>
      </c>
      <c r="L39" s="94">
        <v>43.664799200775917</v>
      </c>
      <c r="M39" s="94">
        <v>43.664799200775917</v>
      </c>
      <c r="N39" s="89">
        <v>43.664799200775917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63296.864966090965</v>
      </c>
      <c r="L7" s="182"/>
      <c r="M7" s="182" t="s">
        <v>356</v>
      </c>
      <c r="S7" s="187">
        <f>SUM(ORA!$D$127:$O$127)</f>
        <v>271651216.81202632</v>
      </c>
    </row>
    <row r="8" spans="1:20">
      <c r="A8" s="182"/>
      <c r="B8" s="182" t="s">
        <v>357</v>
      </c>
      <c r="G8" s="185"/>
      <c r="H8" s="188">
        <f>SUM(POJ!$D$116:$O$116)</f>
        <v>44616.734890433567</v>
      </c>
      <c r="L8" s="182"/>
      <c r="M8" s="182" t="s">
        <v>357</v>
      </c>
      <c r="S8" s="189">
        <f>SUM(POJ!$D$127:$O$127)</f>
        <v>312317144.23303491</v>
      </c>
    </row>
    <row r="9" spans="1:20">
      <c r="A9" s="182"/>
      <c r="B9" s="182" t="s">
        <v>358</v>
      </c>
      <c r="G9" s="185"/>
      <c r="H9" s="188">
        <f>SUM(ROJ!$D$116:$O$116)</f>
        <v>29838.312161721646</v>
      </c>
      <c r="L9" s="182"/>
      <c r="M9" s="182" t="s">
        <v>358</v>
      </c>
      <c r="S9" s="189">
        <f>SUM(ROJ!$D$127:$O$127)</f>
        <v>226771172.42908445</v>
      </c>
    </row>
    <row r="10" spans="1:20">
      <c r="A10" s="182"/>
      <c r="B10" s="182" t="s">
        <v>359</v>
      </c>
      <c r="G10" s="185"/>
      <c r="H10" s="190">
        <f>SUM(FCOJ!$D$116:$O$116)</f>
        <v>30393.380294842435</v>
      </c>
      <c r="L10" s="182"/>
      <c r="M10" s="182" t="s">
        <v>359</v>
      </c>
      <c r="S10" s="191">
        <f>SUM(FCOJ!$D$127:$O$127)</f>
        <v>152346271.74823195</v>
      </c>
    </row>
    <row r="11" spans="1:20">
      <c r="A11" s="182"/>
      <c r="B11" s="182"/>
      <c r="G11" s="185"/>
      <c r="M11" s="182" t="s">
        <v>360</v>
      </c>
      <c r="T11" s="192">
        <f>SUM($S$7:$S$10)</f>
        <v>963085805.22237754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170776.47465715412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3.8319509627722015</v>
      </c>
      <c r="L14" s="182"/>
      <c r="M14" s="182" t="s">
        <v>365</v>
      </c>
      <c r="S14" s="187">
        <f>SUM(grove!$C$58:$AX$63)</f>
        <v>234836772.06924084</v>
      </c>
    </row>
    <row r="15" spans="1:20">
      <c r="A15" s="182"/>
      <c r="B15" s="182" t="s">
        <v>366</v>
      </c>
      <c r="G15" s="185"/>
      <c r="H15" s="190">
        <f>raw_materials!$P$36</f>
        <v>5.0261314414667995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5931.0276767347987</v>
      </c>
    </row>
    <row r="16" spans="1:20">
      <c r="A16" s="182"/>
      <c r="B16" s="182" t="s">
        <v>368</v>
      </c>
      <c r="G16" s="185"/>
      <c r="H16" s="194">
        <v>44451.507015991469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10134.516545036899</v>
      </c>
    </row>
    <row r="17" spans="1:21">
      <c r="A17" s="182"/>
      <c r="B17" s="182" t="s">
        <v>370</v>
      </c>
      <c r="G17" s="185"/>
      <c r="H17" s="195">
        <v>58550.035955760322</v>
      </c>
      <c r="L17" s="182"/>
      <c r="M17" s="182" t="s">
        <v>371</v>
      </c>
      <c r="S17" s="189">
        <v>32452379.940601859</v>
      </c>
    </row>
    <row r="18" spans="1:21">
      <c r="A18" s="182"/>
      <c r="B18" s="182" t="s">
        <v>372</v>
      </c>
      <c r="G18" s="185"/>
      <c r="H18" s="196">
        <v>27690.773500638177</v>
      </c>
      <c r="L18" s="182"/>
      <c r="M18" s="182" t="s">
        <v>373</v>
      </c>
      <c r="S18" s="191">
        <v>1598.760762705971</v>
      </c>
    </row>
    <row r="19" spans="1:21">
      <c r="A19" s="182"/>
      <c r="B19" s="182" t="s">
        <v>374</v>
      </c>
      <c r="G19" s="185"/>
      <c r="H19" s="195">
        <v>4272.1080591994469</v>
      </c>
      <c r="L19" s="182"/>
      <c r="M19" s="182" t="s">
        <v>375</v>
      </c>
      <c r="S19" s="197" t="s">
        <v>376</v>
      </c>
      <c r="T19" s="198">
        <f>SUM($S$14:$S$18)</f>
        <v>267306816.31482714</v>
      </c>
      <c r="U19" s="100" t="s">
        <v>377</v>
      </c>
    </row>
    <row r="20" spans="1:21">
      <c r="A20" s="182"/>
      <c r="B20" s="182" t="s">
        <v>378</v>
      </c>
      <c r="G20" s="185"/>
      <c r="H20" s="190">
        <v>953.6332627343387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88903014.031982988</v>
      </c>
    </row>
    <row r="23" spans="1:21">
      <c r="A23" s="182"/>
      <c r="B23" s="182" t="s">
        <v>382</v>
      </c>
      <c r="G23" s="185"/>
      <c r="H23" s="186">
        <f>SUM(raw_materials!$O$31:$O$35)</f>
        <v>3.9849687162419825</v>
      </c>
      <c r="L23" s="182"/>
      <c r="M23" s="182" t="s">
        <v>383</v>
      </c>
      <c r="S23" s="189">
        <v>58550035.95576036</v>
      </c>
    </row>
    <row r="24" spans="1:21">
      <c r="A24" s="182"/>
      <c r="B24" s="182" t="s">
        <v>384</v>
      </c>
      <c r="G24" s="185"/>
      <c r="H24" s="190">
        <f>SUM(raw_materials!$O$37:$O$41)</f>
        <v>4.7417973946135685</v>
      </c>
      <c r="L24" s="182"/>
      <c r="M24" s="182" t="s">
        <v>385</v>
      </c>
      <c r="S24" s="191">
        <v>17999002.775414821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165452052.76315817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15688440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28173947.230936129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0</v>
      </c>
      <c r="L30" s="182"/>
      <c r="M30" s="182" t="s">
        <v>395</v>
      </c>
      <c r="S30" s="189">
        <v>7081678.9610262662</v>
      </c>
    </row>
    <row r="31" spans="1:21">
      <c r="L31" s="182"/>
      <c r="M31" s="182" t="s">
        <v>396</v>
      </c>
      <c r="S31" s="191">
        <f>SUM(ORA!D138:O138)+SUM(POJ!D138:O138)+SUM(ROJ!D138:O138)+SUM(FCOJ!D138:O138)</f>
        <v>114533333.61213082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165477399.80409321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28415000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0</v>
      </c>
    </row>
    <row r="41" spans="1:21">
      <c r="L41" s="182"/>
      <c r="M41" s="182" t="s">
        <v>409</v>
      </c>
      <c r="S41" s="189">
        <v>9040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54896540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309952996.34029889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0.74413950200248502</v>
      </c>
      <c r="D5" s="100">
        <v>0.61205597308308279</v>
      </c>
      <c r="E5" s="100">
        <v>0.67606238504315286</v>
      </c>
      <c r="F5" s="100">
        <v>0.68431514747882849</v>
      </c>
      <c r="G5" s="100">
        <v>0.78809065374038179</v>
      </c>
      <c r="H5" s="100">
        <v>0.69900121305804397</v>
      </c>
      <c r="I5" s="100">
        <v>0.724083165202554</v>
      </c>
      <c r="J5" s="100">
        <v>0.68912747395559959</v>
      </c>
      <c r="K5" s="100">
        <v>0.59517900689347758</v>
      </c>
      <c r="L5" s="100">
        <v>0.54793119848075356</v>
      </c>
      <c r="M5" s="100">
        <v>0.74856950824221236</v>
      </c>
      <c r="N5" s="100">
        <v>0.65066038059915277</v>
      </c>
    </row>
    <row r="6" spans="2:14">
      <c r="B6" s="171" t="s">
        <v>105</v>
      </c>
      <c r="C6" s="100">
        <v>0.65410370120696448</v>
      </c>
      <c r="D6" s="100">
        <v>0.96770098725696507</v>
      </c>
      <c r="E6" s="100">
        <v>0.65209686679517276</v>
      </c>
      <c r="F6" s="100">
        <v>0.67759840155264028</v>
      </c>
      <c r="G6" s="100">
        <v>0.71967719706508915</v>
      </c>
      <c r="H6" s="100">
        <v>0.79657096029498409</v>
      </c>
      <c r="I6" s="100">
        <v>0.68461631212784635</v>
      </c>
      <c r="J6" s="100">
        <v>0.69240204360691215</v>
      </c>
      <c r="K6" s="100">
        <v>0.68901784432246593</v>
      </c>
      <c r="L6" s="100">
        <v>0.61024963776051011</v>
      </c>
      <c r="M6" s="100">
        <v>0.6520360811549365</v>
      </c>
      <c r="N6" s="100">
        <v>0.75439843200319834</v>
      </c>
    </row>
    <row r="7" spans="2:14">
      <c r="B7" s="171" t="s">
        <v>106</v>
      </c>
      <c r="C7" s="100">
        <v>0.730341241519885</v>
      </c>
      <c r="D7" s="100">
        <v>0.66543430846032992</v>
      </c>
      <c r="E7" s="100">
        <v>0.71233600487431703</v>
      </c>
      <c r="F7" s="100">
        <v>0.7814015920956614</v>
      </c>
      <c r="G7" s="100">
        <v>0.81403418722372067</v>
      </c>
      <c r="H7" s="100">
        <v>0.93744269695372484</v>
      </c>
      <c r="I7" s="100">
        <v>1.1000000000000001</v>
      </c>
      <c r="J7" s="100">
        <v>0.76580096265635733</v>
      </c>
      <c r="K7" s="100">
        <v>0.64505321074774702</v>
      </c>
      <c r="L7" s="100">
        <v>0.7005610175763719</v>
      </c>
      <c r="M7" s="100">
        <v>0.65903061020487874</v>
      </c>
      <c r="N7" s="100">
        <v>0.68805226065435987</v>
      </c>
    </row>
    <row r="8" spans="2:14">
      <c r="B8" s="171" t="s">
        <v>107</v>
      </c>
      <c r="C8" s="100">
        <v>0.74799661804481399</v>
      </c>
      <c r="D8" s="100">
        <v>0.69994211509660109</v>
      </c>
      <c r="E8" s="100">
        <v>0.73587353682571544</v>
      </c>
      <c r="F8" s="100">
        <v>0.71933464720142204</v>
      </c>
      <c r="G8" s="100">
        <v>0.69778376035459866</v>
      </c>
      <c r="H8" s="100">
        <v>0.74292146112677349</v>
      </c>
      <c r="I8" s="100">
        <v>0.68226317191859709</v>
      </c>
      <c r="J8" s="100">
        <v>0.7362956865819591</v>
      </c>
      <c r="K8" s="100">
        <v>0.6729810755213641</v>
      </c>
      <c r="L8" s="100">
        <v>0.67157815605212434</v>
      </c>
      <c r="M8" s="100">
        <v>0.70736393382910012</v>
      </c>
      <c r="N8" s="100">
        <v>0.79860191098390332</v>
      </c>
    </row>
    <row r="9" spans="2:14">
      <c r="B9" s="171" t="s">
        <v>108</v>
      </c>
      <c r="C9" s="100">
        <v>2.0505729353427888</v>
      </c>
      <c r="D9" s="100">
        <v>2.0946818923950197</v>
      </c>
      <c r="E9" s="100">
        <v>2.0372512614727021</v>
      </c>
      <c r="F9" s="100">
        <v>2.0786044335365297</v>
      </c>
      <c r="G9" s="100">
        <v>2.066111079454422</v>
      </c>
      <c r="H9" s="100">
        <v>2.0126426553726198</v>
      </c>
      <c r="I9" s="100">
        <v>2.0146433866024016</v>
      </c>
      <c r="J9" s="100">
        <v>2.0776048159599303</v>
      </c>
      <c r="K9" s="100">
        <v>2.1005796587467196</v>
      </c>
      <c r="L9" s="100">
        <v>2.0398277378082277</v>
      </c>
      <c r="M9" s="100">
        <v>2.0663156783580781</v>
      </c>
      <c r="N9" s="100">
        <v>2.0479053235054017</v>
      </c>
    </row>
    <row r="10" spans="2:14">
      <c r="B10" s="171" t="s">
        <v>109</v>
      </c>
      <c r="C10" s="100">
        <v>0.62872598767280585</v>
      </c>
      <c r="D10" s="100">
        <v>0.69324519634246828</v>
      </c>
      <c r="E10" s="100">
        <v>0.65749396681785588</v>
      </c>
      <c r="F10" s="100">
        <v>0.68507846593856814</v>
      </c>
      <c r="G10" s="100">
        <v>0.66008253693580632</v>
      </c>
      <c r="H10" s="100">
        <v>0.60554761886596686</v>
      </c>
      <c r="I10" s="100">
        <v>0.6264704883098603</v>
      </c>
      <c r="J10" s="100">
        <v>0.685497534275055</v>
      </c>
      <c r="K10" s="100">
        <v>0.66177943348884583</v>
      </c>
      <c r="L10" s="100">
        <v>0.61659462451934821</v>
      </c>
      <c r="M10" s="100">
        <v>0.66991638541221621</v>
      </c>
      <c r="N10" s="100">
        <v>0.65039910078048713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0.32624724736974758</v>
      </c>
      <c r="D14" s="101">
        <v>0.32745823591528017</v>
      </c>
      <c r="E14" s="101">
        <v>0.32866581696031938</v>
      </c>
      <c r="F14" s="101">
        <v>0.32986659259245554</v>
      </c>
      <c r="G14" s="101">
        <v>0.33105718404846735</v>
      </c>
      <c r="H14" s="100">
        <v>0.33223424122154438</v>
      </c>
      <c r="I14" s="100">
        <v>0.33339445208787533</v>
      </c>
      <c r="J14" s="100">
        <v>0.33453455202607785</v>
      </c>
      <c r="K14" s="100">
        <v>0.33565133300324679</v>
      </c>
      <c r="L14" s="100">
        <v>0.33674165260177213</v>
      </c>
      <c r="M14" s="100">
        <v>0.33780244286152866</v>
      </c>
      <c r="N14" s="100">
        <v>0.33883071891255473</v>
      </c>
    </row>
    <row r="15" spans="2:14">
      <c r="B15" s="170" t="s">
        <v>318</v>
      </c>
      <c r="C15" s="100">
        <v>1.0183569035164881</v>
      </c>
      <c r="D15" s="100">
        <v>1.0210569121654167</v>
      </c>
      <c r="E15" s="100">
        <v>1.0237493234833575</v>
      </c>
      <c r="F15" s="100">
        <v>1.0264265615168224</v>
      </c>
      <c r="G15" s="100">
        <v>1.029081093007175</v>
      </c>
      <c r="H15" s="100">
        <v>1.0317054485878414</v>
      </c>
      <c r="I15" s="100">
        <v>1.0342922438017441</v>
      </c>
      <c r="J15" s="100">
        <v>1.0368341998798143</v>
      </c>
      <c r="K15" s="100">
        <v>1.0393241642221185</v>
      </c>
      <c r="L15" s="100">
        <v>1.0417551305239678</v>
      </c>
      <c r="M15" s="100">
        <v>1.0441202584903784</v>
      </c>
      <c r="N15" s="100">
        <v>1.0464128930834129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0.74413950200248502</v>
      </c>
      <c r="D19" s="100">
        <f t="shared" ref="D19:N20" si="0">D5</f>
        <v>0.61205597308308279</v>
      </c>
      <c r="E19" s="100">
        <f t="shared" si="0"/>
        <v>0.67606238504315286</v>
      </c>
      <c r="F19" s="100">
        <f t="shared" si="0"/>
        <v>0.68431514747882849</v>
      </c>
      <c r="G19" s="100">
        <f t="shared" si="0"/>
        <v>0.78809065374038179</v>
      </c>
      <c r="H19" s="100">
        <f t="shared" si="0"/>
        <v>0.69900121305804397</v>
      </c>
      <c r="I19" s="100">
        <f t="shared" si="0"/>
        <v>0.724083165202554</v>
      </c>
      <c r="J19" s="100">
        <f t="shared" si="0"/>
        <v>0.68912747395559959</v>
      </c>
      <c r="K19" s="100">
        <f t="shared" si="0"/>
        <v>0.59517900689347758</v>
      </c>
      <c r="L19" s="100">
        <f t="shared" si="0"/>
        <v>0.54793119848075356</v>
      </c>
      <c r="M19" s="100">
        <f t="shared" si="0"/>
        <v>0.74856950824221236</v>
      </c>
      <c r="N19" s="100">
        <f t="shared" si="0"/>
        <v>0.65066038059915277</v>
      </c>
    </row>
    <row r="20" spans="2:14">
      <c r="B20" s="173" t="s">
        <v>105</v>
      </c>
      <c r="C20" s="100">
        <f>C6</f>
        <v>0.65410370120696448</v>
      </c>
      <c r="D20" s="100">
        <f t="shared" si="0"/>
        <v>0.96770098725696507</v>
      </c>
      <c r="E20" s="100">
        <f t="shared" si="0"/>
        <v>0.65209686679517276</v>
      </c>
      <c r="F20" s="100">
        <f t="shared" si="0"/>
        <v>0.67759840155264028</v>
      </c>
      <c r="G20" s="100">
        <f t="shared" si="0"/>
        <v>0.71967719706508915</v>
      </c>
      <c r="H20" s="100">
        <f t="shared" si="0"/>
        <v>0.79657096029498409</v>
      </c>
      <c r="I20" s="100">
        <f t="shared" si="0"/>
        <v>0.68461631212784635</v>
      </c>
      <c r="J20" s="100">
        <f t="shared" si="0"/>
        <v>0.69240204360691215</v>
      </c>
      <c r="K20" s="100">
        <f t="shared" si="0"/>
        <v>0.68901784432246593</v>
      </c>
      <c r="L20" s="100">
        <f t="shared" si="0"/>
        <v>0.61024963776051011</v>
      </c>
      <c r="M20" s="100">
        <f t="shared" si="0"/>
        <v>0.6520360811549365</v>
      </c>
      <c r="N20" s="100">
        <f t="shared" si="0"/>
        <v>0.75439843200319834</v>
      </c>
    </row>
    <row r="21" spans="2:14">
      <c r="B21" s="173" t="s">
        <v>106</v>
      </c>
      <c r="C21" s="100">
        <f t="shared" ref="C21:N22" si="1">C7</f>
        <v>0.730341241519885</v>
      </c>
      <c r="D21" s="100">
        <f t="shared" si="1"/>
        <v>0.66543430846032992</v>
      </c>
      <c r="E21" s="100">
        <f t="shared" si="1"/>
        <v>0.71233600487431703</v>
      </c>
      <c r="F21" s="100">
        <f t="shared" si="1"/>
        <v>0.7814015920956614</v>
      </c>
      <c r="G21" s="100">
        <f t="shared" si="1"/>
        <v>0.81403418722372067</v>
      </c>
      <c r="H21" s="100">
        <f t="shared" si="1"/>
        <v>0.93744269695372484</v>
      </c>
      <c r="I21" s="100">
        <f t="shared" si="1"/>
        <v>1.1000000000000001</v>
      </c>
      <c r="J21" s="100">
        <f t="shared" si="1"/>
        <v>0.76580096265635733</v>
      </c>
      <c r="K21" s="100">
        <f t="shared" si="1"/>
        <v>0.64505321074774702</v>
      </c>
      <c r="L21" s="100">
        <f t="shared" si="1"/>
        <v>0.7005610175763719</v>
      </c>
      <c r="M21" s="100">
        <f t="shared" si="1"/>
        <v>0.65903061020487874</v>
      </c>
      <c r="N21" s="100">
        <f t="shared" si="1"/>
        <v>0.68805226065435987</v>
      </c>
    </row>
    <row r="22" spans="2:14">
      <c r="B22" s="173" t="s">
        <v>107</v>
      </c>
      <c r="C22" s="100">
        <f t="shared" si="1"/>
        <v>0.74799661804481399</v>
      </c>
      <c r="D22" s="100">
        <f t="shared" si="1"/>
        <v>0.69994211509660109</v>
      </c>
      <c r="E22" s="100">
        <f t="shared" si="1"/>
        <v>0.73587353682571544</v>
      </c>
      <c r="F22" s="100">
        <f t="shared" si="1"/>
        <v>0.71933464720142204</v>
      </c>
      <c r="G22" s="100">
        <f t="shared" si="1"/>
        <v>0.69778376035459866</v>
      </c>
      <c r="H22" s="100">
        <f t="shared" si="1"/>
        <v>0.74292146112677349</v>
      </c>
      <c r="I22" s="100">
        <f t="shared" si="1"/>
        <v>0.68226317191859709</v>
      </c>
      <c r="J22" s="100">
        <f t="shared" si="1"/>
        <v>0.7362956865819591</v>
      </c>
      <c r="K22" s="100">
        <f t="shared" si="1"/>
        <v>0.6729810755213641</v>
      </c>
      <c r="L22" s="100">
        <f t="shared" si="1"/>
        <v>0.67157815605212434</v>
      </c>
      <c r="M22" s="100">
        <f t="shared" si="1"/>
        <v>0.70736393382910012</v>
      </c>
      <c r="N22" s="100">
        <f t="shared" si="1"/>
        <v>0.79860191098390332</v>
      </c>
    </row>
    <row r="23" spans="2:14">
      <c r="B23" s="173" t="s">
        <v>108</v>
      </c>
      <c r="C23" s="100">
        <f>C9*C14</f>
        <v>0.66899377568648821</v>
      </c>
      <c r="D23" s="100">
        <f t="shared" ref="D23:N24" si="2">D9*D14</f>
        <v>0.68592083728735387</v>
      </c>
      <c r="E23" s="100">
        <f t="shared" si="2"/>
        <v>0.66957485020536689</v>
      </c>
      <c r="F23" s="100">
        <f t="shared" si="2"/>
        <v>0.68566216183826623</v>
      </c>
      <c r="G23" s="100">
        <f t="shared" si="2"/>
        <v>0.68400091589552015</v>
      </c>
      <c r="H23" s="100">
        <f t="shared" si="2"/>
        <v>0.66866880545783658</v>
      </c>
      <c r="I23" s="100">
        <f t="shared" si="2"/>
        <v>0.67167092802876927</v>
      </c>
      <c r="J23" s="100">
        <f t="shared" si="2"/>
        <v>0.69503059639437714</v>
      </c>
      <c r="K23" s="100">
        <f t="shared" si="2"/>
        <v>0.70506236253784171</v>
      </c>
      <c r="L23" s="100">
        <f t="shared" si="2"/>
        <v>0.68689496345247691</v>
      </c>
      <c r="M23" s="100">
        <f t="shared" si="2"/>
        <v>0.69800648387243547</v>
      </c>
      <c r="N23" s="100">
        <f t="shared" si="2"/>
        <v>0.69389323302818318</v>
      </c>
    </row>
    <row r="24" spans="2:14">
      <c r="B24" s="173" t="s">
        <v>109</v>
      </c>
      <c r="C24" s="100">
        <f>C10*C15</f>
        <v>0.64026744996682428</v>
      </c>
      <c r="D24" s="100">
        <f t="shared" si="2"/>
        <v>0.70784279955094875</v>
      </c>
      <c r="E24" s="100">
        <f t="shared" si="2"/>
        <v>0.67310900372416904</v>
      </c>
      <c r="F24" s="100">
        <f t="shared" si="2"/>
        <v>0.70318273416254407</v>
      </c>
      <c r="G24" s="100">
        <f t="shared" si="2"/>
        <v>0.67927845858484848</v>
      </c>
      <c r="H24" s="100">
        <f t="shared" si="2"/>
        <v>0.62474677776341159</v>
      </c>
      <c r="I24" s="100">
        <f t="shared" si="2"/>
        <v>0.64795356702957974</v>
      </c>
      <c r="J24" s="100">
        <f t="shared" si="2"/>
        <v>0.7107472874696622</v>
      </c>
      <c r="K24" s="100">
        <f t="shared" si="2"/>
        <v>0.68780335661018177</v>
      </c>
      <c r="L24" s="100">
        <f t="shared" si="2"/>
        <v>0.64234061354653049</v>
      </c>
      <c r="M24" s="100">
        <f t="shared" si="2"/>
        <v>0.69947326950354316</v>
      </c>
      <c r="N24" s="100">
        <f t="shared" si="2"/>
        <v>0.68058600470655972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0.8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1.2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0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0.8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1.2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1.2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0.8</v>
      </c>
      <c r="I30" s="100">
        <f>IF(I21&lt;=raw_materials!$D19,raw_materials!$C19,IF(I21&lt;=raw_materials!$F19,raw_materials!$E19,IF(I21&lt;=raw_materials!$H19,raw_materials!$G19,0)))</f>
        <v>0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1.2</v>
      </c>
      <c r="L30" s="100">
        <f>IF(L21&lt;=raw_materials!$D19,raw_materials!$C19,IF(L21&lt;=raw_materials!$F19,raw_materials!$E19,IF(L21&lt;=raw_materials!$H19,raw_materials!$G19,0)))</f>
        <v>1</v>
      </c>
      <c r="M30" s="100">
        <f>IF(M21&lt;=raw_materials!$D19,raw_materials!$C19,IF(M21&lt;=raw_materials!$F19,raw_materials!$E19,IF(M21&lt;=raw_materials!$H19,raw_materials!$G19,0)))</f>
        <v>1.2</v>
      </c>
      <c r="N30" s="100">
        <f>IF(N21&lt;=raw_materials!$D19,raw_materials!$C19,IF(N21&lt;=raw_materials!$F19,raw_materials!$E19,IF(N21&lt;=raw_materials!$H19,raw_materials!$G19,0)))</f>
        <v>1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1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1.2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1.2</v>
      </c>
      <c r="F33" s="100">
        <f>IF(F24&lt;=raw_materials!$D22,raw_materials!$C22,IF(F24&lt;=raw_materials!$F22,raw_materials!$E22,IF(F24&lt;=raw_materials!$H22,raw_materials!$G22,0)))</f>
        <v>1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1.2</v>
      </c>
      <c r="I33" s="100">
        <f>IF(I24&lt;=raw_materials!$D22,raw_materials!$C22,IF(I24&lt;=raw_materials!$F22,raw_materials!$E22,IF(I24&lt;=raw_materials!$H22,raw_materials!$G22,0)))</f>
        <v>1.2</v>
      </c>
      <c r="J33" s="100">
        <f>IF(J24&lt;=raw_materials!$D22,raw_materials!$C22,IF(J24&lt;=raw_materials!$F22,raw_materials!$E22,IF(J24&lt;=raw_materials!$H22,raw_materials!$G22,0)))</f>
        <v>1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1.2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1.2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17615.313738968809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18036.547499616488</v>
      </c>
      <c r="Q38" s="100">
        <v>18074.53334578146</v>
      </c>
      <c r="R38" s="100">
        <v>18112.441237243656</v>
      </c>
      <c r="S38" s="100">
        <v>10371.580037923221</v>
      </c>
      <c r="T38" s="100">
        <v>25982.855339308269</v>
      </c>
      <c r="U38" s="100">
        <v>26036.623097350748</v>
      </c>
      <c r="V38" s="100">
        <v>18263.171289864724</v>
      </c>
      <c r="W38" s="100">
        <v>10457.484599723053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18879.825134649927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19051.02651167112</v>
      </c>
      <c r="AS38" s="100">
        <v>19084.582086456296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15032.941508406904</v>
      </c>
      <c r="D39" s="100">
        <v>15065.890051575743</v>
      </c>
      <c r="E39" s="100">
        <v>15098.84034768755</v>
      </c>
      <c r="F39" s="100">
        <v>15131.787112227312</v>
      </c>
      <c r="G39" s="100">
        <v>6065.8900235641513</v>
      </c>
      <c r="H39" s="100">
        <v>6079.0595602438707</v>
      </c>
      <c r="I39" s="100">
        <v>6092.2213401134713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10821.928499769892</v>
      </c>
      <c r="Q39" s="100">
        <v>15492.457153526968</v>
      </c>
      <c r="R39" s="100">
        <v>15524.949631923135</v>
      </c>
      <c r="S39" s="100">
        <v>15557.370056884829</v>
      </c>
      <c r="T39" s="100">
        <v>1558.9713203584963</v>
      </c>
      <c r="U39" s="100">
        <v>15621.973858410449</v>
      </c>
      <c r="V39" s="100">
        <v>15654.14681988405</v>
      </c>
      <c r="W39" s="100">
        <v>10980.358829709205</v>
      </c>
      <c r="X39" s="100">
        <v>6287.2835692261324</v>
      </c>
      <c r="Y39" s="100">
        <v>15750.087730770527</v>
      </c>
      <c r="Z39" s="100">
        <v>11047.300725264813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1603.1509507137089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6566.0451418511566</v>
      </c>
      <c r="AV39" s="100">
        <v>11510.268975757208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5076.851116761226</v>
      </c>
      <c r="J40" s="100">
        <v>5087.8110406349388</v>
      </c>
      <c r="K40" s="100">
        <v>5098.7609771294274</v>
      </c>
      <c r="L40" s="100">
        <v>5109.6991658403376</v>
      </c>
      <c r="M40" s="100">
        <v>5120.6238476302397</v>
      </c>
      <c r="N40" s="100">
        <v>5131.5332649382435</v>
      </c>
      <c r="O40" s="100">
        <v>3599.6979634626705</v>
      </c>
      <c r="P40" s="100">
        <v>3607.3094999232972</v>
      </c>
      <c r="Q40" s="100">
        <v>5164.1523845089887</v>
      </c>
      <c r="R40" s="100">
        <v>5174.9832106410449</v>
      </c>
      <c r="S40" s="100">
        <v>3630.0530132731265</v>
      </c>
      <c r="T40" s="100">
        <v>3637.5997475031577</v>
      </c>
      <c r="U40" s="100">
        <v>5207.3246194701496</v>
      </c>
      <c r="V40" s="100">
        <v>2087.2195759845399</v>
      </c>
      <c r="W40" s="100">
        <v>5228.7422998615266</v>
      </c>
      <c r="X40" s="100">
        <v>2095.7611897420443</v>
      </c>
      <c r="Y40" s="100">
        <v>2100.0116974360703</v>
      </c>
      <c r="Z40" s="100">
        <v>2104.2477571932977</v>
      </c>
      <c r="AA40" s="100">
        <v>527.11717135232971</v>
      </c>
      <c r="AB40" s="100">
        <v>528.16845020750054</v>
      </c>
      <c r="AC40" s="100">
        <v>529.21560616810632</v>
      </c>
      <c r="AD40" s="100">
        <v>530.25847018636262</v>
      </c>
      <c r="AE40" s="100">
        <v>5312.9687389247601</v>
      </c>
      <c r="AF40" s="100">
        <v>5323.3064962458566</v>
      </c>
      <c r="AG40" s="100">
        <v>2133.4385218343887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5471.7042848759638</v>
      </c>
      <c r="AV40" s="100">
        <v>5481.0804646462902</v>
      </c>
      <c r="AW40" s="100">
        <v>5490.3832293611586</v>
      </c>
      <c r="AX40" s="100">
        <v>5499.611079538382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3065.8194995042027</v>
      </c>
      <c r="M41" s="100">
        <v>3072.3743085781439</v>
      </c>
      <c r="N41" s="100">
        <v>3078.9199589629461</v>
      </c>
      <c r="O41" s="100">
        <v>3085.4553972537178</v>
      </c>
      <c r="P41" s="100">
        <v>3091.9795713628264</v>
      </c>
      <c r="Q41" s="100">
        <v>3098.4914307053937</v>
      </c>
      <c r="R41" s="100">
        <v>3104.9899263846269</v>
      </c>
      <c r="S41" s="100">
        <v>3111.4740113769658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2209.4601450529626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2235.7887284232597</v>
      </c>
      <c r="AG41" s="100">
        <v>2240.1104479261076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3248.3945807688906</v>
      </c>
      <c r="AP41" s="100">
        <v>3254.2652898321776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2298.1157996479046</v>
      </c>
      <c r="AV41" s="100">
        <v>2302.0537951514416</v>
      </c>
      <c r="AW41" s="100">
        <v>2305.9609563316867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2603.953984875317</v>
      </c>
      <c r="D48" s="100">
        <v>2603.953984875317</v>
      </c>
      <c r="E48" s="100">
        <v>2603.953984875317</v>
      </c>
      <c r="F48" s="100">
        <v>2603.953984875317</v>
      </c>
      <c r="G48" s="100">
        <v>2603.953984875317</v>
      </c>
      <c r="H48" s="100">
        <v>2603.953984875317</v>
      </c>
      <c r="I48" s="100">
        <v>2603.953984875317</v>
      </c>
      <c r="J48" s="100">
        <v>2603.953984875317</v>
      </c>
      <c r="K48" s="100">
        <v>2603.953984875317</v>
      </c>
      <c r="L48" s="100">
        <v>2603.953984875317</v>
      </c>
      <c r="M48" s="100">
        <v>2603.953984875317</v>
      </c>
      <c r="N48" s="100">
        <v>2603.953984875317</v>
      </c>
      <c r="O48" s="100">
        <v>2603.953984875317</v>
      </c>
      <c r="P48" s="100">
        <v>2603.953984875317</v>
      </c>
      <c r="Q48" s="100">
        <v>2603.953984875317</v>
      </c>
      <c r="R48" s="100">
        <v>2603.953984875317</v>
      </c>
      <c r="S48" s="100">
        <v>2083.1631879002539</v>
      </c>
      <c r="T48" s="100">
        <v>2083.1631879002539</v>
      </c>
      <c r="U48" s="100">
        <v>2083.1631879002539</v>
      </c>
      <c r="V48" s="100">
        <v>2083.1631879002539</v>
      </c>
      <c r="W48" s="100">
        <v>2603.953984875317</v>
      </c>
      <c r="X48" s="100">
        <v>2603.953984875317</v>
      </c>
      <c r="Y48" s="100">
        <v>2603.953984875317</v>
      </c>
      <c r="Z48" s="100">
        <v>2603.953984875317</v>
      </c>
      <c r="AA48" s="100">
        <v>2603.953984875317</v>
      </c>
      <c r="AB48" s="100">
        <v>2603.953984875317</v>
      </c>
      <c r="AC48" s="100">
        <v>2603.953984875317</v>
      </c>
      <c r="AD48" s="100">
        <v>2603.953984875317</v>
      </c>
      <c r="AE48" s="100">
        <v>2603.953984875317</v>
      </c>
      <c r="AF48" s="100">
        <v>2603.953984875317</v>
      </c>
      <c r="AG48" s="100">
        <v>2603.953984875317</v>
      </c>
      <c r="AH48" s="100">
        <v>2603.953984875317</v>
      </c>
      <c r="AI48" s="100">
        <v>2603.953984875317</v>
      </c>
      <c r="AJ48" s="100">
        <v>2603.953984875317</v>
      </c>
      <c r="AK48" s="100">
        <v>2603.953984875317</v>
      </c>
      <c r="AL48" s="100">
        <v>2603.953984875317</v>
      </c>
      <c r="AM48" s="100">
        <v>3124.7447818503801</v>
      </c>
      <c r="AN48" s="100">
        <v>3124.7447818503801</v>
      </c>
      <c r="AO48" s="100">
        <v>3124.7447818503801</v>
      </c>
      <c r="AP48" s="100">
        <v>3124.7447818503801</v>
      </c>
      <c r="AQ48" s="100">
        <v>2603.953984875317</v>
      </c>
      <c r="AR48" s="100">
        <v>2603.953984875317</v>
      </c>
      <c r="AS48" s="100">
        <v>2603.953984875317</v>
      </c>
      <c r="AT48" s="100">
        <v>2603.953984875317</v>
      </c>
      <c r="AU48" s="100">
        <v>2603.953984875317</v>
      </c>
      <c r="AV48" s="100">
        <v>2603.953984875317</v>
      </c>
      <c r="AW48" s="100">
        <v>2603.953984875317</v>
      </c>
      <c r="AX48" s="100">
        <v>2603.953984875317</v>
      </c>
    </row>
    <row r="49" spans="2:51">
      <c r="B49" s="99" t="s">
        <v>105</v>
      </c>
      <c r="C49" s="100">
        <v>1.6000973590098739E-19</v>
      </c>
      <c r="D49" s="100">
        <v>1.6000973590098739E-19</v>
      </c>
      <c r="E49" s="100">
        <v>1.6000973590098739E-19</v>
      </c>
      <c r="F49" s="100">
        <v>1.6000973590098739E-19</v>
      </c>
      <c r="G49" s="100">
        <v>0</v>
      </c>
      <c r="H49" s="100">
        <v>0</v>
      </c>
      <c r="I49" s="100">
        <v>0</v>
      </c>
      <c r="J49" s="100">
        <v>0</v>
      </c>
      <c r="K49" s="100">
        <v>1.6000973590098739E-19</v>
      </c>
      <c r="L49" s="100">
        <v>1.6000973590098739E-19</v>
      </c>
      <c r="M49" s="100">
        <v>1.6000973590098739E-19</v>
      </c>
      <c r="N49" s="100">
        <v>1.6000973590098739E-19</v>
      </c>
      <c r="O49" s="100">
        <v>1.6000973590098739E-19</v>
      </c>
      <c r="P49" s="100">
        <v>1.6000973590098739E-19</v>
      </c>
      <c r="Q49" s="100">
        <v>1.6000973590098739E-19</v>
      </c>
      <c r="R49" s="100">
        <v>1.6000973590098739E-19</v>
      </c>
      <c r="S49" s="100">
        <v>1.6000973590098739E-19</v>
      </c>
      <c r="T49" s="100">
        <v>1.6000973590098739E-19</v>
      </c>
      <c r="U49" s="100">
        <v>1.6000973590098739E-19</v>
      </c>
      <c r="V49" s="100">
        <v>1.6000973590098739E-19</v>
      </c>
      <c r="W49" s="100">
        <v>1.2800778872078991E-19</v>
      </c>
      <c r="X49" s="100">
        <v>1.2800778872078991E-19</v>
      </c>
      <c r="Y49" s="100">
        <v>1.2800778872078991E-19</v>
      </c>
      <c r="Z49" s="100">
        <v>1.2800778872078991E-19</v>
      </c>
      <c r="AA49" s="100">
        <v>1.6000973590098739E-19</v>
      </c>
      <c r="AB49" s="100">
        <v>1.6000973590098739E-19</v>
      </c>
      <c r="AC49" s="100">
        <v>1.6000973590098739E-19</v>
      </c>
      <c r="AD49" s="100">
        <v>1.6000973590098739E-19</v>
      </c>
      <c r="AE49" s="100">
        <v>1.6000973590098739E-19</v>
      </c>
      <c r="AF49" s="100">
        <v>1.6000973590098739E-19</v>
      </c>
      <c r="AG49" s="100">
        <v>1.6000973590098739E-19</v>
      </c>
      <c r="AH49" s="100">
        <v>1.6000973590098739E-19</v>
      </c>
      <c r="AI49" s="100">
        <v>1.6000973590098739E-19</v>
      </c>
      <c r="AJ49" s="100">
        <v>1.6000973590098739E-19</v>
      </c>
      <c r="AK49" s="100">
        <v>1.6000973590098739E-19</v>
      </c>
      <c r="AL49" s="100">
        <v>1.6000973590098739E-19</v>
      </c>
      <c r="AM49" s="100">
        <v>1.9201168308118487E-19</v>
      </c>
      <c r="AN49" s="100">
        <v>1.9201168308118487E-19</v>
      </c>
      <c r="AO49" s="100">
        <v>1.9201168308118487E-19</v>
      </c>
      <c r="AP49" s="100">
        <v>1.9201168308118487E-19</v>
      </c>
      <c r="AQ49" s="100">
        <v>1.6000973590098739E-19</v>
      </c>
      <c r="AR49" s="100">
        <v>1.6000973590098739E-19</v>
      </c>
      <c r="AS49" s="100">
        <v>1.6000973590098739E-19</v>
      </c>
      <c r="AT49" s="100">
        <v>1.6000973590098739E-19</v>
      </c>
      <c r="AU49" s="100">
        <v>1.6000973590098739E-19</v>
      </c>
      <c r="AV49" s="100">
        <v>1.6000973590098739E-19</v>
      </c>
      <c r="AW49" s="100">
        <v>1.6000973590098739E-19</v>
      </c>
      <c r="AX49" s="100">
        <v>1.6000973590098739E-19</v>
      </c>
    </row>
    <row r="50" spans="2:51">
      <c r="B50" s="99" t="s">
        <v>106</v>
      </c>
      <c r="C50" s="100">
        <v>80</v>
      </c>
      <c r="D50" s="100">
        <v>80</v>
      </c>
      <c r="E50" s="100">
        <v>80</v>
      </c>
      <c r="F50" s="100">
        <v>80</v>
      </c>
      <c r="G50" s="100">
        <v>180</v>
      </c>
      <c r="H50" s="100">
        <v>180</v>
      </c>
      <c r="I50" s="100">
        <v>180</v>
      </c>
      <c r="J50" s="100">
        <v>180</v>
      </c>
      <c r="K50" s="100">
        <v>150</v>
      </c>
      <c r="L50" s="100">
        <v>150</v>
      </c>
      <c r="M50" s="100">
        <v>150</v>
      </c>
      <c r="N50" s="100">
        <v>150</v>
      </c>
      <c r="O50" s="100">
        <v>150</v>
      </c>
      <c r="P50" s="100">
        <v>150</v>
      </c>
      <c r="Q50" s="100">
        <v>150</v>
      </c>
      <c r="R50" s="100">
        <v>150</v>
      </c>
      <c r="S50" s="100">
        <v>150</v>
      </c>
      <c r="T50" s="100">
        <v>150</v>
      </c>
      <c r="U50" s="100">
        <v>150</v>
      </c>
      <c r="V50" s="100">
        <v>150</v>
      </c>
      <c r="W50" s="100">
        <v>120</v>
      </c>
      <c r="X50" s="100">
        <v>120</v>
      </c>
      <c r="Y50" s="100">
        <v>120</v>
      </c>
      <c r="Z50" s="100">
        <v>120</v>
      </c>
      <c r="AA50" s="100">
        <v>0</v>
      </c>
      <c r="AB50" s="100">
        <v>0</v>
      </c>
      <c r="AC50" s="100">
        <v>0</v>
      </c>
      <c r="AD50" s="100">
        <v>0</v>
      </c>
      <c r="AE50" s="100">
        <v>150</v>
      </c>
      <c r="AF50" s="100">
        <v>150</v>
      </c>
      <c r="AG50" s="100">
        <v>150</v>
      </c>
      <c r="AH50" s="100">
        <v>150</v>
      </c>
      <c r="AI50" s="100">
        <v>180</v>
      </c>
      <c r="AJ50" s="100">
        <v>180</v>
      </c>
      <c r="AK50" s="100">
        <v>180</v>
      </c>
      <c r="AL50" s="100">
        <v>180</v>
      </c>
      <c r="AM50" s="100">
        <v>150</v>
      </c>
      <c r="AN50" s="100">
        <v>150</v>
      </c>
      <c r="AO50" s="100">
        <v>150</v>
      </c>
      <c r="AP50" s="100">
        <v>150</v>
      </c>
      <c r="AQ50" s="100">
        <v>180</v>
      </c>
      <c r="AR50" s="100">
        <v>180</v>
      </c>
      <c r="AS50" s="100">
        <v>180</v>
      </c>
      <c r="AT50" s="100">
        <v>180</v>
      </c>
      <c r="AU50" s="100">
        <v>150</v>
      </c>
      <c r="AV50" s="100">
        <v>150</v>
      </c>
      <c r="AW50" s="100">
        <v>150</v>
      </c>
      <c r="AX50" s="100">
        <v>150</v>
      </c>
      <c r="AY50" s="112"/>
    </row>
    <row r="51" spans="2:51">
      <c r="B51" s="99" t="s">
        <v>107</v>
      </c>
      <c r="C51" s="100">
        <v>817.22257048204995</v>
      </c>
      <c r="D51" s="100">
        <v>817.22257048204995</v>
      </c>
      <c r="E51" s="100">
        <v>817.22257048204995</v>
      </c>
      <c r="F51" s="100">
        <v>817.22257048204995</v>
      </c>
      <c r="G51" s="100">
        <v>817.22257048204995</v>
      </c>
      <c r="H51" s="100">
        <v>817.22257048204995</v>
      </c>
      <c r="I51" s="100">
        <v>817.22257048204995</v>
      </c>
      <c r="J51" s="100">
        <v>817.22257048204995</v>
      </c>
      <c r="K51" s="100">
        <v>817.22257048204995</v>
      </c>
      <c r="L51" s="100">
        <v>817.22257048204995</v>
      </c>
      <c r="M51" s="100">
        <v>817.22257048204995</v>
      </c>
      <c r="N51" s="100">
        <v>817.22257048204995</v>
      </c>
      <c r="O51" s="100">
        <v>817.22257048204995</v>
      </c>
      <c r="P51" s="100">
        <v>817.22257048204995</v>
      </c>
      <c r="Q51" s="100">
        <v>817.22257048204995</v>
      </c>
      <c r="R51" s="100">
        <v>817.22257048204995</v>
      </c>
      <c r="S51" s="100">
        <v>817.22257048204995</v>
      </c>
      <c r="T51" s="100">
        <v>817.22257048204995</v>
      </c>
      <c r="U51" s="100">
        <v>817.22257048204995</v>
      </c>
      <c r="V51" s="100">
        <v>817.22257048204995</v>
      </c>
      <c r="W51" s="100">
        <v>817.22257048204995</v>
      </c>
      <c r="X51" s="100">
        <v>817.22257048204995</v>
      </c>
      <c r="Y51" s="100">
        <v>817.22257048204995</v>
      </c>
      <c r="Z51" s="100">
        <v>817.22257048204995</v>
      </c>
      <c r="AA51" s="100">
        <v>817.22257048204995</v>
      </c>
      <c r="AB51" s="100">
        <v>817.22257048204995</v>
      </c>
      <c r="AC51" s="100">
        <v>817.22257048204995</v>
      </c>
      <c r="AD51" s="100">
        <v>817.22257048204995</v>
      </c>
      <c r="AE51" s="100">
        <v>817.22257048204995</v>
      </c>
      <c r="AF51" s="100">
        <v>817.22257048204995</v>
      </c>
      <c r="AG51" s="100">
        <v>817.22257048204995</v>
      </c>
      <c r="AH51" s="100">
        <v>817.22257048204995</v>
      </c>
      <c r="AI51" s="100">
        <v>817.22257048204995</v>
      </c>
      <c r="AJ51" s="100">
        <v>817.22257048204995</v>
      </c>
      <c r="AK51" s="100">
        <v>817.22257048204995</v>
      </c>
      <c r="AL51" s="100">
        <v>817.22257048204995</v>
      </c>
      <c r="AM51" s="100">
        <v>817.22257048204995</v>
      </c>
      <c r="AN51" s="100">
        <v>817.22257048204995</v>
      </c>
      <c r="AO51" s="100">
        <v>817.22257048204995</v>
      </c>
      <c r="AP51" s="100">
        <v>817.22257048204995</v>
      </c>
      <c r="AQ51" s="100">
        <v>817.22257048204995</v>
      </c>
      <c r="AR51" s="100">
        <v>817.22257048204995</v>
      </c>
      <c r="AS51" s="100">
        <v>817.22257048204995</v>
      </c>
      <c r="AT51" s="100">
        <v>817.22257048204995</v>
      </c>
      <c r="AU51" s="100">
        <v>817.22257048204995</v>
      </c>
      <c r="AV51" s="100">
        <v>817.22257048204995</v>
      </c>
      <c r="AW51" s="100">
        <v>817.22257048204995</v>
      </c>
      <c r="AX51" s="100">
        <v>817.22257048204995</v>
      </c>
      <c r="AY51" s="111"/>
    </row>
    <row r="52" spans="2:51">
      <c r="B52" s="99" t="s">
        <v>108</v>
      </c>
      <c r="C52" s="100">
        <v>1.2689438042137247E-19</v>
      </c>
      <c r="D52" s="100">
        <v>1.2689438042137247E-19</v>
      </c>
      <c r="E52" s="100">
        <v>1.2689438042137247E-19</v>
      </c>
      <c r="F52" s="100">
        <v>1.2689438042137247E-19</v>
      </c>
      <c r="G52" s="100">
        <v>1.2689438042137247E-19</v>
      </c>
      <c r="H52" s="100">
        <v>1.2689438042137247E-19</v>
      </c>
      <c r="I52" s="100">
        <v>1.2689438042137247E-19</v>
      </c>
      <c r="J52" s="100">
        <v>1.2689438042137247E-19</v>
      </c>
      <c r="K52" s="100">
        <v>1.2689438042137247E-19</v>
      </c>
      <c r="L52" s="100">
        <v>1.2689438042137247E-19</v>
      </c>
      <c r="M52" s="100">
        <v>1.2689438042137247E-19</v>
      </c>
      <c r="N52" s="100">
        <v>1.2689438042137247E-19</v>
      </c>
      <c r="O52" s="100">
        <v>1.2689438042137247E-19</v>
      </c>
      <c r="P52" s="100">
        <v>1.2689438042137247E-19</v>
      </c>
      <c r="Q52" s="100">
        <v>1.2689438042137247E-19</v>
      </c>
      <c r="R52" s="100">
        <v>1.2689438042137247E-19</v>
      </c>
      <c r="S52" s="100">
        <v>1.2689438042137247E-19</v>
      </c>
      <c r="T52" s="100">
        <v>1.2689438042137247E-19</v>
      </c>
      <c r="U52" s="100">
        <v>1.2689438042137247E-19</v>
      </c>
      <c r="V52" s="100">
        <v>1.2689438042137247E-19</v>
      </c>
      <c r="W52" s="100">
        <v>1.2689438042137247E-19</v>
      </c>
      <c r="X52" s="100">
        <v>1.2689438042137247E-19</v>
      </c>
      <c r="Y52" s="100">
        <v>1.2689438042137247E-19</v>
      </c>
      <c r="Z52" s="100">
        <v>1.2689438042137247E-19</v>
      </c>
      <c r="AA52" s="100">
        <v>1.2689438042137247E-19</v>
      </c>
      <c r="AB52" s="100">
        <v>1.2689438042137247E-19</v>
      </c>
      <c r="AC52" s="100">
        <v>1.2689438042137247E-19</v>
      </c>
      <c r="AD52" s="100">
        <v>1.2689438042137247E-19</v>
      </c>
      <c r="AE52" s="100">
        <v>1.2689438042137247E-19</v>
      </c>
      <c r="AF52" s="100">
        <v>1.2689438042137247E-19</v>
      </c>
      <c r="AG52" s="100">
        <v>1.2689438042137247E-19</v>
      </c>
      <c r="AH52" s="100">
        <v>1.2689438042137247E-19</v>
      </c>
      <c r="AI52" s="100">
        <v>1.057453170178104E-19</v>
      </c>
      <c r="AJ52" s="100">
        <v>1.057453170178104E-19</v>
      </c>
      <c r="AK52" s="100">
        <v>1.057453170178104E-19</v>
      </c>
      <c r="AL52" s="100">
        <v>1.057453170178104E-19</v>
      </c>
      <c r="AM52" s="100">
        <v>1.2689438042137247E-19</v>
      </c>
      <c r="AN52" s="100">
        <v>1.2689438042137247E-19</v>
      </c>
      <c r="AO52" s="100">
        <v>1.2689438042137247E-19</v>
      </c>
      <c r="AP52" s="100">
        <v>1.2689438042137247E-19</v>
      </c>
      <c r="AQ52" s="100">
        <v>1.057453170178104E-19</v>
      </c>
      <c r="AR52" s="100">
        <v>1.057453170178104E-19</v>
      </c>
      <c r="AS52" s="100">
        <v>1.057453170178104E-19</v>
      </c>
      <c r="AT52" s="100">
        <v>1.057453170178104E-19</v>
      </c>
      <c r="AU52" s="100">
        <v>1.2689438042137247E-19</v>
      </c>
      <c r="AV52" s="100">
        <v>1.2689438042137247E-19</v>
      </c>
      <c r="AW52" s="100">
        <v>1.2689438042137247E-19</v>
      </c>
      <c r="AX52" s="100">
        <v>1.2689438042137247E-19</v>
      </c>
    </row>
    <row r="53" spans="2:51">
      <c r="B53" s="99" t="s">
        <v>109</v>
      </c>
      <c r="C53" s="100">
        <v>9.8015174189890611E-20</v>
      </c>
      <c r="D53" s="100">
        <v>9.8015174189890611E-20</v>
      </c>
      <c r="E53" s="100">
        <v>9.8015174189890611E-20</v>
      </c>
      <c r="F53" s="100">
        <v>9.8015174189890611E-20</v>
      </c>
      <c r="G53" s="100">
        <v>8.1679311824908848E-20</v>
      </c>
      <c r="H53" s="100">
        <v>8.1679311824908848E-20</v>
      </c>
      <c r="I53" s="100">
        <v>8.1679311824908848E-20</v>
      </c>
      <c r="J53" s="100">
        <v>8.1679311824908848E-20</v>
      </c>
      <c r="K53" s="100">
        <v>9.8015174189890611E-20</v>
      </c>
      <c r="L53" s="100">
        <v>9.8015174189890611E-20</v>
      </c>
      <c r="M53" s="100">
        <v>9.8015174189890611E-20</v>
      </c>
      <c r="N53" s="100">
        <v>9.8015174189890611E-20</v>
      </c>
      <c r="O53" s="100">
        <v>8.1679311824908848E-20</v>
      </c>
      <c r="P53" s="100">
        <v>8.1679311824908848E-20</v>
      </c>
      <c r="Q53" s="100">
        <v>8.1679311824908848E-20</v>
      </c>
      <c r="R53" s="100">
        <v>8.1679311824908848E-20</v>
      </c>
      <c r="S53" s="100">
        <v>9.8015174189890611E-20</v>
      </c>
      <c r="T53" s="100">
        <v>9.8015174189890611E-20</v>
      </c>
      <c r="U53" s="100">
        <v>9.8015174189890611E-20</v>
      </c>
      <c r="V53" s="100">
        <v>9.8015174189890611E-20</v>
      </c>
      <c r="W53" s="100">
        <v>9.8015174189890611E-20</v>
      </c>
      <c r="X53" s="100">
        <v>9.8015174189890611E-20</v>
      </c>
      <c r="Y53" s="100">
        <v>9.8015174189890611E-20</v>
      </c>
      <c r="Z53" s="100">
        <v>9.8015174189890611E-20</v>
      </c>
      <c r="AA53" s="100">
        <v>9.8015174189890611E-20</v>
      </c>
      <c r="AB53" s="100">
        <v>9.8015174189890611E-20</v>
      </c>
      <c r="AC53" s="100">
        <v>9.8015174189890611E-20</v>
      </c>
      <c r="AD53" s="100">
        <v>9.8015174189890611E-20</v>
      </c>
      <c r="AE53" s="100">
        <v>8.1679311824908848E-20</v>
      </c>
      <c r="AF53" s="100">
        <v>8.1679311824908848E-20</v>
      </c>
      <c r="AG53" s="100">
        <v>8.1679311824908848E-20</v>
      </c>
      <c r="AH53" s="100">
        <v>8.1679311824908848E-20</v>
      </c>
      <c r="AI53" s="100">
        <v>9.8015174189890611E-20</v>
      </c>
      <c r="AJ53" s="100">
        <v>9.8015174189890611E-20</v>
      </c>
      <c r="AK53" s="100">
        <v>9.8015174189890611E-20</v>
      </c>
      <c r="AL53" s="100">
        <v>9.8015174189890611E-20</v>
      </c>
      <c r="AM53" s="100">
        <v>9.8015174189890611E-20</v>
      </c>
      <c r="AN53" s="100">
        <v>9.8015174189890611E-20</v>
      </c>
      <c r="AO53" s="100">
        <v>9.8015174189890611E-20</v>
      </c>
      <c r="AP53" s="100">
        <v>9.8015174189890611E-20</v>
      </c>
      <c r="AQ53" s="100">
        <v>8.1679311824908848E-20</v>
      </c>
      <c r="AR53" s="100">
        <v>8.1679311824908848E-20</v>
      </c>
      <c r="AS53" s="100">
        <v>8.1679311824908848E-20</v>
      </c>
      <c r="AT53" s="100">
        <v>8.1679311824908848E-20</v>
      </c>
      <c r="AU53" s="100">
        <v>9.8015174189890611E-20</v>
      </c>
      <c r="AV53" s="100">
        <v>9.8015174189890611E-20</v>
      </c>
      <c r="AW53" s="100">
        <v>9.8015174189890611E-20</v>
      </c>
      <c r="AX53" s="100">
        <v>9.8015174189890611E-20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3875410.0430850093</v>
      </c>
      <c r="D58" s="100">
        <v>3875410.0430850093</v>
      </c>
      <c r="E58" s="100">
        <v>3875410.0430850093</v>
      </c>
      <c r="F58" s="100">
        <v>3875410.0430850093</v>
      </c>
      <c r="G58" s="100">
        <v>3187531.1801528665</v>
      </c>
      <c r="H58" s="100">
        <v>3187531.1801528665</v>
      </c>
      <c r="I58" s="100">
        <v>3187531.1801528665</v>
      </c>
      <c r="J58" s="100">
        <v>3187531.1801528665</v>
      </c>
      <c r="K58" s="100">
        <v>3520870.6831148574</v>
      </c>
      <c r="L58" s="100">
        <v>3520870.6831148574</v>
      </c>
      <c r="M58" s="100">
        <v>3520870.6831148574</v>
      </c>
      <c r="N58" s="100">
        <v>3520870.6831148574</v>
      </c>
      <c r="O58" s="100">
        <v>3563850.3103760714</v>
      </c>
      <c r="P58" s="100">
        <v>3563850.3103760714</v>
      </c>
      <c r="Q58" s="100">
        <v>3563850.3103760714</v>
      </c>
      <c r="R58" s="100">
        <v>3563850.3103760714</v>
      </c>
      <c r="S58" s="100">
        <v>3283442.8772004177</v>
      </c>
      <c r="T58" s="100">
        <v>3283442.8772004177</v>
      </c>
      <c r="U58" s="100">
        <v>3283442.8772004177</v>
      </c>
      <c r="V58" s="100">
        <v>3283442.8772004177</v>
      </c>
      <c r="W58" s="100">
        <v>3640333.9883503481</v>
      </c>
      <c r="X58" s="100">
        <v>3640333.9883503481</v>
      </c>
      <c r="Y58" s="100">
        <v>3640333.9883503481</v>
      </c>
      <c r="Z58" s="100">
        <v>3640333.9883503481</v>
      </c>
      <c r="AA58" s="100">
        <v>3770958.4868206461</v>
      </c>
      <c r="AB58" s="100">
        <v>3770958.4868206461</v>
      </c>
      <c r="AC58" s="100">
        <v>3770958.4868206461</v>
      </c>
      <c r="AD58" s="100">
        <v>3770958.4868206461</v>
      </c>
      <c r="AE58" s="100">
        <v>3588912.4637874896</v>
      </c>
      <c r="AF58" s="100">
        <v>3588912.4637874896</v>
      </c>
      <c r="AG58" s="100">
        <v>3588912.4637874896</v>
      </c>
      <c r="AH58" s="100">
        <v>3588912.4637874896</v>
      </c>
      <c r="AI58" s="100">
        <v>3099637.4934288096</v>
      </c>
      <c r="AJ58" s="100">
        <v>3099637.4934288096</v>
      </c>
      <c r="AK58" s="100">
        <v>3099637.4934288096</v>
      </c>
      <c r="AL58" s="100">
        <v>3099637.4934288096</v>
      </c>
      <c r="AM58" s="100">
        <v>3424290.3065315192</v>
      </c>
      <c r="AN58" s="100">
        <v>3424290.3065315192</v>
      </c>
      <c r="AO58" s="100">
        <v>3424290.3065315192</v>
      </c>
      <c r="AP58" s="100">
        <v>3424290.3065315192</v>
      </c>
      <c r="AQ58" s="100">
        <v>3898481.1078869305</v>
      </c>
      <c r="AR58" s="100">
        <v>3898481.1078869305</v>
      </c>
      <c r="AS58" s="100">
        <v>3898481.1078869305</v>
      </c>
      <c r="AT58" s="100">
        <v>3898481.1078869305</v>
      </c>
      <c r="AU58" s="100">
        <v>3388579.3817233085</v>
      </c>
      <c r="AV58" s="100">
        <v>3388579.3817233085</v>
      </c>
      <c r="AW58" s="100">
        <v>3388579.3817233085</v>
      </c>
      <c r="AX58" s="100">
        <v>3388579.3817233085</v>
      </c>
    </row>
    <row r="59" spans="2:51">
      <c r="B59" s="105" t="s">
        <v>105</v>
      </c>
      <c r="C59" s="100">
        <v>2.093259209639695E-16</v>
      </c>
      <c r="D59" s="100">
        <v>2.093259209639695E-16</v>
      </c>
      <c r="E59" s="100">
        <v>2.093259209639695E-16</v>
      </c>
      <c r="F59" s="100">
        <v>2.093259209639695E-16</v>
      </c>
      <c r="G59" s="100">
        <v>0</v>
      </c>
      <c r="H59" s="100">
        <v>0</v>
      </c>
      <c r="I59" s="100">
        <v>0</v>
      </c>
      <c r="J59" s="100">
        <v>0</v>
      </c>
      <c r="K59" s="100">
        <v>2.0868369487551388E-16</v>
      </c>
      <c r="L59" s="100">
        <v>2.0868369487551388E-16</v>
      </c>
      <c r="M59" s="100">
        <v>2.0868369487551388E-16</v>
      </c>
      <c r="N59" s="100">
        <v>2.0868369487551388E-16</v>
      </c>
      <c r="O59" s="100">
        <v>2.1684468255873835E-16</v>
      </c>
      <c r="P59" s="100">
        <v>2.1684468255873835E-16</v>
      </c>
      <c r="Q59" s="100">
        <v>2.1684468255873835E-16</v>
      </c>
      <c r="R59" s="100">
        <v>2.1684468255873835E-16</v>
      </c>
      <c r="S59" s="100">
        <v>2.3031071647269554E-16</v>
      </c>
      <c r="T59" s="100">
        <v>2.3031071647269554E-16</v>
      </c>
      <c r="U59" s="100">
        <v>2.3031071647269554E-16</v>
      </c>
      <c r="V59" s="100">
        <v>2.3031071647269554E-16</v>
      </c>
      <c r="W59" s="100">
        <v>2.0393457437311409E-16</v>
      </c>
      <c r="X59" s="100">
        <v>2.0393457437311409E-16</v>
      </c>
      <c r="Y59" s="100">
        <v>2.0393457437311409E-16</v>
      </c>
      <c r="Z59" s="100">
        <v>2.0393457437311409E-16</v>
      </c>
      <c r="AA59" s="100">
        <v>2.190905505941693E-16</v>
      </c>
      <c r="AB59" s="100">
        <v>2.190905505941693E-16</v>
      </c>
      <c r="AC59" s="100">
        <v>2.190905505941693E-16</v>
      </c>
      <c r="AD59" s="100">
        <v>2.190905505941693E-16</v>
      </c>
      <c r="AE59" s="100">
        <v>2.2158213626969192E-16</v>
      </c>
      <c r="AF59" s="100">
        <v>2.2158213626969192E-16</v>
      </c>
      <c r="AG59" s="100">
        <v>2.2158213626969192E-16</v>
      </c>
      <c r="AH59" s="100">
        <v>2.2158213626969192E-16</v>
      </c>
      <c r="AI59" s="100">
        <v>2.2049912660221083E-16</v>
      </c>
      <c r="AJ59" s="100">
        <v>2.2049912660221083E-16</v>
      </c>
      <c r="AK59" s="100">
        <v>2.2049912660221083E-16</v>
      </c>
      <c r="AL59" s="100">
        <v>2.2049912660221083E-16</v>
      </c>
      <c r="AM59" s="100">
        <v>2.3435012009215787E-16</v>
      </c>
      <c r="AN59" s="100">
        <v>2.3435012009215787E-16</v>
      </c>
      <c r="AO59" s="100">
        <v>2.3435012009215787E-16</v>
      </c>
      <c r="AP59" s="100">
        <v>2.3435012009215787E-16</v>
      </c>
      <c r="AQ59" s="100">
        <v>2.0866424228703233E-16</v>
      </c>
      <c r="AR59" s="100">
        <v>2.0866424228703233E-16</v>
      </c>
      <c r="AS59" s="100">
        <v>2.0866424228703233E-16</v>
      </c>
      <c r="AT59" s="100">
        <v>2.0866424228703233E-16</v>
      </c>
      <c r="AU59" s="100">
        <v>2.4142218773790155E-16</v>
      </c>
      <c r="AV59" s="100">
        <v>2.4142218773790155E-16</v>
      </c>
      <c r="AW59" s="100">
        <v>2.4142218773790155E-16</v>
      </c>
      <c r="AX59" s="100">
        <v>2.4142218773790155E-16</v>
      </c>
    </row>
    <row r="60" spans="2:51">
      <c r="B60" s="105" t="s">
        <v>106</v>
      </c>
      <c r="C60" s="100">
        <v>116854.5986431816</v>
      </c>
      <c r="D60" s="100">
        <v>116854.5986431816</v>
      </c>
      <c r="E60" s="100">
        <v>116854.5986431816</v>
      </c>
      <c r="F60" s="100">
        <v>116854.5986431816</v>
      </c>
      <c r="G60" s="100">
        <v>239556.35104571877</v>
      </c>
      <c r="H60" s="100">
        <v>239556.35104571877</v>
      </c>
      <c r="I60" s="100">
        <v>239556.35104571877</v>
      </c>
      <c r="J60" s="100">
        <v>239556.35104571877</v>
      </c>
      <c r="K60" s="100">
        <v>213700.80146229512</v>
      </c>
      <c r="L60" s="100">
        <v>213700.80146229512</v>
      </c>
      <c r="M60" s="100">
        <v>213700.80146229512</v>
      </c>
      <c r="N60" s="100">
        <v>213700.80146229512</v>
      </c>
      <c r="O60" s="100">
        <v>234420.47762869843</v>
      </c>
      <c r="P60" s="100">
        <v>234420.47762869843</v>
      </c>
      <c r="Q60" s="100">
        <v>234420.47762869843</v>
      </c>
      <c r="R60" s="100">
        <v>234420.47762869843</v>
      </c>
      <c r="S60" s="100">
        <v>244210.2561671162</v>
      </c>
      <c r="T60" s="100">
        <v>244210.2561671162</v>
      </c>
      <c r="U60" s="100">
        <v>244210.2561671162</v>
      </c>
      <c r="V60" s="100">
        <v>244210.2561671162</v>
      </c>
      <c r="W60" s="100">
        <v>224986.24726889399</v>
      </c>
      <c r="X60" s="100">
        <v>224986.24726889399</v>
      </c>
      <c r="Y60" s="100">
        <v>224986.24726889399</v>
      </c>
      <c r="Z60" s="100">
        <v>224986.24726889399</v>
      </c>
      <c r="AA60" s="100">
        <v>0</v>
      </c>
      <c r="AB60" s="100">
        <v>0</v>
      </c>
      <c r="AC60" s="100">
        <v>0</v>
      </c>
      <c r="AD60" s="100">
        <v>0</v>
      </c>
      <c r="AE60" s="100">
        <v>229740.2887969072</v>
      </c>
      <c r="AF60" s="100">
        <v>229740.2887969072</v>
      </c>
      <c r="AG60" s="100">
        <v>229740.2887969072</v>
      </c>
      <c r="AH60" s="100">
        <v>229740.2887969072</v>
      </c>
      <c r="AI60" s="100">
        <v>232219.15586918895</v>
      </c>
      <c r="AJ60" s="100">
        <v>232219.15586918895</v>
      </c>
      <c r="AK60" s="100">
        <v>232219.15586918895</v>
      </c>
      <c r="AL60" s="100">
        <v>232219.15586918895</v>
      </c>
      <c r="AM60" s="100">
        <v>210168.30527291156</v>
      </c>
      <c r="AN60" s="100">
        <v>210168.30527291156</v>
      </c>
      <c r="AO60" s="100">
        <v>210168.30527291156</v>
      </c>
      <c r="AP60" s="100">
        <v>210168.30527291156</v>
      </c>
      <c r="AQ60" s="100">
        <v>237251.01967375635</v>
      </c>
      <c r="AR60" s="100">
        <v>237251.01967375635</v>
      </c>
      <c r="AS60" s="100">
        <v>237251.01967375635</v>
      </c>
      <c r="AT60" s="100">
        <v>237251.01967375635</v>
      </c>
      <c r="AU60" s="100">
        <v>206415.67819630797</v>
      </c>
      <c r="AV60" s="100">
        <v>206415.67819630797</v>
      </c>
      <c r="AW60" s="100">
        <v>206415.67819630797</v>
      </c>
      <c r="AX60" s="100">
        <v>206415.67819630797</v>
      </c>
    </row>
    <row r="61" spans="2:51">
      <c r="B61" s="105" t="s">
        <v>107</v>
      </c>
      <c r="C61" s="100">
        <v>1222559.4378209258</v>
      </c>
      <c r="D61" s="100">
        <v>1222559.4378209258</v>
      </c>
      <c r="E61" s="100">
        <v>1222559.4378209258</v>
      </c>
      <c r="F61" s="100">
        <v>1222559.4378209258</v>
      </c>
      <c r="G61" s="100">
        <v>1144016.9889757745</v>
      </c>
      <c r="H61" s="100">
        <v>1144016.9889757745</v>
      </c>
      <c r="I61" s="100">
        <v>1144016.9889757745</v>
      </c>
      <c r="J61" s="100">
        <v>1144016.9889757745</v>
      </c>
      <c r="K61" s="100">
        <v>1202744.9266288572</v>
      </c>
      <c r="L61" s="100">
        <v>1202744.9266288572</v>
      </c>
      <c r="M61" s="100">
        <v>1202744.9266288572</v>
      </c>
      <c r="N61" s="100">
        <v>1202744.9266288572</v>
      </c>
      <c r="O61" s="100">
        <v>1175713.0188454895</v>
      </c>
      <c r="P61" s="100">
        <v>1175713.0188454895</v>
      </c>
      <c r="Q61" s="100">
        <v>1175713.0188454895</v>
      </c>
      <c r="R61" s="100">
        <v>1175713.0188454895</v>
      </c>
      <c r="S61" s="100">
        <v>1140489.2765552318</v>
      </c>
      <c r="T61" s="100">
        <v>1140489.2765552318</v>
      </c>
      <c r="U61" s="100">
        <v>1140489.2765552318</v>
      </c>
      <c r="V61" s="100">
        <v>1140489.2765552318</v>
      </c>
      <c r="W61" s="100">
        <v>1214264.3722566043</v>
      </c>
      <c r="X61" s="100">
        <v>1214264.3722566043</v>
      </c>
      <c r="Y61" s="100">
        <v>1214264.3722566043</v>
      </c>
      <c r="Z61" s="100">
        <v>1214264.3722566043</v>
      </c>
      <c r="AA61" s="100">
        <v>1115121.7262011052</v>
      </c>
      <c r="AB61" s="100">
        <v>1115121.7262011052</v>
      </c>
      <c r="AC61" s="100">
        <v>1115121.7262011052</v>
      </c>
      <c r="AD61" s="100">
        <v>1115121.7262011052</v>
      </c>
      <c r="AE61" s="100">
        <v>1203434.9072467089</v>
      </c>
      <c r="AF61" s="100">
        <v>1203434.9072467089</v>
      </c>
      <c r="AG61" s="100">
        <v>1203434.9072467089</v>
      </c>
      <c r="AH61" s="100">
        <v>1203434.9072467089</v>
      </c>
      <c r="AI61" s="100">
        <v>1099950.6488466875</v>
      </c>
      <c r="AJ61" s="100">
        <v>1099950.6488466875</v>
      </c>
      <c r="AK61" s="100">
        <v>1099950.6488466875</v>
      </c>
      <c r="AL61" s="100">
        <v>1099950.6488466875</v>
      </c>
      <c r="AM61" s="100">
        <v>1097657.6539370245</v>
      </c>
      <c r="AN61" s="100">
        <v>1097657.6539370245</v>
      </c>
      <c r="AO61" s="100">
        <v>1097657.6539370245</v>
      </c>
      <c r="AP61" s="100">
        <v>1097657.6539370245</v>
      </c>
      <c r="AQ61" s="100">
        <v>1156147.5445402239</v>
      </c>
      <c r="AR61" s="100">
        <v>1156147.5445402239</v>
      </c>
      <c r="AS61" s="100">
        <v>1156147.5445402239</v>
      </c>
      <c r="AT61" s="100">
        <v>1156147.5445402239</v>
      </c>
      <c r="AU61" s="100">
        <v>1305271.0129722855</v>
      </c>
      <c r="AV61" s="100">
        <v>1305271.0129722855</v>
      </c>
      <c r="AW61" s="100">
        <v>1305271.0129722855</v>
      </c>
      <c r="AX61" s="100">
        <v>1305271.0129722855</v>
      </c>
    </row>
    <row r="62" spans="2:51">
      <c r="B62" s="105" t="s">
        <v>108</v>
      </c>
      <c r="C62" s="100">
        <v>1.6978310134298311E-16</v>
      </c>
      <c r="D62" s="100">
        <v>1.6978310134298311E-16</v>
      </c>
      <c r="E62" s="100">
        <v>1.6978310134298311E-16</v>
      </c>
      <c r="F62" s="100">
        <v>1.6978310134298311E-16</v>
      </c>
      <c r="G62" s="100">
        <v>1.7407899933137562E-16</v>
      </c>
      <c r="H62" s="100">
        <v>1.7407899933137562E-16</v>
      </c>
      <c r="I62" s="100">
        <v>1.7407899933137562E-16</v>
      </c>
      <c r="J62" s="100">
        <v>1.7407899933137562E-16</v>
      </c>
      <c r="K62" s="100">
        <v>1.6993057152508662E-16</v>
      </c>
      <c r="L62" s="100">
        <v>1.6993057152508662E-16</v>
      </c>
      <c r="M62" s="100">
        <v>1.6993057152508662E-16</v>
      </c>
      <c r="N62" s="100">
        <v>1.6993057152508662E-16</v>
      </c>
      <c r="O62" s="100">
        <v>1.7401335040969122E-16</v>
      </c>
      <c r="P62" s="100">
        <v>1.7401335040969122E-16</v>
      </c>
      <c r="Q62" s="100">
        <v>1.7401335040969122E-16</v>
      </c>
      <c r="R62" s="100">
        <v>1.7401335040969122E-16</v>
      </c>
      <c r="S62" s="100">
        <v>1.7359174486042665E-16</v>
      </c>
      <c r="T62" s="100">
        <v>1.7359174486042665E-16</v>
      </c>
      <c r="U62" s="100">
        <v>1.7359174486042665E-16</v>
      </c>
      <c r="V62" s="100">
        <v>1.7359174486042665E-16</v>
      </c>
      <c r="W62" s="100">
        <v>1.6970062755134285E-16</v>
      </c>
      <c r="X62" s="100">
        <v>1.6970062755134285E-16</v>
      </c>
      <c r="Y62" s="100">
        <v>1.6970062755134285E-16</v>
      </c>
      <c r="Z62" s="100">
        <v>1.6970062755134285E-16</v>
      </c>
      <c r="AA62" s="100">
        <v>1.7046253251851787E-16</v>
      </c>
      <c r="AB62" s="100">
        <v>1.7046253251851787E-16</v>
      </c>
      <c r="AC62" s="100">
        <v>1.7046253251851787E-16</v>
      </c>
      <c r="AD62" s="100">
        <v>1.7046253251851787E-16</v>
      </c>
      <c r="AE62" s="100">
        <v>1.7639095380672296E-16</v>
      </c>
      <c r="AF62" s="100">
        <v>1.7639095380672296E-16</v>
      </c>
      <c r="AG62" s="100">
        <v>1.7639095380672296E-16</v>
      </c>
      <c r="AH62" s="100">
        <v>1.7639095380672296E-16</v>
      </c>
      <c r="AI62" s="100">
        <v>1.4911408608778089E-16</v>
      </c>
      <c r="AJ62" s="100">
        <v>1.4911408608778089E-16</v>
      </c>
      <c r="AK62" s="100">
        <v>1.4911408608778089E-16</v>
      </c>
      <c r="AL62" s="100">
        <v>1.4911408608778089E-16</v>
      </c>
      <c r="AM62" s="100">
        <v>1.7432622160372669E-16</v>
      </c>
      <c r="AN62" s="100">
        <v>1.7432622160372669E-16</v>
      </c>
      <c r="AO62" s="100">
        <v>1.7432622160372669E-16</v>
      </c>
      <c r="AP62" s="100">
        <v>1.7432622160372669E-16</v>
      </c>
      <c r="AQ62" s="100">
        <v>1.476218338351557E-16</v>
      </c>
      <c r="AR62" s="100">
        <v>1.476218338351557E-16</v>
      </c>
      <c r="AS62" s="100">
        <v>1.476218338351557E-16</v>
      </c>
      <c r="AT62" s="100">
        <v>1.476218338351557E-16</v>
      </c>
      <c r="AU62" s="100">
        <v>1.7610230376738866E-16</v>
      </c>
      <c r="AV62" s="100">
        <v>1.7610230376738866E-16</v>
      </c>
      <c r="AW62" s="100">
        <v>1.7610230376738866E-16</v>
      </c>
      <c r="AX62" s="100">
        <v>1.7610230376738866E-16</v>
      </c>
    </row>
    <row r="63" spans="2:51">
      <c r="B63" s="105" t="s">
        <v>109</v>
      </c>
      <c r="C63" s="100">
        <v>1.255118512732307E-16</v>
      </c>
      <c r="D63" s="100">
        <v>1.255118512732307E-16</v>
      </c>
      <c r="E63" s="100">
        <v>1.255118512732307E-16</v>
      </c>
      <c r="F63" s="100">
        <v>1.255118512732307E-16</v>
      </c>
      <c r="G63" s="100">
        <v>1.1563222549507679E-16</v>
      </c>
      <c r="H63" s="100">
        <v>1.1563222549507679E-16</v>
      </c>
      <c r="I63" s="100">
        <v>1.1563222549507679E-16</v>
      </c>
      <c r="J63" s="100">
        <v>1.1563222549507679E-16</v>
      </c>
      <c r="K63" s="100">
        <v>1.319497924976163E-16</v>
      </c>
      <c r="L63" s="100">
        <v>1.319497924976163E-16</v>
      </c>
      <c r="M63" s="100">
        <v>1.319497924976163E-16</v>
      </c>
      <c r="N63" s="100">
        <v>1.319497924976163E-16</v>
      </c>
      <c r="O63" s="100">
        <v>1.1487096362710884E-16</v>
      </c>
      <c r="P63" s="100">
        <v>1.1487096362710884E-16</v>
      </c>
      <c r="Q63" s="100">
        <v>1.1487096362710884E-16</v>
      </c>
      <c r="R63" s="100">
        <v>1.1487096362710884E-16</v>
      </c>
      <c r="S63" s="100">
        <v>1.3315919288326864E-16</v>
      </c>
      <c r="T63" s="100">
        <v>1.3315919288326864E-16</v>
      </c>
      <c r="U63" s="100">
        <v>1.3315919288326864E-16</v>
      </c>
      <c r="V63" s="100">
        <v>1.3315919288326864E-16</v>
      </c>
      <c r="W63" s="100">
        <v>1.2246932849410735E-16</v>
      </c>
      <c r="X63" s="100">
        <v>1.2246932849410735E-16</v>
      </c>
      <c r="Y63" s="100">
        <v>1.2246932849410735E-16</v>
      </c>
      <c r="Z63" s="100">
        <v>1.2246932849410735E-16</v>
      </c>
      <c r="AA63" s="100">
        <v>1.2701856347873043E-16</v>
      </c>
      <c r="AB63" s="100">
        <v>1.2701856347873043E-16</v>
      </c>
      <c r="AC63" s="100">
        <v>1.2701856347873043E-16</v>
      </c>
      <c r="AD63" s="100">
        <v>1.2701856347873043E-16</v>
      </c>
      <c r="AE63" s="100">
        <v>1.1610669864388534E-16</v>
      </c>
      <c r="AF63" s="100">
        <v>1.1610669864388534E-16</v>
      </c>
      <c r="AG63" s="100">
        <v>1.1610669864388534E-16</v>
      </c>
      <c r="AH63" s="100">
        <v>1.1610669864388534E-16</v>
      </c>
      <c r="AI63" s="100">
        <v>1.3483033161307683E-16</v>
      </c>
      <c r="AJ63" s="100">
        <v>1.3483033161307683E-16</v>
      </c>
      <c r="AK63" s="100">
        <v>1.3483033161307683E-16</v>
      </c>
      <c r="AL63" s="100">
        <v>1.3483033161307683E-16</v>
      </c>
      <c r="AM63" s="100">
        <v>1.259182542520088E-16</v>
      </c>
      <c r="AN63" s="100">
        <v>1.259182542520088E-16</v>
      </c>
      <c r="AO63" s="100">
        <v>1.259182542520088E-16</v>
      </c>
      <c r="AP63" s="100">
        <v>1.259182542520088E-16</v>
      </c>
      <c r="AQ63" s="100">
        <v>1.1426499058593681E-16</v>
      </c>
      <c r="AR63" s="100">
        <v>1.1426499058593681E-16</v>
      </c>
      <c r="AS63" s="100">
        <v>1.1426499058593681E-16</v>
      </c>
      <c r="AT63" s="100">
        <v>1.1426499058593681E-16</v>
      </c>
      <c r="AU63" s="100">
        <v>1.3341551160503033E-16</v>
      </c>
      <c r="AV63" s="100">
        <v>1.3341551160503033E-16</v>
      </c>
      <c r="AW63" s="100">
        <v>1.3341551160503033E-16</v>
      </c>
      <c r="AX63" s="100">
        <v>1.3341551160503033E-16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0.31932924689768349</v>
      </c>
      <c r="D67" s="100">
        <v>0.31932924689768349</v>
      </c>
      <c r="E67" s="100">
        <v>0.31932924689768349</v>
      </c>
      <c r="F67" s="100">
        <v>0.31932924689768349</v>
      </c>
      <c r="G67" s="100">
        <v>0.31932924689768349</v>
      </c>
      <c r="H67" s="100">
        <v>0.31932924689768349</v>
      </c>
      <c r="I67" s="100">
        <v>0.31932924689768349</v>
      </c>
      <c r="J67" s="100">
        <v>0.31932924689768349</v>
      </c>
      <c r="K67" s="100">
        <v>0.31932924689768349</v>
      </c>
      <c r="L67" s="100">
        <v>0.31932924689768349</v>
      </c>
      <c r="M67" s="100">
        <v>0.31932924689768349</v>
      </c>
      <c r="N67" s="100">
        <v>0.31932924689768349</v>
      </c>
    </row>
    <row r="68" spans="1:14">
      <c r="B68" s="99" t="s">
        <v>330</v>
      </c>
      <c r="C68" s="100">
        <v>0.41884428678890012</v>
      </c>
      <c r="D68" s="100">
        <v>0.41884428678890012</v>
      </c>
      <c r="E68" s="100">
        <v>0.41884428678890012</v>
      </c>
      <c r="F68" s="100">
        <v>0.41884428678890012</v>
      </c>
      <c r="G68" s="100">
        <v>0.41884428678890012</v>
      </c>
      <c r="H68" s="100">
        <v>0.41884428678890012</v>
      </c>
      <c r="I68" s="100">
        <v>0.41884428678890012</v>
      </c>
      <c r="J68" s="100">
        <v>0.41884428678890012</v>
      </c>
      <c r="K68" s="100">
        <v>0.41884428678890012</v>
      </c>
      <c r="L68" s="100">
        <v>0.41884428678890012</v>
      </c>
      <c r="M68" s="100">
        <v>0.41884428678890012</v>
      </c>
      <c r="N68" s="100">
        <v>0.41884428678890012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19.73459167437035</v>
      </c>
      <c r="D72" s="100">
        <v>42.100144549872539</v>
      </c>
      <c r="E72" s="100">
        <v>71.395327334588018</v>
      </c>
    </row>
    <row r="73" spans="1:14">
      <c r="B73" s="105" t="s">
        <v>93</v>
      </c>
      <c r="C73" s="100">
        <v>19.73459167437035</v>
      </c>
      <c r="D73" s="100">
        <v>42.100144549872539</v>
      </c>
      <c r="E73" s="100">
        <v>71.395327334588018</v>
      </c>
    </row>
    <row r="74" spans="1:14">
      <c r="B74" s="105" t="s">
        <v>94</v>
      </c>
      <c r="C74" s="100">
        <v>19.73459167437035</v>
      </c>
      <c r="D74" s="100">
        <v>42.100144549872539</v>
      </c>
      <c r="E74" s="100">
        <v>71.395327334588018</v>
      </c>
    </row>
    <row r="75" spans="1:14">
      <c r="B75" s="105" t="s">
        <v>95</v>
      </c>
      <c r="C75" s="100">
        <v>19.73459167437035</v>
      </c>
      <c r="D75" s="100">
        <v>42.100144549872539</v>
      </c>
      <c r="E75" s="100">
        <v>71.395327334588018</v>
      </c>
    </row>
    <row r="76" spans="1:14">
      <c r="B76" s="105" t="s">
        <v>96</v>
      </c>
      <c r="C76" s="100">
        <v>19.73459167437035</v>
      </c>
      <c r="D76" s="100">
        <v>42.100144549872539</v>
      </c>
      <c r="E76" s="100">
        <v>71.395327334588018</v>
      </c>
    </row>
    <row r="77" spans="1:14">
      <c r="B77" s="105" t="s">
        <v>97</v>
      </c>
      <c r="C77" s="100">
        <v>19.73459167437035</v>
      </c>
      <c r="D77" s="100">
        <v>42.100144549872539</v>
      </c>
      <c r="E77" s="100">
        <v>71.395327334588018</v>
      </c>
    </row>
    <row r="78" spans="1:14">
      <c r="B78" s="105" t="s">
        <v>98</v>
      </c>
      <c r="C78" s="100">
        <v>19.73459167437035</v>
      </c>
      <c r="D78" s="100">
        <v>42.100144549872539</v>
      </c>
      <c r="E78" s="100">
        <v>71.395327334588018</v>
      </c>
    </row>
    <row r="79" spans="1:14">
      <c r="B79" s="105" t="s">
        <v>99</v>
      </c>
      <c r="C79" s="100">
        <v>19.73459167437035</v>
      </c>
      <c r="D79" s="100">
        <v>42.100144549872539</v>
      </c>
      <c r="E79" s="100">
        <v>71.395327334588018</v>
      </c>
    </row>
    <row r="80" spans="1:14">
      <c r="B80" s="105" t="s">
        <v>100</v>
      </c>
      <c r="C80" s="100">
        <v>19.73459167437035</v>
      </c>
      <c r="D80" s="100">
        <v>42.100144549872539</v>
      </c>
      <c r="E80" s="100">
        <v>71.395327334588018</v>
      </c>
    </row>
    <row r="81" spans="2:50">
      <c r="B81" s="105" t="s">
        <v>101</v>
      </c>
      <c r="C81" s="100">
        <v>19.73459167437035</v>
      </c>
      <c r="D81" s="100">
        <v>42.100144549872539</v>
      </c>
      <c r="E81" s="100">
        <v>71.395327334588018</v>
      </c>
    </row>
    <row r="82" spans="2:50">
      <c r="B82" s="105" t="s">
        <v>102</v>
      </c>
      <c r="C82" s="100">
        <v>19.73459167437035</v>
      </c>
      <c r="D82" s="100">
        <v>42.100144549872539</v>
      </c>
      <c r="E82" s="100">
        <v>71.395327334588018</v>
      </c>
    </row>
    <row r="83" spans="2:50">
      <c r="B83" s="105" t="s">
        <v>103</v>
      </c>
      <c r="C83" s="100">
        <v>19.73459167437035</v>
      </c>
      <c r="D83" s="100">
        <v>42.100144549872539</v>
      </c>
      <c r="E83" s="100">
        <v>71.395327334588018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2604.0338171870412</v>
      </c>
      <c r="D88" s="100">
        <f>D48+$C$67/4</f>
        <v>2604.0338171870412</v>
      </c>
      <c r="E88" s="100">
        <f>E48+$C$67/4</f>
        <v>2604.0338171870412</v>
      </c>
      <c r="F88" s="100">
        <f>F48+$C$67/4</f>
        <v>2604.0338171870412</v>
      </c>
      <c r="G88" s="100">
        <f>G48+$D$67/4</f>
        <v>2604.0338171870412</v>
      </c>
      <c r="H88" s="100">
        <f>H48+$D$67/4</f>
        <v>2604.0338171870412</v>
      </c>
      <c r="I88" s="100">
        <f>I48+$D$67/4</f>
        <v>2604.0338171870412</v>
      </c>
      <c r="J88" s="100">
        <f>J48+$D$67/4</f>
        <v>2604.0338171870412</v>
      </c>
      <c r="K88" s="100">
        <f>K48+$E$67/4</f>
        <v>2604.0338171870412</v>
      </c>
      <c r="L88" s="100">
        <f>L48+$E$67/4</f>
        <v>2604.0338171870412</v>
      </c>
      <c r="M88" s="100">
        <f>M48+$E$67/4</f>
        <v>2604.0338171870412</v>
      </c>
      <c r="N88" s="100">
        <f>N48+$E$67/4</f>
        <v>2604.0338171870412</v>
      </c>
      <c r="O88" s="100">
        <f>O48+$F$67/4</f>
        <v>2604.0338171870412</v>
      </c>
      <c r="P88" s="100">
        <f>P48+$F$67/4</f>
        <v>2604.0338171870412</v>
      </c>
      <c r="Q88" s="100">
        <f>Q48+$F$67/4</f>
        <v>2604.0338171870412</v>
      </c>
      <c r="R88" s="100">
        <f>R48+$F$67/4</f>
        <v>2604.0338171870412</v>
      </c>
      <c r="S88" s="100">
        <f>S48+$G$67/4</f>
        <v>2083.2430202119781</v>
      </c>
      <c r="T88" s="100">
        <f>T48+$G$67/4</f>
        <v>2083.2430202119781</v>
      </c>
      <c r="U88" s="100">
        <f>U48+$G$67/4</f>
        <v>2083.2430202119781</v>
      </c>
      <c r="V88" s="100">
        <f>V48+$G$67/4</f>
        <v>2083.2430202119781</v>
      </c>
      <c r="W88" s="100">
        <f>W48+$H$67/4</f>
        <v>2604.0338171870412</v>
      </c>
      <c r="X88" s="100">
        <f>X48+$H$67/4</f>
        <v>2604.0338171870412</v>
      </c>
      <c r="Y88" s="100">
        <f>Y48+$H$67/4</f>
        <v>2604.0338171870412</v>
      </c>
      <c r="Z88" s="100">
        <f>Z48+$H$67/4</f>
        <v>2604.0338171870412</v>
      </c>
      <c r="AA88" s="100">
        <f>AA48+$I$67/4</f>
        <v>2604.0338171870412</v>
      </c>
      <c r="AB88" s="100">
        <f>AB48+$I$67/4</f>
        <v>2604.0338171870412</v>
      </c>
      <c r="AC88" s="100">
        <f>AC48+$I$67/4</f>
        <v>2604.0338171870412</v>
      </c>
      <c r="AD88" s="100">
        <f>AD48+$I$67/4</f>
        <v>2604.0338171870412</v>
      </c>
      <c r="AE88" s="100">
        <f>AE48+$J$67/4</f>
        <v>2604.0338171870412</v>
      </c>
      <c r="AF88" s="100">
        <f>AF48+$J$67/4</f>
        <v>2604.0338171870412</v>
      </c>
      <c r="AG88" s="100">
        <f>AG48+$J$67/4</f>
        <v>2604.0338171870412</v>
      </c>
      <c r="AH88" s="100">
        <f>AH48+$J$67/4</f>
        <v>2604.0338171870412</v>
      </c>
      <c r="AI88" s="100">
        <f>AI48+$K$67/4</f>
        <v>2604.0338171870412</v>
      </c>
      <c r="AJ88" s="100">
        <f>AJ48+$K$67/4</f>
        <v>2604.0338171870412</v>
      </c>
      <c r="AK88" s="100">
        <f>AK48+$K$67/4</f>
        <v>2604.0338171870412</v>
      </c>
      <c r="AL88" s="100">
        <f>AL48+$K$67/4</f>
        <v>2604.0338171870412</v>
      </c>
      <c r="AM88" s="100">
        <f>AM48+$L$67/4</f>
        <v>3124.8246141621044</v>
      </c>
      <c r="AN88" s="100">
        <f>AN48+$L$67/4</f>
        <v>3124.8246141621044</v>
      </c>
      <c r="AO88" s="100">
        <f>AO48+$L$67/4</f>
        <v>3124.8246141621044</v>
      </c>
      <c r="AP88" s="100">
        <f>AP48+$L$67/4</f>
        <v>3124.8246141621044</v>
      </c>
      <c r="AQ88" s="100">
        <f>AQ48+$M$67/4</f>
        <v>2604.0338171870412</v>
      </c>
      <c r="AR88" s="100">
        <f>AR48+$M$67/4</f>
        <v>2604.0338171870412</v>
      </c>
      <c r="AS88" s="100">
        <f>AS48+$M$67/4</f>
        <v>2604.0338171870412</v>
      </c>
      <c r="AT88" s="100">
        <f>AT48+$M$67/4</f>
        <v>2604.0338171870412</v>
      </c>
      <c r="AU88" s="100">
        <f>AU48+$N$67/4</f>
        <v>2604.0338171870412</v>
      </c>
      <c r="AV88" s="100">
        <f>AV48+$N$67/4</f>
        <v>2604.0338171870412</v>
      </c>
      <c r="AW88" s="100">
        <f>AW48+$N$67/4</f>
        <v>2604.0338171870412</v>
      </c>
      <c r="AX88" s="100">
        <f>AX48+$N$67/4</f>
        <v>2604.0338171870412</v>
      </c>
    </row>
    <row r="89" spans="2:50">
      <c r="B89" s="99" t="s">
        <v>105</v>
      </c>
      <c r="C89" s="100">
        <f>C49</f>
        <v>1.6000973590098739E-19</v>
      </c>
      <c r="D89" s="100">
        <f t="shared" ref="D89:AX93" si="3">D49</f>
        <v>1.6000973590098739E-19</v>
      </c>
      <c r="E89" s="100">
        <f t="shared" si="3"/>
        <v>1.6000973590098739E-19</v>
      </c>
      <c r="F89" s="100">
        <f t="shared" si="3"/>
        <v>1.6000973590098739E-19</v>
      </c>
      <c r="G89" s="100">
        <f t="shared" si="3"/>
        <v>0</v>
      </c>
      <c r="H89" s="100">
        <f t="shared" si="3"/>
        <v>0</v>
      </c>
      <c r="I89" s="100">
        <f t="shared" si="3"/>
        <v>0</v>
      </c>
      <c r="J89" s="100">
        <f t="shared" si="3"/>
        <v>0</v>
      </c>
      <c r="K89" s="100">
        <f t="shared" si="3"/>
        <v>1.6000973590098739E-19</v>
      </c>
      <c r="L89" s="100">
        <f t="shared" si="3"/>
        <v>1.6000973590098739E-19</v>
      </c>
      <c r="M89" s="100">
        <f t="shared" si="3"/>
        <v>1.6000973590098739E-19</v>
      </c>
      <c r="N89" s="100">
        <f t="shared" si="3"/>
        <v>1.6000973590098739E-19</v>
      </c>
      <c r="O89" s="100">
        <f t="shared" si="3"/>
        <v>1.6000973590098739E-19</v>
      </c>
      <c r="P89" s="100">
        <f t="shared" si="3"/>
        <v>1.6000973590098739E-19</v>
      </c>
      <c r="Q89" s="100">
        <f t="shared" si="3"/>
        <v>1.6000973590098739E-19</v>
      </c>
      <c r="R89" s="100">
        <f t="shared" si="3"/>
        <v>1.6000973590098739E-19</v>
      </c>
      <c r="S89" s="100">
        <f t="shared" si="3"/>
        <v>1.6000973590098739E-19</v>
      </c>
      <c r="T89" s="100">
        <f t="shared" si="3"/>
        <v>1.6000973590098739E-19</v>
      </c>
      <c r="U89" s="100">
        <f t="shared" si="3"/>
        <v>1.6000973590098739E-19</v>
      </c>
      <c r="V89" s="100">
        <f t="shared" si="3"/>
        <v>1.6000973590098739E-19</v>
      </c>
      <c r="W89" s="100">
        <f t="shared" si="3"/>
        <v>1.2800778872078991E-19</v>
      </c>
      <c r="X89" s="100">
        <f t="shared" si="3"/>
        <v>1.2800778872078991E-19</v>
      </c>
      <c r="Y89" s="100">
        <f t="shared" si="3"/>
        <v>1.2800778872078991E-19</v>
      </c>
      <c r="Z89" s="100">
        <f t="shared" si="3"/>
        <v>1.2800778872078991E-19</v>
      </c>
      <c r="AA89" s="100">
        <f t="shared" si="3"/>
        <v>1.6000973590098739E-19</v>
      </c>
      <c r="AB89" s="100">
        <f t="shared" si="3"/>
        <v>1.6000973590098739E-19</v>
      </c>
      <c r="AC89" s="100">
        <f t="shared" si="3"/>
        <v>1.6000973590098739E-19</v>
      </c>
      <c r="AD89" s="100">
        <f t="shared" si="3"/>
        <v>1.6000973590098739E-19</v>
      </c>
      <c r="AE89" s="100">
        <f t="shared" si="3"/>
        <v>1.6000973590098739E-19</v>
      </c>
      <c r="AF89" s="100">
        <f t="shared" si="3"/>
        <v>1.6000973590098739E-19</v>
      </c>
      <c r="AG89" s="100">
        <f t="shared" si="3"/>
        <v>1.6000973590098739E-19</v>
      </c>
      <c r="AH89" s="100">
        <f t="shared" si="3"/>
        <v>1.6000973590098739E-19</v>
      </c>
      <c r="AI89" s="100">
        <f t="shared" si="3"/>
        <v>1.6000973590098739E-19</v>
      </c>
      <c r="AJ89" s="100">
        <f t="shared" si="3"/>
        <v>1.6000973590098739E-19</v>
      </c>
      <c r="AK89" s="100">
        <f t="shared" si="3"/>
        <v>1.6000973590098739E-19</v>
      </c>
      <c r="AL89" s="100">
        <f t="shared" si="3"/>
        <v>1.6000973590098739E-19</v>
      </c>
      <c r="AM89" s="100">
        <f t="shared" si="3"/>
        <v>1.9201168308118487E-19</v>
      </c>
      <c r="AN89" s="100">
        <f t="shared" si="3"/>
        <v>1.9201168308118487E-19</v>
      </c>
      <c r="AO89" s="100">
        <f t="shared" si="3"/>
        <v>1.9201168308118487E-19</v>
      </c>
      <c r="AP89" s="100">
        <f t="shared" si="3"/>
        <v>1.9201168308118487E-19</v>
      </c>
      <c r="AQ89" s="100">
        <f t="shared" si="3"/>
        <v>1.6000973590098739E-19</v>
      </c>
      <c r="AR89" s="100">
        <f t="shared" si="3"/>
        <v>1.6000973590098739E-19</v>
      </c>
      <c r="AS89" s="100">
        <f t="shared" si="3"/>
        <v>1.6000973590098739E-19</v>
      </c>
      <c r="AT89" s="100">
        <f t="shared" si="3"/>
        <v>1.6000973590098739E-19</v>
      </c>
      <c r="AU89" s="100">
        <f t="shared" si="3"/>
        <v>1.6000973590098739E-19</v>
      </c>
      <c r="AV89" s="100">
        <f t="shared" si="3"/>
        <v>1.6000973590098739E-19</v>
      </c>
      <c r="AW89" s="100">
        <f t="shared" si="3"/>
        <v>1.6000973590098739E-19</v>
      </c>
      <c r="AX89" s="100">
        <f t="shared" si="3"/>
        <v>1.6000973590098739E-19</v>
      </c>
    </row>
    <row r="90" spans="2:50">
      <c r="B90" s="99" t="s">
        <v>106</v>
      </c>
      <c r="C90" s="100">
        <f t="shared" ref="C90:R93" si="4">C50</f>
        <v>80</v>
      </c>
      <c r="D90" s="100">
        <f t="shared" si="4"/>
        <v>80</v>
      </c>
      <c r="E90" s="100">
        <f t="shared" si="4"/>
        <v>80</v>
      </c>
      <c r="F90" s="100">
        <f t="shared" si="4"/>
        <v>80</v>
      </c>
      <c r="G90" s="100">
        <f t="shared" si="4"/>
        <v>180</v>
      </c>
      <c r="H90" s="100">
        <f t="shared" si="4"/>
        <v>180</v>
      </c>
      <c r="I90" s="100">
        <f t="shared" si="4"/>
        <v>180</v>
      </c>
      <c r="J90" s="100">
        <f t="shared" si="4"/>
        <v>180</v>
      </c>
      <c r="K90" s="100">
        <f t="shared" si="4"/>
        <v>150</v>
      </c>
      <c r="L90" s="100">
        <f t="shared" si="4"/>
        <v>150</v>
      </c>
      <c r="M90" s="100">
        <f t="shared" si="4"/>
        <v>150</v>
      </c>
      <c r="N90" s="100">
        <f t="shared" si="4"/>
        <v>150</v>
      </c>
      <c r="O90" s="100">
        <f t="shared" si="4"/>
        <v>150</v>
      </c>
      <c r="P90" s="100">
        <f t="shared" si="4"/>
        <v>150</v>
      </c>
      <c r="Q90" s="100">
        <f t="shared" si="4"/>
        <v>150</v>
      </c>
      <c r="R90" s="100">
        <f t="shared" si="4"/>
        <v>150</v>
      </c>
      <c r="S90" s="100">
        <f t="shared" si="3"/>
        <v>150</v>
      </c>
      <c r="T90" s="100">
        <f t="shared" si="3"/>
        <v>150</v>
      </c>
      <c r="U90" s="100">
        <f t="shared" si="3"/>
        <v>150</v>
      </c>
      <c r="V90" s="100">
        <f t="shared" si="3"/>
        <v>150</v>
      </c>
      <c r="W90" s="100">
        <f t="shared" si="3"/>
        <v>120</v>
      </c>
      <c r="X90" s="100">
        <f t="shared" si="3"/>
        <v>120</v>
      </c>
      <c r="Y90" s="100">
        <f t="shared" si="3"/>
        <v>120</v>
      </c>
      <c r="Z90" s="100">
        <f t="shared" si="3"/>
        <v>120</v>
      </c>
      <c r="AA90" s="100">
        <f t="shared" si="3"/>
        <v>0</v>
      </c>
      <c r="AB90" s="100">
        <f t="shared" si="3"/>
        <v>0</v>
      </c>
      <c r="AC90" s="100">
        <f t="shared" si="3"/>
        <v>0</v>
      </c>
      <c r="AD90" s="100">
        <f t="shared" si="3"/>
        <v>0</v>
      </c>
      <c r="AE90" s="100">
        <f t="shared" si="3"/>
        <v>150</v>
      </c>
      <c r="AF90" s="100">
        <f t="shared" si="3"/>
        <v>150</v>
      </c>
      <c r="AG90" s="100">
        <f t="shared" si="3"/>
        <v>150</v>
      </c>
      <c r="AH90" s="100">
        <f t="shared" si="3"/>
        <v>150</v>
      </c>
      <c r="AI90" s="100">
        <f t="shared" si="3"/>
        <v>180</v>
      </c>
      <c r="AJ90" s="100">
        <f t="shared" si="3"/>
        <v>180</v>
      </c>
      <c r="AK90" s="100">
        <f t="shared" si="3"/>
        <v>180</v>
      </c>
      <c r="AL90" s="100">
        <f t="shared" si="3"/>
        <v>180</v>
      </c>
      <c r="AM90" s="100">
        <f t="shared" si="3"/>
        <v>150</v>
      </c>
      <c r="AN90" s="100">
        <f t="shared" si="3"/>
        <v>150</v>
      </c>
      <c r="AO90" s="100">
        <f t="shared" si="3"/>
        <v>150</v>
      </c>
      <c r="AP90" s="100">
        <f t="shared" si="3"/>
        <v>150</v>
      </c>
      <c r="AQ90" s="100">
        <f t="shared" si="3"/>
        <v>180</v>
      </c>
      <c r="AR90" s="100">
        <f t="shared" si="3"/>
        <v>180</v>
      </c>
      <c r="AS90" s="100">
        <f t="shared" si="3"/>
        <v>180</v>
      </c>
      <c r="AT90" s="100">
        <f t="shared" si="3"/>
        <v>180</v>
      </c>
      <c r="AU90" s="100">
        <f t="shared" si="3"/>
        <v>150</v>
      </c>
      <c r="AV90" s="100">
        <f t="shared" si="3"/>
        <v>150</v>
      </c>
      <c r="AW90" s="100">
        <f t="shared" si="3"/>
        <v>150</v>
      </c>
      <c r="AX90" s="100">
        <f t="shared" si="3"/>
        <v>150</v>
      </c>
    </row>
    <row r="91" spans="2:50">
      <c r="B91" s="99" t="s">
        <v>107</v>
      </c>
      <c r="C91" s="100">
        <f t="shared" si="4"/>
        <v>817.22257048204995</v>
      </c>
      <c r="D91" s="100">
        <f t="shared" si="3"/>
        <v>817.22257048204995</v>
      </c>
      <c r="E91" s="100">
        <f t="shared" si="3"/>
        <v>817.22257048204995</v>
      </c>
      <c r="F91" s="100">
        <f t="shared" si="3"/>
        <v>817.22257048204995</v>
      </c>
      <c r="G91" s="100">
        <f t="shared" si="3"/>
        <v>817.22257048204995</v>
      </c>
      <c r="H91" s="100">
        <f t="shared" si="3"/>
        <v>817.22257048204995</v>
      </c>
      <c r="I91" s="100">
        <f t="shared" si="3"/>
        <v>817.22257048204995</v>
      </c>
      <c r="J91" s="100">
        <f t="shared" si="3"/>
        <v>817.22257048204995</v>
      </c>
      <c r="K91" s="100">
        <f t="shared" si="3"/>
        <v>817.22257048204995</v>
      </c>
      <c r="L91" s="100">
        <f t="shared" si="3"/>
        <v>817.22257048204995</v>
      </c>
      <c r="M91" s="100">
        <f t="shared" si="3"/>
        <v>817.22257048204995</v>
      </c>
      <c r="N91" s="100">
        <f t="shared" si="3"/>
        <v>817.22257048204995</v>
      </c>
      <c r="O91" s="100">
        <f t="shared" si="3"/>
        <v>817.22257048204995</v>
      </c>
      <c r="P91" s="100">
        <f t="shared" si="3"/>
        <v>817.22257048204995</v>
      </c>
      <c r="Q91" s="100">
        <f t="shared" si="3"/>
        <v>817.22257048204995</v>
      </c>
      <c r="R91" s="100">
        <f t="shared" si="3"/>
        <v>817.22257048204995</v>
      </c>
      <c r="S91" s="100">
        <f t="shared" si="3"/>
        <v>817.22257048204995</v>
      </c>
      <c r="T91" s="100">
        <f t="shared" si="3"/>
        <v>817.22257048204995</v>
      </c>
      <c r="U91" s="100">
        <f t="shared" si="3"/>
        <v>817.22257048204995</v>
      </c>
      <c r="V91" s="100">
        <f t="shared" si="3"/>
        <v>817.22257048204995</v>
      </c>
      <c r="W91" s="100">
        <f t="shared" si="3"/>
        <v>817.22257048204995</v>
      </c>
      <c r="X91" s="100">
        <f t="shared" si="3"/>
        <v>817.22257048204995</v>
      </c>
      <c r="Y91" s="100">
        <f t="shared" si="3"/>
        <v>817.22257048204995</v>
      </c>
      <c r="Z91" s="100">
        <f t="shared" si="3"/>
        <v>817.22257048204995</v>
      </c>
      <c r="AA91" s="100">
        <f t="shared" si="3"/>
        <v>817.22257048204995</v>
      </c>
      <c r="AB91" s="100">
        <f t="shared" si="3"/>
        <v>817.22257048204995</v>
      </c>
      <c r="AC91" s="100">
        <f t="shared" si="3"/>
        <v>817.22257048204995</v>
      </c>
      <c r="AD91" s="100">
        <f t="shared" si="3"/>
        <v>817.22257048204995</v>
      </c>
      <c r="AE91" s="100">
        <f t="shared" si="3"/>
        <v>817.22257048204995</v>
      </c>
      <c r="AF91" s="100">
        <f t="shared" si="3"/>
        <v>817.22257048204995</v>
      </c>
      <c r="AG91" s="100">
        <f t="shared" si="3"/>
        <v>817.22257048204995</v>
      </c>
      <c r="AH91" s="100">
        <f t="shared" si="3"/>
        <v>817.22257048204995</v>
      </c>
      <c r="AI91" s="100">
        <f t="shared" si="3"/>
        <v>817.22257048204995</v>
      </c>
      <c r="AJ91" s="100">
        <f t="shared" si="3"/>
        <v>817.22257048204995</v>
      </c>
      <c r="AK91" s="100">
        <f t="shared" si="3"/>
        <v>817.22257048204995</v>
      </c>
      <c r="AL91" s="100">
        <f t="shared" si="3"/>
        <v>817.22257048204995</v>
      </c>
      <c r="AM91" s="100">
        <f t="shared" si="3"/>
        <v>817.22257048204995</v>
      </c>
      <c r="AN91" s="100">
        <f t="shared" si="3"/>
        <v>817.22257048204995</v>
      </c>
      <c r="AO91" s="100">
        <f t="shared" si="3"/>
        <v>817.22257048204995</v>
      </c>
      <c r="AP91" s="100">
        <f t="shared" si="3"/>
        <v>817.22257048204995</v>
      </c>
      <c r="AQ91" s="100">
        <f t="shared" si="3"/>
        <v>817.22257048204995</v>
      </c>
      <c r="AR91" s="100">
        <f t="shared" si="3"/>
        <v>817.22257048204995</v>
      </c>
      <c r="AS91" s="100">
        <f t="shared" si="3"/>
        <v>817.22257048204995</v>
      </c>
      <c r="AT91" s="100">
        <f t="shared" si="3"/>
        <v>817.22257048204995</v>
      </c>
      <c r="AU91" s="100">
        <f t="shared" si="3"/>
        <v>817.22257048204995</v>
      </c>
      <c r="AV91" s="100">
        <f t="shared" si="3"/>
        <v>817.22257048204995</v>
      </c>
      <c r="AW91" s="100">
        <f t="shared" si="3"/>
        <v>817.22257048204995</v>
      </c>
      <c r="AX91" s="100">
        <f t="shared" si="3"/>
        <v>817.22257048204995</v>
      </c>
    </row>
    <row r="92" spans="2:50">
      <c r="B92" s="99" t="s">
        <v>108</v>
      </c>
      <c r="C92" s="100">
        <f t="shared" si="4"/>
        <v>1.2689438042137247E-19</v>
      </c>
      <c r="D92" s="100">
        <f t="shared" si="4"/>
        <v>1.2689438042137247E-19</v>
      </c>
      <c r="E92" s="100">
        <f t="shared" si="4"/>
        <v>1.2689438042137247E-19</v>
      </c>
      <c r="F92" s="100">
        <f t="shared" si="4"/>
        <v>1.2689438042137247E-19</v>
      </c>
      <c r="G92" s="100">
        <f t="shared" si="4"/>
        <v>1.2689438042137247E-19</v>
      </c>
      <c r="H92" s="100">
        <f t="shared" si="4"/>
        <v>1.2689438042137247E-19</v>
      </c>
      <c r="I92" s="100">
        <f t="shared" si="4"/>
        <v>1.2689438042137247E-19</v>
      </c>
      <c r="J92" s="100">
        <f t="shared" si="4"/>
        <v>1.2689438042137247E-19</v>
      </c>
      <c r="K92" s="100">
        <f t="shared" si="4"/>
        <v>1.2689438042137247E-19</v>
      </c>
      <c r="L92" s="100">
        <f t="shared" si="4"/>
        <v>1.2689438042137247E-19</v>
      </c>
      <c r="M92" s="100">
        <f t="shared" si="4"/>
        <v>1.2689438042137247E-19</v>
      </c>
      <c r="N92" s="100">
        <f t="shared" si="4"/>
        <v>1.2689438042137247E-19</v>
      </c>
      <c r="O92" s="100">
        <f t="shared" si="4"/>
        <v>1.2689438042137247E-19</v>
      </c>
      <c r="P92" s="100">
        <f t="shared" si="4"/>
        <v>1.2689438042137247E-19</v>
      </c>
      <c r="Q92" s="100">
        <f t="shared" si="4"/>
        <v>1.2689438042137247E-19</v>
      </c>
      <c r="R92" s="100">
        <f t="shared" si="4"/>
        <v>1.2689438042137247E-19</v>
      </c>
      <c r="S92" s="100">
        <f t="shared" si="3"/>
        <v>1.2689438042137247E-19</v>
      </c>
      <c r="T92" s="100">
        <f t="shared" si="3"/>
        <v>1.2689438042137247E-19</v>
      </c>
      <c r="U92" s="100">
        <f t="shared" si="3"/>
        <v>1.2689438042137247E-19</v>
      </c>
      <c r="V92" s="100">
        <f t="shared" si="3"/>
        <v>1.2689438042137247E-19</v>
      </c>
      <c r="W92" s="100">
        <f t="shared" si="3"/>
        <v>1.2689438042137247E-19</v>
      </c>
      <c r="X92" s="100">
        <f t="shared" si="3"/>
        <v>1.2689438042137247E-19</v>
      </c>
      <c r="Y92" s="100">
        <f t="shared" si="3"/>
        <v>1.2689438042137247E-19</v>
      </c>
      <c r="Z92" s="100">
        <f t="shared" si="3"/>
        <v>1.2689438042137247E-19</v>
      </c>
      <c r="AA92" s="100">
        <f t="shared" si="3"/>
        <v>1.2689438042137247E-19</v>
      </c>
      <c r="AB92" s="100">
        <f t="shared" si="3"/>
        <v>1.2689438042137247E-19</v>
      </c>
      <c r="AC92" s="100">
        <f t="shared" si="3"/>
        <v>1.2689438042137247E-19</v>
      </c>
      <c r="AD92" s="100">
        <f t="shared" si="3"/>
        <v>1.2689438042137247E-19</v>
      </c>
      <c r="AE92" s="100">
        <f t="shared" si="3"/>
        <v>1.2689438042137247E-19</v>
      </c>
      <c r="AF92" s="100">
        <f t="shared" si="3"/>
        <v>1.2689438042137247E-19</v>
      </c>
      <c r="AG92" s="100">
        <f t="shared" si="3"/>
        <v>1.2689438042137247E-19</v>
      </c>
      <c r="AH92" s="100">
        <f t="shared" si="3"/>
        <v>1.2689438042137247E-19</v>
      </c>
      <c r="AI92" s="100">
        <f t="shared" si="3"/>
        <v>1.057453170178104E-19</v>
      </c>
      <c r="AJ92" s="100">
        <f t="shared" si="3"/>
        <v>1.057453170178104E-19</v>
      </c>
      <c r="AK92" s="100">
        <f t="shared" si="3"/>
        <v>1.057453170178104E-19</v>
      </c>
      <c r="AL92" s="100">
        <f t="shared" si="3"/>
        <v>1.057453170178104E-19</v>
      </c>
      <c r="AM92" s="100">
        <f t="shared" si="3"/>
        <v>1.2689438042137247E-19</v>
      </c>
      <c r="AN92" s="100">
        <f t="shared" si="3"/>
        <v>1.2689438042137247E-19</v>
      </c>
      <c r="AO92" s="100">
        <f t="shared" si="3"/>
        <v>1.2689438042137247E-19</v>
      </c>
      <c r="AP92" s="100">
        <f t="shared" si="3"/>
        <v>1.2689438042137247E-19</v>
      </c>
      <c r="AQ92" s="100">
        <f t="shared" si="3"/>
        <v>1.057453170178104E-19</v>
      </c>
      <c r="AR92" s="100">
        <f t="shared" si="3"/>
        <v>1.057453170178104E-19</v>
      </c>
      <c r="AS92" s="100">
        <f t="shared" si="3"/>
        <v>1.057453170178104E-19</v>
      </c>
      <c r="AT92" s="100">
        <f t="shared" si="3"/>
        <v>1.057453170178104E-19</v>
      </c>
      <c r="AU92" s="100">
        <f t="shared" si="3"/>
        <v>1.2689438042137247E-19</v>
      </c>
      <c r="AV92" s="100">
        <f t="shared" si="3"/>
        <v>1.2689438042137247E-19</v>
      </c>
      <c r="AW92" s="100">
        <f t="shared" si="3"/>
        <v>1.2689438042137247E-19</v>
      </c>
      <c r="AX92" s="100">
        <f t="shared" si="3"/>
        <v>1.2689438042137247E-19</v>
      </c>
    </row>
    <row r="93" spans="2:50">
      <c r="B93" s="99" t="s">
        <v>109</v>
      </c>
      <c r="C93" s="100">
        <f t="shared" si="4"/>
        <v>9.8015174189890611E-20</v>
      </c>
      <c r="D93" s="100">
        <f t="shared" si="4"/>
        <v>9.8015174189890611E-20</v>
      </c>
      <c r="E93" s="100">
        <f t="shared" si="4"/>
        <v>9.8015174189890611E-20</v>
      </c>
      <c r="F93" s="100">
        <f t="shared" si="4"/>
        <v>9.8015174189890611E-20</v>
      </c>
      <c r="G93" s="100">
        <f t="shared" si="4"/>
        <v>8.1679311824908848E-20</v>
      </c>
      <c r="H93" s="100">
        <f t="shared" si="4"/>
        <v>8.1679311824908848E-20</v>
      </c>
      <c r="I93" s="100">
        <f t="shared" si="4"/>
        <v>8.1679311824908848E-20</v>
      </c>
      <c r="J93" s="100">
        <f t="shared" si="4"/>
        <v>8.1679311824908848E-20</v>
      </c>
      <c r="K93" s="100">
        <f t="shared" si="4"/>
        <v>9.8015174189890611E-20</v>
      </c>
      <c r="L93" s="100">
        <f t="shared" si="4"/>
        <v>9.8015174189890611E-20</v>
      </c>
      <c r="M93" s="100">
        <f t="shared" si="4"/>
        <v>9.8015174189890611E-20</v>
      </c>
      <c r="N93" s="100">
        <f t="shared" si="4"/>
        <v>9.8015174189890611E-20</v>
      </c>
      <c r="O93" s="100">
        <f t="shared" si="4"/>
        <v>8.1679311824908848E-20</v>
      </c>
      <c r="P93" s="100">
        <f t="shared" si="4"/>
        <v>8.1679311824908848E-20</v>
      </c>
      <c r="Q93" s="100">
        <f t="shared" si="4"/>
        <v>8.1679311824908848E-20</v>
      </c>
      <c r="R93" s="100">
        <f t="shared" si="4"/>
        <v>8.1679311824908848E-20</v>
      </c>
      <c r="S93" s="100">
        <f t="shared" si="3"/>
        <v>9.8015174189890611E-20</v>
      </c>
      <c r="T93" s="100">
        <f t="shared" si="3"/>
        <v>9.8015174189890611E-20</v>
      </c>
      <c r="U93" s="100">
        <f t="shared" si="3"/>
        <v>9.8015174189890611E-20</v>
      </c>
      <c r="V93" s="100">
        <f t="shared" si="3"/>
        <v>9.8015174189890611E-20</v>
      </c>
      <c r="W93" s="100">
        <f t="shared" si="3"/>
        <v>9.8015174189890611E-20</v>
      </c>
      <c r="X93" s="100">
        <f t="shared" si="3"/>
        <v>9.8015174189890611E-20</v>
      </c>
      <c r="Y93" s="100">
        <f t="shared" si="3"/>
        <v>9.8015174189890611E-20</v>
      </c>
      <c r="Z93" s="100">
        <f t="shared" si="3"/>
        <v>9.8015174189890611E-20</v>
      </c>
      <c r="AA93" s="100">
        <f t="shared" si="3"/>
        <v>9.8015174189890611E-20</v>
      </c>
      <c r="AB93" s="100">
        <f t="shared" si="3"/>
        <v>9.8015174189890611E-20</v>
      </c>
      <c r="AC93" s="100">
        <f t="shared" si="3"/>
        <v>9.8015174189890611E-20</v>
      </c>
      <c r="AD93" s="100">
        <f t="shared" si="3"/>
        <v>9.8015174189890611E-20</v>
      </c>
      <c r="AE93" s="100">
        <f t="shared" si="3"/>
        <v>8.1679311824908848E-20</v>
      </c>
      <c r="AF93" s="100">
        <f t="shared" si="3"/>
        <v>8.1679311824908848E-20</v>
      </c>
      <c r="AG93" s="100">
        <f t="shared" si="3"/>
        <v>8.1679311824908848E-20</v>
      </c>
      <c r="AH93" s="100">
        <f t="shared" si="3"/>
        <v>8.1679311824908848E-20</v>
      </c>
      <c r="AI93" s="100">
        <f t="shared" si="3"/>
        <v>9.8015174189890611E-20</v>
      </c>
      <c r="AJ93" s="100">
        <f t="shared" si="3"/>
        <v>9.8015174189890611E-20</v>
      </c>
      <c r="AK93" s="100">
        <f t="shared" si="3"/>
        <v>9.8015174189890611E-20</v>
      </c>
      <c r="AL93" s="100">
        <f t="shared" si="3"/>
        <v>9.8015174189890611E-20</v>
      </c>
      <c r="AM93" s="100">
        <f t="shared" si="3"/>
        <v>9.8015174189890611E-20</v>
      </c>
      <c r="AN93" s="100">
        <f t="shared" si="3"/>
        <v>9.8015174189890611E-20</v>
      </c>
      <c r="AO93" s="100">
        <f t="shared" si="3"/>
        <v>9.8015174189890611E-20</v>
      </c>
      <c r="AP93" s="100">
        <f t="shared" si="3"/>
        <v>9.8015174189890611E-20</v>
      </c>
      <c r="AQ93" s="100">
        <f t="shared" si="3"/>
        <v>8.1679311824908848E-20</v>
      </c>
      <c r="AR93" s="100">
        <f t="shared" si="3"/>
        <v>8.1679311824908848E-20</v>
      </c>
      <c r="AS93" s="100">
        <f t="shared" si="3"/>
        <v>8.1679311824908848E-20</v>
      </c>
      <c r="AT93" s="100">
        <f t="shared" si="3"/>
        <v>8.1679311824908848E-20</v>
      </c>
      <c r="AU93" s="100">
        <f t="shared" si="3"/>
        <v>9.8015174189890611E-20</v>
      </c>
      <c r="AV93" s="100">
        <f t="shared" si="3"/>
        <v>9.8015174189890611E-20</v>
      </c>
      <c r="AW93" s="100">
        <f t="shared" si="3"/>
        <v>9.8015174189890611E-20</v>
      </c>
      <c r="AX93" s="100">
        <f t="shared" si="3"/>
        <v>9.8015174189890611E-20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2.0094730379658976E-17</v>
      </c>
      <c r="D98" s="100">
        <v>2.0094730379658976E-17</v>
      </c>
      <c r="E98" s="100">
        <v>2.0094730379658976E-17</v>
      </c>
      <c r="F98" s="100">
        <v>2.0094730379658976E-17</v>
      </c>
      <c r="G98" s="100">
        <v>2.0094730379658976E-17</v>
      </c>
      <c r="H98" s="100">
        <v>2.0094730379658976E-17</v>
      </c>
      <c r="I98" s="100">
        <v>2.0094730379658976E-17</v>
      </c>
      <c r="J98" s="100">
        <v>2.0094730379658976E-17</v>
      </c>
      <c r="K98" s="100">
        <v>2.0094730379658976E-17</v>
      </c>
      <c r="L98" s="100">
        <v>2.0094730379658976E-17</v>
      </c>
      <c r="M98" s="100">
        <v>2.0094730379658976E-17</v>
      </c>
      <c r="N98" s="100">
        <v>2.0094730379658976E-17</v>
      </c>
      <c r="O98" s="100">
        <v>2.0094730379658976E-17</v>
      </c>
      <c r="P98" s="100">
        <v>2.0094730379658976E-17</v>
      </c>
      <c r="Q98" s="100">
        <v>2.0094730379658976E-17</v>
      </c>
      <c r="R98" s="100">
        <v>2.0094730379658976E-17</v>
      </c>
      <c r="S98" s="100">
        <v>1.6075907513246899E-17</v>
      </c>
      <c r="T98" s="100">
        <v>1.6075907513246899E-17</v>
      </c>
      <c r="U98" s="100">
        <v>1.6075907513246899E-17</v>
      </c>
      <c r="V98" s="100">
        <v>1.6075907513246899E-17</v>
      </c>
      <c r="W98" s="100">
        <v>2.0094730379658976E-17</v>
      </c>
      <c r="X98" s="100">
        <v>2.0094730379658976E-17</v>
      </c>
      <c r="Y98" s="100">
        <v>2.0094730379658976E-17</v>
      </c>
      <c r="Z98" s="100">
        <v>2.0094730379658976E-17</v>
      </c>
      <c r="AA98" s="100">
        <v>2.0094730379658976E-17</v>
      </c>
      <c r="AB98" s="100">
        <v>2.0094730379658976E-17</v>
      </c>
      <c r="AC98" s="100">
        <v>2.0094730379658976E-17</v>
      </c>
      <c r="AD98" s="100">
        <v>2.0094730379658976E-17</v>
      </c>
      <c r="AE98" s="100">
        <v>2.0094730379658976E-17</v>
      </c>
      <c r="AF98" s="100">
        <v>2.0094730379658976E-17</v>
      </c>
      <c r="AG98" s="100">
        <v>2.0094730379658976E-17</v>
      </c>
      <c r="AH98" s="100">
        <v>2.0094730379658976E-17</v>
      </c>
      <c r="AI98" s="100">
        <v>2.0094730379658976E-17</v>
      </c>
      <c r="AJ98" s="100">
        <v>2.0094730379658976E-17</v>
      </c>
      <c r="AK98" s="100">
        <v>2.0094730379658976E-17</v>
      </c>
      <c r="AL98" s="100">
        <v>2.0094730379658976E-17</v>
      </c>
      <c r="AM98" s="100">
        <v>2.4113553246071053E-17</v>
      </c>
      <c r="AN98" s="100">
        <v>2.4113553246071053E-17</v>
      </c>
      <c r="AO98" s="100">
        <v>2.4113553246071053E-17</v>
      </c>
      <c r="AP98" s="100">
        <v>2.4113553246071053E-17</v>
      </c>
      <c r="AQ98" s="100">
        <v>2.0094730379658976E-17</v>
      </c>
      <c r="AR98" s="100">
        <v>2.0094730379658976E-17</v>
      </c>
      <c r="AS98" s="100">
        <v>2.0094730379658976E-17</v>
      </c>
      <c r="AT98" s="100">
        <v>2.0094730379658976E-17</v>
      </c>
      <c r="AU98" s="100">
        <v>2.0094730379658976E-17</v>
      </c>
      <c r="AV98" s="100">
        <v>2.0094730379658976E-17</v>
      </c>
      <c r="AW98" s="100">
        <v>2.0094730379658976E-17</v>
      </c>
      <c r="AX98" s="100">
        <v>2.0094730379658976E-17</v>
      </c>
    </row>
    <row r="99" spans="1:50">
      <c r="B99" s="105" t="s">
        <v>12</v>
      </c>
      <c r="C99" s="100">
        <v>397142.53090137395</v>
      </c>
      <c r="D99" s="100">
        <v>397142.53090137395</v>
      </c>
      <c r="E99" s="100">
        <v>397142.53090137395</v>
      </c>
      <c r="F99" s="100">
        <v>397142.53090137395</v>
      </c>
      <c r="G99" s="100">
        <v>397142.53090137395</v>
      </c>
      <c r="H99" s="100">
        <v>397142.53090137395</v>
      </c>
      <c r="I99" s="100">
        <v>397142.53090137395</v>
      </c>
      <c r="J99" s="100">
        <v>397142.53090137395</v>
      </c>
      <c r="K99" s="100">
        <v>397142.53090137395</v>
      </c>
      <c r="L99" s="100">
        <v>397142.53090137395</v>
      </c>
      <c r="M99" s="100">
        <v>397142.53090137395</v>
      </c>
      <c r="N99" s="100">
        <v>397142.53090137395</v>
      </c>
      <c r="O99" s="100">
        <v>397142.53090137395</v>
      </c>
      <c r="P99" s="100">
        <v>397142.53090137395</v>
      </c>
      <c r="Q99" s="100">
        <v>397142.53090137395</v>
      </c>
      <c r="R99" s="100">
        <v>397142.53090137395</v>
      </c>
      <c r="S99" s="100">
        <v>317716.45977444737</v>
      </c>
      <c r="T99" s="100">
        <v>317716.45977444737</v>
      </c>
      <c r="U99" s="100">
        <v>317716.45977444737</v>
      </c>
      <c r="V99" s="100">
        <v>317716.45977444737</v>
      </c>
      <c r="W99" s="100">
        <v>397142.53090137395</v>
      </c>
      <c r="X99" s="100">
        <v>397142.53090137395</v>
      </c>
      <c r="Y99" s="100">
        <v>397142.53090137395</v>
      </c>
      <c r="Z99" s="100">
        <v>397142.53090137395</v>
      </c>
      <c r="AA99" s="100">
        <v>397142.53090137395</v>
      </c>
      <c r="AB99" s="100">
        <v>397142.53090137395</v>
      </c>
      <c r="AC99" s="100">
        <v>397142.53090137395</v>
      </c>
      <c r="AD99" s="100">
        <v>397142.53090137395</v>
      </c>
      <c r="AE99" s="100">
        <v>397142.53090137395</v>
      </c>
      <c r="AF99" s="100">
        <v>397142.53090137395</v>
      </c>
      <c r="AG99" s="100">
        <v>397142.53090137395</v>
      </c>
      <c r="AH99" s="100">
        <v>397142.53090137395</v>
      </c>
      <c r="AI99" s="100">
        <v>397142.53090137395</v>
      </c>
      <c r="AJ99" s="100">
        <v>397142.53090137395</v>
      </c>
      <c r="AK99" s="100">
        <v>397142.53090137395</v>
      </c>
      <c r="AL99" s="100">
        <v>397142.53090137395</v>
      </c>
      <c r="AM99" s="100">
        <v>476568.60202830064</v>
      </c>
      <c r="AN99" s="100">
        <v>476568.60202830064</v>
      </c>
      <c r="AO99" s="100">
        <v>476568.60202830064</v>
      </c>
      <c r="AP99" s="100">
        <v>476568.60202830064</v>
      </c>
      <c r="AQ99" s="100">
        <v>397142.53090137395</v>
      </c>
      <c r="AR99" s="100">
        <v>397142.53090137395</v>
      </c>
      <c r="AS99" s="100">
        <v>397142.53090137395</v>
      </c>
      <c r="AT99" s="100">
        <v>397142.53090137395</v>
      </c>
      <c r="AU99" s="100">
        <v>397142.53090137395</v>
      </c>
      <c r="AV99" s="100">
        <v>397142.53090137395</v>
      </c>
      <c r="AW99" s="100">
        <v>397142.53090137395</v>
      </c>
      <c r="AX99" s="100">
        <v>397142.53090137395</v>
      </c>
    </row>
    <row r="100" spans="1:50">
      <c r="B100" s="105" t="s">
        <v>22</v>
      </c>
      <c r="C100" s="100">
        <v>1.6569354530612799E-18</v>
      </c>
      <c r="D100" s="100">
        <v>1.6569354530612799E-18</v>
      </c>
      <c r="E100" s="100">
        <v>1.6569354530612799E-18</v>
      </c>
      <c r="F100" s="100">
        <v>1.6569354530612799E-18</v>
      </c>
      <c r="G100" s="100">
        <v>1.6569354530612799E-18</v>
      </c>
      <c r="H100" s="100">
        <v>1.6569354530612799E-18</v>
      </c>
      <c r="I100" s="100">
        <v>1.6569354530612799E-18</v>
      </c>
      <c r="J100" s="100">
        <v>1.6569354530612799E-18</v>
      </c>
      <c r="K100" s="100">
        <v>1.6569354530612799E-18</v>
      </c>
      <c r="L100" s="100">
        <v>1.6569354530612799E-18</v>
      </c>
      <c r="M100" s="100">
        <v>1.6569354530612799E-18</v>
      </c>
      <c r="N100" s="100">
        <v>1.6569354530612799E-18</v>
      </c>
      <c r="O100" s="100">
        <v>1.6569354530612799E-18</v>
      </c>
      <c r="P100" s="100">
        <v>1.6569354530612799E-18</v>
      </c>
      <c r="Q100" s="100">
        <v>1.6569354530612799E-18</v>
      </c>
      <c r="R100" s="100">
        <v>1.6569354530612799E-18</v>
      </c>
      <c r="S100" s="100">
        <v>1.3255585218399448E-18</v>
      </c>
      <c r="T100" s="100">
        <v>1.3255585218399448E-18</v>
      </c>
      <c r="U100" s="100">
        <v>1.3255585218399448E-18</v>
      </c>
      <c r="V100" s="100">
        <v>1.3255585218399448E-18</v>
      </c>
      <c r="W100" s="100">
        <v>1.6569354530612799E-18</v>
      </c>
      <c r="X100" s="100">
        <v>1.6569354530612799E-18</v>
      </c>
      <c r="Y100" s="100">
        <v>1.6569354530612799E-18</v>
      </c>
      <c r="Z100" s="100">
        <v>1.6569354530612799E-18</v>
      </c>
      <c r="AA100" s="100">
        <v>1.6569354530612799E-18</v>
      </c>
      <c r="AB100" s="100">
        <v>1.6569354530612799E-18</v>
      </c>
      <c r="AC100" s="100">
        <v>1.6569354530612799E-18</v>
      </c>
      <c r="AD100" s="100">
        <v>1.6569354530612799E-18</v>
      </c>
      <c r="AE100" s="100">
        <v>1.6569354530612799E-18</v>
      </c>
      <c r="AF100" s="100">
        <v>1.6569354530612799E-18</v>
      </c>
      <c r="AG100" s="100">
        <v>1.6569354530612799E-18</v>
      </c>
      <c r="AH100" s="100">
        <v>1.6569354530612799E-18</v>
      </c>
      <c r="AI100" s="100">
        <v>1.6569354530612799E-18</v>
      </c>
      <c r="AJ100" s="100">
        <v>1.6569354530612799E-18</v>
      </c>
      <c r="AK100" s="100">
        <v>1.6569354530612799E-18</v>
      </c>
      <c r="AL100" s="100">
        <v>1.6569354530612799E-18</v>
      </c>
      <c r="AM100" s="100">
        <v>1.9883123842826152E-18</v>
      </c>
      <c r="AN100" s="100">
        <v>1.9883123842826152E-18</v>
      </c>
      <c r="AO100" s="100">
        <v>1.9883123842826152E-18</v>
      </c>
      <c r="AP100" s="100">
        <v>1.9883123842826152E-18</v>
      </c>
      <c r="AQ100" s="100">
        <v>1.6569354530612799E-18</v>
      </c>
      <c r="AR100" s="100">
        <v>1.6569354530612799E-18</v>
      </c>
      <c r="AS100" s="100">
        <v>1.6569354530612799E-18</v>
      </c>
      <c r="AT100" s="100">
        <v>1.6569354530612799E-18</v>
      </c>
      <c r="AU100" s="100">
        <v>1.6569354530612799E-18</v>
      </c>
      <c r="AV100" s="100">
        <v>1.6569354530612799E-18</v>
      </c>
      <c r="AW100" s="100">
        <v>1.6569354530612799E-18</v>
      </c>
      <c r="AX100" s="100">
        <v>1.6569354530612799E-18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263825.06130958599</v>
      </c>
      <c r="D102" s="100">
        <v>263825.06130958599</v>
      </c>
      <c r="E102" s="100">
        <v>263825.06130958599</v>
      </c>
      <c r="F102" s="100">
        <v>263825.06130958599</v>
      </c>
      <c r="G102" s="100">
        <v>263825.06130958599</v>
      </c>
      <c r="H102" s="100">
        <v>263825.06130958599</v>
      </c>
      <c r="I102" s="100">
        <v>263825.06130958599</v>
      </c>
      <c r="J102" s="100">
        <v>263825.06130958599</v>
      </c>
      <c r="K102" s="100">
        <v>263825.06130958599</v>
      </c>
      <c r="L102" s="100">
        <v>263825.06130958599</v>
      </c>
      <c r="M102" s="100">
        <v>263825.06130958599</v>
      </c>
      <c r="N102" s="100">
        <v>263825.06130958599</v>
      </c>
      <c r="O102" s="100">
        <v>263825.06130958599</v>
      </c>
      <c r="P102" s="100">
        <v>263825.06130958599</v>
      </c>
      <c r="Q102" s="100">
        <v>263825.06130958599</v>
      </c>
      <c r="R102" s="100">
        <v>263825.06130958599</v>
      </c>
      <c r="S102" s="100">
        <v>211061.66667370705</v>
      </c>
      <c r="T102" s="100">
        <v>211061.66667370705</v>
      </c>
      <c r="U102" s="100">
        <v>211061.66667370705</v>
      </c>
      <c r="V102" s="100">
        <v>211061.66667370705</v>
      </c>
      <c r="W102" s="100">
        <v>263825.06130958599</v>
      </c>
      <c r="X102" s="100">
        <v>263825.06130958599</v>
      </c>
      <c r="Y102" s="100">
        <v>263825.06130958599</v>
      </c>
      <c r="Z102" s="100">
        <v>263825.06130958599</v>
      </c>
      <c r="AA102" s="100">
        <v>263825.06130958599</v>
      </c>
      <c r="AB102" s="100">
        <v>263825.06130958599</v>
      </c>
      <c r="AC102" s="100">
        <v>263825.06130958599</v>
      </c>
      <c r="AD102" s="100">
        <v>263825.06130958599</v>
      </c>
      <c r="AE102" s="100">
        <v>263825.06130958599</v>
      </c>
      <c r="AF102" s="100">
        <v>263825.06130958599</v>
      </c>
      <c r="AG102" s="100">
        <v>263825.06130958599</v>
      </c>
      <c r="AH102" s="100">
        <v>263825.06130958599</v>
      </c>
      <c r="AI102" s="100">
        <v>263825.06130958599</v>
      </c>
      <c r="AJ102" s="100">
        <v>263825.06130958599</v>
      </c>
      <c r="AK102" s="100">
        <v>263825.06130958599</v>
      </c>
      <c r="AL102" s="100">
        <v>263825.06130958599</v>
      </c>
      <c r="AM102" s="100">
        <v>316588.45594546502</v>
      </c>
      <c r="AN102" s="100">
        <v>316588.45594546502</v>
      </c>
      <c r="AO102" s="100">
        <v>316588.45594546502</v>
      </c>
      <c r="AP102" s="100">
        <v>316588.45594546502</v>
      </c>
      <c r="AQ102" s="100">
        <v>263825.06130958599</v>
      </c>
      <c r="AR102" s="100">
        <v>263825.06130958599</v>
      </c>
      <c r="AS102" s="100">
        <v>263825.06130958599</v>
      </c>
      <c r="AT102" s="100">
        <v>263825.06130958599</v>
      </c>
      <c r="AU102" s="100">
        <v>263825.06130958599</v>
      </c>
      <c r="AV102" s="100">
        <v>263825.06130958599</v>
      </c>
      <c r="AW102" s="100">
        <v>263825.06130958599</v>
      </c>
      <c r="AX102" s="100">
        <v>263825.06130958599</v>
      </c>
    </row>
    <row r="103" spans="1:50">
      <c r="B103" s="100" t="s">
        <v>278</v>
      </c>
      <c r="C103" s="105">
        <f>SUM(C$98:C$102)</f>
        <v>660967.59221095988</v>
      </c>
      <c r="D103" s="105">
        <f t="shared" ref="D103:AX103" si="5">SUM(D$98:D$102)</f>
        <v>660967.59221095988</v>
      </c>
      <c r="E103" s="105">
        <f t="shared" si="5"/>
        <v>660967.59221095988</v>
      </c>
      <c r="F103" s="105">
        <f t="shared" si="5"/>
        <v>660967.59221095988</v>
      </c>
      <c r="G103" s="105">
        <f t="shared" si="5"/>
        <v>660967.59221095988</v>
      </c>
      <c r="H103" s="105">
        <f t="shared" si="5"/>
        <v>660967.59221095988</v>
      </c>
      <c r="I103" s="105">
        <f t="shared" si="5"/>
        <v>660967.59221095988</v>
      </c>
      <c r="J103" s="105">
        <f t="shared" si="5"/>
        <v>660967.59221095988</v>
      </c>
      <c r="K103" s="105">
        <f t="shared" si="5"/>
        <v>660967.59221095988</v>
      </c>
      <c r="L103" s="105">
        <f t="shared" si="5"/>
        <v>660967.59221095988</v>
      </c>
      <c r="M103" s="105">
        <f t="shared" si="5"/>
        <v>660967.59221095988</v>
      </c>
      <c r="N103" s="105">
        <f t="shared" si="5"/>
        <v>660967.59221095988</v>
      </c>
      <c r="O103" s="105">
        <f t="shared" si="5"/>
        <v>660967.59221095988</v>
      </c>
      <c r="P103" s="105">
        <f t="shared" si="5"/>
        <v>660967.59221095988</v>
      </c>
      <c r="Q103" s="105">
        <f t="shared" si="5"/>
        <v>660967.59221095988</v>
      </c>
      <c r="R103" s="105">
        <f t="shared" si="5"/>
        <v>660967.59221095988</v>
      </c>
      <c r="S103" s="105">
        <f t="shared" si="5"/>
        <v>528778.12644815445</v>
      </c>
      <c r="T103" s="105">
        <f t="shared" si="5"/>
        <v>528778.12644815445</v>
      </c>
      <c r="U103" s="105">
        <f t="shared" si="5"/>
        <v>528778.12644815445</v>
      </c>
      <c r="V103" s="105">
        <f t="shared" si="5"/>
        <v>528778.12644815445</v>
      </c>
      <c r="W103" s="105">
        <f t="shared" si="5"/>
        <v>660967.59221095988</v>
      </c>
      <c r="X103" s="105">
        <f t="shared" si="5"/>
        <v>660967.59221095988</v>
      </c>
      <c r="Y103" s="105">
        <f t="shared" si="5"/>
        <v>660967.59221095988</v>
      </c>
      <c r="Z103" s="105">
        <f t="shared" si="5"/>
        <v>660967.59221095988</v>
      </c>
      <c r="AA103" s="105">
        <f t="shared" si="5"/>
        <v>660967.59221095988</v>
      </c>
      <c r="AB103" s="105">
        <f t="shared" si="5"/>
        <v>660967.59221095988</v>
      </c>
      <c r="AC103" s="105">
        <f t="shared" si="5"/>
        <v>660967.59221095988</v>
      </c>
      <c r="AD103" s="105">
        <f t="shared" si="5"/>
        <v>660967.59221095988</v>
      </c>
      <c r="AE103" s="105">
        <f t="shared" si="5"/>
        <v>660967.59221095988</v>
      </c>
      <c r="AF103" s="105">
        <f t="shared" si="5"/>
        <v>660967.59221095988</v>
      </c>
      <c r="AG103" s="105">
        <f t="shared" si="5"/>
        <v>660967.59221095988</v>
      </c>
      <c r="AH103" s="105">
        <f t="shared" si="5"/>
        <v>660967.59221095988</v>
      </c>
      <c r="AI103" s="105">
        <f t="shared" si="5"/>
        <v>660967.59221095988</v>
      </c>
      <c r="AJ103" s="105">
        <f t="shared" si="5"/>
        <v>660967.59221095988</v>
      </c>
      <c r="AK103" s="105">
        <f t="shared" si="5"/>
        <v>660967.59221095988</v>
      </c>
      <c r="AL103" s="105">
        <f t="shared" si="5"/>
        <v>660967.59221095988</v>
      </c>
      <c r="AM103" s="105">
        <f t="shared" si="5"/>
        <v>793157.05797376565</v>
      </c>
      <c r="AN103" s="105">
        <f t="shared" si="5"/>
        <v>793157.05797376565</v>
      </c>
      <c r="AO103" s="105">
        <f t="shared" si="5"/>
        <v>793157.05797376565</v>
      </c>
      <c r="AP103" s="105">
        <f t="shared" si="5"/>
        <v>793157.05797376565</v>
      </c>
      <c r="AQ103" s="105">
        <f t="shared" si="5"/>
        <v>660967.59221095988</v>
      </c>
      <c r="AR103" s="105">
        <f t="shared" si="5"/>
        <v>660967.59221095988</v>
      </c>
      <c r="AS103" s="105">
        <f t="shared" si="5"/>
        <v>660967.59221095988</v>
      </c>
      <c r="AT103" s="105">
        <f t="shared" si="5"/>
        <v>660967.59221095988</v>
      </c>
      <c r="AU103" s="105">
        <f t="shared" si="5"/>
        <v>660967.59221095988</v>
      </c>
      <c r="AV103" s="105">
        <f t="shared" si="5"/>
        <v>660967.59221095988</v>
      </c>
      <c r="AW103" s="105">
        <f t="shared" si="5"/>
        <v>660967.59221095988</v>
      </c>
      <c r="AX103" s="105">
        <f t="shared" si="5"/>
        <v>660967.59221095988</v>
      </c>
    </row>
    <row r="104" spans="1:50">
      <c r="A104" s="105" t="s">
        <v>105</v>
      </c>
      <c r="B104" s="105" t="s">
        <v>10</v>
      </c>
      <c r="C104" s="100">
        <v>4.7573636943515579E-18</v>
      </c>
      <c r="D104" s="100">
        <v>4.7573636943515579E-18</v>
      </c>
      <c r="E104" s="100">
        <v>4.7573636943515579E-18</v>
      </c>
      <c r="F104" s="100">
        <v>4.7573636943515579E-18</v>
      </c>
      <c r="G104" s="100">
        <v>0</v>
      </c>
      <c r="H104" s="100">
        <v>0</v>
      </c>
      <c r="I104" s="100">
        <v>0</v>
      </c>
      <c r="J104" s="100">
        <v>0</v>
      </c>
      <c r="K104" s="100">
        <v>4.7573636943515579E-18</v>
      </c>
      <c r="L104" s="100">
        <v>4.7573636943515579E-18</v>
      </c>
      <c r="M104" s="100">
        <v>4.7573636943515579E-18</v>
      </c>
      <c r="N104" s="100">
        <v>4.7573636943515579E-18</v>
      </c>
      <c r="O104" s="100">
        <v>4.7573636943515579E-18</v>
      </c>
      <c r="P104" s="100">
        <v>4.7573636943515579E-18</v>
      </c>
      <c r="Q104" s="100">
        <v>4.7573636943515579E-18</v>
      </c>
      <c r="R104" s="100">
        <v>4.7573636943515579E-18</v>
      </c>
      <c r="S104" s="100">
        <v>4.7573636943515579E-18</v>
      </c>
      <c r="T104" s="100">
        <v>4.7573636943515579E-18</v>
      </c>
      <c r="U104" s="100">
        <v>4.7573636943515579E-18</v>
      </c>
      <c r="V104" s="100">
        <v>4.7573636943515579E-18</v>
      </c>
      <c r="W104" s="100">
        <v>3.8058909554812462E-18</v>
      </c>
      <c r="X104" s="100">
        <v>3.8058909554812462E-18</v>
      </c>
      <c r="Y104" s="100">
        <v>3.8058909554812462E-18</v>
      </c>
      <c r="Z104" s="100">
        <v>3.8058909554812462E-18</v>
      </c>
      <c r="AA104" s="100">
        <v>4.7573636943515579E-18</v>
      </c>
      <c r="AB104" s="100">
        <v>4.7573636943515579E-18</v>
      </c>
      <c r="AC104" s="100">
        <v>4.7573636943515579E-18</v>
      </c>
      <c r="AD104" s="100">
        <v>4.7573636943515579E-18</v>
      </c>
      <c r="AE104" s="100">
        <v>4.7573636943515579E-18</v>
      </c>
      <c r="AF104" s="100">
        <v>4.7573636943515579E-18</v>
      </c>
      <c r="AG104" s="100">
        <v>4.7573636943515579E-18</v>
      </c>
      <c r="AH104" s="100">
        <v>4.7573636943515579E-18</v>
      </c>
      <c r="AI104" s="100">
        <v>4.7573636943515579E-18</v>
      </c>
      <c r="AJ104" s="100">
        <v>4.7573636943515579E-18</v>
      </c>
      <c r="AK104" s="100">
        <v>4.7573636943515579E-18</v>
      </c>
      <c r="AL104" s="100">
        <v>4.7573636943515579E-18</v>
      </c>
      <c r="AM104" s="100">
        <v>5.7088364332218704E-18</v>
      </c>
      <c r="AN104" s="100">
        <v>5.7088364332218704E-18</v>
      </c>
      <c r="AO104" s="100">
        <v>5.7088364332218704E-18</v>
      </c>
      <c r="AP104" s="100">
        <v>5.7088364332218704E-18</v>
      </c>
      <c r="AQ104" s="100">
        <v>4.7573636943515579E-18</v>
      </c>
      <c r="AR104" s="100">
        <v>4.7573636943515579E-18</v>
      </c>
      <c r="AS104" s="100">
        <v>4.7573636943515579E-18</v>
      </c>
      <c r="AT104" s="100">
        <v>4.7573636943515579E-18</v>
      </c>
      <c r="AU104" s="100">
        <v>4.7573636943515579E-18</v>
      </c>
      <c r="AV104" s="100">
        <v>4.7573636943515579E-18</v>
      </c>
      <c r="AW104" s="100">
        <v>4.7573636943515579E-18</v>
      </c>
      <c r="AX104" s="100">
        <v>4.7573636943515579E-18</v>
      </c>
    </row>
    <row r="105" spans="1:50">
      <c r="B105" s="105" t="s">
        <v>12</v>
      </c>
      <c r="C105" s="100">
        <v>4.7409994202594552E-17</v>
      </c>
      <c r="D105" s="100">
        <v>4.7409994202594552E-17</v>
      </c>
      <c r="E105" s="100">
        <v>4.7409994202594552E-17</v>
      </c>
      <c r="F105" s="100">
        <v>4.7409994202594552E-17</v>
      </c>
      <c r="G105" s="100">
        <v>0</v>
      </c>
      <c r="H105" s="100">
        <v>0</v>
      </c>
      <c r="I105" s="100">
        <v>0</v>
      </c>
      <c r="J105" s="100">
        <v>0</v>
      </c>
      <c r="K105" s="100">
        <v>4.7409994202594552E-17</v>
      </c>
      <c r="L105" s="100">
        <v>4.7409994202594552E-17</v>
      </c>
      <c r="M105" s="100">
        <v>4.7409994202594552E-17</v>
      </c>
      <c r="N105" s="100">
        <v>4.7409994202594552E-17</v>
      </c>
      <c r="O105" s="100">
        <v>4.7409994202594552E-17</v>
      </c>
      <c r="P105" s="100">
        <v>4.7409994202594552E-17</v>
      </c>
      <c r="Q105" s="100">
        <v>4.7409994202594552E-17</v>
      </c>
      <c r="R105" s="100">
        <v>4.7409994202594552E-17</v>
      </c>
      <c r="S105" s="100">
        <v>4.7409994202594552E-17</v>
      </c>
      <c r="T105" s="100">
        <v>4.7409994202594552E-17</v>
      </c>
      <c r="U105" s="100">
        <v>4.7409994202594552E-17</v>
      </c>
      <c r="V105" s="100">
        <v>4.7409994202594552E-17</v>
      </c>
      <c r="W105" s="100">
        <v>3.7927995362075635E-17</v>
      </c>
      <c r="X105" s="100">
        <v>3.7927995362075635E-17</v>
      </c>
      <c r="Y105" s="100">
        <v>3.7927995362075635E-17</v>
      </c>
      <c r="Z105" s="100">
        <v>3.7927995362075635E-17</v>
      </c>
      <c r="AA105" s="100">
        <v>4.7409994202594552E-17</v>
      </c>
      <c r="AB105" s="100">
        <v>4.7409994202594552E-17</v>
      </c>
      <c r="AC105" s="100">
        <v>4.7409994202594552E-17</v>
      </c>
      <c r="AD105" s="100">
        <v>4.7409994202594552E-17</v>
      </c>
      <c r="AE105" s="100">
        <v>4.7409994202594552E-17</v>
      </c>
      <c r="AF105" s="100">
        <v>4.7409994202594552E-17</v>
      </c>
      <c r="AG105" s="100">
        <v>4.7409994202594552E-17</v>
      </c>
      <c r="AH105" s="100">
        <v>4.7409994202594552E-17</v>
      </c>
      <c r="AI105" s="100">
        <v>4.7409994202594552E-17</v>
      </c>
      <c r="AJ105" s="100">
        <v>4.7409994202594552E-17</v>
      </c>
      <c r="AK105" s="100">
        <v>4.7409994202594552E-17</v>
      </c>
      <c r="AL105" s="100">
        <v>4.7409994202594552E-17</v>
      </c>
      <c r="AM105" s="100">
        <v>5.6891993043113449E-17</v>
      </c>
      <c r="AN105" s="100">
        <v>5.6891993043113449E-17</v>
      </c>
      <c r="AO105" s="100">
        <v>5.6891993043113449E-17</v>
      </c>
      <c r="AP105" s="100">
        <v>5.6891993043113449E-17</v>
      </c>
      <c r="AQ105" s="100">
        <v>4.7409994202594552E-17</v>
      </c>
      <c r="AR105" s="100">
        <v>4.7409994202594552E-17</v>
      </c>
      <c r="AS105" s="100">
        <v>4.7409994202594552E-17</v>
      </c>
      <c r="AT105" s="100">
        <v>4.7409994202594552E-17</v>
      </c>
      <c r="AU105" s="100">
        <v>4.7409994202594552E-17</v>
      </c>
      <c r="AV105" s="100">
        <v>4.7409994202594552E-17</v>
      </c>
      <c r="AW105" s="100">
        <v>4.7409994202594552E-17</v>
      </c>
      <c r="AX105" s="100">
        <v>4.7409994202594552E-17</v>
      </c>
    </row>
    <row r="106" spans="1:50">
      <c r="B106" s="105" t="s">
        <v>22</v>
      </c>
      <c r="C106" s="100">
        <v>0</v>
      </c>
      <c r="D106" s="100">
        <v>0</v>
      </c>
      <c r="E106" s="100">
        <v>0</v>
      </c>
      <c r="F106" s="100">
        <v>0</v>
      </c>
      <c r="G106" s="100">
        <v>0</v>
      </c>
      <c r="H106" s="100">
        <v>0</v>
      </c>
      <c r="I106" s="100">
        <v>0</v>
      </c>
      <c r="J106" s="100">
        <v>0</v>
      </c>
      <c r="K106" s="100">
        <v>0</v>
      </c>
      <c r="L106" s="100">
        <v>0</v>
      </c>
      <c r="M106" s="100">
        <v>0</v>
      </c>
      <c r="N106" s="100">
        <v>0</v>
      </c>
      <c r="O106" s="100">
        <v>0</v>
      </c>
      <c r="P106" s="100">
        <v>0</v>
      </c>
      <c r="Q106" s="100">
        <v>0</v>
      </c>
      <c r="R106" s="100">
        <v>0</v>
      </c>
      <c r="S106" s="100">
        <v>0</v>
      </c>
      <c r="T106" s="100">
        <v>0</v>
      </c>
      <c r="U106" s="100">
        <v>0</v>
      </c>
      <c r="V106" s="100">
        <v>0</v>
      </c>
      <c r="W106" s="100">
        <v>0</v>
      </c>
      <c r="X106" s="100">
        <v>0</v>
      </c>
      <c r="Y106" s="100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>
        <v>0</v>
      </c>
      <c r="AH106" s="100">
        <v>0</v>
      </c>
      <c r="AI106" s="100">
        <v>0</v>
      </c>
      <c r="AJ106" s="100">
        <v>0</v>
      </c>
      <c r="AK106" s="100">
        <v>0</v>
      </c>
      <c r="AL106" s="100">
        <v>0</v>
      </c>
      <c r="AM106" s="100">
        <v>0</v>
      </c>
      <c r="AN106" s="100">
        <v>0</v>
      </c>
      <c r="AO106" s="100">
        <v>0</v>
      </c>
      <c r="AP106" s="100">
        <v>0</v>
      </c>
      <c r="AQ106" s="100">
        <v>0</v>
      </c>
      <c r="AR106" s="100">
        <v>0</v>
      </c>
      <c r="AS106" s="100">
        <v>0</v>
      </c>
      <c r="AT106" s="100">
        <v>0</v>
      </c>
      <c r="AU106" s="100">
        <v>0</v>
      </c>
      <c r="AV106" s="100">
        <v>0</v>
      </c>
      <c r="AW106" s="100">
        <v>0</v>
      </c>
      <c r="AX106" s="100">
        <v>0</v>
      </c>
    </row>
    <row r="107" spans="1:50">
      <c r="B107" s="105" t="s">
        <v>46</v>
      </c>
      <c r="C107" s="100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0">
        <v>0</v>
      </c>
      <c r="L107" s="100">
        <v>0</v>
      </c>
      <c r="M107" s="100">
        <v>0</v>
      </c>
      <c r="N107" s="100">
        <v>0</v>
      </c>
      <c r="O107" s="100">
        <v>0</v>
      </c>
      <c r="P107" s="100">
        <v>0</v>
      </c>
      <c r="Q107" s="100">
        <v>0</v>
      </c>
      <c r="R107" s="100">
        <v>0</v>
      </c>
      <c r="S107" s="100">
        <v>0</v>
      </c>
      <c r="T107" s="100">
        <v>0</v>
      </c>
      <c r="U107" s="100">
        <v>0</v>
      </c>
      <c r="V107" s="100">
        <v>0</v>
      </c>
      <c r="W107" s="100">
        <v>0</v>
      </c>
      <c r="X107" s="100">
        <v>0</v>
      </c>
      <c r="Y107" s="100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>
        <v>0</v>
      </c>
      <c r="AH107" s="100">
        <v>0</v>
      </c>
      <c r="AI107" s="100">
        <v>0</v>
      </c>
      <c r="AJ107" s="100">
        <v>0</v>
      </c>
      <c r="AK107" s="100">
        <v>0</v>
      </c>
      <c r="AL107" s="100">
        <v>0</v>
      </c>
      <c r="AM107" s="100">
        <v>0</v>
      </c>
      <c r="AN107" s="100">
        <v>0</v>
      </c>
      <c r="AO107" s="100">
        <v>0</v>
      </c>
      <c r="AP107" s="100">
        <v>0</v>
      </c>
      <c r="AQ107" s="100">
        <v>0</v>
      </c>
      <c r="AR107" s="100">
        <v>0</v>
      </c>
      <c r="AS107" s="100">
        <v>0</v>
      </c>
      <c r="AT107" s="100">
        <v>0</v>
      </c>
      <c r="AU107" s="100">
        <v>0</v>
      </c>
      <c r="AV107" s="100">
        <v>0</v>
      </c>
      <c r="AW107" s="100">
        <v>0</v>
      </c>
      <c r="AX107" s="100">
        <v>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5.2167357896946112E-17</v>
      </c>
      <c r="D109" s="105">
        <f t="shared" ref="D109:AX109" si="6">SUM(D$104:D$108)</f>
        <v>5.2167357896946112E-17</v>
      </c>
      <c r="E109" s="105">
        <f t="shared" si="6"/>
        <v>5.2167357896946112E-17</v>
      </c>
      <c r="F109" s="105">
        <f t="shared" si="6"/>
        <v>5.2167357896946112E-17</v>
      </c>
      <c r="G109" s="105">
        <f t="shared" si="6"/>
        <v>0</v>
      </c>
      <c r="H109" s="105">
        <f t="shared" si="6"/>
        <v>0</v>
      </c>
      <c r="I109" s="105">
        <f t="shared" si="6"/>
        <v>0</v>
      </c>
      <c r="J109" s="105">
        <f t="shared" si="6"/>
        <v>0</v>
      </c>
      <c r="K109" s="105">
        <f t="shared" si="6"/>
        <v>5.2167357896946112E-17</v>
      </c>
      <c r="L109" s="105">
        <f t="shared" si="6"/>
        <v>5.2167357896946112E-17</v>
      </c>
      <c r="M109" s="105">
        <f t="shared" si="6"/>
        <v>5.2167357896946112E-17</v>
      </c>
      <c r="N109" s="105">
        <f t="shared" si="6"/>
        <v>5.2167357896946112E-17</v>
      </c>
      <c r="O109" s="105">
        <f t="shared" si="6"/>
        <v>5.2167357896946112E-17</v>
      </c>
      <c r="P109" s="105">
        <f t="shared" si="6"/>
        <v>5.2167357896946112E-17</v>
      </c>
      <c r="Q109" s="105">
        <f t="shared" si="6"/>
        <v>5.2167357896946112E-17</v>
      </c>
      <c r="R109" s="105">
        <f t="shared" si="6"/>
        <v>5.2167357896946112E-17</v>
      </c>
      <c r="S109" s="105">
        <f t="shared" si="6"/>
        <v>5.2167357896946112E-17</v>
      </c>
      <c r="T109" s="105">
        <f t="shared" si="6"/>
        <v>5.2167357896946112E-17</v>
      </c>
      <c r="U109" s="105">
        <f t="shared" si="6"/>
        <v>5.2167357896946112E-17</v>
      </c>
      <c r="V109" s="105">
        <f t="shared" si="6"/>
        <v>5.2167357896946112E-17</v>
      </c>
      <c r="W109" s="105">
        <f t="shared" si="6"/>
        <v>4.1733886317556882E-17</v>
      </c>
      <c r="X109" s="105">
        <f t="shared" si="6"/>
        <v>4.1733886317556882E-17</v>
      </c>
      <c r="Y109" s="105">
        <f t="shared" si="6"/>
        <v>4.1733886317556882E-17</v>
      </c>
      <c r="Z109" s="105">
        <f t="shared" si="6"/>
        <v>4.1733886317556882E-17</v>
      </c>
      <c r="AA109" s="105">
        <f t="shared" si="6"/>
        <v>5.2167357896946112E-17</v>
      </c>
      <c r="AB109" s="105">
        <f t="shared" si="6"/>
        <v>5.2167357896946112E-17</v>
      </c>
      <c r="AC109" s="105">
        <f t="shared" si="6"/>
        <v>5.2167357896946112E-17</v>
      </c>
      <c r="AD109" s="105">
        <f t="shared" si="6"/>
        <v>5.2167357896946112E-17</v>
      </c>
      <c r="AE109" s="105">
        <f t="shared" si="6"/>
        <v>5.2167357896946112E-17</v>
      </c>
      <c r="AF109" s="105">
        <f t="shared" si="6"/>
        <v>5.2167357896946112E-17</v>
      </c>
      <c r="AG109" s="105">
        <f t="shared" si="6"/>
        <v>5.2167357896946112E-17</v>
      </c>
      <c r="AH109" s="105">
        <f t="shared" si="6"/>
        <v>5.2167357896946112E-17</v>
      </c>
      <c r="AI109" s="105">
        <f t="shared" si="6"/>
        <v>5.2167357896946112E-17</v>
      </c>
      <c r="AJ109" s="105">
        <f t="shared" si="6"/>
        <v>5.2167357896946112E-17</v>
      </c>
      <c r="AK109" s="105">
        <f t="shared" si="6"/>
        <v>5.2167357896946112E-17</v>
      </c>
      <c r="AL109" s="105">
        <f t="shared" si="6"/>
        <v>5.2167357896946112E-17</v>
      </c>
      <c r="AM109" s="105">
        <f t="shared" si="6"/>
        <v>6.2600829476335317E-17</v>
      </c>
      <c r="AN109" s="105">
        <f t="shared" si="6"/>
        <v>6.2600829476335317E-17</v>
      </c>
      <c r="AO109" s="105">
        <f t="shared" si="6"/>
        <v>6.2600829476335317E-17</v>
      </c>
      <c r="AP109" s="105">
        <f t="shared" si="6"/>
        <v>6.2600829476335317E-17</v>
      </c>
      <c r="AQ109" s="105">
        <f t="shared" si="6"/>
        <v>5.2167357896946112E-17</v>
      </c>
      <c r="AR109" s="105">
        <f t="shared" si="6"/>
        <v>5.2167357896946112E-17</v>
      </c>
      <c r="AS109" s="105">
        <f t="shared" si="6"/>
        <v>5.2167357896946112E-17</v>
      </c>
      <c r="AT109" s="105">
        <f t="shared" si="6"/>
        <v>5.2167357896946112E-17</v>
      </c>
      <c r="AU109" s="105">
        <f t="shared" si="6"/>
        <v>5.2167357896946112E-17</v>
      </c>
      <c r="AV109" s="105">
        <f t="shared" si="6"/>
        <v>5.2167357896946112E-17</v>
      </c>
      <c r="AW109" s="105">
        <f t="shared" si="6"/>
        <v>5.2167357896946112E-17</v>
      </c>
      <c r="AX109" s="105">
        <f t="shared" si="6"/>
        <v>5.2167357896946112E-17</v>
      </c>
    </row>
    <row r="110" spans="1:50">
      <c r="A110" s="105" t="s">
        <v>106</v>
      </c>
      <c r="B110" s="105" t="s">
        <v>10</v>
      </c>
      <c r="C110" s="100">
        <v>7.2920268452021513E-18</v>
      </c>
      <c r="D110" s="100">
        <v>7.2920268452021513E-18</v>
      </c>
      <c r="E110" s="100">
        <v>7.2920268452021513E-18</v>
      </c>
      <c r="F110" s="100">
        <v>7.2920268452021513E-18</v>
      </c>
      <c r="G110" s="100">
        <v>1.6407060401704842E-17</v>
      </c>
      <c r="H110" s="100">
        <v>1.6407060401704842E-17</v>
      </c>
      <c r="I110" s="100">
        <v>1.6407060401704842E-17</v>
      </c>
      <c r="J110" s="100">
        <v>1.6407060401704842E-17</v>
      </c>
      <c r="K110" s="100">
        <v>1.3672550334754035E-17</v>
      </c>
      <c r="L110" s="100">
        <v>1.3672550334754035E-17</v>
      </c>
      <c r="M110" s="100">
        <v>1.3672550334754035E-17</v>
      </c>
      <c r="N110" s="100">
        <v>1.3672550334754035E-17</v>
      </c>
      <c r="O110" s="100">
        <v>1.3672550334754035E-17</v>
      </c>
      <c r="P110" s="100">
        <v>1.3672550334754035E-17</v>
      </c>
      <c r="Q110" s="100">
        <v>1.3672550334754035E-17</v>
      </c>
      <c r="R110" s="100">
        <v>1.3672550334754035E-17</v>
      </c>
      <c r="S110" s="100">
        <v>1.3672550334754035E-17</v>
      </c>
      <c r="T110" s="100">
        <v>1.3672550334754035E-17</v>
      </c>
      <c r="U110" s="100">
        <v>1.3672550334754035E-17</v>
      </c>
      <c r="V110" s="100">
        <v>1.3672550334754035E-17</v>
      </c>
      <c r="W110" s="100">
        <v>1.0938040267803226E-17</v>
      </c>
      <c r="X110" s="100">
        <v>1.0938040267803226E-17</v>
      </c>
      <c r="Y110" s="100">
        <v>1.0938040267803226E-17</v>
      </c>
      <c r="Z110" s="100">
        <v>1.0938040267803226E-17</v>
      </c>
      <c r="AA110" s="100">
        <v>0</v>
      </c>
      <c r="AB110" s="100">
        <v>0</v>
      </c>
      <c r="AC110" s="100">
        <v>0</v>
      </c>
      <c r="AD110" s="100">
        <v>0</v>
      </c>
      <c r="AE110" s="100">
        <v>1.3672550334754035E-17</v>
      </c>
      <c r="AF110" s="100">
        <v>1.3672550334754035E-17</v>
      </c>
      <c r="AG110" s="100">
        <v>1.3672550334754035E-17</v>
      </c>
      <c r="AH110" s="100">
        <v>1.3672550334754035E-17</v>
      </c>
      <c r="AI110" s="100">
        <v>1.6407060401704842E-17</v>
      </c>
      <c r="AJ110" s="100">
        <v>1.6407060401704842E-17</v>
      </c>
      <c r="AK110" s="100">
        <v>1.6407060401704842E-17</v>
      </c>
      <c r="AL110" s="100">
        <v>1.6407060401704842E-17</v>
      </c>
      <c r="AM110" s="100">
        <v>1.3672550334754035E-17</v>
      </c>
      <c r="AN110" s="100">
        <v>1.3672550334754035E-17</v>
      </c>
      <c r="AO110" s="100">
        <v>1.3672550334754035E-17</v>
      </c>
      <c r="AP110" s="100">
        <v>1.3672550334754035E-17</v>
      </c>
      <c r="AQ110" s="100">
        <v>1.6407060401704842E-17</v>
      </c>
      <c r="AR110" s="100">
        <v>1.6407060401704842E-17</v>
      </c>
      <c r="AS110" s="100">
        <v>1.6407060401704842E-17</v>
      </c>
      <c r="AT110" s="100">
        <v>1.6407060401704842E-17</v>
      </c>
      <c r="AU110" s="100">
        <v>1.3672550334754035E-17</v>
      </c>
      <c r="AV110" s="100">
        <v>1.3672550334754035E-17</v>
      </c>
      <c r="AW110" s="100">
        <v>1.3672550334754035E-17</v>
      </c>
      <c r="AX110" s="100">
        <v>1.3672550334754035E-17</v>
      </c>
    </row>
    <row r="111" spans="1:50">
      <c r="B111" s="105" t="s">
        <v>12</v>
      </c>
      <c r="C111" s="100">
        <v>1.0717952004559776E-17</v>
      </c>
      <c r="D111" s="100">
        <v>1.0717952004559776E-17</v>
      </c>
      <c r="E111" s="100">
        <v>1.0717952004559776E-17</v>
      </c>
      <c r="F111" s="100">
        <v>1.0717952004559776E-17</v>
      </c>
      <c r="G111" s="100">
        <v>2.4115392010259501E-17</v>
      </c>
      <c r="H111" s="100">
        <v>2.4115392010259501E-17</v>
      </c>
      <c r="I111" s="100">
        <v>2.4115392010259501E-17</v>
      </c>
      <c r="J111" s="100">
        <v>2.4115392010259501E-17</v>
      </c>
      <c r="K111" s="100">
        <v>2.0096160008549583E-17</v>
      </c>
      <c r="L111" s="100">
        <v>2.0096160008549583E-17</v>
      </c>
      <c r="M111" s="100">
        <v>2.0096160008549583E-17</v>
      </c>
      <c r="N111" s="100">
        <v>2.0096160008549583E-17</v>
      </c>
      <c r="O111" s="100">
        <v>2.0096160008549583E-17</v>
      </c>
      <c r="P111" s="100">
        <v>2.0096160008549583E-17</v>
      </c>
      <c r="Q111" s="100">
        <v>2.0096160008549583E-17</v>
      </c>
      <c r="R111" s="100">
        <v>2.0096160008549583E-17</v>
      </c>
      <c r="S111" s="100">
        <v>2.0096160008549583E-17</v>
      </c>
      <c r="T111" s="100">
        <v>2.0096160008549583E-17</v>
      </c>
      <c r="U111" s="100">
        <v>2.0096160008549583E-17</v>
      </c>
      <c r="V111" s="100">
        <v>2.0096160008549583E-17</v>
      </c>
      <c r="W111" s="100">
        <v>1.6076928006839667E-17</v>
      </c>
      <c r="X111" s="100">
        <v>1.6076928006839667E-17</v>
      </c>
      <c r="Y111" s="100">
        <v>1.6076928006839667E-17</v>
      </c>
      <c r="Z111" s="100">
        <v>1.6076928006839667E-17</v>
      </c>
      <c r="AA111" s="100">
        <v>0</v>
      </c>
      <c r="AB111" s="100">
        <v>0</v>
      </c>
      <c r="AC111" s="100">
        <v>0</v>
      </c>
      <c r="AD111" s="100">
        <v>0</v>
      </c>
      <c r="AE111" s="100">
        <v>2.0096160008549583E-17</v>
      </c>
      <c r="AF111" s="100">
        <v>2.0096160008549583E-17</v>
      </c>
      <c r="AG111" s="100">
        <v>2.0096160008549583E-17</v>
      </c>
      <c r="AH111" s="100">
        <v>2.0096160008549583E-17</v>
      </c>
      <c r="AI111" s="100">
        <v>2.4115392010259501E-17</v>
      </c>
      <c r="AJ111" s="100">
        <v>2.4115392010259501E-17</v>
      </c>
      <c r="AK111" s="100">
        <v>2.4115392010259501E-17</v>
      </c>
      <c r="AL111" s="100">
        <v>2.4115392010259501E-17</v>
      </c>
      <c r="AM111" s="100">
        <v>2.0096160008549583E-17</v>
      </c>
      <c r="AN111" s="100">
        <v>2.0096160008549583E-17</v>
      </c>
      <c r="AO111" s="100">
        <v>2.0096160008549583E-17</v>
      </c>
      <c r="AP111" s="100">
        <v>2.0096160008549583E-17</v>
      </c>
      <c r="AQ111" s="100">
        <v>2.4115392010259501E-17</v>
      </c>
      <c r="AR111" s="100">
        <v>2.4115392010259501E-17</v>
      </c>
      <c r="AS111" s="100">
        <v>2.4115392010259501E-17</v>
      </c>
      <c r="AT111" s="100">
        <v>2.4115392010259501E-17</v>
      </c>
      <c r="AU111" s="100">
        <v>2.0096160008549583E-17</v>
      </c>
      <c r="AV111" s="100">
        <v>2.0096160008549583E-17</v>
      </c>
      <c r="AW111" s="100">
        <v>2.0096160008549583E-17</v>
      </c>
      <c r="AX111" s="100">
        <v>2.0096160008549583E-17</v>
      </c>
    </row>
    <row r="112" spans="1:50">
      <c r="B112" s="105" t="s">
        <v>22</v>
      </c>
      <c r="C112" s="100">
        <v>1689.6000000000004</v>
      </c>
      <c r="D112" s="100">
        <v>1689.6000000000004</v>
      </c>
      <c r="E112" s="100">
        <v>1689.6000000000004</v>
      </c>
      <c r="F112" s="100">
        <v>1689.6000000000004</v>
      </c>
      <c r="G112" s="100">
        <v>3801.6000000000008</v>
      </c>
      <c r="H112" s="100">
        <v>3801.6000000000008</v>
      </c>
      <c r="I112" s="100">
        <v>3801.6000000000008</v>
      </c>
      <c r="J112" s="100">
        <v>3801.6000000000008</v>
      </c>
      <c r="K112" s="100">
        <v>3168.0000000000009</v>
      </c>
      <c r="L112" s="100">
        <v>3168.0000000000009</v>
      </c>
      <c r="M112" s="100">
        <v>3168.0000000000009</v>
      </c>
      <c r="N112" s="100">
        <v>3168.0000000000009</v>
      </c>
      <c r="O112" s="100">
        <v>3168.0000000000009</v>
      </c>
      <c r="P112" s="100">
        <v>3168.0000000000009</v>
      </c>
      <c r="Q112" s="100">
        <v>3168.0000000000009</v>
      </c>
      <c r="R112" s="100">
        <v>3168.0000000000009</v>
      </c>
      <c r="S112" s="100">
        <v>3168.0000000000009</v>
      </c>
      <c r="T112" s="100">
        <v>3168.0000000000009</v>
      </c>
      <c r="U112" s="100">
        <v>3168.0000000000009</v>
      </c>
      <c r="V112" s="100">
        <v>3168.0000000000009</v>
      </c>
      <c r="W112" s="100">
        <v>2534.400000000001</v>
      </c>
      <c r="X112" s="100">
        <v>2534.400000000001</v>
      </c>
      <c r="Y112" s="100">
        <v>2534.400000000001</v>
      </c>
      <c r="Z112" s="100">
        <v>2534.400000000001</v>
      </c>
      <c r="AA112" s="100">
        <v>0</v>
      </c>
      <c r="AB112" s="100">
        <v>0</v>
      </c>
      <c r="AC112" s="100">
        <v>0</v>
      </c>
      <c r="AD112" s="100">
        <v>0</v>
      </c>
      <c r="AE112" s="100">
        <v>3168.0000000000009</v>
      </c>
      <c r="AF112" s="100">
        <v>3168.0000000000009</v>
      </c>
      <c r="AG112" s="100">
        <v>3168.0000000000009</v>
      </c>
      <c r="AH112" s="100">
        <v>3168.0000000000009</v>
      </c>
      <c r="AI112" s="100">
        <v>3801.6000000000008</v>
      </c>
      <c r="AJ112" s="100">
        <v>3801.6000000000008</v>
      </c>
      <c r="AK112" s="100">
        <v>3801.6000000000008</v>
      </c>
      <c r="AL112" s="100">
        <v>3801.6000000000008</v>
      </c>
      <c r="AM112" s="100">
        <v>3168.0000000000009</v>
      </c>
      <c r="AN112" s="100">
        <v>3168.0000000000009</v>
      </c>
      <c r="AO112" s="100">
        <v>3168.0000000000009</v>
      </c>
      <c r="AP112" s="100">
        <v>3168.0000000000009</v>
      </c>
      <c r="AQ112" s="100">
        <v>3801.6000000000008</v>
      </c>
      <c r="AR112" s="100">
        <v>3801.6000000000008</v>
      </c>
      <c r="AS112" s="100">
        <v>3801.6000000000008</v>
      </c>
      <c r="AT112" s="100">
        <v>3801.6000000000008</v>
      </c>
      <c r="AU112" s="100">
        <v>3168.0000000000009</v>
      </c>
      <c r="AV112" s="100">
        <v>3168.0000000000009</v>
      </c>
      <c r="AW112" s="100">
        <v>3168.0000000000009</v>
      </c>
      <c r="AX112" s="100">
        <v>3168.0000000000009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1689.6000000000004</v>
      </c>
      <c r="D115" s="105">
        <f t="shared" ref="D115:AX115" si="7">SUM(D$110:D$114)</f>
        <v>1689.6000000000004</v>
      </c>
      <c r="E115" s="105">
        <f t="shared" si="7"/>
        <v>1689.6000000000004</v>
      </c>
      <c r="F115" s="105">
        <f t="shared" si="7"/>
        <v>1689.6000000000004</v>
      </c>
      <c r="G115" s="105">
        <f t="shared" si="7"/>
        <v>3801.6000000000008</v>
      </c>
      <c r="H115" s="105">
        <f t="shared" si="7"/>
        <v>3801.6000000000008</v>
      </c>
      <c r="I115" s="105">
        <f t="shared" si="7"/>
        <v>3801.6000000000008</v>
      </c>
      <c r="J115" s="105">
        <f t="shared" si="7"/>
        <v>3801.6000000000008</v>
      </c>
      <c r="K115" s="105">
        <f t="shared" si="7"/>
        <v>3168.0000000000009</v>
      </c>
      <c r="L115" s="105">
        <f t="shared" si="7"/>
        <v>3168.0000000000009</v>
      </c>
      <c r="M115" s="105">
        <f t="shared" si="7"/>
        <v>3168.0000000000009</v>
      </c>
      <c r="N115" s="105">
        <f t="shared" si="7"/>
        <v>3168.0000000000009</v>
      </c>
      <c r="O115" s="105">
        <f t="shared" si="7"/>
        <v>3168.0000000000009</v>
      </c>
      <c r="P115" s="105">
        <f t="shared" si="7"/>
        <v>3168.0000000000009</v>
      </c>
      <c r="Q115" s="105">
        <f t="shared" si="7"/>
        <v>3168.0000000000009</v>
      </c>
      <c r="R115" s="105">
        <f t="shared" si="7"/>
        <v>3168.0000000000009</v>
      </c>
      <c r="S115" s="105">
        <f t="shared" si="7"/>
        <v>3168.0000000000009</v>
      </c>
      <c r="T115" s="105">
        <f t="shared" si="7"/>
        <v>3168.0000000000009</v>
      </c>
      <c r="U115" s="105">
        <f t="shared" si="7"/>
        <v>3168.0000000000009</v>
      </c>
      <c r="V115" s="105">
        <f t="shared" si="7"/>
        <v>3168.0000000000009</v>
      </c>
      <c r="W115" s="105">
        <f t="shared" si="7"/>
        <v>2534.400000000001</v>
      </c>
      <c r="X115" s="105">
        <f t="shared" si="7"/>
        <v>2534.400000000001</v>
      </c>
      <c r="Y115" s="105">
        <f t="shared" si="7"/>
        <v>2534.400000000001</v>
      </c>
      <c r="Z115" s="105">
        <f t="shared" si="7"/>
        <v>2534.400000000001</v>
      </c>
      <c r="AA115" s="105">
        <f t="shared" si="7"/>
        <v>0</v>
      </c>
      <c r="AB115" s="105">
        <f t="shared" si="7"/>
        <v>0</v>
      </c>
      <c r="AC115" s="105">
        <f t="shared" si="7"/>
        <v>0</v>
      </c>
      <c r="AD115" s="105">
        <f t="shared" si="7"/>
        <v>0</v>
      </c>
      <c r="AE115" s="105">
        <f t="shared" si="7"/>
        <v>3168.0000000000009</v>
      </c>
      <c r="AF115" s="105">
        <f t="shared" si="7"/>
        <v>3168.0000000000009</v>
      </c>
      <c r="AG115" s="105">
        <f t="shared" si="7"/>
        <v>3168.0000000000009</v>
      </c>
      <c r="AH115" s="105">
        <f t="shared" si="7"/>
        <v>3168.0000000000009</v>
      </c>
      <c r="AI115" s="105">
        <f t="shared" si="7"/>
        <v>3801.6000000000008</v>
      </c>
      <c r="AJ115" s="105">
        <f t="shared" si="7"/>
        <v>3801.6000000000008</v>
      </c>
      <c r="AK115" s="105">
        <f t="shared" si="7"/>
        <v>3801.6000000000008</v>
      </c>
      <c r="AL115" s="105">
        <f t="shared" si="7"/>
        <v>3801.6000000000008</v>
      </c>
      <c r="AM115" s="105">
        <f t="shared" si="7"/>
        <v>3168.0000000000009</v>
      </c>
      <c r="AN115" s="105">
        <f t="shared" si="7"/>
        <v>3168.0000000000009</v>
      </c>
      <c r="AO115" s="105">
        <f t="shared" si="7"/>
        <v>3168.0000000000009</v>
      </c>
      <c r="AP115" s="105">
        <f t="shared" si="7"/>
        <v>3168.0000000000009</v>
      </c>
      <c r="AQ115" s="105">
        <f t="shared" si="7"/>
        <v>3801.6000000000008</v>
      </c>
      <c r="AR115" s="105">
        <f t="shared" si="7"/>
        <v>3801.6000000000008</v>
      </c>
      <c r="AS115" s="105">
        <f t="shared" si="7"/>
        <v>3801.6000000000008</v>
      </c>
      <c r="AT115" s="105">
        <f t="shared" si="7"/>
        <v>3801.6000000000008</v>
      </c>
      <c r="AU115" s="105">
        <f t="shared" si="7"/>
        <v>3168.0000000000009</v>
      </c>
      <c r="AV115" s="105">
        <f t="shared" si="7"/>
        <v>3168.0000000000009</v>
      </c>
      <c r="AW115" s="105">
        <f t="shared" si="7"/>
        <v>3168.0000000000009</v>
      </c>
      <c r="AX115" s="105">
        <f t="shared" si="7"/>
        <v>3168.0000000000009</v>
      </c>
    </row>
    <row r="116" spans="1:50">
      <c r="A116" s="105" t="s">
        <v>107</v>
      </c>
      <c r="B116" s="105" t="s">
        <v>10</v>
      </c>
      <c r="C116" s="100">
        <v>11615.99999999994</v>
      </c>
      <c r="D116" s="100">
        <v>11615.99999999994</v>
      </c>
      <c r="E116" s="100">
        <v>11615.99999999994</v>
      </c>
      <c r="F116" s="100">
        <v>11615.99999999994</v>
      </c>
      <c r="G116" s="100">
        <v>11615.99999999994</v>
      </c>
      <c r="H116" s="100">
        <v>11615.99999999994</v>
      </c>
      <c r="I116" s="100">
        <v>11615.99999999994</v>
      </c>
      <c r="J116" s="100">
        <v>11615.99999999994</v>
      </c>
      <c r="K116" s="100">
        <v>11615.99999999994</v>
      </c>
      <c r="L116" s="100">
        <v>11615.99999999994</v>
      </c>
      <c r="M116" s="100">
        <v>11615.99999999994</v>
      </c>
      <c r="N116" s="100">
        <v>11615.99999999994</v>
      </c>
      <c r="O116" s="100">
        <v>11615.99999999994</v>
      </c>
      <c r="P116" s="100">
        <v>11615.99999999994</v>
      </c>
      <c r="Q116" s="100">
        <v>11615.99999999994</v>
      </c>
      <c r="R116" s="100">
        <v>11615.99999999994</v>
      </c>
      <c r="S116" s="100">
        <v>11615.99999999994</v>
      </c>
      <c r="T116" s="100">
        <v>11615.99999999994</v>
      </c>
      <c r="U116" s="100">
        <v>11615.99999999994</v>
      </c>
      <c r="V116" s="100">
        <v>11615.99999999994</v>
      </c>
      <c r="W116" s="100">
        <v>11615.99999999994</v>
      </c>
      <c r="X116" s="100">
        <v>11615.99999999994</v>
      </c>
      <c r="Y116" s="100">
        <v>11615.99999999994</v>
      </c>
      <c r="Z116" s="100">
        <v>11615.99999999994</v>
      </c>
      <c r="AA116" s="100">
        <v>11615.99999999994</v>
      </c>
      <c r="AB116" s="100">
        <v>11615.99999999994</v>
      </c>
      <c r="AC116" s="100">
        <v>11615.99999999994</v>
      </c>
      <c r="AD116" s="100">
        <v>11615.99999999994</v>
      </c>
      <c r="AE116" s="100">
        <v>11615.99999999994</v>
      </c>
      <c r="AF116" s="100">
        <v>11615.99999999994</v>
      </c>
      <c r="AG116" s="100">
        <v>11615.99999999994</v>
      </c>
      <c r="AH116" s="100">
        <v>11615.99999999994</v>
      </c>
      <c r="AI116" s="100">
        <v>11615.99999999994</v>
      </c>
      <c r="AJ116" s="100">
        <v>11615.99999999994</v>
      </c>
      <c r="AK116" s="100">
        <v>11615.99999999994</v>
      </c>
      <c r="AL116" s="100">
        <v>11615.99999999994</v>
      </c>
      <c r="AM116" s="100">
        <v>11615.99999999994</v>
      </c>
      <c r="AN116" s="100">
        <v>11615.99999999994</v>
      </c>
      <c r="AO116" s="100">
        <v>11615.99999999994</v>
      </c>
      <c r="AP116" s="100">
        <v>11615.99999999994</v>
      </c>
      <c r="AQ116" s="100">
        <v>11615.99999999994</v>
      </c>
      <c r="AR116" s="100">
        <v>11615.99999999994</v>
      </c>
      <c r="AS116" s="100">
        <v>11615.99999999994</v>
      </c>
      <c r="AT116" s="100">
        <v>11615.99999999994</v>
      </c>
      <c r="AU116" s="100">
        <v>11615.99999999994</v>
      </c>
      <c r="AV116" s="100">
        <v>11615.99999999994</v>
      </c>
      <c r="AW116" s="100">
        <v>11615.99999999994</v>
      </c>
      <c r="AX116" s="100">
        <v>11615.99999999994</v>
      </c>
    </row>
    <row r="117" spans="1:50">
      <c r="B117" s="105" t="s">
        <v>12</v>
      </c>
      <c r="C117" s="100">
        <v>2.4681559587636512E-17</v>
      </c>
      <c r="D117" s="100">
        <v>2.4681559587636512E-17</v>
      </c>
      <c r="E117" s="100">
        <v>2.4681559587636512E-17</v>
      </c>
      <c r="F117" s="100">
        <v>2.4681559587636512E-17</v>
      </c>
      <c r="G117" s="100">
        <v>2.4681559587636512E-17</v>
      </c>
      <c r="H117" s="100">
        <v>2.4681559587636512E-17</v>
      </c>
      <c r="I117" s="100">
        <v>2.4681559587636512E-17</v>
      </c>
      <c r="J117" s="100">
        <v>2.4681559587636512E-17</v>
      </c>
      <c r="K117" s="100">
        <v>2.4681559587636512E-17</v>
      </c>
      <c r="L117" s="100">
        <v>2.4681559587636512E-17</v>
      </c>
      <c r="M117" s="100">
        <v>2.4681559587636512E-17</v>
      </c>
      <c r="N117" s="100">
        <v>2.4681559587636512E-17</v>
      </c>
      <c r="O117" s="100">
        <v>2.4681559587636512E-17</v>
      </c>
      <c r="P117" s="100">
        <v>2.4681559587636512E-17</v>
      </c>
      <c r="Q117" s="100">
        <v>2.4681559587636512E-17</v>
      </c>
      <c r="R117" s="100">
        <v>2.4681559587636512E-17</v>
      </c>
      <c r="S117" s="100">
        <v>2.4681559587636512E-17</v>
      </c>
      <c r="T117" s="100">
        <v>2.4681559587636512E-17</v>
      </c>
      <c r="U117" s="100">
        <v>2.4681559587636512E-17</v>
      </c>
      <c r="V117" s="100">
        <v>2.4681559587636512E-17</v>
      </c>
      <c r="W117" s="100">
        <v>2.4681559587636512E-17</v>
      </c>
      <c r="X117" s="100">
        <v>2.4681559587636512E-17</v>
      </c>
      <c r="Y117" s="100">
        <v>2.4681559587636512E-17</v>
      </c>
      <c r="Z117" s="100">
        <v>2.4681559587636512E-17</v>
      </c>
      <c r="AA117" s="100">
        <v>2.4681559587636512E-17</v>
      </c>
      <c r="AB117" s="100">
        <v>2.4681559587636512E-17</v>
      </c>
      <c r="AC117" s="100">
        <v>2.4681559587636512E-17</v>
      </c>
      <c r="AD117" s="100">
        <v>2.4681559587636512E-17</v>
      </c>
      <c r="AE117" s="100">
        <v>2.4681559587636512E-17</v>
      </c>
      <c r="AF117" s="100">
        <v>2.4681559587636512E-17</v>
      </c>
      <c r="AG117" s="100">
        <v>2.4681559587636512E-17</v>
      </c>
      <c r="AH117" s="100">
        <v>2.4681559587636512E-17</v>
      </c>
      <c r="AI117" s="100">
        <v>2.4681559587636512E-17</v>
      </c>
      <c r="AJ117" s="100">
        <v>2.4681559587636512E-17</v>
      </c>
      <c r="AK117" s="100">
        <v>2.4681559587636512E-17</v>
      </c>
      <c r="AL117" s="100">
        <v>2.4681559587636512E-17</v>
      </c>
      <c r="AM117" s="100">
        <v>2.4681559587636512E-17</v>
      </c>
      <c r="AN117" s="100">
        <v>2.4681559587636512E-17</v>
      </c>
      <c r="AO117" s="100">
        <v>2.4681559587636512E-17</v>
      </c>
      <c r="AP117" s="100">
        <v>2.4681559587636512E-17</v>
      </c>
      <c r="AQ117" s="100">
        <v>2.4681559587636512E-17</v>
      </c>
      <c r="AR117" s="100">
        <v>2.4681559587636512E-17</v>
      </c>
      <c r="AS117" s="100">
        <v>2.4681559587636512E-17</v>
      </c>
      <c r="AT117" s="100">
        <v>2.4681559587636512E-17</v>
      </c>
      <c r="AU117" s="100">
        <v>2.4681559587636512E-17</v>
      </c>
      <c r="AV117" s="100">
        <v>2.4681559587636512E-17</v>
      </c>
      <c r="AW117" s="100">
        <v>2.4681559587636512E-17</v>
      </c>
      <c r="AX117" s="100">
        <v>2.4681559587636512E-17</v>
      </c>
    </row>
    <row r="118" spans="1:50">
      <c r="B118" s="105" t="s">
        <v>22</v>
      </c>
      <c r="C118" s="100">
        <v>6.0286151172064227E-18</v>
      </c>
      <c r="D118" s="100">
        <v>6.0286151172064227E-18</v>
      </c>
      <c r="E118" s="100">
        <v>6.0286151172064227E-18</v>
      </c>
      <c r="F118" s="100">
        <v>6.0286151172064227E-18</v>
      </c>
      <c r="G118" s="100">
        <v>6.0286151172064227E-18</v>
      </c>
      <c r="H118" s="100">
        <v>6.0286151172064227E-18</v>
      </c>
      <c r="I118" s="100">
        <v>6.0286151172064227E-18</v>
      </c>
      <c r="J118" s="100">
        <v>6.0286151172064227E-18</v>
      </c>
      <c r="K118" s="100">
        <v>6.0286151172064227E-18</v>
      </c>
      <c r="L118" s="100">
        <v>6.0286151172064227E-18</v>
      </c>
      <c r="M118" s="100">
        <v>6.0286151172064227E-18</v>
      </c>
      <c r="N118" s="100">
        <v>6.0286151172064227E-18</v>
      </c>
      <c r="O118" s="100">
        <v>6.0286151172064227E-18</v>
      </c>
      <c r="P118" s="100">
        <v>6.0286151172064227E-18</v>
      </c>
      <c r="Q118" s="100">
        <v>6.0286151172064227E-18</v>
      </c>
      <c r="R118" s="100">
        <v>6.0286151172064227E-18</v>
      </c>
      <c r="S118" s="100">
        <v>6.0286151172064227E-18</v>
      </c>
      <c r="T118" s="100">
        <v>6.0286151172064227E-18</v>
      </c>
      <c r="U118" s="100">
        <v>6.0286151172064227E-18</v>
      </c>
      <c r="V118" s="100">
        <v>6.0286151172064227E-18</v>
      </c>
      <c r="W118" s="100">
        <v>6.0286151172064227E-18</v>
      </c>
      <c r="X118" s="100">
        <v>6.0286151172064227E-18</v>
      </c>
      <c r="Y118" s="100">
        <v>6.0286151172064227E-18</v>
      </c>
      <c r="Z118" s="100">
        <v>6.0286151172064227E-18</v>
      </c>
      <c r="AA118" s="100">
        <v>6.0286151172064227E-18</v>
      </c>
      <c r="AB118" s="100">
        <v>6.0286151172064227E-18</v>
      </c>
      <c r="AC118" s="100">
        <v>6.0286151172064227E-18</v>
      </c>
      <c r="AD118" s="100">
        <v>6.0286151172064227E-18</v>
      </c>
      <c r="AE118" s="100">
        <v>6.0286151172064227E-18</v>
      </c>
      <c r="AF118" s="100">
        <v>6.0286151172064227E-18</v>
      </c>
      <c r="AG118" s="100">
        <v>6.0286151172064227E-18</v>
      </c>
      <c r="AH118" s="100">
        <v>6.0286151172064227E-18</v>
      </c>
      <c r="AI118" s="100">
        <v>6.0286151172064227E-18</v>
      </c>
      <c r="AJ118" s="100">
        <v>6.0286151172064227E-18</v>
      </c>
      <c r="AK118" s="100">
        <v>6.0286151172064227E-18</v>
      </c>
      <c r="AL118" s="100">
        <v>6.0286151172064227E-18</v>
      </c>
      <c r="AM118" s="100">
        <v>6.0286151172064227E-18</v>
      </c>
      <c r="AN118" s="100">
        <v>6.0286151172064227E-18</v>
      </c>
      <c r="AO118" s="100">
        <v>6.0286151172064227E-18</v>
      </c>
      <c r="AP118" s="100">
        <v>6.0286151172064227E-18</v>
      </c>
      <c r="AQ118" s="100">
        <v>6.0286151172064227E-18</v>
      </c>
      <c r="AR118" s="100">
        <v>6.0286151172064227E-18</v>
      </c>
      <c r="AS118" s="100">
        <v>6.0286151172064227E-18</v>
      </c>
      <c r="AT118" s="100">
        <v>6.0286151172064227E-18</v>
      </c>
      <c r="AU118" s="100">
        <v>6.0286151172064227E-18</v>
      </c>
      <c r="AV118" s="100">
        <v>6.0286151172064227E-18</v>
      </c>
      <c r="AW118" s="100">
        <v>6.0286151172064227E-18</v>
      </c>
      <c r="AX118" s="100">
        <v>6.0286151172064227E-18</v>
      </c>
    </row>
    <row r="119" spans="1:50">
      <c r="B119" s="105" t="s">
        <v>46</v>
      </c>
      <c r="C119" s="100">
        <v>621.25655157867197</v>
      </c>
      <c r="D119" s="100">
        <v>621.25655157867197</v>
      </c>
      <c r="E119" s="100">
        <v>621.25655157867197</v>
      </c>
      <c r="F119" s="100">
        <v>621.25655157867197</v>
      </c>
      <c r="G119" s="100">
        <v>621.25655157867197</v>
      </c>
      <c r="H119" s="100">
        <v>621.25655157867197</v>
      </c>
      <c r="I119" s="100">
        <v>621.25655157867197</v>
      </c>
      <c r="J119" s="100">
        <v>621.25655157867197</v>
      </c>
      <c r="K119" s="100">
        <v>621.25655157867197</v>
      </c>
      <c r="L119" s="100">
        <v>621.25655157867197</v>
      </c>
      <c r="M119" s="100">
        <v>621.25655157867197</v>
      </c>
      <c r="N119" s="100">
        <v>621.25655157867197</v>
      </c>
      <c r="O119" s="100">
        <v>621.25655157867197</v>
      </c>
      <c r="P119" s="100">
        <v>621.25655157867197</v>
      </c>
      <c r="Q119" s="100">
        <v>621.25655157867197</v>
      </c>
      <c r="R119" s="100">
        <v>621.25655157867197</v>
      </c>
      <c r="S119" s="100">
        <v>621.25655157867197</v>
      </c>
      <c r="T119" s="100">
        <v>621.25655157867197</v>
      </c>
      <c r="U119" s="100">
        <v>621.25655157867197</v>
      </c>
      <c r="V119" s="100">
        <v>621.25655157867197</v>
      </c>
      <c r="W119" s="100">
        <v>621.25655157867197</v>
      </c>
      <c r="X119" s="100">
        <v>621.25655157867197</v>
      </c>
      <c r="Y119" s="100">
        <v>621.25655157867197</v>
      </c>
      <c r="Z119" s="100">
        <v>621.25655157867197</v>
      </c>
      <c r="AA119" s="100">
        <v>621.25655157867197</v>
      </c>
      <c r="AB119" s="100">
        <v>621.25655157867197</v>
      </c>
      <c r="AC119" s="100">
        <v>621.25655157867197</v>
      </c>
      <c r="AD119" s="100">
        <v>621.25655157867197</v>
      </c>
      <c r="AE119" s="100">
        <v>621.25655157867197</v>
      </c>
      <c r="AF119" s="100">
        <v>621.25655157867197</v>
      </c>
      <c r="AG119" s="100">
        <v>621.25655157867197</v>
      </c>
      <c r="AH119" s="100">
        <v>621.25655157867197</v>
      </c>
      <c r="AI119" s="100">
        <v>621.25655157867197</v>
      </c>
      <c r="AJ119" s="100">
        <v>621.25655157867197</v>
      </c>
      <c r="AK119" s="100">
        <v>621.25655157867197</v>
      </c>
      <c r="AL119" s="100">
        <v>621.25655157867197</v>
      </c>
      <c r="AM119" s="100">
        <v>621.25655157867197</v>
      </c>
      <c r="AN119" s="100">
        <v>621.25655157867197</v>
      </c>
      <c r="AO119" s="100">
        <v>621.25655157867197</v>
      </c>
      <c r="AP119" s="100">
        <v>621.25655157867197</v>
      </c>
      <c r="AQ119" s="100">
        <v>621.25655157867197</v>
      </c>
      <c r="AR119" s="100">
        <v>621.25655157867197</v>
      </c>
      <c r="AS119" s="100">
        <v>621.25655157867197</v>
      </c>
      <c r="AT119" s="100">
        <v>621.25655157867197</v>
      </c>
      <c r="AU119" s="100">
        <v>621.25655157867197</v>
      </c>
      <c r="AV119" s="100">
        <v>621.25655157867197</v>
      </c>
      <c r="AW119" s="100">
        <v>621.25655157867197</v>
      </c>
      <c r="AX119" s="100">
        <v>621.25655157867197</v>
      </c>
    </row>
    <row r="120" spans="1:50">
      <c r="B120" s="105" t="s">
        <v>59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0</v>
      </c>
      <c r="U120" s="100">
        <v>0</v>
      </c>
      <c r="V120" s="100">
        <v>0</v>
      </c>
      <c r="W120" s="100">
        <v>0</v>
      </c>
      <c r="X120" s="100">
        <v>0</v>
      </c>
      <c r="Y120" s="100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  <c r="AQ120" s="100">
        <v>0</v>
      </c>
      <c r="AR120" s="100">
        <v>0</v>
      </c>
      <c r="AS120" s="100">
        <v>0</v>
      </c>
      <c r="AT120" s="100">
        <v>0</v>
      </c>
      <c r="AU120" s="100">
        <v>0</v>
      </c>
      <c r="AV120" s="100">
        <v>0</v>
      </c>
      <c r="AW120" s="100">
        <v>0</v>
      </c>
      <c r="AX120" s="100">
        <v>0</v>
      </c>
    </row>
    <row r="121" spans="1:50">
      <c r="B121" s="100" t="s">
        <v>278</v>
      </c>
      <c r="C121" s="105">
        <f>SUM(C$116:C$120)</f>
        <v>12237.256551578612</v>
      </c>
      <c r="D121" s="105">
        <f t="shared" ref="D121:AX121" si="8">SUM(D$116:D$120)</f>
        <v>12237.256551578612</v>
      </c>
      <c r="E121" s="105">
        <f t="shared" si="8"/>
        <v>12237.256551578612</v>
      </c>
      <c r="F121" s="105">
        <f t="shared" si="8"/>
        <v>12237.256551578612</v>
      </c>
      <c r="G121" s="105">
        <f t="shared" si="8"/>
        <v>12237.256551578612</v>
      </c>
      <c r="H121" s="105">
        <f t="shared" si="8"/>
        <v>12237.256551578612</v>
      </c>
      <c r="I121" s="105">
        <f t="shared" si="8"/>
        <v>12237.256551578612</v>
      </c>
      <c r="J121" s="105">
        <f t="shared" si="8"/>
        <v>12237.256551578612</v>
      </c>
      <c r="K121" s="105">
        <f t="shared" si="8"/>
        <v>12237.256551578612</v>
      </c>
      <c r="L121" s="105">
        <f t="shared" si="8"/>
        <v>12237.256551578612</v>
      </c>
      <c r="M121" s="105">
        <f t="shared" si="8"/>
        <v>12237.256551578612</v>
      </c>
      <c r="N121" s="105">
        <f t="shared" si="8"/>
        <v>12237.256551578612</v>
      </c>
      <c r="O121" s="105">
        <f t="shared" si="8"/>
        <v>12237.256551578612</v>
      </c>
      <c r="P121" s="105">
        <f t="shared" si="8"/>
        <v>12237.256551578612</v>
      </c>
      <c r="Q121" s="105">
        <f t="shared" si="8"/>
        <v>12237.256551578612</v>
      </c>
      <c r="R121" s="105">
        <f t="shared" si="8"/>
        <v>12237.256551578612</v>
      </c>
      <c r="S121" s="105">
        <f t="shared" si="8"/>
        <v>12237.256551578612</v>
      </c>
      <c r="T121" s="105">
        <f t="shared" si="8"/>
        <v>12237.256551578612</v>
      </c>
      <c r="U121" s="105">
        <f t="shared" si="8"/>
        <v>12237.256551578612</v>
      </c>
      <c r="V121" s="105">
        <f t="shared" si="8"/>
        <v>12237.256551578612</v>
      </c>
      <c r="W121" s="105">
        <f t="shared" si="8"/>
        <v>12237.256551578612</v>
      </c>
      <c r="X121" s="105">
        <f t="shared" si="8"/>
        <v>12237.256551578612</v>
      </c>
      <c r="Y121" s="105">
        <f t="shared" si="8"/>
        <v>12237.256551578612</v>
      </c>
      <c r="Z121" s="105">
        <f t="shared" si="8"/>
        <v>12237.256551578612</v>
      </c>
      <c r="AA121" s="105">
        <f t="shared" si="8"/>
        <v>12237.256551578612</v>
      </c>
      <c r="AB121" s="105">
        <f t="shared" si="8"/>
        <v>12237.256551578612</v>
      </c>
      <c r="AC121" s="105">
        <f t="shared" si="8"/>
        <v>12237.256551578612</v>
      </c>
      <c r="AD121" s="105">
        <f t="shared" si="8"/>
        <v>12237.256551578612</v>
      </c>
      <c r="AE121" s="105">
        <f t="shared" si="8"/>
        <v>12237.256551578612</v>
      </c>
      <c r="AF121" s="105">
        <f t="shared" si="8"/>
        <v>12237.256551578612</v>
      </c>
      <c r="AG121" s="105">
        <f t="shared" si="8"/>
        <v>12237.256551578612</v>
      </c>
      <c r="AH121" s="105">
        <f t="shared" si="8"/>
        <v>12237.256551578612</v>
      </c>
      <c r="AI121" s="105">
        <f t="shared" si="8"/>
        <v>12237.256551578612</v>
      </c>
      <c r="AJ121" s="105">
        <f t="shared" si="8"/>
        <v>12237.256551578612</v>
      </c>
      <c r="AK121" s="105">
        <f t="shared" si="8"/>
        <v>12237.256551578612</v>
      </c>
      <c r="AL121" s="105">
        <f t="shared" si="8"/>
        <v>12237.256551578612</v>
      </c>
      <c r="AM121" s="105">
        <f t="shared" si="8"/>
        <v>12237.256551578612</v>
      </c>
      <c r="AN121" s="105">
        <f t="shared" si="8"/>
        <v>12237.256551578612</v>
      </c>
      <c r="AO121" s="105">
        <f t="shared" si="8"/>
        <v>12237.256551578612</v>
      </c>
      <c r="AP121" s="105">
        <f t="shared" si="8"/>
        <v>12237.256551578612</v>
      </c>
      <c r="AQ121" s="105">
        <f t="shared" si="8"/>
        <v>12237.256551578612</v>
      </c>
      <c r="AR121" s="105">
        <f t="shared" si="8"/>
        <v>12237.256551578612</v>
      </c>
      <c r="AS121" s="105">
        <f t="shared" si="8"/>
        <v>12237.256551578612</v>
      </c>
      <c r="AT121" s="105">
        <f t="shared" si="8"/>
        <v>12237.256551578612</v>
      </c>
      <c r="AU121" s="105">
        <f t="shared" si="8"/>
        <v>12237.256551578612</v>
      </c>
      <c r="AV121" s="105">
        <f t="shared" si="8"/>
        <v>12237.256551578612</v>
      </c>
      <c r="AW121" s="105">
        <f t="shared" si="8"/>
        <v>12237.256551578612</v>
      </c>
      <c r="AX121" s="105">
        <f t="shared" si="8"/>
        <v>12237.256551578612</v>
      </c>
    </row>
    <row r="122" spans="1:50">
      <c r="A122" s="105" t="s">
        <v>108</v>
      </c>
      <c r="B122" s="105" t="s">
        <v>10</v>
      </c>
      <c r="C122" s="100">
        <v>2.9017662458010422E-17</v>
      </c>
      <c r="D122" s="100">
        <v>2.9017662458010422E-17</v>
      </c>
      <c r="E122" s="100">
        <v>2.9017662458010422E-17</v>
      </c>
      <c r="F122" s="100">
        <v>2.9017662458010422E-17</v>
      </c>
      <c r="G122" s="100">
        <v>2.9017662458010422E-17</v>
      </c>
      <c r="H122" s="100">
        <v>2.9017662458010422E-17</v>
      </c>
      <c r="I122" s="100">
        <v>2.9017662458010422E-17</v>
      </c>
      <c r="J122" s="100">
        <v>2.9017662458010422E-17</v>
      </c>
      <c r="K122" s="100">
        <v>2.9017662458010422E-17</v>
      </c>
      <c r="L122" s="100">
        <v>2.9017662458010422E-17</v>
      </c>
      <c r="M122" s="100">
        <v>2.9017662458010422E-17</v>
      </c>
      <c r="N122" s="100">
        <v>2.9017662458010422E-17</v>
      </c>
      <c r="O122" s="100">
        <v>2.9017662458010422E-17</v>
      </c>
      <c r="P122" s="100">
        <v>2.9017662458010422E-17</v>
      </c>
      <c r="Q122" s="100">
        <v>2.9017662458010422E-17</v>
      </c>
      <c r="R122" s="100">
        <v>2.9017662458010422E-17</v>
      </c>
      <c r="S122" s="100">
        <v>2.9017662458010422E-17</v>
      </c>
      <c r="T122" s="100">
        <v>2.9017662458010422E-17</v>
      </c>
      <c r="U122" s="100">
        <v>2.9017662458010422E-17</v>
      </c>
      <c r="V122" s="100">
        <v>2.9017662458010422E-17</v>
      </c>
      <c r="W122" s="100">
        <v>2.9017662458010422E-17</v>
      </c>
      <c r="X122" s="100">
        <v>2.9017662458010422E-17</v>
      </c>
      <c r="Y122" s="100">
        <v>2.9017662458010422E-17</v>
      </c>
      <c r="Z122" s="100">
        <v>2.9017662458010422E-17</v>
      </c>
      <c r="AA122" s="100">
        <v>2.9017662458010422E-17</v>
      </c>
      <c r="AB122" s="100">
        <v>2.9017662458010422E-17</v>
      </c>
      <c r="AC122" s="100">
        <v>2.9017662458010422E-17</v>
      </c>
      <c r="AD122" s="100">
        <v>2.9017662458010422E-17</v>
      </c>
      <c r="AE122" s="100">
        <v>2.9017662458010422E-17</v>
      </c>
      <c r="AF122" s="100">
        <v>2.9017662458010422E-17</v>
      </c>
      <c r="AG122" s="100">
        <v>2.9017662458010422E-17</v>
      </c>
      <c r="AH122" s="100">
        <v>2.9017662458010422E-17</v>
      </c>
      <c r="AI122" s="100">
        <v>2.4181385381675351E-17</v>
      </c>
      <c r="AJ122" s="100">
        <v>2.4181385381675351E-17</v>
      </c>
      <c r="AK122" s="100">
        <v>2.4181385381675351E-17</v>
      </c>
      <c r="AL122" s="100">
        <v>2.4181385381675351E-17</v>
      </c>
      <c r="AM122" s="100">
        <v>2.9017662458010422E-17</v>
      </c>
      <c r="AN122" s="100">
        <v>2.9017662458010422E-17</v>
      </c>
      <c r="AO122" s="100">
        <v>2.9017662458010422E-17</v>
      </c>
      <c r="AP122" s="100">
        <v>2.9017662458010422E-17</v>
      </c>
      <c r="AQ122" s="100">
        <v>2.4181385381675351E-17</v>
      </c>
      <c r="AR122" s="100">
        <v>2.4181385381675351E-17</v>
      </c>
      <c r="AS122" s="100">
        <v>2.4181385381675351E-17</v>
      </c>
      <c r="AT122" s="100">
        <v>2.4181385381675351E-17</v>
      </c>
      <c r="AU122" s="100">
        <v>2.9017662458010422E-17</v>
      </c>
      <c r="AV122" s="100">
        <v>2.9017662458010422E-17</v>
      </c>
      <c r="AW122" s="100">
        <v>2.9017662458010422E-17</v>
      </c>
      <c r="AX122" s="100">
        <v>2.9017662458010422E-17</v>
      </c>
    </row>
    <row r="123" spans="1:50">
      <c r="B123" s="105" t="s">
        <v>12</v>
      </c>
      <c r="C123" s="100">
        <v>1.7865625340661718E-17</v>
      </c>
      <c r="D123" s="100">
        <v>1.7865625340661718E-17</v>
      </c>
      <c r="E123" s="100">
        <v>1.7865625340661718E-17</v>
      </c>
      <c r="F123" s="100">
        <v>1.7865625340661718E-17</v>
      </c>
      <c r="G123" s="100">
        <v>1.7865625340661718E-17</v>
      </c>
      <c r="H123" s="100">
        <v>1.7865625340661718E-17</v>
      </c>
      <c r="I123" s="100">
        <v>1.7865625340661718E-17</v>
      </c>
      <c r="J123" s="100">
        <v>1.7865625340661718E-17</v>
      </c>
      <c r="K123" s="100">
        <v>1.7865625340661718E-17</v>
      </c>
      <c r="L123" s="100">
        <v>1.7865625340661718E-17</v>
      </c>
      <c r="M123" s="100">
        <v>1.7865625340661718E-17</v>
      </c>
      <c r="N123" s="100">
        <v>1.7865625340661718E-17</v>
      </c>
      <c r="O123" s="100">
        <v>1.7865625340661718E-17</v>
      </c>
      <c r="P123" s="100">
        <v>1.7865625340661718E-17</v>
      </c>
      <c r="Q123" s="100">
        <v>1.7865625340661718E-17</v>
      </c>
      <c r="R123" s="100">
        <v>1.7865625340661718E-17</v>
      </c>
      <c r="S123" s="100">
        <v>1.7865625340661718E-17</v>
      </c>
      <c r="T123" s="100">
        <v>1.7865625340661718E-17</v>
      </c>
      <c r="U123" s="100">
        <v>1.7865625340661718E-17</v>
      </c>
      <c r="V123" s="100">
        <v>1.7865625340661718E-17</v>
      </c>
      <c r="W123" s="100">
        <v>1.7865625340661718E-17</v>
      </c>
      <c r="X123" s="100">
        <v>1.7865625340661718E-17</v>
      </c>
      <c r="Y123" s="100">
        <v>1.7865625340661718E-17</v>
      </c>
      <c r="Z123" s="100">
        <v>1.7865625340661718E-17</v>
      </c>
      <c r="AA123" s="100">
        <v>1.7865625340661718E-17</v>
      </c>
      <c r="AB123" s="100">
        <v>1.7865625340661718E-17</v>
      </c>
      <c r="AC123" s="100">
        <v>1.7865625340661718E-17</v>
      </c>
      <c r="AD123" s="100">
        <v>1.7865625340661718E-17</v>
      </c>
      <c r="AE123" s="100">
        <v>1.7865625340661718E-17</v>
      </c>
      <c r="AF123" s="100">
        <v>1.7865625340661718E-17</v>
      </c>
      <c r="AG123" s="100">
        <v>1.7865625340661718E-17</v>
      </c>
      <c r="AH123" s="100">
        <v>1.7865625340661718E-17</v>
      </c>
      <c r="AI123" s="100">
        <v>1.4888021117218096E-17</v>
      </c>
      <c r="AJ123" s="100">
        <v>1.4888021117218096E-17</v>
      </c>
      <c r="AK123" s="100">
        <v>1.4888021117218096E-17</v>
      </c>
      <c r="AL123" s="100">
        <v>1.4888021117218096E-17</v>
      </c>
      <c r="AM123" s="100">
        <v>1.7865625340661718E-17</v>
      </c>
      <c r="AN123" s="100">
        <v>1.7865625340661718E-17</v>
      </c>
      <c r="AO123" s="100">
        <v>1.7865625340661718E-17</v>
      </c>
      <c r="AP123" s="100">
        <v>1.7865625340661718E-17</v>
      </c>
      <c r="AQ123" s="100">
        <v>1.4888021117218096E-17</v>
      </c>
      <c r="AR123" s="100">
        <v>1.4888021117218096E-17</v>
      </c>
      <c r="AS123" s="100">
        <v>1.4888021117218096E-17</v>
      </c>
      <c r="AT123" s="100">
        <v>1.4888021117218096E-17</v>
      </c>
      <c r="AU123" s="100">
        <v>1.7865625340661718E-17</v>
      </c>
      <c r="AV123" s="100">
        <v>1.7865625340661718E-17</v>
      </c>
      <c r="AW123" s="100">
        <v>1.7865625340661718E-17</v>
      </c>
      <c r="AX123" s="100">
        <v>1.7865625340661718E-17</v>
      </c>
    </row>
    <row r="124" spans="1:50">
      <c r="B124" s="105" t="s">
        <v>22</v>
      </c>
      <c r="C124" s="100">
        <v>1.9399174132858585E-18</v>
      </c>
      <c r="D124" s="100">
        <v>1.9399174132858585E-18</v>
      </c>
      <c r="E124" s="100">
        <v>1.9399174132858585E-18</v>
      </c>
      <c r="F124" s="100">
        <v>1.9399174132858585E-18</v>
      </c>
      <c r="G124" s="100">
        <v>1.9399174132858585E-18</v>
      </c>
      <c r="H124" s="100">
        <v>1.9399174132858585E-18</v>
      </c>
      <c r="I124" s="100">
        <v>1.9399174132858585E-18</v>
      </c>
      <c r="J124" s="100">
        <v>1.9399174132858585E-18</v>
      </c>
      <c r="K124" s="100">
        <v>1.9399174132858585E-18</v>
      </c>
      <c r="L124" s="100">
        <v>1.9399174132858585E-18</v>
      </c>
      <c r="M124" s="100">
        <v>1.9399174132858585E-18</v>
      </c>
      <c r="N124" s="100">
        <v>1.9399174132858585E-18</v>
      </c>
      <c r="O124" s="100">
        <v>1.9399174132858585E-18</v>
      </c>
      <c r="P124" s="100">
        <v>1.9399174132858585E-18</v>
      </c>
      <c r="Q124" s="100">
        <v>1.9399174132858585E-18</v>
      </c>
      <c r="R124" s="100">
        <v>1.9399174132858585E-18</v>
      </c>
      <c r="S124" s="100">
        <v>1.9399174132858585E-18</v>
      </c>
      <c r="T124" s="100">
        <v>1.9399174132858585E-18</v>
      </c>
      <c r="U124" s="100">
        <v>1.9399174132858585E-18</v>
      </c>
      <c r="V124" s="100">
        <v>1.9399174132858585E-18</v>
      </c>
      <c r="W124" s="100">
        <v>1.9399174132858585E-18</v>
      </c>
      <c r="X124" s="100">
        <v>1.9399174132858585E-18</v>
      </c>
      <c r="Y124" s="100">
        <v>1.9399174132858585E-18</v>
      </c>
      <c r="Z124" s="100">
        <v>1.9399174132858585E-18</v>
      </c>
      <c r="AA124" s="100">
        <v>1.9399174132858585E-18</v>
      </c>
      <c r="AB124" s="100">
        <v>1.9399174132858585E-18</v>
      </c>
      <c r="AC124" s="100">
        <v>1.9399174132858585E-18</v>
      </c>
      <c r="AD124" s="100">
        <v>1.9399174132858585E-18</v>
      </c>
      <c r="AE124" s="100">
        <v>1.9399174132858585E-18</v>
      </c>
      <c r="AF124" s="100">
        <v>1.9399174132858585E-18</v>
      </c>
      <c r="AG124" s="100">
        <v>1.9399174132858585E-18</v>
      </c>
      <c r="AH124" s="100">
        <v>1.9399174132858585E-18</v>
      </c>
      <c r="AI124" s="100">
        <v>1.6165978444048818E-18</v>
      </c>
      <c r="AJ124" s="100">
        <v>1.6165978444048818E-18</v>
      </c>
      <c r="AK124" s="100">
        <v>1.6165978444048818E-18</v>
      </c>
      <c r="AL124" s="100">
        <v>1.6165978444048818E-18</v>
      </c>
      <c r="AM124" s="100">
        <v>1.9399174132858585E-18</v>
      </c>
      <c r="AN124" s="100">
        <v>1.9399174132858585E-18</v>
      </c>
      <c r="AO124" s="100">
        <v>1.9399174132858585E-18</v>
      </c>
      <c r="AP124" s="100">
        <v>1.9399174132858585E-18</v>
      </c>
      <c r="AQ124" s="100">
        <v>1.6165978444048818E-18</v>
      </c>
      <c r="AR124" s="100">
        <v>1.6165978444048818E-18</v>
      </c>
      <c r="AS124" s="100">
        <v>1.6165978444048818E-18</v>
      </c>
      <c r="AT124" s="100">
        <v>1.6165978444048818E-18</v>
      </c>
      <c r="AU124" s="100">
        <v>1.9399174132858585E-18</v>
      </c>
      <c r="AV124" s="100">
        <v>1.9399174132858585E-18</v>
      </c>
      <c r="AW124" s="100">
        <v>1.9399174132858585E-18</v>
      </c>
      <c r="AX124" s="100">
        <v>1.9399174132858585E-18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0</v>
      </c>
      <c r="D126" s="100">
        <v>0</v>
      </c>
      <c r="E126" s="100">
        <v>0</v>
      </c>
      <c r="F126" s="100">
        <v>0</v>
      </c>
      <c r="G126" s="100">
        <v>0</v>
      </c>
      <c r="H126" s="100">
        <v>0</v>
      </c>
      <c r="I126" s="100">
        <v>0</v>
      </c>
      <c r="J126" s="100">
        <v>0</v>
      </c>
      <c r="K126" s="100">
        <v>0</v>
      </c>
      <c r="L126" s="100">
        <v>0</v>
      </c>
      <c r="M126" s="100">
        <v>0</v>
      </c>
      <c r="N126" s="100">
        <v>0</v>
      </c>
      <c r="O126" s="100">
        <v>0</v>
      </c>
      <c r="P126" s="100">
        <v>0</v>
      </c>
      <c r="Q126" s="100">
        <v>0</v>
      </c>
      <c r="R126" s="100">
        <v>0</v>
      </c>
      <c r="S126" s="100">
        <v>0</v>
      </c>
      <c r="T126" s="100">
        <v>0</v>
      </c>
      <c r="U126" s="100">
        <v>0</v>
      </c>
      <c r="V126" s="100">
        <v>0</v>
      </c>
      <c r="W126" s="100">
        <v>0</v>
      </c>
      <c r="X126" s="100">
        <v>0</v>
      </c>
      <c r="Y126" s="100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>
        <v>0</v>
      </c>
      <c r="AH126" s="100">
        <v>0</v>
      </c>
      <c r="AI126" s="100">
        <v>0</v>
      </c>
      <c r="AJ126" s="100">
        <v>0</v>
      </c>
      <c r="AK126" s="100">
        <v>0</v>
      </c>
      <c r="AL126" s="100">
        <v>0</v>
      </c>
      <c r="AM126" s="100">
        <v>0</v>
      </c>
      <c r="AN126" s="100">
        <v>0</v>
      </c>
      <c r="AO126" s="100">
        <v>0</v>
      </c>
      <c r="AP126" s="100">
        <v>0</v>
      </c>
      <c r="AQ126" s="100">
        <v>0</v>
      </c>
      <c r="AR126" s="100">
        <v>0</v>
      </c>
      <c r="AS126" s="100">
        <v>0</v>
      </c>
      <c r="AT126" s="100">
        <v>0</v>
      </c>
      <c r="AU126" s="100">
        <v>0</v>
      </c>
      <c r="AV126" s="100">
        <v>0</v>
      </c>
      <c r="AW126" s="100">
        <v>0</v>
      </c>
      <c r="AX126" s="100">
        <v>0</v>
      </c>
    </row>
    <row r="127" spans="1:50">
      <c r="B127" s="100" t="s">
        <v>278</v>
      </c>
      <c r="C127" s="105">
        <f>SUM(C$122:C$126)</f>
        <v>4.8823205211958001E-17</v>
      </c>
      <c r="D127" s="105">
        <f t="shared" ref="D127:AX127" si="9">SUM(D$122:D$126)</f>
        <v>4.8823205211958001E-17</v>
      </c>
      <c r="E127" s="105">
        <f t="shared" si="9"/>
        <v>4.8823205211958001E-17</v>
      </c>
      <c r="F127" s="105">
        <f t="shared" si="9"/>
        <v>4.8823205211958001E-17</v>
      </c>
      <c r="G127" s="105">
        <f t="shared" si="9"/>
        <v>4.8823205211958001E-17</v>
      </c>
      <c r="H127" s="105">
        <f t="shared" si="9"/>
        <v>4.8823205211958001E-17</v>
      </c>
      <c r="I127" s="105">
        <f t="shared" si="9"/>
        <v>4.8823205211958001E-17</v>
      </c>
      <c r="J127" s="105">
        <f t="shared" si="9"/>
        <v>4.8823205211958001E-17</v>
      </c>
      <c r="K127" s="105">
        <f t="shared" si="9"/>
        <v>4.8823205211958001E-17</v>
      </c>
      <c r="L127" s="105">
        <f t="shared" si="9"/>
        <v>4.8823205211958001E-17</v>
      </c>
      <c r="M127" s="105">
        <f t="shared" si="9"/>
        <v>4.8823205211958001E-17</v>
      </c>
      <c r="N127" s="105">
        <f t="shared" si="9"/>
        <v>4.8823205211958001E-17</v>
      </c>
      <c r="O127" s="105">
        <f t="shared" si="9"/>
        <v>4.8823205211958001E-17</v>
      </c>
      <c r="P127" s="105">
        <f t="shared" si="9"/>
        <v>4.8823205211958001E-17</v>
      </c>
      <c r="Q127" s="105">
        <f t="shared" si="9"/>
        <v>4.8823205211958001E-17</v>
      </c>
      <c r="R127" s="105">
        <f t="shared" si="9"/>
        <v>4.8823205211958001E-17</v>
      </c>
      <c r="S127" s="105">
        <f t="shared" si="9"/>
        <v>4.8823205211958001E-17</v>
      </c>
      <c r="T127" s="105">
        <f t="shared" si="9"/>
        <v>4.8823205211958001E-17</v>
      </c>
      <c r="U127" s="105">
        <f t="shared" si="9"/>
        <v>4.8823205211958001E-17</v>
      </c>
      <c r="V127" s="105">
        <f t="shared" si="9"/>
        <v>4.8823205211958001E-17</v>
      </c>
      <c r="W127" s="105">
        <f t="shared" si="9"/>
        <v>4.8823205211958001E-17</v>
      </c>
      <c r="X127" s="105">
        <f t="shared" si="9"/>
        <v>4.8823205211958001E-17</v>
      </c>
      <c r="Y127" s="105">
        <f t="shared" si="9"/>
        <v>4.8823205211958001E-17</v>
      </c>
      <c r="Z127" s="105">
        <f t="shared" si="9"/>
        <v>4.8823205211958001E-17</v>
      </c>
      <c r="AA127" s="105">
        <f t="shared" si="9"/>
        <v>4.8823205211958001E-17</v>
      </c>
      <c r="AB127" s="105">
        <f t="shared" si="9"/>
        <v>4.8823205211958001E-17</v>
      </c>
      <c r="AC127" s="105">
        <f t="shared" si="9"/>
        <v>4.8823205211958001E-17</v>
      </c>
      <c r="AD127" s="105">
        <f t="shared" si="9"/>
        <v>4.8823205211958001E-17</v>
      </c>
      <c r="AE127" s="105">
        <f t="shared" si="9"/>
        <v>4.8823205211958001E-17</v>
      </c>
      <c r="AF127" s="105">
        <f t="shared" si="9"/>
        <v>4.8823205211958001E-17</v>
      </c>
      <c r="AG127" s="105">
        <f t="shared" si="9"/>
        <v>4.8823205211958001E-17</v>
      </c>
      <c r="AH127" s="105">
        <f t="shared" si="9"/>
        <v>4.8823205211958001E-17</v>
      </c>
      <c r="AI127" s="105">
        <f t="shared" si="9"/>
        <v>4.068600434329833E-17</v>
      </c>
      <c r="AJ127" s="105">
        <f t="shared" si="9"/>
        <v>4.068600434329833E-17</v>
      </c>
      <c r="AK127" s="105">
        <f t="shared" si="9"/>
        <v>4.068600434329833E-17</v>
      </c>
      <c r="AL127" s="105">
        <f t="shared" si="9"/>
        <v>4.068600434329833E-17</v>
      </c>
      <c r="AM127" s="105">
        <f t="shared" si="9"/>
        <v>4.8823205211958001E-17</v>
      </c>
      <c r="AN127" s="105">
        <f t="shared" si="9"/>
        <v>4.8823205211958001E-17</v>
      </c>
      <c r="AO127" s="105">
        <f t="shared" si="9"/>
        <v>4.8823205211958001E-17</v>
      </c>
      <c r="AP127" s="105">
        <f t="shared" si="9"/>
        <v>4.8823205211958001E-17</v>
      </c>
      <c r="AQ127" s="105">
        <f t="shared" si="9"/>
        <v>4.068600434329833E-17</v>
      </c>
      <c r="AR127" s="105">
        <f t="shared" si="9"/>
        <v>4.068600434329833E-17</v>
      </c>
      <c r="AS127" s="105">
        <f t="shared" si="9"/>
        <v>4.068600434329833E-17</v>
      </c>
      <c r="AT127" s="105">
        <f t="shared" si="9"/>
        <v>4.068600434329833E-17</v>
      </c>
      <c r="AU127" s="105">
        <f t="shared" si="9"/>
        <v>4.8823205211958001E-17</v>
      </c>
      <c r="AV127" s="105">
        <f t="shared" si="9"/>
        <v>4.8823205211958001E-17</v>
      </c>
      <c r="AW127" s="105">
        <f t="shared" si="9"/>
        <v>4.8823205211958001E-17</v>
      </c>
      <c r="AX127" s="105">
        <f t="shared" si="9"/>
        <v>4.8823205211958001E-17</v>
      </c>
    </row>
    <row r="128" spans="1:50">
      <c r="A128" s="105" t="s">
        <v>109</v>
      </c>
      <c r="B128" s="105" t="s">
        <v>10</v>
      </c>
      <c r="C128" s="100">
        <v>9.9357894749390574E-18</v>
      </c>
      <c r="D128" s="100">
        <v>9.9357894749390574E-18</v>
      </c>
      <c r="E128" s="100">
        <v>9.9357894749390574E-18</v>
      </c>
      <c r="F128" s="100">
        <v>9.9357894749390574E-18</v>
      </c>
      <c r="G128" s="100">
        <v>8.2798245624492129E-18</v>
      </c>
      <c r="H128" s="100">
        <v>8.2798245624492129E-18</v>
      </c>
      <c r="I128" s="100">
        <v>8.2798245624492129E-18</v>
      </c>
      <c r="J128" s="100">
        <v>8.2798245624492129E-18</v>
      </c>
      <c r="K128" s="100">
        <v>9.9357894749390574E-18</v>
      </c>
      <c r="L128" s="100">
        <v>9.9357894749390574E-18</v>
      </c>
      <c r="M128" s="100">
        <v>9.9357894749390574E-18</v>
      </c>
      <c r="N128" s="100">
        <v>9.9357894749390574E-18</v>
      </c>
      <c r="O128" s="100">
        <v>8.2798245624492129E-18</v>
      </c>
      <c r="P128" s="100">
        <v>8.2798245624492129E-18</v>
      </c>
      <c r="Q128" s="100">
        <v>8.2798245624492129E-18</v>
      </c>
      <c r="R128" s="100">
        <v>8.2798245624492129E-18</v>
      </c>
      <c r="S128" s="100">
        <v>9.9357894749390574E-18</v>
      </c>
      <c r="T128" s="100">
        <v>9.9357894749390574E-18</v>
      </c>
      <c r="U128" s="100">
        <v>9.9357894749390574E-18</v>
      </c>
      <c r="V128" s="100">
        <v>9.9357894749390574E-18</v>
      </c>
      <c r="W128" s="100">
        <v>9.9357894749390574E-18</v>
      </c>
      <c r="X128" s="100">
        <v>9.9357894749390574E-18</v>
      </c>
      <c r="Y128" s="100">
        <v>9.9357894749390574E-18</v>
      </c>
      <c r="Z128" s="100">
        <v>9.9357894749390574E-18</v>
      </c>
      <c r="AA128" s="100">
        <v>9.9357894749390574E-18</v>
      </c>
      <c r="AB128" s="100">
        <v>9.9357894749390574E-18</v>
      </c>
      <c r="AC128" s="100">
        <v>9.9357894749390574E-18</v>
      </c>
      <c r="AD128" s="100">
        <v>9.9357894749390574E-18</v>
      </c>
      <c r="AE128" s="100">
        <v>8.2798245624492129E-18</v>
      </c>
      <c r="AF128" s="100">
        <v>8.2798245624492129E-18</v>
      </c>
      <c r="AG128" s="100">
        <v>8.2798245624492129E-18</v>
      </c>
      <c r="AH128" s="100">
        <v>8.2798245624492129E-18</v>
      </c>
      <c r="AI128" s="100">
        <v>9.9357894749390574E-18</v>
      </c>
      <c r="AJ128" s="100">
        <v>9.9357894749390574E-18</v>
      </c>
      <c r="AK128" s="100">
        <v>9.9357894749390574E-18</v>
      </c>
      <c r="AL128" s="100">
        <v>9.9357894749390574E-18</v>
      </c>
      <c r="AM128" s="100">
        <v>9.9357894749390574E-18</v>
      </c>
      <c r="AN128" s="100">
        <v>9.9357894749390574E-18</v>
      </c>
      <c r="AO128" s="100">
        <v>9.9357894749390574E-18</v>
      </c>
      <c r="AP128" s="100">
        <v>9.9357894749390574E-18</v>
      </c>
      <c r="AQ128" s="100">
        <v>8.2798245624492129E-18</v>
      </c>
      <c r="AR128" s="100">
        <v>8.2798245624492129E-18</v>
      </c>
      <c r="AS128" s="100">
        <v>8.2798245624492129E-18</v>
      </c>
      <c r="AT128" s="100">
        <v>8.2798245624492129E-18</v>
      </c>
      <c r="AU128" s="100">
        <v>9.9357894749390574E-18</v>
      </c>
      <c r="AV128" s="100">
        <v>9.9357894749390574E-18</v>
      </c>
      <c r="AW128" s="100">
        <v>9.9357894749390574E-18</v>
      </c>
      <c r="AX128" s="100">
        <v>9.9357894749390574E-18</v>
      </c>
    </row>
    <row r="129" spans="2:50">
      <c r="B129" s="105" t="s">
        <v>12</v>
      </c>
      <c r="C129" s="100">
        <v>1.7211411206948744E-17</v>
      </c>
      <c r="D129" s="100">
        <v>1.7211411206948744E-17</v>
      </c>
      <c r="E129" s="100">
        <v>1.7211411206948744E-17</v>
      </c>
      <c r="F129" s="100">
        <v>1.7211411206948744E-17</v>
      </c>
      <c r="G129" s="100">
        <v>1.4342842672457288E-17</v>
      </c>
      <c r="H129" s="100">
        <v>1.4342842672457288E-17</v>
      </c>
      <c r="I129" s="100">
        <v>1.4342842672457288E-17</v>
      </c>
      <c r="J129" s="100">
        <v>1.4342842672457288E-17</v>
      </c>
      <c r="K129" s="100">
        <v>1.7211411206948744E-17</v>
      </c>
      <c r="L129" s="100">
        <v>1.7211411206948744E-17</v>
      </c>
      <c r="M129" s="100">
        <v>1.7211411206948744E-17</v>
      </c>
      <c r="N129" s="100">
        <v>1.7211411206948744E-17</v>
      </c>
      <c r="O129" s="100">
        <v>1.4342842672457288E-17</v>
      </c>
      <c r="P129" s="100">
        <v>1.4342842672457288E-17</v>
      </c>
      <c r="Q129" s="100">
        <v>1.4342842672457288E-17</v>
      </c>
      <c r="R129" s="100">
        <v>1.4342842672457288E-17</v>
      </c>
      <c r="S129" s="100">
        <v>1.7211411206948744E-17</v>
      </c>
      <c r="T129" s="100">
        <v>1.7211411206948744E-17</v>
      </c>
      <c r="U129" s="100">
        <v>1.7211411206948744E-17</v>
      </c>
      <c r="V129" s="100">
        <v>1.7211411206948744E-17</v>
      </c>
      <c r="W129" s="100">
        <v>1.7211411206948744E-17</v>
      </c>
      <c r="X129" s="100">
        <v>1.7211411206948744E-17</v>
      </c>
      <c r="Y129" s="100">
        <v>1.7211411206948744E-17</v>
      </c>
      <c r="Z129" s="100">
        <v>1.7211411206948744E-17</v>
      </c>
      <c r="AA129" s="100">
        <v>1.7211411206948744E-17</v>
      </c>
      <c r="AB129" s="100">
        <v>1.7211411206948744E-17</v>
      </c>
      <c r="AC129" s="100">
        <v>1.7211411206948744E-17</v>
      </c>
      <c r="AD129" s="100">
        <v>1.7211411206948744E-17</v>
      </c>
      <c r="AE129" s="100">
        <v>1.4342842672457288E-17</v>
      </c>
      <c r="AF129" s="100">
        <v>1.4342842672457288E-17</v>
      </c>
      <c r="AG129" s="100">
        <v>1.4342842672457288E-17</v>
      </c>
      <c r="AH129" s="100">
        <v>1.4342842672457288E-17</v>
      </c>
      <c r="AI129" s="100">
        <v>1.7211411206948744E-17</v>
      </c>
      <c r="AJ129" s="100">
        <v>1.7211411206948744E-17</v>
      </c>
      <c r="AK129" s="100">
        <v>1.7211411206948744E-17</v>
      </c>
      <c r="AL129" s="100">
        <v>1.7211411206948744E-17</v>
      </c>
      <c r="AM129" s="100">
        <v>1.7211411206948744E-17</v>
      </c>
      <c r="AN129" s="100">
        <v>1.7211411206948744E-17</v>
      </c>
      <c r="AO129" s="100">
        <v>1.7211411206948744E-17</v>
      </c>
      <c r="AP129" s="100">
        <v>1.7211411206948744E-17</v>
      </c>
      <c r="AQ129" s="100">
        <v>1.4342842672457288E-17</v>
      </c>
      <c r="AR129" s="100">
        <v>1.4342842672457288E-17</v>
      </c>
      <c r="AS129" s="100">
        <v>1.4342842672457288E-17</v>
      </c>
      <c r="AT129" s="100">
        <v>1.4342842672457288E-17</v>
      </c>
      <c r="AU129" s="100">
        <v>1.7211411206948744E-17</v>
      </c>
      <c r="AV129" s="100">
        <v>1.7211411206948744E-17</v>
      </c>
      <c r="AW129" s="100">
        <v>1.7211411206948744E-17</v>
      </c>
      <c r="AX129" s="100">
        <v>1.7211411206948744E-17</v>
      </c>
    </row>
    <row r="130" spans="2:50">
      <c r="B130" s="105" t="s">
        <v>22</v>
      </c>
      <c r="C130" s="100">
        <v>8.766603227668276E-19</v>
      </c>
      <c r="D130" s="100">
        <v>8.766603227668276E-19</v>
      </c>
      <c r="E130" s="100">
        <v>8.766603227668276E-19</v>
      </c>
      <c r="F130" s="100">
        <v>8.766603227668276E-19</v>
      </c>
      <c r="G130" s="100">
        <v>7.305502689723564E-19</v>
      </c>
      <c r="H130" s="100">
        <v>7.305502689723564E-19</v>
      </c>
      <c r="I130" s="100">
        <v>7.305502689723564E-19</v>
      </c>
      <c r="J130" s="100">
        <v>7.305502689723564E-19</v>
      </c>
      <c r="K130" s="100">
        <v>8.766603227668276E-19</v>
      </c>
      <c r="L130" s="100">
        <v>8.766603227668276E-19</v>
      </c>
      <c r="M130" s="100">
        <v>8.766603227668276E-19</v>
      </c>
      <c r="N130" s="100">
        <v>8.766603227668276E-19</v>
      </c>
      <c r="O130" s="100">
        <v>7.305502689723564E-19</v>
      </c>
      <c r="P130" s="100">
        <v>7.305502689723564E-19</v>
      </c>
      <c r="Q130" s="100">
        <v>7.305502689723564E-19</v>
      </c>
      <c r="R130" s="100">
        <v>7.305502689723564E-19</v>
      </c>
      <c r="S130" s="100">
        <v>8.766603227668276E-19</v>
      </c>
      <c r="T130" s="100">
        <v>8.766603227668276E-19</v>
      </c>
      <c r="U130" s="100">
        <v>8.766603227668276E-19</v>
      </c>
      <c r="V130" s="100">
        <v>8.766603227668276E-19</v>
      </c>
      <c r="W130" s="100">
        <v>8.766603227668276E-19</v>
      </c>
      <c r="X130" s="100">
        <v>8.766603227668276E-19</v>
      </c>
      <c r="Y130" s="100">
        <v>8.766603227668276E-19</v>
      </c>
      <c r="Z130" s="100">
        <v>8.766603227668276E-19</v>
      </c>
      <c r="AA130" s="100">
        <v>8.766603227668276E-19</v>
      </c>
      <c r="AB130" s="100">
        <v>8.766603227668276E-19</v>
      </c>
      <c r="AC130" s="100">
        <v>8.766603227668276E-19</v>
      </c>
      <c r="AD130" s="100">
        <v>8.766603227668276E-19</v>
      </c>
      <c r="AE130" s="100">
        <v>7.305502689723564E-19</v>
      </c>
      <c r="AF130" s="100">
        <v>7.305502689723564E-19</v>
      </c>
      <c r="AG130" s="100">
        <v>7.305502689723564E-19</v>
      </c>
      <c r="AH130" s="100">
        <v>7.305502689723564E-19</v>
      </c>
      <c r="AI130" s="100">
        <v>8.766603227668276E-19</v>
      </c>
      <c r="AJ130" s="100">
        <v>8.766603227668276E-19</v>
      </c>
      <c r="AK130" s="100">
        <v>8.766603227668276E-19</v>
      </c>
      <c r="AL130" s="100">
        <v>8.766603227668276E-19</v>
      </c>
      <c r="AM130" s="100">
        <v>8.766603227668276E-19</v>
      </c>
      <c r="AN130" s="100">
        <v>8.766603227668276E-19</v>
      </c>
      <c r="AO130" s="100">
        <v>8.766603227668276E-19</v>
      </c>
      <c r="AP130" s="100">
        <v>8.766603227668276E-19</v>
      </c>
      <c r="AQ130" s="100">
        <v>7.305502689723564E-19</v>
      </c>
      <c r="AR130" s="100">
        <v>7.305502689723564E-19</v>
      </c>
      <c r="AS130" s="100">
        <v>7.305502689723564E-19</v>
      </c>
      <c r="AT130" s="100">
        <v>7.305502689723564E-19</v>
      </c>
      <c r="AU130" s="100">
        <v>8.766603227668276E-19</v>
      </c>
      <c r="AV130" s="100">
        <v>8.766603227668276E-19</v>
      </c>
      <c r="AW130" s="100">
        <v>8.766603227668276E-19</v>
      </c>
      <c r="AX130" s="100">
        <v>8.766603227668276E-19</v>
      </c>
    </row>
    <row r="131" spans="2:50">
      <c r="B131" s="105" t="s">
        <v>46</v>
      </c>
      <c r="C131" s="100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0">
        <v>0</v>
      </c>
      <c r="L131" s="100">
        <v>0</v>
      </c>
      <c r="M131" s="100">
        <v>0</v>
      </c>
      <c r="N131" s="100">
        <v>0</v>
      </c>
      <c r="O131" s="100">
        <v>0</v>
      </c>
      <c r="P131" s="100">
        <v>0</v>
      </c>
      <c r="Q131" s="100">
        <v>0</v>
      </c>
      <c r="R131" s="100">
        <v>0</v>
      </c>
      <c r="S131" s="100">
        <v>0</v>
      </c>
      <c r="T131" s="100">
        <v>0</v>
      </c>
      <c r="U131" s="100">
        <v>0</v>
      </c>
      <c r="V131" s="100">
        <v>0</v>
      </c>
      <c r="W131" s="100">
        <v>0</v>
      </c>
      <c r="X131" s="100">
        <v>0</v>
      </c>
      <c r="Y131" s="100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>
        <v>0</v>
      </c>
      <c r="AH131" s="100">
        <v>0</v>
      </c>
      <c r="AI131" s="100">
        <v>0</v>
      </c>
      <c r="AJ131" s="100">
        <v>0</v>
      </c>
      <c r="AK131" s="100">
        <v>0</v>
      </c>
      <c r="AL131" s="100">
        <v>0</v>
      </c>
      <c r="AM131" s="100">
        <v>0</v>
      </c>
      <c r="AN131" s="100">
        <v>0</v>
      </c>
      <c r="AO131" s="100">
        <v>0</v>
      </c>
      <c r="AP131" s="100">
        <v>0</v>
      </c>
      <c r="AQ131" s="100">
        <v>0</v>
      </c>
      <c r="AR131" s="100">
        <v>0</v>
      </c>
      <c r="AS131" s="100">
        <v>0</v>
      </c>
      <c r="AT131" s="100">
        <v>0</v>
      </c>
      <c r="AU131" s="100">
        <v>0</v>
      </c>
      <c r="AV131" s="100">
        <v>0</v>
      </c>
      <c r="AW131" s="100">
        <v>0</v>
      </c>
      <c r="AX131" s="100">
        <v>0</v>
      </c>
    </row>
    <row r="132" spans="2:50">
      <c r="B132" s="105" t="s">
        <v>59</v>
      </c>
      <c r="C132" s="100">
        <v>2.6337318155538131E-18</v>
      </c>
      <c r="D132" s="100">
        <v>2.6337318155538131E-18</v>
      </c>
      <c r="E132" s="100">
        <v>2.6337318155538131E-18</v>
      </c>
      <c r="F132" s="100">
        <v>2.6337318155538131E-18</v>
      </c>
      <c r="G132" s="100">
        <v>2.1947765129615108E-18</v>
      </c>
      <c r="H132" s="100">
        <v>2.1947765129615108E-18</v>
      </c>
      <c r="I132" s="100">
        <v>2.1947765129615108E-18</v>
      </c>
      <c r="J132" s="100">
        <v>2.1947765129615108E-18</v>
      </c>
      <c r="K132" s="100">
        <v>2.6337318155538131E-18</v>
      </c>
      <c r="L132" s="100">
        <v>2.6337318155538131E-18</v>
      </c>
      <c r="M132" s="100">
        <v>2.6337318155538131E-18</v>
      </c>
      <c r="N132" s="100">
        <v>2.6337318155538131E-18</v>
      </c>
      <c r="O132" s="100">
        <v>2.1947765129615108E-18</v>
      </c>
      <c r="P132" s="100">
        <v>2.1947765129615108E-18</v>
      </c>
      <c r="Q132" s="100">
        <v>2.1947765129615108E-18</v>
      </c>
      <c r="R132" s="100">
        <v>2.1947765129615108E-18</v>
      </c>
      <c r="S132" s="100">
        <v>2.6337318155538131E-18</v>
      </c>
      <c r="T132" s="100">
        <v>2.6337318155538131E-18</v>
      </c>
      <c r="U132" s="100">
        <v>2.6337318155538131E-18</v>
      </c>
      <c r="V132" s="100">
        <v>2.6337318155538131E-18</v>
      </c>
      <c r="W132" s="100">
        <v>2.6337318155538131E-18</v>
      </c>
      <c r="X132" s="100">
        <v>2.6337318155538131E-18</v>
      </c>
      <c r="Y132" s="100">
        <v>2.6337318155538131E-18</v>
      </c>
      <c r="Z132" s="100">
        <v>2.6337318155538131E-18</v>
      </c>
      <c r="AA132" s="100">
        <v>2.6337318155538131E-18</v>
      </c>
      <c r="AB132" s="100">
        <v>2.6337318155538131E-18</v>
      </c>
      <c r="AC132" s="100">
        <v>2.6337318155538131E-18</v>
      </c>
      <c r="AD132" s="100">
        <v>2.6337318155538131E-18</v>
      </c>
      <c r="AE132" s="100">
        <v>2.1947765129615108E-18</v>
      </c>
      <c r="AF132" s="100">
        <v>2.1947765129615108E-18</v>
      </c>
      <c r="AG132" s="100">
        <v>2.1947765129615108E-18</v>
      </c>
      <c r="AH132" s="100">
        <v>2.1947765129615108E-18</v>
      </c>
      <c r="AI132" s="100">
        <v>2.6337318155538131E-18</v>
      </c>
      <c r="AJ132" s="100">
        <v>2.6337318155538131E-18</v>
      </c>
      <c r="AK132" s="100">
        <v>2.6337318155538131E-18</v>
      </c>
      <c r="AL132" s="100">
        <v>2.6337318155538131E-18</v>
      </c>
      <c r="AM132" s="100">
        <v>2.6337318155538131E-18</v>
      </c>
      <c r="AN132" s="100">
        <v>2.6337318155538131E-18</v>
      </c>
      <c r="AO132" s="100">
        <v>2.6337318155538131E-18</v>
      </c>
      <c r="AP132" s="100">
        <v>2.6337318155538131E-18</v>
      </c>
      <c r="AQ132" s="100">
        <v>2.1947765129615108E-18</v>
      </c>
      <c r="AR132" s="100">
        <v>2.1947765129615108E-18</v>
      </c>
      <c r="AS132" s="100">
        <v>2.1947765129615108E-18</v>
      </c>
      <c r="AT132" s="100">
        <v>2.1947765129615108E-18</v>
      </c>
      <c r="AU132" s="100">
        <v>2.6337318155538131E-18</v>
      </c>
      <c r="AV132" s="100">
        <v>2.6337318155538131E-18</v>
      </c>
      <c r="AW132" s="100">
        <v>2.6337318155538131E-18</v>
      </c>
      <c r="AX132" s="100">
        <v>2.6337318155538131E-18</v>
      </c>
    </row>
    <row r="133" spans="2:50">
      <c r="B133" s="100" t="s">
        <v>278</v>
      </c>
      <c r="C133" s="105">
        <f>SUM(C$128:C$132)</f>
        <v>3.0657592820208444E-17</v>
      </c>
      <c r="D133" s="105">
        <f t="shared" ref="D133:AX133" si="10">SUM(D$128:D$132)</f>
        <v>3.0657592820208444E-17</v>
      </c>
      <c r="E133" s="105">
        <f t="shared" si="10"/>
        <v>3.0657592820208444E-17</v>
      </c>
      <c r="F133" s="105">
        <f t="shared" si="10"/>
        <v>3.0657592820208444E-17</v>
      </c>
      <c r="G133" s="105">
        <f t="shared" si="10"/>
        <v>2.5547994016840371E-17</v>
      </c>
      <c r="H133" s="105">
        <f t="shared" si="10"/>
        <v>2.5547994016840371E-17</v>
      </c>
      <c r="I133" s="105">
        <f t="shared" si="10"/>
        <v>2.5547994016840371E-17</v>
      </c>
      <c r="J133" s="105">
        <f t="shared" si="10"/>
        <v>2.5547994016840371E-17</v>
      </c>
      <c r="K133" s="105">
        <f t="shared" si="10"/>
        <v>3.0657592820208444E-17</v>
      </c>
      <c r="L133" s="105">
        <f t="shared" si="10"/>
        <v>3.0657592820208444E-17</v>
      </c>
      <c r="M133" s="105">
        <f t="shared" si="10"/>
        <v>3.0657592820208444E-17</v>
      </c>
      <c r="N133" s="105">
        <f t="shared" si="10"/>
        <v>3.0657592820208444E-17</v>
      </c>
      <c r="O133" s="105">
        <f t="shared" si="10"/>
        <v>2.5547994016840371E-17</v>
      </c>
      <c r="P133" s="105">
        <f t="shared" si="10"/>
        <v>2.5547994016840371E-17</v>
      </c>
      <c r="Q133" s="105">
        <f t="shared" si="10"/>
        <v>2.5547994016840371E-17</v>
      </c>
      <c r="R133" s="105">
        <f t="shared" si="10"/>
        <v>2.5547994016840371E-17</v>
      </c>
      <c r="S133" s="105">
        <f t="shared" si="10"/>
        <v>3.0657592820208444E-17</v>
      </c>
      <c r="T133" s="105">
        <f t="shared" si="10"/>
        <v>3.0657592820208444E-17</v>
      </c>
      <c r="U133" s="105">
        <f t="shared" si="10"/>
        <v>3.0657592820208444E-17</v>
      </c>
      <c r="V133" s="105">
        <f t="shared" si="10"/>
        <v>3.0657592820208444E-17</v>
      </c>
      <c r="W133" s="105">
        <f t="shared" si="10"/>
        <v>3.0657592820208444E-17</v>
      </c>
      <c r="X133" s="105">
        <f t="shared" si="10"/>
        <v>3.0657592820208444E-17</v>
      </c>
      <c r="Y133" s="105">
        <f t="shared" si="10"/>
        <v>3.0657592820208444E-17</v>
      </c>
      <c r="Z133" s="105">
        <f t="shared" si="10"/>
        <v>3.0657592820208444E-17</v>
      </c>
      <c r="AA133" s="105">
        <f t="shared" si="10"/>
        <v>3.0657592820208444E-17</v>
      </c>
      <c r="AB133" s="105">
        <f t="shared" si="10"/>
        <v>3.0657592820208444E-17</v>
      </c>
      <c r="AC133" s="105">
        <f t="shared" si="10"/>
        <v>3.0657592820208444E-17</v>
      </c>
      <c r="AD133" s="105">
        <f t="shared" si="10"/>
        <v>3.0657592820208444E-17</v>
      </c>
      <c r="AE133" s="105">
        <f t="shared" si="10"/>
        <v>2.5547994016840371E-17</v>
      </c>
      <c r="AF133" s="105">
        <f t="shared" si="10"/>
        <v>2.5547994016840371E-17</v>
      </c>
      <c r="AG133" s="105">
        <f t="shared" si="10"/>
        <v>2.5547994016840371E-17</v>
      </c>
      <c r="AH133" s="105">
        <f t="shared" si="10"/>
        <v>2.5547994016840371E-17</v>
      </c>
      <c r="AI133" s="105">
        <f t="shared" si="10"/>
        <v>3.0657592820208444E-17</v>
      </c>
      <c r="AJ133" s="105">
        <f t="shared" si="10"/>
        <v>3.0657592820208444E-17</v>
      </c>
      <c r="AK133" s="105">
        <f t="shared" si="10"/>
        <v>3.0657592820208444E-17</v>
      </c>
      <c r="AL133" s="105">
        <f t="shared" si="10"/>
        <v>3.0657592820208444E-17</v>
      </c>
      <c r="AM133" s="105">
        <f t="shared" si="10"/>
        <v>3.0657592820208444E-17</v>
      </c>
      <c r="AN133" s="105">
        <f t="shared" si="10"/>
        <v>3.0657592820208444E-17</v>
      </c>
      <c r="AO133" s="105">
        <f t="shared" si="10"/>
        <v>3.0657592820208444E-17</v>
      </c>
      <c r="AP133" s="105">
        <f t="shared" si="10"/>
        <v>3.0657592820208444E-17</v>
      </c>
      <c r="AQ133" s="105">
        <f t="shared" si="10"/>
        <v>2.5547994016840371E-17</v>
      </c>
      <c r="AR133" s="105">
        <f t="shared" si="10"/>
        <v>2.5547994016840371E-17</v>
      </c>
      <c r="AS133" s="105">
        <f t="shared" si="10"/>
        <v>2.5547994016840371E-17</v>
      </c>
      <c r="AT133" s="105">
        <f t="shared" si="10"/>
        <v>2.5547994016840371E-17</v>
      </c>
      <c r="AU133" s="105">
        <f t="shared" si="10"/>
        <v>3.0657592820208444E-17</v>
      </c>
      <c r="AV133" s="105">
        <f t="shared" si="10"/>
        <v>3.0657592820208444E-17</v>
      </c>
      <c r="AW133" s="105">
        <f t="shared" si="10"/>
        <v>3.0657592820208444E-17</v>
      </c>
      <c r="AX133" s="105">
        <f t="shared" si="10"/>
        <v>3.0657592820208444E-17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599.99999999999682</v>
      </c>
      <c r="E7" s="144">
        <v>599.99999999999682</v>
      </c>
      <c r="F7" s="144">
        <v>599.99999999999682</v>
      </c>
      <c r="G7" s="144">
        <v>599.99999999999682</v>
      </c>
      <c r="H7" s="144">
        <v>599.99999999999682</v>
      </c>
      <c r="I7" s="144">
        <v>599.99999999999682</v>
      </c>
      <c r="J7" s="144">
        <v>599.99999999999682</v>
      </c>
      <c r="K7" s="144">
        <v>599.99999999999682</v>
      </c>
      <c r="L7" s="144">
        <v>599.99999999999682</v>
      </c>
      <c r="M7" s="144">
        <v>599.99999999999682</v>
      </c>
      <c r="N7" s="144">
        <v>599.99999999999682</v>
      </c>
      <c r="O7" s="144">
        <v>599.99999999999682</v>
      </c>
      <c r="P7" s="144">
        <v>599.99999999999682</v>
      </c>
      <c r="Q7" s="144">
        <v>599.99999999999682</v>
      </c>
      <c r="R7" s="144">
        <v>599.99999999999682</v>
      </c>
      <c r="S7" s="144">
        <v>599.99999999999682</v>
      </c>
      <c r="T7" s="144">
        <v>599.99999999999682</v>
      </c>
      <c r="U7" s="144">
        <v>599.99999999999682</v>
      </c>
      <c r="V7" s="144">
        <v>599.99999999999682</v>
      </c>
      <c r="W7" s="144">
        <v>599.99999999999682</v>
      </c>
      <c r="X7" s="144">
        <v>599.99999999999682</v>
      </c>
      <c r="Y7" s="144">
        <v>599.99999999999682</v>
      </c>
      <c r="Z7" s="144">
        <v>599.99999999999682</v>
      </c>
      <c r="AA7" s="144">
        <v>599.99999999999682</v>
      </c>
      <c r="AB7" s="144">
        <v>599.99999999999682</v>
      </c>
      <c r="AC7" s="144">
        <v>599.99999999999682</v>
      </c>
      <c r="AD7" s="144">
        <v>599.99999999999682</v>
      </c>
      <c r="AE7" s="144">
        <v>599.99999999999682</v>
      </c>
      <c r="AF7" s="144">
        <v>599.99999999999682</v>
      </c>
      <c r="AG7" s="144">
        <v>599.99999999999682</v>
      </c>
      <c r="AH7" s="144">
        <v>599.99999999999682</v>
      </c>
      <c r="AI7" s="144">
        <v>599.99999999999682</v>
      </c>
      <c r="AJ7" s="144">
        <v>599.99999999999682</v>
      </c>
      <c r="AK7" s="144">
        <v>599.99999999999682</v>
      </c>
      <c r="AL7" s="144">
        <v>599.99999999999682</v>
      </c>
      <c r="AM7" s="144">
        <v>599.99999999999682</v>
      </c>
      <c r="AN7" s="144">
        <v>599.99999999999682</v>
      </c>
      <c r="AO7" s="144">
        <v>599.99999999999682</v>
      </c>
      <c r="AP7" s="144">
        <v>599.99999999999682</v>
      </c>
      <c r="AQ7" s="144">
        <v>599.99999999999682</v>
      </c>
      <c r="AR7" s="144">
        <v>599.99999999999682</v>
      </c>
      <c r="AS7" s="144">
        <v>599.99999999999682</v>
      </c>
      <c r="AT7" s="144">
        <v>599.99999999999682</v>
      </c>
      <c r="AU7" s="144">
        <v>599.99999999999682</v>
      </c>
      <c r="AV7" s="144">
        <v>599.99999999999682</v>
      </c>
      <c r="AW7" s="144">
        <v>599.99999999999682</v>
      </c>
      <c r="AX7" s="144">
        <v>599.99999999999682</v>
      </c>
      <c r="AY7" s="144">
        <v>599.99999999999682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599.99999999999363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599.99999999999363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599.99999999999807</v>
      </c>
      <c r="D13" s="138">
        <f t="shared" ref="D13:AY13" si="1">D$7-D$10</f>
        <v>599.99999999999682</v>
      </c>
      <c r="E13" s="138">
        <f t="shared" si="1"/>
        <v>599.99999999999682</v>
      </c>
      <c r="F13" s="138">
        <f t="shared" si="1"/>
        <v>599.99999999999682</v>
      </c>
      <c r="G13" s="138">
        <f t="shared" si="1"/>
        <v>599.99999999999682</v>
      </c>
      <c r="H13" s="138">
        <f t="shared" si="1"/>
        <v>599.99999999999682</v>
      </c>
      <c r="I13" s="138">
        <f t="shared" si="1"/>
        <v>599.99999999999682</v>
      </c>
      <c r="J13" s="138">
        <f t="shared" si="1"/>
        <v>599.99999999999682</v>
      </c>
      <c r="K13" s="138">
        <f t="shared" si="1"/>
        <v>599.99999999999682</v>
      </c>
      <c r="L13" s="138">
        <f t="shared" si="1"/>
        <v>599.99999999999682</v>
      </c>
      <c r="M13" s="138">
        <f t="shared" si="1"/>
        <v>599.99999999999682</v>
      </c>
      <c r="N13" s="138">
        <f t="shared" si="1"/>
        <v>599.99999999999682</v>
      </c>
      <c r="O13" s="138">
        <f t="shared" si="1"/>
        <v>599.99999999999682</v>
      </c>
      <c r="P13" s="138">
        <f t="shared" si="1"/>
        <v>599.99999999999682</v>
      </c>
      <c r="Q13" s="138">
        <f t="shared" si="1"/>
        <v>599.99999999999682</v>
      </c>
      <c r="R13" s="138">
        <f t="shared" si="1"/>
        <v>599.99999999999682</v>
      </c>
      <c r="S13" s="138">
        <f t="shared" si="1"/>
        <v>599.99999999999682</v>
      </c>
      <c r="T13" s="138">
        <f t="shared" si="1"/>
        <v>599.99999999999682</v>
      </c>
      <c r="U13" s="138">
        <f t="shared" si="1"/>
        <v>599.99999999999682</v>
      </c>
      <c r="V13" s="138">
        <f t="shared" si="1"/>
        <v>599.99999999999682</v>
      </c>
      <c r="W13" s="138">
        <f t="shared" si="1"/>
        <v>599.99999999999682</v>
      </c>
      <c r="X13" s="138">
        <f t="shared" si="1"/>
        <v>599.99999999999682</v>
      </c>
      <c r="Y13" s="138">
        <f t="shared" si="1"/>
        <v>599.99999999999682</v>
      </c>
      <c r="Z13" s="138">
        <f t="shared" si="1"/>
        <v>599.99999999999682</v>
      </c>
      <c r="AA13" s="138">
        <f t="shared" si="1"/>
        <v>599.99999999999682</v>
      </c>
      <c r="AB13" s="138">
        <f t="shared" si="1"/>
        <v>599.99999999999682</v>
      </c>
      <c r="AC13" s="138">
        <f t="shared" si="1"/>
        <v>599.99999999999682</v>
      </c>
      <c r="AD13" s="138">
        <f t="shared" si="1"/>
        <v>3.1832314562052488E-12</v>
      </c>
      <c r="AE13" s="138">
        <f t="shared" si="1"/>
        <v>599.99999999999682</v>
      </c>
      <c r="AF13" s="138">
        <f t="shared" si="1"/>
        <v>599.99999999999682</v>
      </c>
      <c r="AG13" s="138">
        <f t="shared" si="1"/>
        <v>599.99999999999682</v>
      </c>
      <c r="AH13" s="138">
        <f t="shared" si="1"/>
        <v>599.99999999999682</v>
      </c>
      <c r="AI13" s="138">
        <f t="shared" si="1"/>
        <v>599.99999999999682</v>
      </c>
      <c r="AJ13" s="138">
        <f t="shared" si="1"/>
        <v>599.99999999999682</v>
      </c>
      <c r="AK13" s="138">
        <f t="shared" si="1"/>
        <v>599.99999999999682</v>
      </c>
      <c r="AL13" s="138">
        <f t="shared" si="1"/>
        <v>599.99999999999682</v>
      </c>
      <c r="AM13" s="138">
        <f t="shared" si="1"/>
        <v>599.99999999999682</v>
      </c>
      <c r="AN13" s="138">
        <f t="shared" si="1"/>
        <v>599.99999999999682</v>
      </c>
      <c r="AO13" s="138">
        <f t="shared" si="1"/>
        <v>599.99999999999682</v>
      </c>
      <c r="AP13" s="138">
        <f t="shared" si="1"/>
        <v>599.99999999999682</v>
      </c>
      <c r="AQ13" s="138">
        <f t="shared" si="1"/>
        <v>599.99999999999682</v>
      </c>
      <c r="AR13" s="138">
        <f t="shared" si="1"/>
        <v>599.99999999999682</v>
      </c>
      <c r="AS13" s="138">
        <f t="shared" si="1"/>
        <v>599.99999999999682</v>
      </c>
      <c r="AT13" s="138">
        <f t="shared" si="1"/>
        <v>599.99999999999682</v>
      </c>
      <c r="AU13" s="138">
        <f t="shared" si="1"/>
        <v>599.99999999999682</v>
      </c>
      <c r="AV13" s="138">
        <f t="shared" si="1"/>
        <v>599.99999999999682</v>
      </c>
      <c r="AW13" s="138">
        <f t="shared" si="1"/>
        <v>599.99999999999682</v>
      </c>
      <c r="AX13" s="138">
        <f t="shared" si="1"/>
        <v>599.99999999999682</v>
      </c>
      <c r="AY13" s="138">
        <f t="shared" si="1"/>
        <v>599.99999999999682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599.99999999999682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 t="s">
        <v>339</v>
      </c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0.44339920558875467</v>
      </c>
      <c r="C21" s="156" t="s">
        <v>293</v>
      </c>
      <c r="D21" s="106">
        <f>IF(C$20="Yes",0,SUM(C$13:C$16)*$B$21)</f>
        <v>266.03952335325192</v>
      </c>
      <c r="E21" s="106">
        <f t="shared" ref="E21:AY21" si="3">IF(D$20="Yes",0,SUM(D$13:D$16)*$B$21)</f>
        <v>266.03952335325141</v>
      </c>
      <c r="F21" s="106">
        <f t="shared" si="3"/>
        <v>266.03952335325141</v>
      </c>
      <c r="G21" s="106">
        <f t="shared" si="3"/>
        <v>266.03952335325141</v>
      </c>
      <c r="H21" s="106">
        <f t="shared" si="3"/>
        <v>266.03952335325141</v>
      </c>
      <c r="I21" s="106">
        <f t="shared" si="3"/>
        <v>266.03952335325141</v>
      </c>
      <c r="J21" s="106">
        <f t="shared" si="3"/>
        <v>266.03952335325141</v>
      </c>
      <c r="K21" s="106">
        <f t="shared" si="3"/>
        <v>266.03952335325141</v>
      </c>
      <c r="L21" s="106">
        <f t="shared" si="3"/>
        <v>266.03952335325141</v>
      </c>
      <c r="M21" s="106">
        <f t="shared" si="3"/>
        <v>266.03952335325141</v>
      </c>
      <c r="N21" s="106">
        <f t="shared" si="3"/>
        <v>266.03952335325141</v>
      </c>
      <c r="O21" s="106">
        <f t="shared" si="3"/>
        <v>266.03952335325141</v>
      </c>
      <c r="P21" s="106">
        <f t="shared" si="3"/>
        <v>266.03952335325141</v>
      </c>
      <c r="Q21" s="106">
        <f t="shared" si="3"/>
        <v>266.03952335325141</v>
      </c>
      <c r="R21" s="106">
        <f t="shared" si="3"/>
        <v>266.03952335325141</v>
      </c>
      <c r="S21" s="106">
        <f t="shared" si="3"/>
        <v>266.03952335325141</v>
      </c>
      <c r="T21" s="106">
        <f t="shared" si="3"/>
        <v>266.03952335325141</v>
      </c>
      <c r="U21" s="106">
        <f t="shared" si="3"/>
        <v>266.03952335325141</v>
      </c>
      <c r="V21" s="106">
        <f t="shared" si="3"/>
        <v>266.03952335325141</v>
      </c>
      <c r="W21" s="106">
        <f t="shared" si="3"/>
        <v>266.03952335325141</v>
      </c>
      <c r="X21" s="106">
        <f t="shared" si="3"/>
        <v>266.03952335325141</v>
      </c>
      <c r="Y21" s="106">
        <f t="shared" si="3"/>
        <v>266.03952335325141</v>
      </c>
      <c r="Z21" s="106">
        <f t="shared" si="3"/>
        <v>266.03952335325141</v>
      </c>
      <c r="AA21" s="106">
        <f t="shared" si="3"/>
        <v>266.03952335325141</v>
      </c>
      <c r="AB21" s="106">
        <f t="shared" si="3"/>
        <v>266.03952335325141</v>
      </c>
      <c r="AC21" s="106">
        <f t="shared" si="3"/>
        <v>266.03952335325141</v>
      </c>
      <c r="AD21" s="106">
        <f t="shared" si="3"/>
        <v>0</v>
      </c>
      <c r="AE21" s="106">
        <f t="shared" si="3"/>
        <v>266.03952335325283</v>
      </c>
      <c r="AF21" s="106">
        <f t="shared" si="3"/>
        <v>266.03952335325141</v>
      </c>
      <c r="AG21" s="106">
        <f t="shared" si="3"/>
        <v>266.03952335325141</v>
      </c>
      <c r="AH21" s="106">
        <f t="shared" si="3"/>
        <v>266.03952335325141</v>
      </c>
      <c r="AI21" s="106">
        <f t="shared" si="3"/>
        <v>266.03952335325141</v>
      </c>
      <c r="AJ21" s="106">
        <f t="shared" si="3"/>
        <v>266.03952335325141</v>
      </c>
      <c r="AK21" s="106">
        <f t="shared" si="3"/>
        <v>266.03952335325141</v>
      </c>
      <c r="AL21" s="106">
        <f t="shared" si="3"/>
        <v>266.03952335325141</v>
      </c>
      <c r="AM21" s="106">
        <f t="shared" si="3"/>
        <v>266.03952335325141</v>
      </c>
      <c r="AN21" s="106">
        <f t="shared" si="3"/>
        <v>266.03952335325141</v>
      </c>
      <c r="AO21" s="106">
        <f t="shared" si="3"/>
        <v>266.03952335325141</v>
      </c>
      <c r="AP21" s="106">
        <f t="shared" si="3"/>
        <v>266.03952335325141</v>
      </c>
      <c r="AQ21" s="106">
        <f t="shared" si="3"/>
        <v>266.03952335325141</v>
      </c>
      <c r="AR21" s="106">
        <f t="shared" si="3"/>
        <v>266.03952335325141</v>
      </c>
      <c r="AS21" s="106">
        <f t="shared" si="3"/>
        <v>266.03952335325141</v>
      </c>
      <c r="AT21" s="106">
        <f t="shared" si="3"/>
        <v>266.03952335325141</v>
      </c>
      <c r="AU21" s="106">
        <f t="shared" si="3"/>
        <v>266.03952335325141</v>
      </c>
      <c r="AV21" s="106">
        <f t="shared" si="3"/>
        <v>266.03952335325141</v>
      </c>
      <c r="AW21" s="106">
        <f t="shared" si="3"/>
        <v>266.03952335325141</v>
      </c>
      <c r="AX21" s="106">
        <f t="shared" si="3"/>
        <v>266.03952335325141</v>
      </c>
      <c r="AY21" s="106">
        <f t="shared" si="3"/>
        <v>266.03952335325141</v>
      </c>
      <c r="AZ21" s="157">
        <f>SUM($D21:$AY21)</f>
        <v>12503.857597602811</v>
      </c>
    </row>
    <row r="22" spans="1:52" s="110" customFormat="1">
      <c r="A22" s="158" t="s">
        <v>123</v>
      </c>
      <c r="B22" s="159">
        <f>1-$B$21</f>
        <v>0.55660079441124533</v>
      </c>
      <c r="C22" s="159" t="s">
        <v>293</v>
      </c>
      <c r="D22" s="114">
        <f>IF(C$20="Yes",0,SUM(C$13:C$16)*$B$22)</f>
        <v>333.96047664674614</v>
      </c>
      <c r="E22" s="114">
        <f t="shared" ref="E22:AY22" si="4">IF(D$20="Yes",0,SUM(D$13:D$16)*$B$22)</f>
        <v>333.96047664674541</v>
      </c>
      <c r="F22" s="114">
        <f t="shared" si="4"/>
        <v>333.96047664674541</v>
      </c>
      <c r="G22" s="114">
        <f t="shared" si="4"/>
        <v>333.96047664674541</v>
      </c>
      <c r="H22" s="114">
        <f t="shared" si="4"/>
        <v>333.96047664674541</v>
      </c>
      <c r="I22" s="114">
        <f t="shared" si="4"/>
        <v>333.96047664674541</v>
      </c>
      <c r="J22" s="114">
        <f t="shared" si="4"/>
        <v>333.96047664674541</v>
      </c>
      <c r="K22" s="114">
        <f t="shared" si="4"/>
        <v>333.96047664674541</v>
      </c>
      <c r="L22" s="114">
        <f t="shared" si="4"/>
        <v>333.96047664674541</v>
      </c>
      <c r="M22" s="114">
        <f t="shared" si="4"/>
        <v>333.96047664674541</v>
      </c>
      <c r="N22" s="114">
        <f t="shared" si="4"/>
        <v>333.96047664674541</v>
      </c>
      <c r="O22" s="114">
        <f t="shared" si="4"/>
        <v>333.96047664674541</v>
      </c>
      <c r="P22" s="114">
        <f t="shared" si="4"/>
        <v>333.96047664674541</v>
      </c>
      <c r="Q22" s="114">
        <f t="shared" si="4"/>
        <v>333.96047664674541</v>
      </c>
      <c r="R22" s="114">
        <f t="shared" si="4"/>
        <v>333.96047664674541</v>
      </c>
      <c r="S22" s="114">
        <f t="shared" si="4"/>
        <v>333.96047664674541</v>
      </c>
      <c r="T22" s="114">
        <f t="shared" si="4"/>
        <v>333.96047664674541</v>
      </c>
      <c r="U22" s="114">
        <f t="shared" si="4"/>
        <v>333.96047664674541</v>
      </c>
      <c r="V22" s="114">
        <f t="shared" si="4"/>
        <v>333.96047664674541</v>
      </c>
      <c r="W22" s="114">
        <f t="shared" si="4"/>
        <v>333.96047664674541</v>
      </c>
      <c r="X22" s="114">
        <f t="shared" si="4"/>
        <v>333.96047664674541</v>
      </c>
      <c r="Y22" s="114">
        <f t="shared" si="4"/>
        <v>333.96047664674541</v>
      </c>
      <c r="Z22" s="114">
        <f t="shared" si="4"/>
        <v>333.96047664674541</v>
      </c>
      <c r="AA22" s="114">
        <f t="shared" si="4"/>
        <v>333.96047664674541</v>
      </c>
      <c r="AB22" s="114">
        <f t="shared" si="4"/>
        <v>333.96047664674541</v>
      </c>
      <c r="AC22" s="114">
        <f t="shared" si="4"/>
        <v>333.96047664674541</v>
      </c>
      <c r="AD22" s="114">
        <f t="shared" si="4"/>
        <v>0</v>
      </c>
      <c r="AE22" s="114">
        <f t="shared" si="4"/>
        <v>333.96047664674717</v>
      </c>
      <c r="AF22" s="114">
        <f t="shared" si="4"/>
        <v>333.96047664674541</v>
      </c>
      <c r="AG22" s="114">
        <f t="shared" si="4"/>
        <v>333.96047664674541</v>
      </c>
      <c r="AH22" s="114">
        <f t="shared" si="4"/>
        <v>333.96047664674541</v>
      </c>
      <c r="AI22" s="114">
        <f t="shared" si="4"/>
        <v>333.96047664674541</v>
      </c>
      <c r="AJ22" s="114">
        <f t="shared" si="4"/>
        <v>333.96047664674541</v>
      </c>
      <c r="AK22" s="114">
        <f t="shared" si="4"/>
        <v>333.96047664674541</v>
      </c>
      <c r="AL22" s="114">
        <f t="shared" si="4"/>
        <v>333.96047664674541</v>
      </c>
      <c r="AM22" s="114">
        <f t="shared" si="4"/>
        <v>333.96047664674541</v>
      </c>
      <c r="AN22" s="114">
        <f t="shared" si="4"/>
        <v>333.96047664674541</v>
      </c>
      <c r="AO22" s="114">
        <f t="shared" si="4"/>
        <v>333.96047664674541</v>
      </c>
      <c r="AP22" s="114">
        <f t="shared" si="4"/>
        <v>333.96047664674541</v>
      </c>
      <c r="AQ22" s="114">
        <f t="shared" si="4"/>
        <v>333.96047664674541</v>
      </c>
      <c r="AR22" s="114">
        <f t="shared" si="4"/>
        <v>333.96047664674541</v>
      </c>
      <c r="AS22" s="114">
        <f t="shared" si="4"/>
        <v>333.96047664674541</v>
      </c>
      <c r="AT22" s="114">
        <f t="shared" si="4"/>
        <v>333.96047664674541</v>
      </c>
      <c r="AU22" s="114">
        <f t="shared" si="4"/>
        <v>333.96047664674541</v>
      </c>
      <c r="AV22" s="114">
        <f t="shared" si="4"/>
        <v>333.96047664674541</v>
      </c>
      <c r="AW22" s="114">
        <f t="shared" si="4"/>
        <v>333.96047664674541</v>
      </c>
      <c r="AX22" s="114">
        <f t="shared" si="4"/>
        <v>333.96047664674541</v>
      </c>
      <c r="AY22" s="114">
        <f t="shared" si="4"/>
        <v>333.96047664674541</v>
      </c>
      <c r="AZ22" s="141">
        <f t="shared" ref="AZ22:AZ30" si="5">SUM($D22:$AY22)</f>
        <v>15696.142402397041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532079.04670650384</v>
      </c>
      <c r="E23" s="100">
        <f t="shared" ref="E23:AY23" si="6">E$21*$B$23</f>
        <v>532079.04670650279</v>
      </c>
      <c r="F23" s="100">
        <f t="shared" si="6"/>
        <v>532079.04670650279</v>
      </c>
      <c r="G23" s="100">
        <f t="shared" si="6"/>
        <v>532079.04670650279</v>
      </c>
      <c r="H23" s="100">
        <f t="shared" si="6"/>
        <v>532079.04670650279</v>
      </c>
      <c r="I23" s="100">
        <f t="shared" si="6"/>
        <v>532079.04670650279</v>
      </c>
      <c r="J23" s="100">
        <f t="shared" si="6"/>
        <v>532079.04670650279</v>
      </c>
      <c r="K23" s="100">
        <f t="shared" si="6"/>
        <v>532079.04670650279</v>
      </c>
      <c r="L23" s="100">
        <f t="shared" si="6"/>
        <v>532079.04670650279</v>
      </c>
      <c r="M23" s="100">
        <f t="shared" si="6"/>
        <v>532079.04670650279</v>
      </c>
      <c r="N23" s="100">
        <f t="shared" si="6"/>
        <v>532079.04670650279</v>
      </c>
      <c r="O23" s="100">
        <f t="shared" si="6"/>
        <v>532079.04670650279</v>
      </c>
      <c r="P23" s="100">
        <f t="shared" si="6"/>
        <v>532079.04670650279</v>
      </c>
      <c r="Q23" s="100">
        <f t="shared" si="6"/>
        <v>532079.04670650279</v>
      </c>
      <c r="R23" s="100">
        <f t="shared" si="6"/>
        <v>532079.04670650279</v>
      </c>
      <c r="S23" s="100">
        <f t="shared" si="6"/>
        <v>532079.04670650279</v>
      </c>
      <c r="T23" s="100">
        <f t="shared" si="6"/>
        <v>532079.04670650279</v>
      </c>
      <c r="U23" s="100">
        <f t="shared" si="6"/>
        <v>532079.04670650279</v>
      </c>
      <c r="V23" s="100">
        <f t="shared" si="6"/>
        <v>532079.04670650279</v>
      </c>
      <c r="W23" s="100">
        <f t="shared" si="6"/>
        <v>532079.04670650279</v>
      </c>
      <c r="X23" s="100">
        <f t="shared" si="6"/>
        <v>532079.04670650279</v>
      </c>
      <c r="Y23" s="100">
        <f t="shared" si="6"/>
        <v>532079.04670650279</v>
      </c>
      <c r="Z23" s="100">
        <f t="shared" si="6"/>
        <v>532079.04670650279</v>
      </c>
      <c r="AA23" s="100">
        <f t="shared" si="6"/>
        <v>532079.04670650279</v>
      </c>
      <c r="AB23" s="100">
        <f t="shared" si="6"/>
        <v>532079.04670650279</v>
      </c>
      <c r="AC23" s="100">
        <f t="shared" si="6"/>
        <v>532079.04670650279</v>
      </c>
      <c r="AD23" s="100">
        <f t="shared" si="6"/>
        <v>0</v>
      </c>
      <c r="AE23" s="100">
        <f t="shared" si="6"/>
        <v>532079.0467065057</v>
      </c>
      <c r="AF23" s="100">
        <f t="shared" si="6"/>
        <v>532079.04670650279</v>
      </c>
      <c r="AG23" s="100">
        <f t="shared" si="6"/>
        <v>532079.04670650279</v>
      </c>
      <c r="AH23" s="100">
        <f t="shared" si="6"/>
        <v>532079.04670650279</v>
      </c>
      <c r="AI23" s="100">
        <f t="shared" si="6"/>
        <v>532079.04670650279</v>
      </c>
      <c r="AJ23" s="100">
        <f t="shared" si="6"/>
        <v>532079.04670650279</v>
      </c>
      <c r="AK23" s="100">
        <f t="shared" si="6"/>
        <v>532079.04670650279</v>
      </c>
      <c r="AL23" s="100">
        <f t="shared" si="6"/>
        <v>532079.04670650279</v>
      </c>
      <c r="AM23" s="100">
        <f t="shared" si="6"/>
        <v>532079.04670650279</v>
      </c>
      <c r="AN23" s="100">
        <f t="shared" si="6"/>
        <v>532079.04670650279</v>
      </c>
      <c r="AO23" s="100">
        <f t="shared" si="6"/>
        <v>532079.04670650279</v>
      </c>
      <c r="AP23" s="100">
        <f t="shared" si="6"/>
        <v>532079.04670650279</v>
      </c>
      <c r="AQ23" s="100">
        <f t="shared" si="6"/>
        <v>532079.04670650279</v>
      </c>
      <c r="AR23" s="100">
        <f t="shared" si="6"/>
        <v>532079.04670650279</v>
      </c>
      <c r="AS23" s="100">
        <f t="shared" si="6"/>
        <v>532079.04670650279</v>
      </c>
      <c r="AT23" s="100">
        <f t="shared" si="6"/>
        <v>532079.04670650279</v>
      </c>
      <c r="AU23" s="100">
        <f t="shared" si="6"/>
        <v>532079.04670650279</v>
      </c>
      <c r="AV23" s="100">
        <f t="shared" si="6"/>
        <v>532079.04670650279</v>
      </c>
      <c r="AW23" s="100">
        <f t="shared" si="6"/>
        <v>532079.04670650279</v>
      </c>
      <c r="AX23" s="100">
        <f t="shared" si="6"/>
        <v>532079.04670650279</v>
      </c>
      <c r="AY23" s="100">
        <f t="shared" si="6"/>
        <v>532079.04670650279</v>
      </c>
      <c r="AZ23" s="139">
        <f t="shared" si="5"/>
        <v>25007715.195205621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333960.47664674616</v>
      </c>
      <c r="E24" s="106">
        <f t="shared" ref="E24:AY24" si="7">E$22*$B$24</f>
        <v>333960.4766467454</v>
      </c>
      <c r="F24" s="106">
        <f t="shared" si="7"/>
        <v>333960.4766467454</v>
      </c>
      <c r="G24" s="106">
        <f t="shared" si="7"/>
        <v>333960.4766467454</v>
      </c>
      <c r="H24" s="106">
        <f t="shared" si="7"/>
        <v>333960.4766467454</v>
      </c>
      <c r="I24" s="106">
        <f t="shared" si="7"/>
        <v>333960.4766467454</v>
      </c>
      <c r="J24" s="106">
        <f t="shared" si="7"/>
        <v>333960.4766467454</v>
      </c>
      <c r="K24" s="106">
        <f t="shared" si="7"/>
        <v>333960.4766467454</v>
      </c>
      <c r="L24" s="106">
        <f t="shared" si="7"/>
        <v>333960.4766467454</v>
      </c>
      <c r="M24" s="106">
        <f t="shared" si="7"/>
        <v>333960.4766467454</v>
      </c>
      <c r="N24" s="106">
        <f t="shared" si="7"/>
        <v>333960.4766467454</v>
      </c>
      <c r="O24" s="106">
        <f t="shared" si="7"/>
        <v>333960.4766467454</v>
      </c>
      <c r="P24" s="106">
        <f t="shared" si="7"/>
        <v>333960.4766467454</v>
      </c>
      <c r="Q24" s="106">
        <f t="shared" si="7"/>
        <v>333960.4766467454</v>
      </c>
      <c r="R24" s="106">
        <f t="shared" si="7"/>
        <v>333960.4766467454</v>
      </c>
      <c r="S24" s="106">
        <f t="shared" si="7"/>
        <v>333960.4766467454</v>
      </c>
      <c r="T24" s="106">
        <f t="shared" si="7"/>
        <v>333960.4766467454</v>
      </c>
      <c r="U24" s="106">
        <f t="shared" si="7"/>
        <v>333960.4766467454</v>
      </c>
      <c r="V24" s="106">
        <f t="shared" si="7"/>
        <v>333960.4766467454</v>
      </c>
      <c r="W24" s="106">
        <f t="shared" si="7"/>
        <v>333960.4766467454</v>
      </c>
      <c r="X24" s="106">
        <f t="shared" si="7"/>
        <v>333960.4766467454</v>
      </c>
      <c r="Y24" s="106">
        <f t="shared" si="7"/>
        <v>333960.4766467454</v>
      </c>
      <c r="Z24" s="106">
        <f t="shared" si="7"/>
        <v>333960.4766467454</v>
      </c>
      <c r="AA24" s="106">
        <f t="shared" si="7"/>
        <v>333960.4766467454</v>
      </c>
      <c r="AB24" s="106">
        <f t="shared" si="7"/>
        <v>333960.4766467454</v>
      </c>
      <c r="AC24" s="106">
        <f t="shared" si="7"/>
        <v>333960.4766467454</v>
      </c>
      <c r="AD24" s="106">
        <f t="shared" si="7"/>
        <v>0</v>
      </c>
      <c r="AE24" s="106">
        <f t="shared" si="7"/>
        <v>333960.47664674715</v>
      </c>
      <c r="AF24" s="106">
        <f t="shared" si="7"/>
        <v>333960.4766467454</v>
      </c>
      <c r="AG24" s="106">
        <f t="shared" si="7"/>
        <v>333960.4766467454</v>
      </c>
      <c r="AH24" s="106">
        <f t="shared" si="7"/>
        <v>333960.4766467454</v>
      </c>
      <c r="AI24" s="106">
        <f t="shared" si="7"/>
        <v>333960.4766467454</v>
      </c>
      <c r="AJ24" s="106">
        <f t="shared" si="7"/>
        <v>333960.4766467454</v>
      </c>
      <c r="AK24" s="106">
        <f t="shared" si="7"/>
        <v>333960.4766467454</v>
      </c>
      <c r="AL24" s="106">
        <f t="shared" si="7"/>
        <v>333960.4766467454</v>
      </c>
      <c r="AM24" s="106">
        <f t="shared" si="7"/>
        <v>333960.4766467454</v>
      </c>
      <c r="AN24" s="106">
        <f t="shared" si="7"/>
        <v>333960.4766467454</v>
      </c>
      <c r="AO24" s="106">
        <f t="shared" si="7"/>
        <v>333960.4766467454</v>
      </c>
      <c r="AP24" s="106">
        <f t="shared" si="7"/>
        <v>333960.4766467454</v>
      </c>
      <c r="AQ24" s="106">
        <f t="shared" si="7"/>
        <v>333960.4766467454</v>
      </c>
      <c r="AR24" s="106">
        <f t="shared" si="7"/>
        <v>333960.4766467454</v>
      </c>
      <c r="AS24" s="106">
        <f t="shared" si="7"/>
        <v>333960.4766467454</v>
      </c>
      <c r="AT24" s="106">
        <f t="shared" si="7"/>
        <v>333960.4766467454</v>
      </c>
      <c r="AU24" s="106">
        <f t="shared" si="7"/>
        <v>333960.4766467454</v>
      </c>
      <c r="AV24" s="106">
        <f t="shared" si="7"/>
        <v>333960.4766467454</v>
      </c>
      <c r="AW24" s="106">
        <f t="shared" si="7"/>
        <v>333960.4766467454</v>
      </c>
      <c r="AX24" s="106">
        <f t="shared" si="7"/>
        <v>333960.4766467454</v>
      </c>
      <c r="AY24" s="106">
        <f t="shared" si="7"/>
        <v>333960.4766467454</v>
      </c>
      <c r="AZ24" s="141">
        <f t="shared" si="5"/>
        <v>15696142.402397042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21</v>
      </c>
      <c r="D27" s="124">
        <f>C$27-C$28+C$29</f>
        <v>1</v>
      </c>
      <c r="E27" s="124">
        <f t="shared" ref="E27:AY27" si="8">D27-D28+D29</f>
        <v>21</v>
      </c>
      <c r="F27" s="124">
        <f t="shared" si="8"/>
        <v>1</v>
      </c>
      <c r="G27" s="124">
        <f t="shared" si="8"/>
        <v>21</v>
      </c>
      <c r="H27" s="124">
        <f t="shared" si="8"/>
        <v>1</v>
      </c>
      <c r="I27" s="124">
        <f t="shared" si="8"/>
        <v>21</v>
      </c>
      <c r="J27" s="124">
        <f t="shared" si="8"/>
        <v>1</v>
      </c>
      <c r="K27" s="124">
        <f t="shared" si="8"/>
        <v>21</v>
      </c>
      <c r="L27" s="124">
        <f t="shared" si="8"/>
        <v>1</v>
      </c>
      <c r="M27" s="124">
        <f t="shared" si="8"/>
        <v>21</v>
      </c>
      <c r="N27" s="124">
        <f t="shared" si="8"/>
        <v>1</v>
      </c>
      <c r="O27" s="124">
        <f t="shared" si="8"/>
        <v>21</v>
      </c>
      <c r="P27" s="124">
        <f t="shared" si="8"/>
        <v>1</v>
      </c>
      <c r="Q27" s="124">
        <f t="shared" si="8"/>
        <v>21</v>
      </c>
      <c r="R27" s="124">
        <f t="shared" si="8"/>
        <v>1</v>
      </c>
      <c r="S27" s="124">
        <f t="shared" si="8"/>
        <v>21</v>
      </c>
      <c r="T27" s="124">
        <f t="shared" si="8"/>
        <v>1</v>
      </c>
      <c r="U27" s="124">
        <f t="shared" si="8"/>
        <v>21</v>
      </c>
      <c r="V27" s="124">
        <f t="shared" si="8"/>
        <v>1</v>
      </c>
      <c r="W27" s="124">
        <f t="shared" si="8"/>
        <v>21</v>
      </c>
      <c r="X27" s="124">
        <f t="shared" si="8"/>
        <v>1</v>
      </c>
      <c r="Y27" s="124">
        <f t="shared" si="8"/>
        <v>21</v>
      </c>
      <c r="Z27" s="124">
        <f t="shared" si="8"/>
        <v>1</v>
      </c>
      <c r="AA27" s="124">
        <f t="shared" si="8"/>
        <v>21</v>
      </c>
      <c r="AB27" s="124">
        <f t="shared" si="8"/>
        <v>1</v>
      </c>
      <c r="AC27" s="124">
        <f t="shared" si="8"/>
        <v>21</v>
      </c>
      <c r="AD27" s="124">
        <f t="shared" si="8"/>
        <v>1</v>
      </c>
      <c r="AE27" s="124">
        <f t="shared" si="8"/>
        <v>22</v>
      </c>
      <c r="AF27" s="124">
        <f t="shared" si="8"/>
        <v>1</v>
      </c>
      <c r="AG27" s="124">
        <f t="shared" si="8"/>
        <v>21</v>
      </c>
      <c r="AH27" s="124">
        <f t="shared" si="8"/>
        <v>1</v>
      </c>
      <c r="AI27" s="124">
        <f t="shared" si="8"/>
        <v>21</v>
      </c>
      <c r="AJ27" s="124">
        <f t="shared" si="8"/>
        <v>1</v>
      </c>
      <c r="AK27" s="124">
        <f t="shared" si="8"/>
        <v>21</v>
      </c>
      <c r="AL27" s="124">
        <f t="shared" si="8"/>
        <v>1</v>
      </c>
      <c r="AM27" s="124">
        <f t="shared" si="8"/>
        <v>21</v>
      </c>
      <c r="AN27" s="124">
        <f t="shared" si="8"/>
        <v>1</v>
      </c>
      <c r="AO27" s="124">
        <f t="shared" si="8"/>
        <v>21</v>
      </c>
      <c r="AP27" s="124">
        <f t="shared" si="8"/>
        <v>1</v>
      </c>
      <c r="AQ27" s="124">
        <f t="shared" si="8"/>
        <v>21</v>
      </c>
      <c r="AR27" s="124">
        <f t="shared" si="8"/>
        <v>1</v>
      </c>
      <c r="AS27" s="124">
        <f t="shared" si="8"/>
        <v>21</v>
      </c>
      <c r="AT27" s="124">
        <f t="shared" si="8"/>
        <v>1</v>
      </c>
      <c r="AU27" s="124">
        <f t="shared" si="8"/>
        <v>21</v>
      </c>
      <c r="AV27" s="124">
        <f t="shared" si="8"/>
        <v>1</v>
      </c>
      <c r="AW27" s="124">
        <f t="shared" si="8"/>
        <v>21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21</v>
      </c>
      <c r="D28" s="110">
        <v>1</v>
      </c>
      <c r="E28" s="110">
        <v>21</v>
      </c>
      <c r="F28" s="110">
        <v>1</v>
      </c>
      <c r="G28" s="110">
        <v>21</v>
      </c>
      <c r="H28" s="110">
        <v>1</v>
      </c>
      <c r="I28" s="110">
        <v>21</v>
      </c>
      <c r="J28" s="110">
        <v>1</v>
      </c>
      <c r="K28" s="110">
        <v>21</v>
      </c>
      <c r="L28" s="110">
        <v>1</v>
      </c>
      <c r="M28" s="110">
        <v>21</v>
      </c>
      <c r="N28" s="110">
        <v>1</v>
      </c>
      <c r="O28" s="110">
        <v>21</v>
      </c>
      <c r="P28" s="110">
        <v>1</v>
      </c>
      <c r="Q28" s="110">
        <v>21</v>
      </c>
      <c r="R28" s="110">
        <v>1</v>
      </c>
      <c r="S28" s="110">
        <v>21</v>
      </c>
      <c r="T28" s="110">
        <v>1</v>
      </c>
      <c r="U28" s="110">
        <v>21</v>
      </c>
      <c r="V28" s="110">
        <v>1</v>
      </c>
      <c r="W28" s="110">
        <v>21</v>
      </c>
      <c r="X28" s="110">
        <v>1</v>
      </c>
      <c r="Y28" s="110">
        <v>21</v>
      </c>
      <c r="Z28" s="110">
        <v>1</v>
      </c>
      <c r="AA28" s="110">
        <v>21</v>
      </c>
      <c r="AB28" s="110">
        <v>1</v>
      </c>
      <c r="AC28" s="110">
        <v>21</v>
      </c>
      <c r="AD28" s="110">
        <v>0</v>
      </c>
      <c r="AE28" s="110">
        <v>21</v>
      </c>
      <c r="AF28" s="110">
        <v>1</v>
      </c>
      <c r="AG28" s="110">
        <v>21</v>
      </c>
      <c r="AH28" s="110">
        <v>1</v>
      </c>
      <c r="AI28" s="110">
        <v>21</v>
      </c>
      <c r="AJ28" s="110">
        <v>1</v>
      </c>
      <c r="AK28" s="110">
        <v>21</v>
      </c>
      <c r="AL28" s="110">
        <v>1</v>
      </c>
      <c r="AM28" s="110">
        <v>21</v>
      </c>
      <c r="AN28" s="110">
        <v>1</v>
      </c>
      <c r="AO28" s="110">
        <v>21</v>
      </c>
      <c r="AP28" s="110">
        <v>1</v>
      </c>
      <c r="AQ28" s="110">
        <v>21</v>
      </c>
      <c r="AR28" s="110">
        <v>1</v>
      </c>
      <c r="AS28" s="110">
        <v>21</v>
      </c>
      <c r="AT28" s="110">
        <v>1</v>
      </c>
      <c r="AU28" s="110">
        <v>21</v>
      </c>
      <c r="AV28" s="110">
        <v>1</v>
      </c>
      <c r="AW28" s="110">
        <v>21</v>
      </c>
      <c r="AX28" s="110">
        <v>1</v>
      </c>
      <c r="AY28" s="166">
        <v>21</v>
      </c>
      <c r="AZ28" s="106"/>
    </row>
    <row r="29" spans="1:52">
      <c r="B29" s="136" t="s">
        <v>311</v>
      </c>
      <c r="C29" s="125">
        <v>1</v>
      </c>
      <c r="D29" s="125">
        <f>C$28</f>
        <v>21</v>
      </c>
      <c r="E29" s="125">
        <f t="shared" ref="E29:AY29" si="9">D$28</f>
        <v>1</v>
      </c>
      <c r="F29" s="125">
        <f t="shared" si="9"/>
        <v>21</v>
      </c>
      <c r="G29" s="125">
        <f t="shared" si="9"/>
        <v>1</v>
      </c>
      <c r="H29" s="125">
        <f t="shared" si="9"/>
        <v>21</v>
      </c>
      <c r="I29" s="125">
        <f t="shared" si="9"/>
        <v>1</v>
      </c>
      <c r="J29" s="125">
        <f t="shared" si="9"/>
        <v>21</v>
      </c>
      <c r="K29" s="125">
        <f t="shared" si="9"/>
        <v>1</v>
      </c>
      <c r="L29" s="125">
        <f t="shared" si="9"/>
        <v>21</v>
      </c>
      <c r="M29" s="125">
        <f t="shared" si="9"/>
        <v>1</v>
      </c>
      <c r="N29" s="125">
        <f t="shared" si="9"/>
        <v>21</v>
      </c>
      <c r="O29" s="125">
        <f t="shared" si="9"/>
        <v>1</v>
      </c>
      <c r="P29" s="125">
        <f t="shared" si="9"/>
        <v>21</v>
      </c>
      <c r="Q29" s="125">
        <f t="shared" si="9"/>
        <v>1</v>
      </c>
      <c r="R29" s="125">
        <f t="shared" si="9"/>
        <v>21</v>
      </c>
      <c r="S29" s="125">
        <f t="shared" si="9"/>
        <v>1</v>
      </c>
      <c r="T29" s="125">
        <f t="shared" si="9"/>
        <v>21</v>
      </c>
      <c r="U29" s="125">
        <f t="shared" si="9"/>
        <v>1</v>
      </c>
      <c r="V29" s="125">
        <f t="shared" si="9"/>
        <v>21</v>
      </c>
      <c r="W29" s="125">
        <f t="shared" si="9"/>
        <v>1</v>
      </c>
      <c r="X29" s="125">
        <f t="shared" si="9"/>
        <v>21</v>
      </c>
      <c r="Y29" s="125">
        <f t="shared" si="9"/>
        <v>1</v>
      </c>
      <c r="Z29" s="125">
        <f t="shared" si="9"/>
        <v>21</v>
      </c>
      <c r="AA29" s="125">
        <f t="shared" si="9"/>
        <v>1</v>
      </c>
      <c r="AB29" s="125">
        <f t="shared" si="9"/>
        <v>21</v>
      </c>
      <c r="AC29" s="125">
        <f t="shared" si="9"/>
        <v>1</v>
      </c>
      <c r="AD29" s="125">
        <f t="shared" si="9"/>
        <v>21</v>
      </c>
      <c r="AE29" s="125">
        <f t="shared" si="9"/>
        <v>0</v>
      </c>
      <c r="AF29" s="125">
        <f t="shared" si="9"/>
        <v>21</v>
      </c>
      <c r="AG29" s="125">
        <f t="shared" si="9"/>
        <v>1</v>
      </c>
      <c r="AH29" s="125">
        <f t="shared" si="9"/>
        <v>21</v>
      </c>
      <c r="AI29" s="125">
        <f t="shared" si="9"/>
        <v>1</v>
      </c>
      <c r="AJ29" s="125">
        <f t="shared" si="9"/>
        <v>21</v>
      </c>
      <c r="AK29" s="125">
        <f t="shared" si="9"/>
        <v>1</v>
      </c>
      <c r="AL29" s="125">
        <f t="shared" si="9"/>
        <v>21</v>
      </c>
      <c r="AM29" s="125">
        <f t="shared" si="9"/>
        <v>1</v>
      </c>
      <c r="AN29" s="125">
        <f t="shared" si="9"/>
        <v>21</v>
      </c>
      <c r="AO29" s="125">
        <f t="shared" si="9"/>
        <v>1</v>
      </c>
      <c r="AP29" s="125">
        <f t="shared" si="9"/>
        <v>21</v>
      </c>
      <c r="AQ29" s="125">
        <f t="shared" si="9"/>
        <v>1</v>
      </c>
      <c r="AR29" s="125">
        <f t="shared" si="9"/>
        <v>21</v>
      </c>
      <c r="AS29" s="125">
        <f t="shared" si="9"/>
        <v>1</v>
      </c>
      <c r="AT29" s="125">
        <f t="shared" si="9"/>
        <v>21</v>
      </c>
      <c r="AU29" s="125">
        <f t="shared" si="9"/>
        <v>1</v>
      </c>
      <c r="AV29" s="125">
        <f t="shared" si="9"/>
        <v>21</v>
      </c>
      <c r="AW29" s="125">
        <f t="shared" si="9"/>
        <v>1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10</v>
      </c>
      <c r="E30" s="117">
        <f t="shared" ref="E30:AY30" si="10">E$27*$B$30</f>
        <v>210</v>
      </c>
      <c r="F30" s="117">
        <f t="shared" si="10"/>
        <v>10</v>
      </c>
      <c r="G30" s="117">
        <f t="shared" si="10"/>
        <v>210</v>
      </c>
      <c r="H30" s="117">
        <f t="shared" si="10"/>
        <v>10</v>
      </c>
      <c r="I30" s="117">
        <f t="shared" si="10"/>
        <v>210</v>
      </c>
      <c r="J30" s="117">
        <f t="shared" si="10"/>
        <v>10</v>
      </c>
      <c r="K30" s="117">
        <f t="shared" si="10"/>
        <v>210</v>
      </c>
      <c r="L30" s="117">
        <f t="shared" si="10"/>
        <v>10</v>
      </c>
      <c r="M30" s="117">
        <f t="shared" si="10"/>
        <v>210</v>
      </c>
      <c r="N30" s="117">
        <f t="shared" si="10"/>
        <v>10</v>
      </c>
      <c r="O30" s="117">
        <f t="shared" si="10"/>
        <v>210</v>
      </c>
      <c r="P30" s="117">
        <f t="shared" si="10"/>
        <v>10</v>
      </c>
      <c r="Q30" s="117">
        <f t="shared" si="10"/>
        <v>210</v>
      </c>
      <c r="R30" s="117">
        <f>R$27*$B$30</f>
        <v>10</v>
      </c>
      <c r="S30" s="117">
        <f t="shared" si="10"/>
        <v>210</v>
      </c>
      <c r="T30" s="117">
        <f t="shared" si="10"/>
        <v>10</v>
      </c>
      <c r="U30" s="117">
        <f t="shared" si="10"/>
        <v>210</v>
      </c>
      <c r="V30" s="117">
        <f t="shared" si="10"/>
        <v>10</v>
      </c>
      <c r="W30" s="117">
        <f t="shared" si="10"/>
        <v>210</v>
      </c>
      <c r="X30" s="117">
        <f t="shared" si="10"/>
        <v>10</v>
      </c>
      <c r="Y30" s="117">
        <f t="shared" si="10"/>
        <v>210</v>
      </c>
      <c r="Z30" s="117">
        <f t="shared" si="10"/>
        <v>10</v>
      </c>
      <c r="AA30" s="117">
        <f t="shared" si="10"/>
        <v>210</v>
      </c>
      <c r="AB30" s="117">
        <f t="shared" si="10"/>
        <v>10</v>
      </c>
      <c r="AC30" s="117">
        <f t="shared" si="10"/>
        <v>210</v>
      </c>
      <c r="AD30" s="117">
        <f t="shared" si="10"/>
        <v>10</v>
      </c>
      <c r="AE30" s="117">
        <f>AE$27*$B$30</f>
        <v>220</v>
      </c>
      <c r="AF30" s="117">
        <f t="shared" si="10"/>
        <v>10</v>
      </c>
      <c r="AG30" s="117">
        <f t="shared" si="10"/>
        <v>210</v>
      </c>
      <c r="AH30" s="117">
        <f t="shared" si="10"/>
        <v>10</v>
      </c>
      <c r="AI30" s="117">
        <f t="shared" si="10"/>
        <v>210</v>
      </c>
      <c r="AJ30" s="117">
        <f t="shared" si="10"/>
        <v>10</v>
      </c>
      <c r="AK30" s="117">
        <f t="shared" si="10"/>
        <v>210</v>
      </c>
      <c r="AL30" s="117">
        <f t="shared" si="10"/>
        <v>10</v>
      </c>
      <c r="AM30" s="117">
        <f t="shared" si="10"/>
        <v>210</v>
      </c>
      <c r="AN30" s="117">
        <f t="shared" si="10"/>
        <v>10</v>
      </c>
      <c r="AO30" s="117">
        <f t="shared" si="10"/>
        <v>210</v>
      </c>
      <c r="AP30" s="117">
        <f t="shared" si="10"/>
        <v>10</v>
      </c>
      <c r="AQ30" s="117">
        <f t="shared" si="10"/>
        <v>210</v>
      </c>
      <c r="AR30" s="117">
        <f t="shared" si="10"/>
        <v>10</v>
      </c>
      <c r="AS30" s="117">
        <f t="shared" si="10"/>
        <v>210</v>
      </c>
      <c r="AT30" s="117">
        <f t="shared" si="10"/>
        <v>10</v>
      </c>
      <c r="AU30" s="117">
        <f t="shared" si="10"/>
        <v>210</v>
      </c>
      <c r="AV30" s="117">
        <f t="shared" si="10"/>
        <v>10</v>
      </c>
      <c r="AW30" s="117">
        <f t="shared" si="10"/>
        <v>210</v>
      </c>
      <c r="AX30" s="117">
        <f t="shared" si="10"/>
        <v>10</v>
      </c>
      <c r="AY30" s="117">
        <f t="shared" si="10"/>
        <v>210</v>
      </c>
      <c r="AZ30" s="141">
        <f t="shared" si="5"/>
        <v>5290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113.78573438528774</v>
      </c>
      <c r="E33" s="124">
        <f>E$21*shipping_manufacturing!$D$27/100</f>
        <v>113.78573438528753</v>
      </c>
      <c r="F33" s="124">
        <f>F$21*shipping_manufacturing!$D$27/100</f>
        <v>113.78573438528753</v>
      </c>
      <c r="G33" s="124">
        <f>G$21*shipping_manufacturing!$D$27/100</f>
        <v>113.78573438528753</v>
      </c>
      <c r="H33" s="124">
        <f>H$21*shipping_manufacturing!$D$27/100</f>
        <v>113.78573438528753</v>
      </c>
      <c r="I33" s="124">
        <f>I$21*shipping_manufacturing!$D$27/100</f>
        <v>113.78573438528753</v>
      </c>
      <c r="J33" s="124">
        <f>J$21*shipping_manufacturing!$D$27/100</f>
        <v>113.78573438528753</v>
      </c>
      <c r="K33" s="124">
        <f>K$21*shipping_manufacturing!$D$27/100</f>
        <v>113.78573438528753</v>
      </c>
      <c r="L33" s="124">
        <f>L$21*shipping_manufacturing!$D$27/100</f>
        <v>113.78573438528753</v>
      </c>
      <c r="M33" s="124">
        <f>M$21*shipping_manufacturing!$D$27/100</f>
        <v>113.78573438528753</v>
      </c>
      <c r="N33" s="124">
        <f>N$21*shipping_manufacturing!$D$27/100</f>
        <v>113.78573438528753</v>
      </c>
      <c r="O33" s="124">
        <f>O$21*shipping_manufacturing!$D$27/100</f>
        <v>113.78573438528753</v>
      </c>
      <c r="P33" s="124">
        <f>P$21*shipping_manufacturing!$D$27/100</f>
        <v>113.78573438528753</v>
      </c>
      <c r="Q33" s="124">
        <f>Q$21*shipping_manufacturing!$D$27/100</f>
        <v>113.78573438528753</v>
      </c>
      <c r="R33" s="124">
        <f>R$21*shipping_manufacturing!$D$27/100</f>
        <v>113.78573438528753</v>
      </c>
      <c r="S33" s="124">
        <f>S$21*shipping_manufacturing!$D$27/100</f>
        <v>113.78573438528753</v>
      </c>
      <c r="T33" s="124">
        <f>T$21*shipping_manufacturing!$D$27/100</f>
        <v>113.78573438528753</v>
      </c>
      <c r="U33" s="124">
        <f>U$21*shipping_manufacturing!$D$27/100</f>
        <v>113.78573438528753</v>
      </c>
      <c r="V33" s="124">
        <f>V$21*shipping_manufacturing!$D$27/100</f>
        <v>113.78573438528753</v>
      </c>
      <c r="W33" s="124">
        <f>W$21*shipping_manufacturing!$D$27/100</f>
        <v>113.78573438528753</v>
      </c>
      <c r="X33" s="124">
        <f>X$21*shipping_manufacturing!$D$27/100</f>
        <v>113.78573438528753</v>
      </c>
      <c r="Y33" s="124">
        <f>Y$21*shipping_manufacturing!$D$27/100</f>
        <v>113.78573438528753</v>
      </c>
      <c r="Z33" s="124">
        <f>Z$21*shipping_manufacturing!$D$27/100</f>
        <v>113.78573438528753</v>
      </c>
      <c r="AA33" s="124">
        <f>AA$21*shipping_manufacturing!$D$27/100</f>
        <v>113.78573438528753</v>
      </c>
      <c r="AB33" s="124">
        <f>AB$21*shipping_manufacturing!$D$27/100</f>
        <v>113.78573438528753</v>
      </c>
      <c r="AC33" s="124">
        <f>AC$21*shipping_manufacturing!$D$27/100</f>
        <v>113.78573438528753</v>
      </c>
      <c r="AD33" s="124">
        <f>AD$21*shipping_manufacturing!$D$27/100</f>
        <v>0</v>
      </c>
      <c r="AE33" s="124">
        <f>AE$21*shipping_manufacturing!$D$27/100</f>
        <v>113.78573438528812</v>
      </c>
      <c r="AF33" s="124">
        <f>AF$21*shipping_manufacturing!$D$27/100</f>
        <v>113.78573438528753</v>
      </c>
      <c r="AG33" s="124">
        <f>AG$21*shipping_manufacturing!$D$27/100</f>
        <v>113.78573438528753</v>
      </c>
      <c r="AH33" s="124">
        <f>AH$21*shipping_manufacturing!$D$27/100</f>
        <v>113.78573438528753</v>
      </c>
      <c r="AI33" s="124">
        <f>AI$21*shipping_manufacturing!$D$27/100</f>
        <v>113.78573438528753</v>
      </c>
      <c r="AJ33" s="124">
        <f>AJ$21*shipping_manufacturing!$D$27/100</f>
        <v>113.78573438528753</v>
      </c>
      <c r="AK33" s="124">
        <f>AK$21*shipping_manufacturing!$D$27/100</f>
        <v>113.78573438528753</v>
      </c>
      <c r="AL33" s="124">
        <f>AL$21*shipping_manufacturing!$D$27/100</f>
        <v>113.78573438528753</v>
      </c>
      <c r="AM33" s="124">
        <f>AM$21*shipping_manufacturing!$D$27/100</f>
        <v>113.78573438528753</v>
      </c>
      <c r="AN33" s="124">
        <f>AN$21*shipping_manufacturing!$D$27/100</f>
        <v>113.78573438528753</v>
      </c>
      <c r="AO33" s="124">
        <f>AO$21*shipping_manufacturing!$D$27/100</f>
        <v>113.78573438528753</v>
      </c>
      <c r="AP33" s="124">
        <f>AP$21*shipping_manufacturing!$D$27/100</f>
        <v>113.78573438528753</v>
      </c>
      <c r="AQ33" s="124">
        <f>AQ$21*shipping_manufacturing!$D$27/100</f>
        <v>113.78573438528753</v>
      </c>
      <c r="AR33" s="124">
        <f>AR$21*shipping_manufacturing!$D$27/100</f>
        <v>113.78573438528753</v>
      </c>
      <c r="AS33" s="124">
        <f>AS$21*shipping_manufacturing!$D$27/100</f>
        <v>113.78573438528753</v>
      </c>
      <c r="AT33" s="124">
        <f>AT$21*shipping_manufacturing!$D$27/100</f>
        <v>113.78573438528753</v>
      </c>
      <c r="AU33" s="124">
        <f>AU$21*shipping_manufacturing!$D$27/100</f>
        <v>113.78573438528753</v>
      </c>
      <c r="AV33" s="124">
        <f>AV$21*shipping_manufacturing!$D$27/100</f>
        <v>113.78573438528753</v>
      </c>
      <c r="AW33" s="124">
        <f>AW$21*shipping_manufacturing!$D$27/100</f>
        <v>113.78573438528753</v>
      </c>
      <c r="AX33" s="124">
        <f>AX$21*shipping_manufacturing!$D$27/100</f>
        <v>113.78573438528753</v>
      </c>
      <c r="AY33" s="124">
        <f>AY$21*shipping_manufacturing!$D$27/100</f>
        <v>113.78573438528753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117.99440468490155</v>
      </c>
      <c r="E34" s="110">
        <f>E$22*shipping_manufacturing!$E$27/100</f>
        <v>117.99440468490127</v>
      </c>
      <c r="F34" s="110">
        <f>F$22*shipping_manufacturing!$E$27/100</f>
        <v>117.99440468490127</v>
      </c>
      <c r="G34" s="110">
        <f>G$22*shipping_manufacturing!$E$27/100</f>
        <v>117.99440468490127</v>
      </c>
      <c r="H34" s="110">
        <f>H$22*shipping_manufacturing!$E$27/100</f>
        <v>117.99440468490127</v>
      </c>
      <c r="I34" s="110">
        <f>I$22*shipping_manufacturing!$E$27/100</f>
        <v>117.99440468490127</v>
      </c>
      <c r="J34" s="110">
        <f>J$22*shipping_manufacturing!$E$27/100</f>
        <v>117.99440468490127</v>
      </c>
      <c r="K34" s="110">
        <f>K$22*shipping_manufacturing!$E$27/100</f>
        <v>117.99440468490127</v>
      </c>
      <c r="L34" s="110">
        <f>L$22*shipping_manufacturing!$E$27/100</f>
        <v>117.99440468490127</v>
      </c>
      <c r="M34" s="110">
        <f>M$22*shipping_manufacturing!$E$27/100</f>
        <v>117.99440468490127</v>
      </c>
      <c r="N34" s="110">
        <f>N$22*shipping_manufacturing!$E$27/100</f>
        <v>117.99440468490127</v>
      </c>
      <c r="O34" s="110">
        <f>O$22*shipping_manufacturing!$E$27/100</f>
        <v>117.99440468490127</v>
      </c>
      <c r="P34" s="110">
        <f>P$22*shipping_manufacturing!$E$27/100</f>
        <v>117.99440468490127</v>
      </c>
      <c r="Q34" s="110">
        <f>Q$22*shipping_manufacturing!$E$27/100</f>
        <v>117.99440468490127</v>
      </c>
      <c r="R34" s="110">
        <f>R$22*shipping_manufacturing!$E$27/100</f>
        <v>117.99440468490127</v>
      </c>
      <c r="S34" s="110">
        <f>S$22*shipping_manufacturing!$E$27/100</f>
        <v>117.99440468490127</v>
      </c>
      <c r="T34" s="110">
        <f>T$22*shipping_manufacturing!$E$27/100</f>
        <v>117.99440468490127</v>
      </c>
      <c r="U34" s="110">
        <f>U$22*shipping_manufacturing!$E$27/100</f>
        <v>117.99440468490127</v>
      </c>
      <c r="V34" s="110">
        <f>V$22*shipping_manufacturing!$E$27/100</f>
        <v>117.99440468490127</v>
      </c>
      <c r="W34" s="110">
        <f>W$22*shipping_manufacturing!$E$27/100</f>
        <v>117.99440468490127</v>
      </c>
      <c r="X34" s="110">
        <f>X$22*shipping_manufacturing!$E$27/100</f>
        <v>117.99440468490127</v>
      </c>
      <c r="Y34" s="110">
        <f>Y$22*shipping_manufacturing!$E$27/100</f>
        <v>117.99440468490127</v>
      </c>
      <c r="Z34" s="110">
        <f>Z$22*shipping_manufacturing!$E$27/100</f>
        <v>117.99440468490127</v>
      </c>
      <c r="AA34" s="110">
        <f>AA$22*shipping_manufacturing!$E$27/100</f>
        <v>117.99440468490127</v>
      </c>
      <c r="AB34" s="110">
        <f>AB$22*shipping_manufacturing!$E$27/100</f>
        <v>117.99440468490127</v>
      </c>
      <c r="AC34" s="110">
        <f>AC$22*shipping_manufacturing!$E$27/100</f>
        <v>117.99440468490127</v>
      </c>
      <c r="AD34" s="110">
        <f>AD$22*shipping_manufacturing!$E$27/100</f>
        <v>0</v>
      </c>
      <c r="AE34" s="110">
        <f>AE$22*shipping_manufacturing!$E$27/100</f>
        <v>117.99440468490189</v>
      </c>
      <c r="AF34" s="110">
        <f>AF$22*shipping_manufacturing!$E$27/100</f>
        <v>117.99440468490127</v>
      </c>
      <c r="AG34" s="110">
        <f>AG$22*shipping_manufacturing!$E$27/100</f>
        <v>117.99440468490127</v>
      </c>
      <c r="AH34" s="110">
        <f>AH$22*shipping_manufacturing!$E$27/100</f>
        <v>117.99440468490127</v>
      </c>
      <c r="AI34" s="110">
        <f>AI$22*shipping_manufacturing!$E$27/100</f>
        <v>117.99440468490127</v>
      </c>
      <c r="AJ34" s="110">
        <f>AJ$22*shipping_manufacturing!$E$27/100</f>
        <v>117.99440468490127</v>
      </c>
      <c r="AK34" s="110">
        <f>AK$22*shipping_manufacturing!$E$27/100</f>
        <v>117.99440468490127</v>
      </c>
      <c r="AL34" s="110">
        <f>AL$22*shipping_manufacturing!$E$27/100</f>
        <v>117.99440468490127</v>
      </c>
      <c r="AM34" s="110">
        <f>AM$22*shipping_manufacturing!$E$27/100</f>
        <v>117.99440468490127</v>
      </c>
      <c r="AN34" s="110">
        <f>AN$22*shipping_manufacturing!$E$27/100</f>
        <v>117.99440468490127</v>
      </c>
      <c r="AO34" s="110">
        <f>AO$22*shipping_manufacturing!$E$27/100</f>
        <v>117.99440468490127</v>
      </c>
      <c r="AP34" s="110">
        <f>AP$22*shipping_manufacturing!$E$27/100</f>
        <v>117.99440468490127</v>
      </c>
      <c r="AQ34" s="110">
        <f>AQ$22*shipping_manufacturing!$E$27/100</f>
        <v>117.99440468490127</v>
      </c>
      <c r="AR34" s="110">
        <f>AR$22*shipping_manufacturing!$E$27/100</f>
        <v>117.99440468490127</v>
      </c>
      <c r="AS34" s="110">
        <f>AS$22*shipping_manufacturing!$E$27/100</f>
        <v>117.99440468490127</v>
      </c>
      <c r="AT34" s="110">
        <f>AT$22*shipping_manufacturing!$E$27/100</f>
        <v>117.99440468490127</v>
      </c>
      <c r="AU34" s="110">
        <f>AU$22*shipping_manufacturing!$E$27/100</f>
        <v>117.99440468490127</v>
      </c>
      <c r="AV34" s="110">
        <f>AV$22*shipping_manufacturing!$E$27/100</f>
        <v>117.99440468490127</v>
      </c>
      <c r="AW34" s="110">
        <f>AW$22*shipping_manufacturing!$E$27/100</f>
        <v>117.99440468490127</v>
      </c>
      <c r="AX34" s="110">
        <f>AX$22*shipping_manufacturing!$E$27/100</f>
        <v>117.99440468490127</v>
      </c>
      <c r="AY34" s="110">
        <f>AY$22*shipping_manufacturing!$E$27/100</f>
        <v>117.99440468490127</v>
      </c>
    </row>
    <row r="35" spans="1:52">
      <c r="A35" s="110">
        <v>1225</v>
      </c>
      <c r="B35" s="165" t="s">
        <v>343</v>
      </c>
      <c r="C35" s="110"/>
      <c r="D35" s="110">
        <f>SUM(D33:D34)</f>
        <v>231.78013907018931</v>
      </c>
      <c r="E35" s="110">
        <f t="shared" ref="E35:AY35" si="11">SUM(E33:E34)</f>
        <v>231.7801390701888</v>
      </c>
      <c r="F35" s="110">
        <f t="shared" si="11"/>
        <v>231.7801390701888</v>
      </c>
      <c r="G35" s="110">
        <f t="shared" si="11"/>
        <v>231.7801390701888</v>
      </c>
      <c r="H35" s="110">
        <f t="shared" si="11"/>
        <v>231.7801390701888</v>
      </c>
      <c r="I35" s="110">
        <f t="shared" si="11"/>
        <v>231.7801390701888</v>
      </c>
      <c r="J35" s="110">
        <f t="shared" si="11"/>
        <v>231.7801390701888</v>
      </c>
      <c r="K35" s="110">
        <f t="shared" si="11"/>
        <v>231.7801390701888</v>
      </c>
      <c r="L35" s="110">
        <f t="shared" si="11"/>
        <v>231.7801390701888</v>
      </c>
      <c r="M35" s="110">
        <f t="shared" si="11"/>
        <v>231.7801390701888</v>
      </c>
      <c r="N35" s="110">
        <f t="shared" si="11"/>
        <v>231.7801390701888</v>
      </c>
      <c r="O35" s="110">
        <f t="shared" si="11"/>
        <v>231.7801390701888</v>
      </c>
      <c r="P35" s="110">
        <f t="shared" si="11"/>
        <v>231.7801390701888</v>
      </c>
      <c r="Q35" s="110">
        <f t="shared" si="11"/>
        <v>231.7801390701888</v>
      </c>
      <c r="R35" s="110">
        <f t="shared" si="11"/>
        <v>231.7801390701888</v>
      </c>
      <c r="S35" s="110">
        <f t="shared" si="11"/>
        <v>231.7801390701888</v>
      </c>
      <c r="T35" s="110">
        <f t="shared" si="11"/>
        <v>231.7801390701888</v>
      </c>
      <c r="U35" s="110">
        <f t="shared" si="11"/>
        <v>231.7801390701888</v>
      </c>
      <c r="V35" s="110">
        <f t="shared" si="11"/>
        <v>231.7801390701888</v>
      </c>
      <c r="W35" s="110">
        <f t="shared" si="11"/>
        <v>231.7801390701888</v>
      </c>
      <c r="X35" s="110">
        <f t="shared" si="11"/>
        <v>231.7801390701888</v>
      </c>
      <c r="Y35" s="110">
        <f t="shared" si="11"/>
        <v>231.7801390701888</v>
      </c>
      <c r="Z35" s="110">
        <f t="shared" si="11"/>
        <v>231.7801390701888</v>
      </c>
      <c r="AA35" s="110">
        <f t="shared" si="11"/>
        <v>231.7801390701888</v>
      </c>
      <c r="AB35" s="110">
        <f t="shared" si="11"/>
        <v>231.7801390701888</v>
      </c>
      <c r="AC35" s="110">
        <f t="shared" si="11"/>
        <v>231.7801390701888</v>
      </c>
      <c r="AD35" s="110">
        <f t="shared" si="11"/>
        <v>0</v>
      </c>
      <c r="AE35" s="110">
        <f t="shared" si="11"/>
        <v>231.78013907019002</v>
      </c>
      <c r="AF35" s="110">
        <f t="shared" si="11"/>
        <v>231.7801390701888</v>
      </c>
      <c r="AG35" s="110">
        <f t="shared" si="11"/>
        <v>231.7801390701888</v>
      </c>
      <c r="AH35" s="110">
        <f t="shared" si="11"/>
        <v>231.7801390701888</v>
      </c>
      <c r="AI35" s="110">
        <f t="shared" si="11"/>
        <v>231.7801390701888</v>
      </c>
      <c r="AJ35" s="110">
        <f t="shared" si="11"/>
        <v>231.7801390701888</v>
      </c>
      <c r="AK35" s="110">
        <f t="shared" si="11"/>
        <v>231.7801390701888</v>
      </c>
      <c r="AL35" s="110">
        <f t="shared" si="11"/>
        <v>231.7801390701888</v>
      </c>
      <c r="AM35" s="110">
        <f t="shared" si="11"/>
        <v>231.7801390701888</v>
      </c>
      <c r="AN35" s="110">
        <f t="shared" si="11"/>
        <v>231.7801390701888</v>
      </c>
      <c r="AO35" s="110">
        <f t="shared" si="11"/>
        <v>231.7801390701888</v>
      </c>
      <c r="AP35" s="110">
        <f t="shared" si="11"/>
        <v>231.7801390701888</v>
      </c>
      <c r="AQ35" s="110">
        <f t="shared" si="11"/>
        <v>231.7801390701888</v>
      </c>
      <c r="AR35" s="110">
        <f t="shared" si="11"/>
        <v>231.7801390701888</v>
      </c>
      <c r="AS35" s="110">
        <f t="shared" si="11"/>
        <v>231.7801390701888</v>
      </c>
      <c r="AT35" s="110">
        <f t="shared" si="11"/>
        <v>231.7801390701888</v>
      </c>
      <c r="AU35" s="110">
        <f t="shared" si="11"/>
        <v>231.7801390701888</v>
      </c>
      <c r="AV35" s="110">
        <f t="shared" si="11"/>
        <v>231.7801390701888</v>
      </c>
      <c r="AW35" s="110">
        <f t="shared" si="11"/>
        <v>231.7801390701888</v>
      </c>
      <c r="AX35" s="110">
        <f t="shared" si="11"/>
        <v>231.7801390701888</v>
      </c>
      <c r="AY35" s="110">
        <f t="shared" si="11"/>
        <v>231.7801390701888</v>
      </c>
    </row>
    <row r="36" spans="1:52">
      <c r="A36" s="110"/>
      <c r="B36" s="165" t="s">
        <v>344</v>
      </c>
      <c r="C36" s="110"/>
      <c r="D36" s="110"/>
      <c r="E36" s="110">
        <v>113.78573438528754</v>
      </c>
      <c r="F36" s="110"/>
      <c r="G36" s="110">
        <v>113.78573438528754</v>
      </c>
      <c r="H36" s="110"/>
      <c r="I36" s="110">
        <v>113.78573438528754</v>
      </c>
      <c r="J36" s="110"/>
      <c r="K36" s="110">
        <v>113.78573438528754</v>
      </c>
      <c r="L36" s="110"/>
      <c r="M36" s="110">
        <v>113.78573438528754</v>
      </c>
      <c r="N36" s="110"/>
      <c r="O36" s="110">
        <v>113.78573438528754</v>
      </c>
      <c r="P36" s="110"/>
      <c r="Q36" s="110">
        <v>113.78573438528754</v>
      </c>
      <c r="R36" s="110"/>
      <c r="S36" s="110">
        <v>113.78573438528754</v>
      </c>
      <c r="T36" s="110"/>
      <c r="U36" s="110">
        <v>113.78573438528754</v>
      </c>
      <c r="V36" s="110"/>
      <c r="W36" s="110">
        <v>113.78573438528754</v>
      </c>
      <c r="X36" s="110"/>
      <c r="Y36" s="110">
        <v>113.78573438528754</v>
      </c>
      <c r="Z36" s="110"/>
      <c r="AA36" s="110">
        <v>113.78573438528754</v>
      </c>
      <c r="AB36" s="110"/>
      <c r="AC36" s="110">
        <v>113.78573438528754</v>
      </c>
      <c r="AD36" s="110"/>
      <c r="AE36" s="110">
        <v>113.78573438528814</v>
      </c>
      <c r="AF36" s="110"/>
      <c r="AG36" s="110">
        <v>113.78573438528754</v>
      </c>
      <c r="AH36" s="110"/>
      <c r="AI36" s="110">
        <v>113.78573438528754</v>
      </c>
      <c r="AJ36" s="110"/>
      <c r="AK36" s="110">
        <v>113.78573438528754</v>
      </c>
      <c r="AL36" s="110"/>
      <c r="AM36" s="110">
        <v>113.78573438528754</v>
      </c>
      <c r="AN36" s="110"/>
      <c r="AO36" s="110">
        <v>113.78573438528754</v>
      </c>
      <c r="AP36" s="110"/>
      <c r="AQ36" s="110">
        <v>113.78573438528754</v>
      </c>
      <c r="AR36" s="110"/>
      <c r="AS36" s="110">
        <v>113.78573438528754</v>
      </c>
      <c r="AT36" s="110"/>
      <c r="AU36" s="110">
        <v>113.78573438528754</v>
      </c>
      <c r="AV36" s="110"/>
      <c r="AW36" s="110">
        <v>113.78573438528754</v>
      </c>
      <c r="AX36" s="110"/>
      <c r="AY36" s="110">
        <v>113.78573438528754</v>
      </c>
    </row>
    <row r="37" spans="1:52">
      <c r="A37" s="110"/>
      <c r="B37" s="165" t="s">
        <v>345</v>
      </c>
      <c r="C37" s="110"/>
      <c r="D37" s="110"/>
      <c r="E37" s="110">
        <v>117.99440468490126</v>
      </c>
      <c r="F37" s="110"/>
      <c r="G37" s="110">
        <v>117.99440468490126</v>
      </c>
      <c r="H37" s="110"/>
      <c r="I37" s="110">
        <v>117.99440468490126</v>
      </c>
      <c r="J37" s="110"/>
      <c r="K37" s="110">
        <v>117.99440468490126</v>
      </c>
      <c r="L37" s="110"/>
      <c r="M37" s="110">
        <v>117.99440468490126</v>
      </c>
      <c r="N37" s="110"/>
      <c r="O37" s="110">
        <v>117.99440468490126</v>
      </c>
      <c r="P37" s="110"/>
      <c r="Q37" s="110">
        <v>117.99440468490126</v>
      </c>
      <c r="R37" s="110"/>
      <c r="S37" s="110">
        <v>117.99440468490126</v>
      </c>
      <c r="T37" s="110"/>
      <c r="U37" s="110">
        <v>117.99440468490126</v>
      </c>
      <c r="V37" s="110"/>
      <c r="W37" s="110">
        <v>117.99440468490126</v>
      </c>
      <c r="X37" s="110"/>
      <c r="Y37" s="110">
        <v>117.99440468490126</v>
      </c>
      <c r="Z37" s="110"/>
      <c r="AA37" s="110">
        <v>117.99440468490126</v>
      </c>
      <c r="AB37" s="110"/>
      <c r="AC37" s="110">
        <v>117.99440468490126</v>
      </c>
      <c r="AD37" s="110"/>
      <c r="AE37" s="110">
        <v>117.99440468490188</v>
      </c>
      <c r="AF37" s="110"/>
      <c r="AG37" s="110">
        <v>117.99440468490126</v>
      </c>
      <c r="AH37" s="110"/>
      <c r="AI37" s="110">
        <v>117.99440468490126</v>
      </c>
      <c r="AJ37" s="110"/>
      <c r="AK37" s="110">
        <v>117.99440468490126</v>
      </c>
      <c r="AL37" s="110"/>
      <c r="AM37" s="110">
        <v>117.99440468490126</v>
      </c>
      <c r="AN37" s="110"/>
      <c r="AO37" s="110">
        <v>117.99440468490126</v>
      </c>
      <c r="AP37" s="110"/>
      <c r="AQ37" s="110">
        <v>117.99440468490126</v>
      </c>
      <c r="AR37" s="110"/>
      <c r="AS37" s="110">
        <v>117.99440468490126</v>
      </c>
      <c r="AT37" s="110"/>
      <c r="AU37" s="110">
        <v>117.99440468490126</v>
      </c>
      <c r="AV37" s="110"/>
      <c r="AW37" s="110">
        <v>117.99440468490126</v>
      </c>
      <c r="AX37" s="110"/>
      <c r="AY37" s="110">
        <v>117.99440468490126</v>
      </c>
    </row>
    <row r="38" spans="1:52">
      <c r="A38" s="110"/>
      <c r="B38" s="165" t="s">
        <v>346</v>
      </c>
      <c r="C38" s="110"/>
      <c r="D38" s="110"/>
      <c r="E38" s="110">
        <v>8</v>
      </c>
      <c r="F38" s="110"/>
      <c r="G38" s="110">
        <v>8</v>
      </c>
      <c r="H38" s="110"/>
      <c r="I38" s="110">
        <v>8</v>
      </c>
      <c r="J38" s="110"/>
      <c r="K38" s="110">
        <v>8</v>
      </c>
      <c r="L38" s="110"/>
      <c r="M38" s="110">
        <v>8</v>
      </c>
      <c r="N38" s="110"/>
      <c r="O38" s="110">
        <v>8</v>
      </c>
      <c r="P38" s="110"/>
      <c r="Q38" s="110">
        <v>8</v>
      </c>
      <c r="R38" s="110"/>
      <c r="S38" s="110">
        <v>8</v>
      </c>
      <c r="T38" s="110"/>
      <c r="U38" s="110">
        <v>8</v>
      </c>
      <c r="V38" s="110"/>
      <c r="W38" s="110">
        <v>8</v>
      </c>
      <c r="X38" s="110"/>
      <c r="Y38" s="110">
        <v>8</v>
      </c>
      <c r="Z38" s="110"/>
      <c r="AA38" s="110">
        <v>8</v>
      </c>
      <c r="AB38" s="110"/>
      <c r="AC38" s="110">
        <v>8</v>
      </c>
      <c r="AD38" s="110"/>
      <c r="AE38" s="110">
        <v>8</v>
      </c>
      <c r="AF38" s="110"/>
      <c r="AG38" s="110">
        <v>8</v>
      </c>
      <c r="AH38" s="110"/>
      <c r="AI38" s="110">
        <v>8</v>
      </c>
      <c r="AJ38" s="110"/>
      <c r="AK38" s="110">
        <v>8</v>
      </c>
      <c r="AL38" s="110"/>
      <c r="AM38" s="110">
        <v>8</v>
      </c>
      <c r="AN38" s="110"/>
      <c r="AO38" s="110">
        <v>8</v>
      </c>
      <c r="AP38" s="110"/>
      <c r="AQ38" s="110">
        <v>8</v>
      </c>
      <c r="AR38" s="110"/>
      <c r="AS38" s="110">
        <v>8</v>
      </c>
      <c r="AT38" s="110"/>
      <c r="AU38" s="110">
        <v>8</v>
      </c>
      <c r="AV38" s="110"/>
      <c r="AW38" s="110">
        <v>8</v>
      </c>
      <c r="AX38" s="110"/>
      <c r="AY38" s="110">
        <v>8</v>
      </c>
    </row>
    <row r="39" spans="1:52">
      <c r="A39" s="110"/>
      <c r="B39" s="165" t="s">
        <v>347</v>
      </c>
      <c r="C39" s="110"/>
      <c r="D39" s="110">
        <f>D33-D36</f>
        <v>113.78573438528774</v>
      </c>
      <c r="E39" s="110">
        <f t="shared" ref="E39:AY39" si="12">E33-E36</f>
        <v>0</v>
      </c>
      <c r="F39" s="110">
        <f t="shared" si="12"/>
        <v>113.78573438528753</v>
      </c>
      <c r="G39" s="110">
        <f t="shared" si="12"/>
        <v>0</v>
      </c>
      <c r="H39" s="110">
        <f t="shared" si="12"/>
        <v>113.78573438528753</v>
      </c>
      <c r="I39" s="110">
        <f t="shared" si="12"/>
        <v>0</v>
      </c>
      <c r="J39" s="110">
        <f t="shared" si="12"/>
        <v>113.78573438528753</v>
      </c>
      <c r="K39" s="110">
        <f t="shared" si="12"/>
        <v>0</v>
      </c>
      <c r="L39" s="110">
        <f t="shared" si="12"/>
        <v>113.78573438528753</v>
      </c>
      <c r="M39" s="110">
        <f t="shared" si="12"/>
        <v>0</v>
      </c>
      <c r="N39" s="110">
        <f t="shared" si="12"/>
        <v>113.78573438528753</v>
      </c>
      <c r="O39" s="110">
        <f t="shared" si="12"/>
        <v>0</v>
      </c>
      <c r="P39" s="110">
        <f t="shared" si="12"/>
        <v>113.78573438528753</v>
      </c>
      <c r="Q39" s="110">
        <f t="shared" si="12"/>
        <v>0</v>
      </c>
      <c r="R39" s="110">
        <f t="shared" si="12"/>
        <v>113.78573438528753</v>
      </c>
      <c r="S39" s="110">
        <f t="shared" si="12"/>
        <v>0</v>
      </c>
      <c r="T39" s="110">
        <f t="shared" si="12"/>
        <v>113.78573438528753</v>
      </c>
      <c r="U39" s="110">
        <f t="shared" si="12"/>
        <v>0</v>
      </c>
      <c r="V39" s="110">
        <f t="shared" si="12"/>
        <v>113.78573438528753</v>
      </c>
      <c r="W39" s="110">
        <f t="shared" si="12"/>
        <v>0</v>
      </c>
      <c r="X39" s="110">
        <f t="shared" si="12"/>
        <v>113.78573438528753</v>
      </c>
      <c r="Y39" s="110">
        <f t="shared" si="12"/>
        <v>0</v>
      </c>
      <c r="Z39" s="110">
        <f t="shared" si="12"/>
        <v>113.78573438528753</v>
      </c>
      <c r="AA39" s="110">
        <f t="shared" si="12"/>
        <v>0</v>
      </c>
      <c r="AB39" s="110">
        <f t="shared" si="12"/>
        <v>113.78573438528753</v>
      </c>
      <c r="AC39" s="110">
        <f t="shared" si="12"/>
        <v>0</v>
      </c>
      <c r="AD39" s="110">
        <f t="shared" si="12"/>
        <v>0</v>
      </c>
      <c r="AE39" s="110">
        <f t="shared" si="12"/>
        <v>0</v>
      </c>
      <c r="AF39" s="110">
        <f t="shared" si="12"/>
        <v>113.78573438528753</v>
      </c>
      <c r="AG39" s="110">
        <f t="shared" si="12"/>
        <v>0</v>
      </c>
      <c r="AH39" s="110">
        <f t="shared" si="12"/>
        <v>113.78573438528753</v>
      </c>
      <c r="AI39" s="110">
        <f t="shared" si="12"/>
        <v>0</v>
      </c>
      <c r="AJ39" s="110">
        <f t="shared" si="12"/>
        <v>113.78573438528753</v>
      </c>
      <c r="AK39" s="110">
        <f t="shared" si="12"/>
        <v>0</v>
      </c>
      <c r="AL39" s="110">
        <f t="shared" si="12"/>
        <v>113.78573438528753</v>
      </c>
      <c r="AM39" s="110">
        <f t="shared" si="12"/>
        <v>0</v>
      </c>
      <c r="AN39" s="110">
        <f t="shared" si="12"/>
        <v>113.78573438528753</v>
      </c>
      <c r="AO39" s="110">
        <f t="shared" si="12"/>
        <v>0</v>
      </c>
      <c r="AP39" s="110">
        <f t="shared" si="12"/>
        <v>113.78573438528753</v>
      </c>
      <c r="AQ39" s="110">
        <f t="shared" si="12"/>
        <v>0</v>
      </c>
      <c r="AR39" s="110">
        <f t="shared" si="12"/>
        <v>113.78573438528753</v>
      </c>
      <c r="AS39" s="110">
        <f t="shared" si="12"/>
        <v>0</v>
      </c>
      <c r="AT39" s="110">
        <f t="shared" si="12"/>
        <v>113.78573438528753</v>
      </c>
      <c r="AU39" s="110">
        <f t="shared" si="12"/>
        <v>0</v>
      </c>
      <c r="AV39" s="110">
        <f t="shared" si="12"/>
        <v>113.78573438528753</v>
      </c>
      <c r="AW39" s="110">
        <f t="shared" si="12"/>
        <v>0</v>
      </c>
      <c r="AX39" s="110">
        <f t="shared" si="12"/>
        <v>113.78573438528753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117.99440468490155</v>
      </c>
      <c r="E40" s="110">
        <f t="shared" ref="E40:AY40" si="13">E34-E37</f>
        <v>0</v>
      </c>
      <c r="F40" s="110">
        <f t="shared" si="13"/>
        <v>117.99440468490127</v>
      </c>
      <c r="G40" s="110">
        <f t="shared" si="13"/>
        <v>0</v>
      </c>
      <c r="H40" s="110">
        <f t="shared" si="13"/>
        <v>117.99440468490127</v>
      </c>
      <c r="I40" s="110">
        <f t="shared" si="13"/>
        <v>0</v>
      </c>
      <c r="J40" s="110">
        <f t="shared" si="13"/>
        <v>117.99440468490127</v>
      </c>
      <c r="K40" s="110">
        <f t="shared" si="13"/>
        <v>0</v>
      </c>
      <c r="L40" s="110">
        <f t="shared" si="13"/>
        <v>117.99440468490127</v>
      </c>
      <c r="M40" s="110">
        <f t="shared" si="13"/>
        <v>0</v>
      </c>
      <c r="N40" s="110">
        <f t="shared" si="13"/>
        <v>117.99440468490127</v>
      </c>
      <c r="O40" s="110">
        <f t="shared" si="13"/>
        <v>0</v>
      </c>
      <c r="P40" s="110">
        <f t="shared" si="13"/>
        <v>117.99440468490127</v>
      </c>
      <c r="Q40" s="110">
        <f t="shared" si="13"/>
        <v>0</v>
      </c>
      <c r="R40" s="110">
        <f t="shared" si="13"/>
        <v>117.99440468490127</v>
      </c>
      <c r="S40" s="110">
        <f t="shared" si="13"/>
        <v>0</v>
      </c>
      <c r="T40" s="110">
        <f t="shared" si="13"/>
        <v>117.99440468490127</v>
      </c>
      <c r="U40" s="110">
        <f t="shared" si="13"/>
        <v>0</v>
      </c>
      <c r="V40" s="110">
        <f t="shared" si="13"/>
        <v>117.99440468490127</v>
      </c>
      <c r="W40" s="110">
        <f t="shared" si="13"/>
        <v>0</v>
      </c>
      <c r="X40" s="110">
        <f t="shared" si="13"/>
        <v>117.99440468490127</v>
      </c>
      <c r="Y40" s="110">
        <f t="shared" si="13"/>
        <v>0</v>
      </c>
      <c r="Z40" s="110">
        <f t="shared" si="13"/>
        <v>117.99440468490127</v>
      </c>
      <c r="AA40" s="110">
        <f t="shared" si="13"/>
        <v>0</v>
      </c>
      <c r="AB40" s="110">
        <f t="shared" si="13"/>
        <v>117.99440468490127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117.99440468490127</v>
      </c>
      <c r="AG40" s="110">
        <f t="shared" si="13"/>
        <v>0</v>
      </c>
      <c r="AH40" s="110">
        <f t="shared" si="13"/>
        <v>117.99440468490127</v>
      </c>
      <c r="AI40" s="110">
        <f t="shared" si="13"/>
        <v>0</v>
      </c>
      <c r="AJ40" s="110">
        <f t="shared" si="13"/>
        <v>117.99440468490127</v>
      </c>
      <c r="AK40" s="110">
        <f t="shared" si="13"/>
        <v>0</v>
      </c>
      <c r="AL40" s="110">
        <f t="shared" si="13"/>
        <v>117.99440468490127</v>
      </c>
      <c r="AM40" s="110">
        <f t="shared" si="13"/>
        <v>0</v>
      </c>
      <c r="AN40" s="110">
        <f t="shared" si="13"/>
        <v>117.99440468490127</v>
      </c>
      <c r="AO40" s="110">
        <f t="shared" si="13"/>
        <v>0</v>
      </c>
      <c r="AP40" s="110">
        <f t="shared" si="13"/>
        <v>117.99440468490127</v>
      </c>
      <c r="AQ40" s="110">
        <f t="shared" si="13"/>
        <v>0</v>
      </c>
      <c r="AR40" s="110">
        <f t="shared" si="13"/>
        <v>117.99440468490127</v>
      </c>
      <c r="AS40" s="110">
        <f t="shared" si="13"/>
        <v>0</v>
      </c>
      <c r="AT40" s="110">
        <f t="shared" si="13"/>
        <v>117.99440468490127</v>
      </c>
      <c r="AU40" s="110">
        <f t="shared" si="13"/>
        <v>0</v>
      </c>
      <c r="AV40" s="110">
        <f t="shared" si="13"/>
        <v>117.99440468490127</v>
      </c>
      <c r="AW40" s="110">
        <f t="shared" si="13"/>
        <v>0</v>
      </c>
      <c r="AX40" s="110">
        <f t="shared" si="13"/>
        <v>117.99440468490127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3</v>
      </c>
      <c r="E41" s="110">
        <v>2</v>
      </c>
      <c r="F41" s="110">
        <v>1</v>
      </c>
      <c r="G41" s="110">
        <v>2</v>
      </c>
      <c r="H41" s="110">
        <v>1</v>
      </c>
      <c r="I41" s="110">
        <v>2</v>
      </c>
      <c r="J41" s="110">
        <v>1</v>
      </c>
      <c r="K41" s="110">
        <v>3</v>
      </c>
      <c r="L41" s="110">
        <v>1</v>
      </c>
      <c r="M41" s="110">
        <v>1</v>
      </c>
      <c r="N41" s="110">
        <v>1</v>
      </c>
      <c r="O41" s="110">
        <v>2</v>
      </c>
      <c r="P41" s="110">
        <v>1</v>
      </c>
      <c r="Q41" s="110">
        <v>3</v>
      </c>
      <c r="R41" s="110">
        <v>1</v>
      </c>
      <c r="S41" s="110">
        <v>2</v>
      </c>
      <c r="T41" s="110">
        <v>1</v>
      </c>
      <c r="U41" s="110">
        <v>2</v>
      </c>
      <c r="V41" s="110">
        <v>2</v>
      </c>
      <c r="W41" s="110">
        <v>2</v>
      </c>
      <c r="X41" s="110">
        <v>1</v>
      </c>
      <c r="Y41" s="110">
        <v>1</v>
      </c>
      <c r="Z41" s="110">
        <v>1</v>
      </c>
      <c r="AA41" s="110">
        <v>2</v>
      </c>
      <c r="AB41" s="110">
        <v>1</v>
      </c>
      <c r="AC41" s="110">
        <v>2</v>
      </c>
      <c r="AD41" s="110">
        <v>1</v>
      </c>
      <c r="AE41" s="110">
        <v>1</v>
      </c>
      <c r="AF41" s="110">
        <v>1</v>
      </c>
      <c r="AG41" s="110">
        <v>1</v>
      </c>
      <c r="AH41" s="110">
        <v>1</v>
      </c>
      <c r="AI41" s="110">
        <v>2</v>
      </c>
      <c r="AJ41" s="110">
        <v>2</v>
      </c>
      <c r="AK41" s="110">
        <v>1</v>
      </c>
      <c r="AL41" s="110">
        <v>1</v>
      </c>
      <c r="AM41" s="110">
        <v>2</v>
      </c>
      <c r="AN41" s="110">
        <v>1</v>
      </c>
      <c r="AO41" s="110">
        <v>1</v>
      </c>
      <c r="AP41" s="110">
        <v>3</v>
      </c>
      <c r="AQ41" s="110">
        <v>1</v>
      </c>
      <c r="AR41" s="110">
        <v>1</v>
      </c>
      <c r="AS41" s="110">
        <v>2</v>
      </c>
      <c r="AT41" s="110">
        <v>2</v>
      </c>
      <c r="AU41" s="110">
        <v>3</v>
      </c>
      <c r="AV41" s="110">
        <v>1</v>
      </c>
      <c r="AW41" s="110">
        <v>1</v>
      </c>
      <c r="AX41" s="110">
        <v>1</v>
      </c>
      <c r="AY41" s="110">
        <v>3</v>
      </c>
    </row>
    <row r="42" spans="1:52">
      <c r="A42" s="110"/>
      <c r="B42" s="178" t="s">
        <v>350</v>
      </c>
      <c r="C42" s="110"/>
      <c r="D42" s="110">
        <v>0</v>
      </c>
      <c r="E42" s="110">
        <v>352800</v>
      </c>
      <c r="F42" s="110">
        <v>0</v>
      </c>
      <c r="G42" s="110">
        <v>352800</v>
      </c>
      <c r="H42" s="110">
        <v>0</v>
      </c>
      <c r="I42" s="110">
        <v>352800</v>
      </c>
      <c r="J42" s="110">
        <v>0</v>
      </c>
      <c r="K42" s="110">
        <v>352800</v>
      </c>
      <c r="L42" s="110">
        <v>0</v>
      </c>
      <c r="M42" s="110">
        <v>352800</v>
      </c>
      <c r="N42" s="110">
        <v>0</v>
      </c>
      <c r="O42" s="110">
        <v>352800</v>
      </c>
      <c r="P42" s="110">
        <v>0</v>
      </c>
      <c r="Q42" s="110">
        <v>352800</v>
      </c>
      <c r="R42" s="110">
        <v>0</v>
      </c>
      <c r="S42" s="110">
        <v>352800</v>
      </c>
      <c r="T42" s="110">
        <v>0</v>
      </c>
      <c r="U42" s="110">
        <v>352800</v>
      </c>
      <c r="V42" s="110">
        <v>0</v>
      </c>
      <c r="W42" s="110">
        <v>352800</v>
      </c>
      <c r="X42" s="110">
        <v>0</v>
      </c>
      <c r="Y42" s="110">
        <v>352800</v>
      </c>
      <c r="Z42" s="110">
        <v>0</v>
      </c>
      <c r="AA42" s="110">
        <v>352800</v>
      </c>
      <c r="AB42" s="110">
        <v>0</v>
      </c>
      <c r="AC42" s="110">
        <v>352800</v>
      </c>
      <c r="AD42" s="110">
        <v>0</v>
      </c>
      <c r="AE42" s="110">
        <v>352800</v>
      </c>
      <c r="AF42" s="110">
        <v>0</v>
      </c>
      <c r="AG42" s="110">
        <v>352800</v>
      </c>
      <c r="AH42" s="110">
        <v>0</v>
      </c>
      <c r="AI42" s="110">
        <v>352800</v>
      </c>
      <c r="AJ42" s="110">
        <v>0</v>
      </c>
      <c r="AK42" s="110">
        <v>352800</v>
      </c>
      <c r="AL42" s="110">
        <v>0</v>
      </c>
      <c r="AM42" s="110">
        <v>352800</v>
      </c>
      <c r="AN42" s="110">
        <v>0</v>
      </c>
      <c r="AO42" s="110">
        <v>352800</v>
      </c>
      <c r="AP42" s="110">
        <v>0</v>
      </c>
      <c r="AQ42" s="110">
        <v>352800</v>
      </c>
      <c r="AR42" s="110">
        <v>0</v>
      </c>
      <c r="AS42" s="110">
        <v>352800</v>
      </c>
      <c r="AT42" s="110">
        <v>0</v>
      </c>
      <c r="AU42" s="110">
        <v>352800</v>
      </c>
      <c r="AV42" s="110">
        <v>0</v>
      </c>
      <c r="AW42" s="110">
        <v>352800</v>
      </c>
      <c r="AX42" s="110">
        <v>0</v>
      </c>
      <c r="AY42" s="110">
        <v>352800</v>
      </c>
      <c r="AZ42" s="100">
        <f>SUM($D$42:$AY$42)</f>
        <v>8467200</v>
      </c>
    </row>
    <row r="43" spans="1:52">
      <c r="A43" s="110"/>
      <c r="B43" s="178" t="s">
        <v>351</v>
      </c>
      <c r="C43" s="110"/>
      <c r="D43" s="110">
        <v>184554.93573463825</v>
      </c>
      <c r="E43" s="110">
        <v>0</v>
      </c>
      <c r="F43" s="110">
        <v>184554.93573463781</v>
      </c>
      <c r="G43" s="110">
        <v>0</v>
      </c>
      <c r="H43" s="110">
        <v>184554.93573463781</v>
      </c>
      <c r="I43" s="110">
        <v>0</v>
      </c>
      <c r="J43" s="110">
        <v>184554.93573463781</v>
      </c>
      <c r="K43" s="110">
        <v>0</v>
      </c>
      <c r="L43" s="110">
        <v>184554.93573463781</v>
      </c>
      <c r="M43" s="110">
        <v>0</v>
      </c>
      <c r="N43" s="110">
        <v>184554.93573463781</v>
      </c>
      <c r="O43" s="110">
        <v>0</v>
      </c>
      <c r="P43" s="110">
        <v>184554.93573463781</v>
      </c>
      <c r="Q43" s="110">
        <v>0</v>
      </c>
      <c r="R43" s="110">
        <v>184554.93573463781</v>
      </c>
      <c r="S43" s="110">
        <v>0</v>
      </c>
      <c r="T43" s="110">
        <v>184554.93573463781</v>
      </c>
      <c r="U43" s="110">
        <v>0</v>
      </c>
      <c r="V43" s="110">
        <v>184554.93573463781</v>
      </c>
      <c r="W43" s="110">
        <v>0</v>
      </c>
      <c r="X43" s="110">
        <v>184554.93573463781</v>
      </c>
      <c r="Y43" s="110">
        <v>0</v>
      </c>
      <c r="Z43" s="110">
        <v>184554.93573463781</v>
      </c>
      <c r="AA43" s="110">
        <v>0</v>
      </c>
      <c r="AB43" s="110">
        <v>184554.93573463781</v>
      </c>
      <c r="AC43" s="110">
        <v>0</v>
      </c>
      <c r="AD43" s="110">
        <v>0</v>
      </c>
      <c r="AE43" s="110">
        <v>0</v>
      </c>
      <c r="AF43" s="110">
        <v>184554.93573463781</v>
      </c>
      <c r="AG43" s="110">
        <v>0</v>
      </c>
      <c r="AH43" s="110">
        <v>184554.93573463781</v>
      </c>
      <c r="AI43" s="110">
        <v>0</v>
      </c>
      <c r="AJ43" s="110">
        <v>184554.93573463781</v>
      </c>
      <c r="AK43" s="110">
        <v>0</v>
      </c>
      <c r="AL43" s="110">
        <v>184554.93573463781</v>
      </c>
      <c r="AM43" s="110">
        <v>0</v>
      </c>
      <c r="AN43" s="110">
        <v>184554.93573463781</v>
      </c>
      <c r="AO43" s="110">
        <v>0</v>
      </c>
      <c r="AP43" s="110">
        <v>184554.93573463781</v>
      </c>
      <c r="AQ43" s="110">
        <v>0</v>
      </c>
      <c r="AR43" s="110">
        <v>184554.93573463781</v>
      </c>
      <c r="AS43" s="110">
        <v>0</v>
      </c>
      <c r="AT43" s="110">
        <v>184554.93573463781</v>
      </c>
      <c r="AU43" s="110">
        <v>0</v>
      </c>
      <c r="AV43" s="110">
        <v>184554.93573463781</v>
      </c>
      <c r="AW43" s="110">
        <v>0</v>
      </c>
      <c r="AX43" s="110">
        <v>184554.93573463781</v>
      </c>
      <c r="AY43" s="110">
        <v>0</v>
      </c>
      <c r="AZ43" s="100">
        <f>SUM($D$43:$AY$43)</f>
        <v>4244763.5218966715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152.25378896796423</v>
      </c>
      <c r="E44" s="124">
        <f>E$21*shipping_manufacturing!$D$28/100</f>
        <v>152.25378896796391</v>
      </c>
      <c r="F44" s="124">
        <f>F$21*shipping_manufacturing!$D$28/100</f>
        <v>152.25378896796391</v>
      </c>
      <c r="G44" s="124">
        <f>G$21*shipping_manufacturing!$D$28/100</f>
        <v>152.25378896796391</v>
      </c>
      <c r="H44" s="124">
        <f>H$21*shipping_manufacturing!$D$28/100</f>
        <v>152.25378896796391</v>
      </c>
      <c r="I44" s="124">
        <f>I$21*shipping_manufacturing!$D$28/100</f>
        <v>152.25378896796391</v>
      </c>
      <c r="J44" s="124">
        <f>J$21*shipping_manufacturing!$D$28/100</f>
        <v>152.25378896796391</v>
      </c>
      <c r="K44" s="124">
        <f>K$21*shipping_manufacturing!$D$28/100</f>
        <v>152.25378896796391</v>
      </c>
      <c r="L44" s="124">
        <f>L$21*shipping_manufacturing!$D$28/100</f>
        <v>152.25378896796391</v>
      </c>
      <c r="M44" s="124">
        <f>M$21*shipping_manufacturing!$D$28/100</f>
        <v>152.25378896796391</v>
      </c>
      <c r="N44" s="124">
        <f>N$21*shipping_manufacturing!$D$28/100</f>
        <v>152.25378896796391</v>
      </c>
      <c r="O44" s="124">
        <f>O$21*shipping_manufacturing!$D$28/100</f>
        <v>152.25378896796391</v>
      </c>
      <c r="P44" s="124">
        <f>P$21*shipping_manufacturing!$D$28/100</f>
        <v>152.25378896796391</v>
      </c>
      <c r="Q44" s="124">
        <f>Q$21*shipping_manufacturing!$D$28/100</f>
        <v>152.25378896796391</v>
      </c>
      <c r="R44" s="124">
        <f>R$21*shipping_manufacturing!$D$28/100</f>
        <v>152.25378896796391</v>
      </c>
      <c r="S44" s="124">
        <f>S$21*shipping_manufacturing!$D$28/100</f>
        <v>152.25378896796391</v>
      </c>
      <c r="T44" s="124">
        <f>T$21*shipping_manufacturing!$D$28/100</f>
        <v>152.25378896796391</v>
      </c>
      <c r="U44" s="124">
        <f>U$21*shipping_manufacturing!$D$28/100</f>
        <v>152.25378896796391</v>
      </c>
      <c r="V44" s="124">
        <f>V$21*shipping_manufacturing!$D$28/100</f>
        <v>152.25378896796391</v>
      </c>
      <c r="W44" s="124">
        <f>W$21*shipping_manufacturing!$D$28/100</f>
        <v>152.25378896796391</v>
      </c>
      <c r="X44" s="124">
        <f>X$21*shipping_manufacturing!$D$28/100</f>
        <v>152.25378896796391</v>
      </c>
      <c r="Y44" s="124">
        <f>Y$21*shipping_manufacturing!$D$28/100</f>
        <v>152.25378896796391</v>
      </c>
      <c r="Z44" s="124">
        <f>Z$21*shipping_manufacturing!$D$28/100</f>
        <v>152.25378896796391</v>
      </c>
      <c r="AA44" s="124">
        <f>AA$21*shipping_manufacturing!$D$28/100</f>
        <v>152.25378896796391</v>
      </c>
      <c r="AB44" s="124">
        <f>AB$21*shipping_manufacturing!$D$28/100</f>
        <v>152.25378896796391</v>
      </c>
      <c r="AC44" s="124">
        <f>AC$21*shipping_manufacturing!$D$28/100</f>
        <v>152.25378896796391</v>
      </c>
      <c r="AD44" s="124">
        <f>AD$21*shipping_manufacturing!$D$28/100</f>
        <v>0</v>
      </c>
      <c r="AE44" s="124">
        <f>AE$21*shipping_manufacturing!$D$28/100</f>
        <v>152.25378896796474</v>
      </c>
      <c r="AF44" s="124">
        <f>AF$21*shipping_manufacturing!$D$28/100</f>
        <v>152.25378896796391</v>
      </c>
      <c r="AG44" s="124">
        <f>AG$21*shipping_manufacturing!$D$28/100</f>
        <v>152.25378896796391</v>
      </c>
      <c r="AH44" s="124">
        <f>AH$21*shipping_manufacturing!$D$28/100</f>
        <v>152.25378896796391</v>
      </c>
      <c r="AI44" s="124">
        <f>AI$21*shipping_manufacturing!$D$28/100</f>
        <v>152.25378896796391</v>
      </c>
      <c r="AJ44" s="124">
        <f>AJ$21*shipping_manufacturing!$D$28/100</f>
        <v>152.25378896796391</v>
      </c>
      <c r="AK44" s="124">
        <f>AK$21*shipping_manufacturing!$D$28/100</f>
        <v>152.25378896796391</v>
      </c>
      <c r="AL44" s="124">
        <f>AL$21*shipping_manufacturing!$D$28/100</f>
        <v>152.25378896796391</v>
      </c>
      <c r="AM44" s="124">
        <f>AM$21*shipping_manufacturing!$D$28/100</f>
        <v>152.25378896796391</v>
      </c>
      <c r="AN44" s="124">
        <f>AN$21*shipping_manufacturing!$D$28/100</f>
        <v>152.25378896796391</v>
      </c>
      <c r="AO44" s="124">
        <f>AO$21*shipping_manufacturing!$D$28/100</f>
        <v>152.25378896796391</v>
      </c>
      <c r="AP44" s="124">
        <f>AP$21*shipping_manufacturing!$D$28/100</f>
        <v>152.25378896796391</v>
      </c>
      <c r="AQ44" s="124">
        <f>AQ$21*shipping_manufacturing!$D$28/100</f>
        <v>152.25378896796391</v>
      </c>
      <c r="AR44" s="124">
        <f>AR$21*shipping_manufacturing!$D$28/100</f>
        <v>152.25378896796391</v>
      </c>
      <c r="AS44" s="124">
        <f>AS$21*shipping_manufacturing!$D$28/100</f>
        <v>152.25378896796391</v>
      </c>
      <c r="AT44" s="124">
        <f>AT$21*shipping_manufacturing!$D$28/100</f>
        <v>152.25378896796391</v>
      </c>
      <c r="AU44" s="124">
        <f>AU$21*shipping_manufacturing!$D$28/100</f>
        <v>152.25378896796391</v>
      </c>
      <c r="AV44" s="124">
        <f>AV$21*shipping_manufacturing!$D$28/100</f>
        <v>152.25378896796391</v>
      </c>
      <c r="AW44" s="124">
        <f>AW$21*shipping_manufacturing!$D$28/100</f>
        <v>152.25378896796391</v>
      </c>
      <c r="AX44" s="124">
        <f>AX$21*shipping_manufacturing!$D$28/100</f>
        <v>152.25378896796391</v>
      </c>
      <c r="AY44" s="124">
        <f>AY$21*shipping_manufacturing!$D$28/100</f>
        <v>152.25378896796391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215.96607196184465</v>
      </c>
      <c r="E45" s="110">
        <f>E$22*shipping_manufacturing!$E$28/100</f>
        <v>215.96607196184416</v>
      </c>
      <c r="F45" s="110">
        <f>F$22*shipping_manufacturing!$E$28/100</f>
        <v>215.96607196184416</v>
      </c>
      <c r="G45" s="110">
        <f>G$22*shipping_manufacturing!$E$28/100</f>
        <v>215.96607196184416</v>
      </c>
      <c r="H45" s="110">
        <f>H$22*shipping_manufacturing!$E$28/100</f>
        <v>215.96607196184416</v>
      </c>
      <c r="I45" s="110">
        <f>I$22*shipping_manufacturing!$E$28/100</f>
        <v>215.96607196184416</v>
      </c>
      <c r="J45" s="110">
        <f>J$22*shipping_manufacturing!$E$28/100</f>
        <v>215.96607196184416</v>
      </c>
      <c r="K45" s="110">
        <f>K$22*shipping_manufacturing!$E$28/100</f>
        <v>215.96607196184416</v>
      </c>
      <c r="L45" s="110">
        <f>L$22*shipping_manufacturing!$E$28/100</f>
        <v>215.96607196184416</v>
      </c>
      <c r="M45" s="110">
        <f>M$22*shipping_manufacturing!$E$28/100</f>
        <v>215.96607196184416</v>
      </c>
      <c r="N45" s="110">
        <f>N$22*shipping_manufacturing!$E$28/100</f>
        <v>215.96607196184416</v>
      </c>
      <c r="O45" s="110">
        <f>O$22*shipping_manufacturing!$E$28/100</f>
        <v>215.96607196184416</v>
      </c>
      <c r="P45" s="110">
        <f>P$22*shipping_manufacturing!$E$28/100</f>
        <v>215.96607196184416</v>
      </c>
      <c r="Q45" s="110">
        <f>Q$22*shipping_manufacturing!$E$28/100</f>
        <v>215.96607196184416</v>
      </c>
      <c r="R45" s="110">
        <f>R$22*shipping_manufacturing!$E$28/100</f>
        <v>215.96607196184416</v>
      </c>
      <c r="S45" s="110">
        <f>S$22*shipping_manufacturing!$E$28/100</f>
        <v>215.96607196184416</v>
      </c>
      <c r="T45" s="110">
        <f>T$22*shipping_manufacturing!$E$28/100</f>
        <v>215.96607196184416</v>
      </c>
      <c r="U45" s="110">
        <f>U$22*shipping_manufacturing!$E$28/100</f>
        <v>215.96607196184416</v>
      </c>
      <c r="V45" s="110">
        <f>V$22*shipping_manufacturing!$E$28/100</f>
        <v>215.96607196184416</v>
      </c>
      <c r="W45" s="110">
        <f>W$22*shipping_manufacturing!$E$28/100</f>
        <v>215.96607196184416</v>
      </c>
      <c r="X45" s="110">
        <f>X$22*shipping_manufacturing!$E$28/100</f>
        <v>215.96607196184416</v>
      </c>
      <c r="Y45" s="110">
        <f>Y$22*shipping_manufacturing!$E$28/100</f>
        <v>215.96607196184416</v>
      </c>
      <c r="Z45" s="110">
        <f>Z$22*shipping_manufacturing!$E$28/100</f>
        <v>215.96607196184416</v>
      </c>
      <c r="AA45" s="110">
        <f>AA$22*shipping_manufacturing!$E$28/100</f>
        <v>215.96607196184416</v>
      </c>
      <c r="AB45" s="110">
        <f>AB$22*shipping_manufacturing!$E$28/100</f>
        <v>215.96607196184416</v>
      </c>
      <c r="AC45" s="110">
        <f>AC$22*shipping_manufacturing!$E$28/100</f>
        <v>215.96607196184416</v>
      </c>
      <c r="AD45" s="110">
        <f>AD$22*shipping_manufacturing!$E$28/100</f>
        <v>0</v>
      </c>
      <c r="AE45" s="110">
        <f>AE$22*shipping_manufacturing!$E$28/100</f>
        <v>215.9660719618453</v>
      </c>
      <c r="AF45" s="110">
        <f>AF$22*shipping_manufacturing!$E$28/100</f>
        <v>215.96607196184416</v>
      </c>
      <c r="AG45" s="110">
        <f>AG$22*shipping_manufacturing!$E$28/100</f>
        <v>215.96607196184416</v>
      </c>
      <c r="AH45" s="110">
        <f>AH$22*shipping_manufacturing!$E$28/100</f>
        <v>215.96607196184416</v>
      </c>
      <c r="AI45" s="110">
        <f>AI$22*shipping_manufacturing!$E$28/100</f>
        <v>215.96607196184416</v>
      </c>
      <c r="AJ45" s="110">
        <f>AJ$22*shipping_manufacturing!$E$28/100</f>
        <v>215.96607196184416</v>
      </c>
      <c r="AK45" s="110">
        <f>AK$22*shipping_manufacturing!$E$28/100</f>
        <v>215.96607196184416</v>
      </c>
      <c r="AL45" s="110">
        <f>AL$22*shipping_manufacturing!$E$28/100</f>
        <v>215.96607196184416</v>
      </c>
      <c r="AM45" s="110">
        <f>AM$22*shipping_manufacturing!$E$28/100</f>
        <v>215.96607196184416</v>
      </c>
      <c r="AN45" s="110">
        <f>AN$22*shipping_manufacturing!$E$28/100</f>
        <v>215.96607196184416</v>
      </c>
      <c r="AO45" s="110">
        <f>AO$22*shipping_manufacturing!$E$28/100</f>
        <v>215.96607196184416</v>
      </c>
      <c r="AP45" s="110">
        <f>AP$22*shipping_manufacturing!$E$28/100</f>
        <v>215.96607196184416</v>
      </c>
      <c r="AQ45" s="110">
        <f>AQ$22*shipping_manufacturing!$E$28/100</f>
        <v>215.96607196184416</v>
      </c>
      <c r="AR45" s="110">
        <f>AR$22*shipping_manufacturing!$E$28/100</f>
        <v>215.96607196184416</v>
      </c>
      <c r="AS45" s="110">
        <f>AS$22*shipping_manufacturing!$E$28/100</f>
        <v>215.96607196184416</v>
      </c>
      <c r="AT45" s="110">
        <f>AT$22*shipping_manufacturing!$E$28/100</f>
        <v>215.96607196184416</v>
      </c>
      <c r="AU45" s="110">
        <f>AU$22*shipping_manufacturing!$E$28/100</f>
        <v>215.96607196184416</v>
      </c>
      <c r="AV45" s="110">
        <f>AV$22*shipping_manufacturing!$E$28/100</f>
        <v>215.96607196184416</v>
      </c>
      <c r="AW45" s="110">
        <f>AW$22*shipping_manufacturing!$E$28/100</f>
        <v>215.96607196184416</v>
      </c>
      <c r="AX45" s="110">
        <f>AX$22*shipping_manufacturing!$E$28/100</f>
        <v>215.96607196184416</v>
      </c>
      <c r="AY45" s="110">
        <f>AY$22*shipping_manufacturing!$E$28/100</f>
        <v>215.96607196184416</v>
      </c>
    </row>
    <row r="46" spans="1:52">
      <c r="A46" s="110">
        <v>89</v>
      </c>
      <c r="B46" s="165" t="s">
        <v>343</v>
      </c>
      <c r="C46" s="110"/>
      <c r="D46" s="110">
        <f>SUM(D44:D45)</f>
        <v>368.21986092980887</v>
      </c>
      <c r="E46" s="110">
        <f t="shared" ref="E46:AY46" si="14">SUM(E44:E45)</f>
        <v>368.21986092980808</v>
      </c>
      <c r="F46" s="110">
        <f t="shared" si="14"/>
        <v>368.21986092980808</v>
      </c>
      <c r="G46" s="110">
        <f t="shared" si="14"/>
        <v>368.21986092980808</v>
      </c>
      <c r="H46" s="110">
        <f t="shared" si="14"/>
        <v>368.21986092980808</v>
      </c>
      <c r="I46" s="110">
        <f t="shared" si="14"/>
        <v>368.21986092980808</v>
      </c>
      <c r="J46" s="110">
        <f t="shared" si="14"/>
        <v>368.21986092980808</v>
      </c>
      <c r="K46" s="110">
        <f t="shared" si="14"/>
        <v>368.21986092980808</v>
      </c>
      <c r="L46" s="110">
        <f t="shared" si="14"/>
        <v>368.21986092980808</v>
      </c>
      <c r="M46" s="110">
        <f t="shared" si="14"/>
        <v>368.21986092980808</v>
      </c>
      <c r="N46" s="110">
        <f t="shared" si="14"/>
        <v>368.21986092980808</v>
      </c>
      <c r="O46" s="110">
        <f t="shared" si="14"/>
        <v>368.21986092980808</v>
      </c>
      <c r="P46" s="110">
        <f t="shared" si="14"/>
        <v>368.21986092980808</v>
      </c>
      <c r="Q46" s="110">
        <f t="shared" si="14"/>
        <v>368.21986092980808</v>
      </c>
      <c r="R46" s="110">
        <f t="shared" si="14"/>
        <v>368.21986092980808</v>
      </c>
      <c r="S46" s="110">
        <f t="shared" si="14"/>
        <v>368.21986092980808</v>
      </c>
      <c r="T46" s="110">
        <f t="shared" si="14"/>
        <v>368.21986092980808</v>
      </c>
      <c r="U46" s="110">
        <f t="shared" si="14"/>
        <v>368.21986092980808</v>
      </c>
      <c r="V46" s="110">
        <f t="shared" si="14"/>
        <v>368.21986092980808</v>
      </c>
      <c r="W46" s="110">
        <f t="shared" si="14"/>
        <v>368.21986092980808</v>
      </c>
      <c r="X46" s="110">
        <f t="shared" si="14"/>
        <v>368.21986092980808</v>
      </c>
      <c r="Y46" s="110">
        <f t="shared" si="14"/>
        <v>368.21986092980808</v>
      </c>
      <c r="Z46" s="110">
        <f t="shared" si="14"/>
        <v>368.21986092980808</v>
      </c>
      <c r="AA46" s="110">
        <f t="shared" si="14"/>
        <v>368.21986092980808</v>
      </c>
      <c r="AB46" s="110">
        <f t="shared" si="14"/>
        <v>368.21986092980808</v>
      </c>
      <c r="AC46" s="110">
        <f t="shared" si="14"/>
        <v>368.21986092980808</v>
      </c>
      <c r="AD46" s="110">
        <f t="shared" si="14"/>
        <v>0</v>
      </c>
      <c r="AE46" s="110">
        <f t="shared" si="14"/>
        <v>368.21986092981001</v>
      </c>
      <c r="AF46" s="110">
        <f t="shared" si="14"/>
        <v>368.21986092980808</v>
      </c>
      <c r="AG46" s="110">
        <f t="shared" si="14"/>
        <v>368.21986092980808</v>
      </c>
      <c r="AH46" s="110">
        <f t="shared" si="14"/>
        <v>368.21986092980808</v>
      </c>
      <c r="AI46" s="110">
        <f t="shared" si="14"/>
        <v>368.21986092980808</v>
      </c>
      <c r="AJ46" s="110">
        <f t="shared" si="14"/>
        <v>368.21986092980808</v>
      </c>
      <c r="AK46" s="110">
        <f t="shared" si="14"/>
        <v>368.21986092980808</v>
      </c>
      <c r="AL46" s="110">
        <f t="shared" si="14"/>
        <v>368.21986092980808</v>
      </c>
      <c r="AM46" s="110">
        <f t="shared" si="14"/>
        <v>368.21986092980808</v>
      </c>
      <c r="AN46" s="110">
        <f t="shared" si="14"/>
        <v>368.21986092980808</v>
      </c>
      <c r="AO46" s="110">
        <f t="shared" si="14"/>
        <v>368.21986092980808</v>
      </c>
      <c r="AP46" s="110">
        <f t="shared" si="14"/>
        <v>368.21986092980808</v>
      </c>
      <c r="AQ46" s="110">
        <f t="shared" si="14"/>
        <v>368.21986092980808</v>
      </c>
      <c r="AR46" s="110">
        <f t="shared" si="14"/>
        <v>368.21986092980808</v>
      </c>
      <c r="AS46" s="110">
        <f t="shared" si="14"/>
        <v>368.21986092980808</v>
      </c>
      <c r="AT46" s="110">
        <f t="shared" si="14"/>
        <v>368.21986092980808</v>
      </c>
      <c r="AU46" s="110">
        <f t="shared" si="14"/>
        <v>368.21986092980808</v>
      </c>
      <c r="AV46" s="110">
        <f t="shared" si="14"/>
        <v>368.21986092980808</v>
      </c>
      <c r="AW46" s="110">
        <f t="shared" si="14"/>
        <v>368.21986092980808</v>
      </c>
      <c r="AX46" s="110">
        <f t="shared" si="14"/>
        <v>368.21986092980808</v>
      </c>
      <c r="AY46" s="110">
        <f t="shared" si="14"/>
        <v>368.21986092980808</v>
      </c>
    </row>
    <row r="47" spans="1:52">
      <c r="A47" s="110"/>
      <c r="B47" s="165" t="s">
        <v>344</v>
      </c>
      <c r="C47" s="110"/>
      <c r="D47" s="110">
        <v>12.404582570600716</v>
      </c>
      <c r="E47" s="110">
        <v>152.25378896796394</v>
      </c>
      <c r="F47" s="110">
        <v>12.404582570600718</v>
      </c>
      <c r="G47" s="110">
        <v>152.25378896796394</v>
      </c>
      <c r="H47" s="110">
        <v>12.404582570600718</v>
      </c>
      <c r="I47" s="110">
        <v>152.25378896796394</v>
      </c>
      <c r="J47" s="110">
        <v>12.404582570600718</v>
      </c>
      <c r="K47" s="110">
        <v>152.25378896796394</v>
      </c>
      <c r="L47" s="110">
        <v>12.404582570600718</v>
      </c>
      <c r="M47" s="110">
        <v>152.25378896796394</v>
      </c>
      <c r="N47" s="110">
        <v>12.404582570600718</v>
      </c>
      <c r="O47" s="110">
        <v>152.25378896796394</v>
      </c>
      <c r="P47" s="110">
        <v>12.404582570600718</v>
      </c>
      <c r="Q47" s="110">
        <v>152.25378896796394</v>
      </c>
      <c r="R47" s="110">
        <v>12.404582570600718</v>
      </c>
      <c r="S47" s="110">
        <v>152.25378896796394</v>
      </c>
      <c r="T47" s="110">
        <v>12.404582570600718</v>
      </c>
      <c r="U47" s="110">
        <v>152.25378896796394</v>
      </c>
      <c r="V47" s="110">
        <v>12.404582570600718</v>
      </c>
      <c r="W47" s="110">
        <v>152.25378896796394</v>
      </c>
      <c r="X47" s="110">
        <v>12.404582570600718</v>
      </c>
      <c r="Y47" s="110">
        <v>152.25378896796394</v>
      </c>
      <c r="Z47" s="110">
        <v>12.404582570600718</v>
      </c>
      <c r="AA47" s="110">
        <v>152.25378896796394</v>
      </c>
      <c r="AB47" s="110">
        <v>12.404582570600718</v>
      </c>
      <c r="AC47" s="110">
        <v>152.25378896796394</v>
      </c>
      <c r="AD47" s="110"/>
      <c r="AE47" s="110">
        <v>152.25378896796477</v>
      </c>
      <c r="AF47" s="110">
        <v>12.404582570600718</v>
      </c>
      <c r="AG47" s="110">
        <v>152.25378896796394</v>
      </c>
      <c r="AH47" s="110">
        <v>12.404582570600718</v>
      </c>
      <c r="AI47" s="110">
        <v>152.25378896796394</v>
      </c>
      <c r="AJ47" s="110">
        <v>12.404582570600718</v>
      </c>
      <c r="AK47" s="110">
        <v>152.25378896796394</v>
      </c>
      <c r="AL47" s="110">
        <v>12.404582570600718</v>
      </c>
      <c r="AM47" s="110">
        <v>152.25378896796394</v>
      </c>
      <c r="AN47" s="110">
        <v>12.404582570600718</v>
      </c>
      <c r="AO47" s="110">
        <v>152.25378896796394</v>
      </c>
      <c r="AP47" s="110">
        <v>12.404582570600718</v>
      </c>
      <c r="AQ47" s="110">
        <v>152.25378896796394</v>
      </c>
      <c r="AR47" s="110">
        <v>12.404582570600718</v>
      </c>
      <c r="AS47" s="110">
        <v>152.25378896796394</v>
      </c>
      <c r="AT47" s="110">
        <v>12.404582570600718</v>
      </c>
      <c r="AU47" s="110">
        <v>152.25378896796394</v>
      </c>
      <c r="AV47" s="110">
        <v>12.404582570600718</v>
      </c>
      <c r="AW47" s="110">
        <v>152.25378896796394</v>
      </c>
      <c r="AX47" s="110">
        <v>12.404582570600718</v>
      </c>
      <c r="AY47" s="110">
        <v>152.25378896796394</v>
      </c>
    </row>
    <row r="48" spans="1:52">
      <c r="A48" s="110"/>
      <c r="B48" s="165" t="s">
        <v>345</v>
      </c>
      <c r="C48" s="110"/>
      <c r="D48" s="110">
        <v>17.595417429399284</v>
      </c>
      <c r="E48" s="110">
        <v>215.96607196184414</v>
      </c>
      <c r="F48" s="110">
        <v>17.595417429399284</v>
      </c>
      <c r="G48" s="110">
        <v>215.96607196184414</v>
      </c>
      <c r="H48" s="110">
        <v>17.595417429399284</v>
      </c>
      <c r="I48" s="110">
        <v>215.96607196184414</v>
      </c>
      <c r="J48" s="110">
        <v>17.595417429399284</v>
      </c>
      <c r="K48" s="110">
        <v>215.96607196184414</v>
      </c>
      <c r="L48" s="110">
        <v>17.595417429399284</v>
      </c>
      <c r="M48" s="110">
        <v>215.96607196184414</v>
      </c>
      <c r="N48" s="110">
        <v>17.595417429399284</v>
      </c>
      <c r="O48" s="110">
        <v>215.96607196184414</v>
      </c>
      <c r="P48" s="110">
        <v>17.595417429399284</v>
      </c>
      <c r="Q48" s="110">
        <v>215.96607196184414</v>
      </c>
      <c r="R48" s="110">
        <v>17.595417429399284</v>
      </c>
      <c r="S48" s="110">
        <v>215.96607196184414</v>
      </c>
      <c r="T48" s="110">
        <v>17.595417429399284</v>
      </c>
      <c r="U48" s="110">
        <v>215.96607196184414</v>
      </c>
      <c r="V48" s="110">
        <v>17.595417429399284</v>
      </c>
      <c r="W48" s="110">
        <v>215.96607196184414</v>
      </c>
      <c r="X48" s="110">
        <v>17.595417429399284</v>
      </c>
      <c r="Y48" s="110">
        <v>215.96607196184414</v>
      </c>
      <c r="Z48" s="110">
        <v>17.595417429399284</v>
      </c>
      <c r="AA48" s="110">
        <v>215.96607196184414</v>
      </c>
      <c r="AB48" s="110">
        <v>17.595417429399284</v>
      </c>
      <c r="AC48" s="110">
        <v>215.96607196184414</v>
      </c>
      <c r="AD48" s="110"/>
      <c r="AE48" s="110">
        <v>215.96607196184527</v>
      </c>
      <c r="AF48" s="110">
        <v>17.595417429399284</v>
      </c>
      <c r="AG48" s="110">
        <v>215.96607196184414</v>
      </c>
      <c r="AH48" s="110">
        <v>17.595417429399284</v>
      </c>
      <c r="AI48" s="110">
        <v>215.96607196184414</v>
      </c>
      <c r="AJ48" s="110">
        <v>17.595417429399284</v>
      </c>
      <c r="AK48" s="110">
        <v>215.96607196184414</v>
      </c>
      <c r="AL48" s="110">
        <v>17.595417429399284</v>
      </c>
      <c r="AM48" s="110">
        <v>215.96607196184414</v>
      </c>
      <c r="AN48" s="110">
        <v>17.595417429399284</v>
      </c>
      <c r="AO48" s="110">
        <v>215.96607196184414</v>
      </c>
      <c r="AP48" s="110">
        <v>17.595417429399284</v>
      </c>
      <c r="AQ48" s="110">
        <v>215.96607196184414</v>
      </c>
      <c r="AR48" s="110">
        <v>17.595417429399284</v>
      </c>
      <c r="AS48" s="110">
        <v>215.96607196184414</v>
      </c>
      <c r="AT48" s="110">
        <v>17.595417429399284</v>
      </c>
      <c r="AU48" s="110">
        <v>215.96607196184414</v>
      </c>
      <c r="AV48" s="110">
        <v>17.595417429399284</v>
      </c>
      <c r="AW48" s="110">
        <v>215.96607196184414</v>
      </c>
      <c r="AX48" s="110">
        <v>17.595417429399284</v>
      </c>
      <c r="AY48" s="110">
        <v>215.96607196184414</v>
      </c>
    </row>
    <row r="49" spans="1:52">
      <c r="A49" s="110"/>
      <c r="B49" s="165" t="s">
        <v>346</v>
      </c>
      <c r="C49" s="110"/>
      <c r="D49" s="110">
        <v>1</v>
      </c>
      <c r="E49" s="110">
        <v>13</v>
      </c>
      <c r="F49" s="110">
        <v>1</v>
      </c>
      <c r="G49" s="110">
        <v>13</v>
      </c>
      <c r="H49" s="110">
        <v>1</v>
      </c>
      <c r="I49" s="110">
        <v>13</v>
      </c>
      <c r="J49" s="110">
        <v>1</v>
      </c>
      <c r="K49" s="110">
        <v>13</v>
      </c>
      <c r="L49" s="110">
        <v>1</v>
      </c>
      <c r="M49" s="110">
        <v>13</v>
      </c>
      <c r="N49" s="110">
        <v>1</v>
      </c>
      <c r="O49" s="110">
        <v>13</v>
      </c>
      <c r="P49" s="110">
        <v>1</v>
      </c>
      <c r="Q49" s="110">
        <v>13</v>
      </c>
      <c r="R49" s="110">
        <v>1</v>
      </c>
      <c r="S49" s="110">
        <v>13</v>
      </c>
      <c r="T49" s="110">
        <v>1</v>
      </c>
      <c r="U49" s="110">
        <v>13</v>
      </c>
      <c r="V49" s="110">
        <v>1</v>
      </c>
      <c r="W49" s="110">
        <v>13</v>
      </c>
      <c r="X49" s="110">
        <v>1</v>
      </c>
      <c r="Y49" s="110">
        <v>13</v>
      </c>
      <c r="Z49" s="110">
        <v>1</v>
      </c>
      <c r="AA49" s="110">
        <v>13</v>
      </c>
      <c r="AB49" s="110">
        <v>1</v>
      </c>
      <c r="AC49" s="110">
        <v>13</v>
      </c>
      <c r="AD49" s="110"/>
      <c r="AE49" s="110">
        <v>13</v>
      </c>
      <c r="AF49" s="110">
        <v>1</v>
      </c>
      <c r="AG49" s="110">
        <v>13</v>
      </c>
      <c r="AH49" s="110">
        <v>1</v>
      </c>
      <c r="AI49" s="110">
        <v>13</v>
      </c>
      <c r="AJ49" s="110">
        <v>1</v>
      </c>
      <c r="AK49" s="110">
        <v>13</v>
      </c>
      <c r="AL49" s="110">
        <v>1</v>
      </c>
      <c r="AM49" s="110">
        <v>13</v>
      </c>
      <c r="AN49" s="110">
        <v>1</v>
      </c>
      <c r="AO49" s="110">
        <v>13</v>
      </c>
      <c r="AP49" s="110">
        <v>1</v>
      </c>
      <c r="AQ49" s="110">
        <v>13</v>
      </c>
      <c r="AR49" s="110">
        <v>1</v>
      </c>
      <c r="AS49" s="110">
        <v>13</v>
      </c>
      <c r="AT49" s="110">
        <v>1</v>
      </c>
      <c r="AU49" s="110">
        <v>13</v>
      </c>
      <c r="AV49" s="110">
        <v>1</v>
      </c>
      <c r="AW49" s="110">
        <v>13</v>
      </c>
      <c r="AX49" s="110">
        <v>1</v>
      </c>
      <c r="AY49" s="110">
        <v>13</v>
      </c>
    </row>
    <row r="50" spans="1:52">
      <c r="A50" s="110"/>
      <c r="B50" s="165" t="s">
        <v>347</v>
      </c>
      <c r="C50" s="110"/>
      <c r="D50" s="110">
        <f>D44-D47</f>
        <v>139.8492063973635</v>
      </c>
      <c r="E50" s="110">
        <f t="shared" ref="E50:AY50" si="15">E44-E47</f>
        <v>0</v>
      </c>
      <c r="F50" s="110">
        <f t="shared" si="15"/>
        <v>139.84920639736319</v>
      </c>
      <c r="G50" s="110">
        <f t="shared" si="15"/>
        <v>0</v>
      </c>
      <c r="H50" s="110">
        <f t="shared" si="15"/>
        <v>139.84920639736319</v>
      </c>
      <c r="I50" s="110">
        <f t="shared" si="15"/>
        <v>0</v>
      </c>
      <c r="J50" s="110">
        <f t="shared" si="15"/>
        <v>139.84920639736319</v>
      </c>
      <c r="K50" s="110">
        <f t="shared" si="15"/>
        <v>0</v>
      </c>
      <c r="L50" s="110">
        <f t="shared" si="15"/>
        <v>139.84920639736319</v>
      </c>
      <c r="M50" s="110">
        <f t="shared" si="15"/>
        <v>0</v>
      </c>
      <c r="N50" s="110">
        <f t="shared" si="15"/>
        <v>139.84920639736319</v>
      </c>
      <c r="O50" s="110">
        <f t="shared" si="15"/>
        <v>0</v>
      </c>
      <c r="P50" s="110">
        <f t="shared" si="15"/>
        <v>139.84920639736319</v>
      </c>
      <c r="Q50" s="110">
        <f t="shared" si="15"/>
        <v>0</v>
      </c>
      <c r="R50" s="110">
        <f t="shared" si="15"/>
        <v>139.84920639736319</v>
      </c>
      <c r="S50" s="110">
        <f t="shared" si="15"/>
        <v>0</v>
      </c>
      <c r="T50" s="110">
        <f t="shared" si="15"/>
        <v>139.84920639736319</v>
      </c>
      <c r="U50" s="110">
        <f t="shared" si="15"/>
        <v>0</v>
      </c>
      <c r="V50" s="110">
        <f t="shared" si="15"/>
        <v>139.84920639736319</v>
      </c>
      <c r="W50" s="110">
        <f t="shared" si="15"/>
        <v>0</v>
      </c>
      <c r="X50" s="110">
        <f t="shared" si="15"/>
        <v>139.84920639736319</v>
      </c>
      <c r="Y50" s="110">
        <f t="shared" si="15"/>
        <v>0</v>
      </c>
      <c r="Z50" s="110">
        <f t="shared" si="15"/>
        <v>139.84920639736319</v>
      </c>
      <c r="AA50" s="110">
        <f t="shared" si="15"/>
        <v>0</v>
      </c>
      <c r="AB50" s="110">
        <f t="shared" si="15"/>
        <v>139.84920639736319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139.84920639736319</v>
      </c>
      <c r="AG50" s="110">
        <f t="shared" si="15"/>
        <v>0</v>
      </c>
      <c r="AH50" s="110">
        <f t="shared" si="15"/>
        <v>139.84920639736319</v>
      </c>
      <c r="AI50" s="110">
        <f t="shared" si="15"/>
        <v>0</v>
      </c>
      <c r="AJ50" s="110">
        <f t="shared" si="15"/>
        <v>139.84920639736319</v>
      </c>
      <c r="AK50" s="110">
        <f t="shared" si="15"/>
        <v>0</v>
      </c>
      <c r="AL50" s="110">
        <f t="shared" si="15"/>
        <v>139.84920639736319</v>
      </c>
      <c r="AM50" s="110">
        <f t="shared" si="15"/>
        <v>0</v>
      </c>
      <c r="AN50" s="110">
        <f t="shared" si="15"/>
        <v>139.84920639736319</v>
      </c>
      <c r="AO50" s="110">
        <f t="shared" si="15"/>
        <v>0</v>
      </c>
      <c r="AP50" s="110">
        <f t="shared" si="15"/>
        <v>139.84920639736319</v>
      </c>
      <c r="AQ50" s="110">
        <f t="shared" si="15"/>
        <v>0</v>
      </c>
      <c r="AR50" s="110">
        <f t="shared" si="15"/>
        <v>139.84920639736319</v>
      </c>
      <c r="AS50" s="110">
        <f t="shared" si="15"/>
        <v>0</v>
      </c>
      <c r="AT50" s="110">
        <f t="shared" si="15"/>
        <v>139.84920639736319</v>
      </c>
      <c r="AU50" s="110">
        <f t="shared" si="15"/>
        <v>0</v>
      </c>
      <c r="AV50" s="110">
        <f t="shared" si="15"/>
        <v>139.84920639736319</v>
      </c>
      <c r="AW50" s="110">
        <f t="shared" si="15"/>
        <v>0</v>
      </c>
      <c r="AX50" s="110">
        <f t="shared" si="15"/>
        <v>139.84920639736319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198.37065453244537</v>
      </c>
      <c r="E51" s="110">
        <f t="shared" ref="E51:AY51" si="16">E45-E48</f>
        <v>0</v>
      </c>
      <c r="F51" s="110">
        <f t="shared" si="16"/>
        <v>198.37065453244489</v>
      </c>
      <c r="G51" s="110">
        <f t="shared" si="16"/>
        <v>0</v>
      </c>
      <c r="H51" s="110">
        <f t="shared" si="16"/>
        <v>198.37065453244489</v>
      </c>
      <c r="I51" s="110">
        <f t="shared" si="16"/>
        <v>0</v>
      </c>
      <c r="J51" s="110">
        <f t="shared" si="16"/>
        <v>198.37065453244489</v>
      </c>
      <c r="K51" s="110">
        <f t="shared" si="16"/>
        <v>0</v>
      </c>
      <c r="L51" s="110">
        <f t="shared" si="16"/>
        <v>198.37065453244489</v>
      </c>
      <c r="M51" s="110">
        <f t="shared" si="16"/>
        <v>0</v>
      </c>
      <c r="N51" s="110">
        <f t="shared" si="16"/>
        <v>198.37065453244489</v>
      </c>
      <c r="O51" s="110">
        <f t="shared" si="16"/>
        <v>0</v>
      </c>
      <c r="P51" s="110">
        <f t="shared" si="16"/>
        <v>198.37065453244489</v>
      </c>
      <c r="Q51" s="110">
        <f t="shared" si="16"/>
        <v>0</v>
      </c>
      <c r="R51" s="110">
        <f t="shared" si="16"/>
        <v>198.37065453244489</v>
      </c>
      <c r="S51" s="110">
        <f t="shared" si="16"/>
        <v>0</v>
      </c>
      <c r="T51" s="110">
        <f t="shared" si="16"/>
        <v>198.37065453244489</v>
      </c>
      <c r="U51" s="110">
        <f t="shared" si="16"/>
        <v>0</v>
      </c>
      <c r="V51" s="110">
        <f t="shared" si="16"/>
        <v>198.37065453244489</v>
      </c>
      <c r="W51" s="110">
        <f t="shared" si="16"/>
        <v>0</v>
      </c>
      <c r="X51" s="110">
        <f t="shared" si="16"/>
        <v>198.37065453244489</v>
      </c>
      <c r="Y51" s="110">
        <f t="shared" si="16"/>
        <v>0</v>
      </c>
      <c r="Z51" s="110">
        <f t="shared" si="16"/>
        <v>198.37065453244489</v>
      </c>
      <c r="AA51" s="110">
        <f t="shared" si="16"/>
        <v>0</v>
      </c>
      <c r="AB51" s="110">
        <f t="shared" si="16"/>
        <v>198.37065453244489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198.37065453244489</v>
      </c>
      <c r="AG51" s="110">
        <f t="shared" si="16"/>
        <v>0</v>
      </c>
      <c r="AH51" s="110">
        <f t="shared" si="16"/>
        <v>198.37065453244489</v>
      </c>
      <c r="AI51" s="110">
        <f t="shared" si="16"/>
        <v>0</v>
      </c>
      <c r="AJ51" s="110">
        <f t="shared" si="16"/>
        <v>198.37065453244489</v>
      </c>
      <c r="AK51" s="110">
        <f t="shared" si="16"/>
        <v>0</v>
      </c>
      <c r="AL51" s="110">
        <f t="shared" si="16"/>
        <v>198.37065453244489</v>
      </c>
      <c r="AM51" s="110">
        <f t="shared" si="16"/>
        <v>0</v>
      </c>
      <c r="AN51" s="110">
        <f t="shared" si="16"/>
        <v>198.37065453244489</v>
      </c>
      <c r="AO51" s="110">
        <f t="shared" si="16"/>
        <v>0</v>
      </c>
      <c r="AP51" s="110">
        <f t="shared" si="16"/>
        <v>198.37065453244489</v>
      </c>
      <c r="AQ51" s="110">
        <f t="shared" si="16"/>
        <v>0</v>
      </c>
      <c r="AR51" s="110">
        <f t="shared" si="16"/>
        <v>198.37065453244489</v>
      </c>
      <c r="AS51" s="110">
        <f t="shared" si="16"/>
        <v>0</v>
      </c>
      <c r="AT51" s="110">
        <f t="shared" si="16"/>
        <v>198.37065453244489</v>
      </c>
      <c r="AU51" s="110">
        <f t="shared" si="16"/>
        <v>0</v>
      </c>
      <c r="AV51" s="110">
        <f t="shared" si="16"/>
        <v>198.37065453244489</v>
      </c>
      <c r="AW51" s="110">
        <f t="shared" si="16"/>
        <v>0</v>
      </c>
      <c r="AX51" s="110">
        <f t="shared" si="16"/>
        <v>198.37065453244489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1</v>
      </c>
      <c r="F52" s="110">
        <v>1</v>
      </c>
      <c r="G52" s="110">
        <v>1</v>
      </c>
      <c r="H52" s="110">
        <v>2</v>
      </c>
      <c r="I52" s="110">
        <v>1</v>
      </c>
      <c r="J52" s="110">
        <v>2</v>
      </c>
      <c r="K52" s="110">
        <v>2</v>
      </c>
      <c r="L52" s="110">
        <v>2</v>
      </c>
      <c r="M52" s="110">
        <v>1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2</v>
      </c>
      <c r="T52" s="110">
        <v>1</v>
      </c>
      <c r="U52" s="110">
        <v>1</v>
      </c>
      <c r="V52" s="110">
        <v>1</v>
      </c>
      <c r="W52" s="110">
        <v>1</v>
      </c>
      <c r="X52" s="110">
        <v>1</v>
      </c>
      <c r="Y52" s="110">
        <v>2</v>
      </c>
      <c r="Z52" s="110">
        <v>1</v>
      </c>
      <c r="AA52" s="110">
        <v>1</v>
      </c>
      <c r="AB52" s="110">
        <v>2</v>
      </c>
      <c r="AC52" s="110">
        <v>1</v>
      </c>
      <c r="AD52" s="110">
        <v>2</v>
      </c>
      <c r="AE52" s="110">
        <v>2</v>
      </c>
      <c r="AF52" s="110">
        <v>1</v>
      </c>
      <c r="AG52" s="110">
        <v>1</v>
      </c>
      <c r="AH52" s="110">
        <v>2</v>
      </c>
      <c r="AI52" s="110">
        <v>1</v>
      </c>
      <c r="AJ52" s="110">
        <v>1</v>
      </c>
      <c r="AK52" s="110">
        <v>1</v>
      </c>
      <c r="AL52" s="110">
        <v>1</v>
      </c>
      <c r="AM52" s="110">
        <v>3</v>
      </c>
      <c r="AN52" s="110">
        <v>2</v>
      </c>
      <c r="AO52" s="110">
        <v>1</v>
      </c>
      <c r="AP52" s="110">
        <v>1</v>
      </c>
      <c r="AQ52" s="110">
        <v>1</v>
      </c>
      <c r="AR52" s="110">
        <v>1</v>
      </c>
      <c r="AS52" s="110">
        <v>3</v>
      </c>
      <c r="AT52" s="110">
        <v>1</v>
      </c>
      <c r="AU52" s="110">
        <v>1</v>
      </c>
      <c r="AV52" s="110">
        <v>2</v>
      </c>
      <c r="AW52" s="110">
        <v>3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</v>
      </c>
      <c r="E53" s="110">
        <v>41652</v>
      </c>
      <c r="F53" s="110">
        <v>3204</v>
      </c>
      <c r="G53" s="110">
        <v>41652</v>
      </c>
      <c r="H53" s="110">
        <v>3204</v>
      </c>
      <c r="I53" s="110">
        <v>41652</v>
      </c>
      <c r="J53" s="110">
        <v>3204</v>
      </c>
      <c r="K53" s="110">
        <v>41652</v>
      </c>
      <c r="L53" s="110">
        <v>3204</v>
      </c>
      <c r="M53" s="110">
        <v>41652</v>
      </c>
      <c r="N53" s="110">
        <v>3204</v>
      </c>
      <c r="O53" s="110">
        <v>41652</v>
      </c>
      <c r="P53" s="110">
        <v>3204</v>
      </c>
      <c r="Q53" s="110">
        <v>41652</v>
      </c>
      <c r="R53" s="110">
        <v>3204</v>
      </c>
      <c r="S53" s="110">
        <v>41652</v>
      </c>
      <c r="T53" s="110">
        <v>3204</v>
      </c>
      <c r="U53" s="110">
        <v>41652</v>
      </c>
      <c r="V53" s="110">
        <v>3204</v>
      </c>
      <c r="W53" s="110">
        <v>41652</v>
      </c>
      <c r="X53" s="110">
        <v>3204</v>
      </c>
      <c r="Y53" s="110">
        <v>41652</v>
      </c>
      <c r="Z53" s="110">
        <v>3204</v>
      </c>
      <c r="AA53" s="110">
        <v>41652</v>
      </c>
      <c r="AB53" s="110">
        <v>3204</v>
      </c>
      <c r="AC53" s="110">
        <v>41652</v>
      </c>
      <c r="AD53" s="110">
        <v>0</v>
      </c>
      <c r="AE53" s="110">
        <v>41652</v>
      </c>
      <c r="AF53" s="110">
        <v>3204</v>
      </c>
      <c r="AG53" s="110">
        <v>41652</v>
      </c>
      <c r="AH53" s="110">
        <v>3204</v>
      </c>
      <c r="AI53" s="110">
        <v>41652</v>
      </c>
      <c r="AJ53" s="110">
        <v>3204</v>
      </c>
      <c r="AK53" s="110">
        <v>41652</v>
      </c>
      <c r="AL53" s="110">
        <v>3204</v>
      </c>
      <c r="AM53" s="110">
        <v>41652</v>
      </c>
      <c r="AN53" s="110">
        <v>3204</v>
      </c>
      <c r="AO53" s="110">
        <v>41652</v>
      </c>
      <c r="AP53" s="110">
        <v>3204</v>
      </c>
      <c r="AQ53" s="110">
        <v>41652</v>
      </c>
      <c r="AR53" s="110">
        <v>3204</v>
      </c>
      <c r="AS53" s="110">
        <v>41652</v>
      </c>
      <c r="AT53" s="110">
        <v>3204</v>
      </c>
      <c r="AU53" s="110">
        <v>41652</v>
      </c>
      <c r="AV53" s="110">
        <v>3204</v>
      </c>
      <c r="AW53" s="110">
        <v>41652</v>
      </c>
      <c r="AX53" s="110">
        <v>3204</v>
      </c>
      <c r="AY53" s="110">
        <v>41652</v>
      </c>
      <c r="AZ53" s="100">
        <f>SUM($D$53:$AY$53)</f>
        <v>1073340</v>
      </c>
    </row>
    <row r="54" spans="1:52">
      <c r="A54" s="110"/>
      <c r="B54" s="178" t="s">
        <v>351</v>
      </c>
      <c r="C54" s="110"/>
      <c r="D54" s="110">
        <v>19566.018954789444</v>
      </c>
      <c r="E54" s="110">
        <v>0</v>
      </c>
      <c r="F54" s="110">
        <v>19566.018954789397</v>
      </c>
      <c r="G54" s="110">
        <v>0</v>
      </c>
      <c r="H54" s="110">
        <v>19566.018954789397</v>
      </c>
      <c r="I54" s="110">
        <v>0</v>
      </c>
      <c r="J54" s="110">
        <v>19566.018954789397</v>
      </c>
      <c r="K54" s="110">
        <v>0</v>
      </c>
      <c r="L54" s="110">
        <v>19566.018954789397</v>
      </c>
      <c r="M54" s="110">
        <v>0</v>
      </c>
      <c r="N54" s="110">
        <v>19566.018954789397</v>
      </c>
      <c r="O54" s="110">
        <v>0</v>
      </c>
      <c r="P54" s="110">
        <v>19566.018954789397</v>
      </c>
      <c r="Q54" s="110">
        <v>0</v>
      </c>
      <c r="R54" s="110">
        <v>19566.018954789397</v>
      </c>
      <c r="S54" s="110">
        <v>0</v>
      </c>
      <c r="T54" s="110">
        <v>19566.018954789397</v>
      </c>
      <c r="U54" s="110">
        <v>0</v>
      </c>
      <c r="V54" s="110">
        <v>19566.018954789397</v>
      </c>
      <c r="W54" s="110">
        <v>0</v>
      </c>
      <c r="X54" s="110">
        <v>19566.018954789397</v>
      </c>
      <c r="Y54" s="110">
        <v>0</v>
      </c>
      <c r="Z54" s="110">
        <v>19566.018954789397</v>
      </c>
      <c r="AA54" s="110">
        <v>0</v>
      </c>
      <c r="AB54" s="110">
        <v>19566.018954789397</v>
      </c>
      <c r="AC54" s="110">
        <v>0</v>
      </c>
      <c r="AD54" s="110">
        <v>0</v>
      </c>
      <c r="AE54" s="110">
        <v>0</v>
      </c>
      <c r="AF54" s="110">
        <v>19566.018954789397</v>
      </c>
      <c r="AG54" s="110">
        <v>0</v>
      </c>
      <c r="AH54" s="110">
        <v>19566.018954789397</v>
      </c>
      <c r="AI54" s="110">
        <v>0</v>
      </c>
      <c r="AJ54" s="110">
        <v>19566.018954789397</v>
      </c>
      <c r="AK54" s="110">
        <v>0</v>
      </c>
      <c r="AL54" s="110">
        <v>19566.018954789397</v>
      </c>
      <c r="AM54" s="110">
        <v>0</v>
      </c>
      <c r="AN54" s="110">
        <v>19566.018954789397</v>
      </c>
      <c r="AO54" s="110">
        <v>0</v>
      </c>
      <c r="AP54" s="110">
        <v>19566.018954789397</v>
      </c>
      <c r="AQ54" s="110">
        <v>0</v>
      </c>
      <c r="AR54" s="110">
        <v>19566.018954789397</v>
      </c>
      <c r="AS54" s="110">
        <v>0</v>
      </c>
      <c r="AT54" s="110">
        <v>19566.018954789397</v>
      </c>
      <c r="AU54" s="110">
        <v>0</v>
      </c>
      <c r="AV54" s="110">
        <v>19566.018954789397</v>
      </c>
      <c r="AW54" s="110">
        <v>0</v>
      </c>
      <c r="AX54" s="110">
        <v>19566.018954789397</v>
      </c>
      <c r="AY54" s="110">
        <v>0</v>
      </c>
      <c r="AZ54" s="100">
        <f>SUM($D$54:$AY$54)</f>
        <v>450018.43596015597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2</v>
      </c>
      <c r="E63" s="110">
        <v>3</v>
      </c>
      <c r="F63" s="110">
        <v>3</v>
      </c>
      <c r="G63" s="110">
        <v>4</v>
      </c>
      <c r="H63" s="110">
        <v>3</v>
      </c>
      <c r="I63" s="110">
        <v>2</v>
      </c>
      <c r="J63" s="110">
        <v>2</v>
      </c>
      <c r="K63" s="110">
        <v>2</v>
      </c>
      <c r="L63" s="110">
        <v>3</v>
      </c>
      <c r="M63" s="110">
        <v>3</v>
      </c>
      <c r="N63" s="110">
        <v>3</v>
      </c>
      <c r="O63" s="110">
        <v>2</v>
      </c>
      <c r="P63" s="110">
        <v>3</v>
      </c>
      <c r="Q63" s="110">
        <v>2</v>
      </c>
      <c r="R63" s="110">
        <v>2</v>
      </c>
      <c r="S63" s="110">
        <v>2</v>
      </c>
      <c r="T63" s="110">
        <v>3</v>
      </c>
      <c r="U63" s="110">
        <v>2</v>
      </c>
      <c r="V63" s="110">
        <v>3</v>
      </c>
      <c r="W63" s="110">
        <v>2</v>
      </c>
      <c r="X63" s="110">
        <v>2</v>
      </c>
      <c r="Y63" s="110">
        <v>2</v>
      </c>
      <c r="Z63" s="110">
        <v>4</v>
      </c>
      <c r="AA63" s="110">
        <v>2</v>
      </c>
      <c r="AB63" s="110">
        <v>2</v>
      </c>
      <c r="AC63" s="110">
        <v>3</v>
      </c>
      <c r="AD63" s="110">
        <v>2</v>
      </c>
      <c r="AE63" s="110">
        <v>3</v>
      </c>
      <c r="AF63" s="110">
        <v>2</v>
      </c>
      <c r="AG63" s="110">
        <v>2</v>
      </c>
      <c r="AH63" s="110">
        <v>3</v>
      </c>
      <c r="AI63" s="110">
        <v>2</v>
      </c>
      <c r="AJ63" s="110">
        <v>2</v>
      </c>
      <c r="AK63" s="110">
        <v>2</v>
      </c>
      <c r="AL63" s="110">
        <v>2</v>
      </c>
      <c r="AM63" s="110">
        <v>2</v>
      </c>
      <c r="AN63" s="110">
        <v>2</v>
      </c>
      <c r="AO63" s="110">
        <v>2</v>
      </c>
      <c r="AP63" s="110">
        <v>2</v>
      </c>
      <c r="AQ63" s="110">
        <v>2</v>
      </c>
      <c r="AR63" s="110">
        <v>3</v>
      </c>
      <c r="AS63" s="110">
        <v>2</v>
      </c>
      <c r="AT63" s="110">
        <v>2</v>
      </c>
      <c r="AU63" s="110">
        <v>3</v>
      </c>
      <c r="AV63" s="110">
        <v>2</v>
      </c>
      <c r="AW63" s="110">
        <v>2</v>
      </c>
      <c r="AX63" s="110">
        <v>2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1554.86074270368</v>
      </c>
      <c r="E7" s="144">
        <v>1554.86074270368</v>
      </c>
      <c r="F7" s="144">
        <v>1554.86074270368</v>
      </c>
      <c r="G7" s="144">
        <v>1554.86074270368</v>
      </c>
      <c r="H7" s="144">
        <v>1554.86074270368</v>
      </c>
      <c r="I7" s="144">
        <v>1554.86074270368</v>
      </c>
      <c r="J7" s="144">
        <v>1554.86074270368</v>
      </c>
      <c r="K7" s="144">
        <v>1554.86074270368</v>
      </c>
      <c r="L7" s="144">
        <v>1554.86074270368</v>
      </c>
      <c r="M7" s="144">
        <v>1554.86074270368</v>
      </c>
      <c r="N7" s="144">
        <v>1554.86074270368</v>
      </c>
      <c r="O7" s="144">
        <v>1554.86074270368</v>
      </c>
      <c r="P7" s="144">
        <v>1554.86074270368</v>
      </c>
      <c r="Q7" s="144">
        <v>1554.86074270368</v>
      </c>
      <c r="R7" s="144">
        <v>1554.86074270368</v>
      </c>
      <c r="S7" s="144">
        <v>1554.86074270368</v>
      </c>
      <c r="T7" s="144">
        <v>1243.8981276894815</v>
      </c>
      <c r="U7" s="144">
        <v>1243.8981276894815</v>
      </c>
      <c r="V7" s="144">
        <v>1243.8981276894815</v>
      </c>
      <c r="W7" s="144">
        <v>1243.8981276894815</v>
      </c>
      <c r="X7" s="144">
        <v>1554.86074270368</v>
      </c>
      <c r="Y7" s="144">
        <v>1554.86074270368</v>
      </c>
      <c r="Z7" s="144">
        <v>1554.86074270368</v>
      </c>
      <c r="AA7" s="144">
        <v>1554.86074270368</v>
      </c>
      <c r="AB7" s="144">
        <v>1554.86074270368</v>
      </c>
      <c r="AC7" s="144">
        <v>1554.86074270368</v>
      </c>
      <c r="AD7" s="144">
        <v>1554.86074270368</v>
      </c>
      <c r="AE7" s="144">
        <v>1554.86074270368</v>
      </c>
      <c r="AF7" s="144">
        <v>1554.86074270368</v>
      </c>
      <c r="AG7" s="144">
        <v>1554.86074270368</v>
      </c>
      <c r="AH7" s="144">
        <v>1554.86074270368</v>
      </c>
      <c r="AI7" s="144">
        <v>1554.86074270368</v>
      </c>
      <c r="AJ7" s="144">
        <v>1554.86074270368</v>
      </c>
      <c r="AK7" s="144">
        <v>1554.86074270368</v>
      </c>
      <c r="AL7" s="144">
        <v>1554.86074270368</v>
      </c>
      <c r="AM7" s="144">
        <v>1554.86074270368</v>
      </c>
      <c r="AN7" s="144">
        <v>1865.8233577178787</v>
      </c>
      <c r="AO7" s="144">
        <v>1865.8233577178787</v>
      </c>
      <c r="AP7" s="144">
        <v>1865.8233577178787</v>
      </c>
      <c r="AQ7" s="144">
        <v>1865.8233577178787</v>
      </c>
      <c r="AR7" s="144">
        <v>1554.86074270368</v>
      </c>
      <c r="AS7" s="144">
        <v>1554.86074270368</v>
      </c>
      <c r="AT7" s="144">
        <v>1554.86074270368</v>
      </c>
      <c r="AU7" s="144">
        <v>1554.86074270368</v>
      </c>
      <c r="AV7" s="144">
        <v>1554.86074270368</v>
      </c>
      <c r="AW7" s="144">
        <v>1554.86074270368</v>
      </c>
      <c r="AX7" s="144">
        <v>1554.86074270368</v>
      </c>
      <c r="AY7" s="144">
        <v>1554.86074270368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142.64671543575741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142.64671543575741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1865.7347801147407</v>
      </c>
      <c r="D13" s="138">
        <f t="shared" ref="D13:AY13" si="1">D$7-D$10</f>
        <v>1554.86074270368</v>
      </c>
      <c r="E13" s="138">
        <f t="shared" si="1"/>
        <v>1554.86074270368</v>
      </c>
      <c r="F13" s="138">
        <f t="shared" si="1"/>
        <v>1554.86074270368</v>
      </c>
      <c r="G13" s="138">
        <f t="shared" si="1"/>
        <v>1554.86074270368</v>
      </c>
      <c r="H13" s="138">
        <f t="shared" si="1"/>
        <v>1554.86074270368</v>
      </c>
      <c r="I13" s="138">
        <f t="shared" si="1"/>
        <v>1554.86074270368</v>
      </c>
      <c r="J13" s="138">
        <f t="shared" si="1"/>
        <v>1554.86074270368</v>
      </c>
      <c r="K13" s="138">
        <f t="shared" si="1"/>
        <v>1554.86074270368</v>
      </c>
      <c r="L13" s="138">
        <f t="shared" si="1"/>
        <v>1554.86074270368</v>
      </c>
      <c r="M13" s="138">
        <f t="shared" si="1"/>
        <v>1554.86074270368</v>
      </c>
      <c r="N13" s="138">
        <f t="shared" si="1"/>
        <v>1554.86074270368</v>
      </c>
      <c r="O13" s="138">
        <f t="shared" si="1"/>
        <v>1554.86074270368</v>
      </c>
      <c r="P13" s="138">
        <f t="shared" si="1"/>
        <v>1554.86074270368</v>
      </c>
      <c r="Q13" s="138">
        <f t="shared" si="1"/>
        <v>1554.86074270368</v>
      </c>
      <c r="R13" s="138">
        <f t="shared" si="1"/>
        <v>1554.86074270368</v>
      </c>
      <c r="S13" s="138">
        <f t="shared" si="1"/>
        <v>1554.86074270368</v>
      </c>
      <c r="T13" s="138">
        <f t="shared" si="1"/>
        <v>1243.8981276894815</v>
      </c>
      <c r="U13" s="138">
        <f t="shared" si="1"/>
        <v>1243.8981276894815</v>
      </c>
      <c r="V13" s="138">
        <f t="shared" si="1"/>
        <v>1243.8981276894815</v>
      </c>
      <c r="W13" s="138">
        <f t="shared" si="1"/>
        <v>1243.8981276894815</v>
      </c>
      <c r="X13" s="138">
        <f t="shared" si="1"/>
        <v>1554.86074270368</v>
      </c>
      <c r="Y13" s="138">
        <f t="shared" si="1"/>
        <v>1554.86074270368</v>
      </c>
      <c r="Z13" s="138">
        <f t="shared" si="1"/>
        <v>1554.86074270368</v>
      </c>
      <c r="AA13" s="138">
        <f t="shared" si="1"/>
        <v>1554.86074270368</v>
      </c>
      <c r="AB13" s="138">
        <f t="shared" si="1"/>
        <v>1554.86074270368</v>
      </c>
      <c r="AC13" s="138">
        <f t="shared" si="1"/>
        <v>1554.86074270368</v>
      </c>
      <c r="AD13" s="138">
        <f t="shared" si="1"/>
        <v>1554.86074270368</v>
      </c>
      <c r="AE13" s="138">
        <f t="shared" si="1"/>
        <v>1554.86074270368</v>
      </c>
      <c r="AF13" s="138">
        <f t="shared" si="1"/>
        <v>1554.86074270368</v>
      </c>
      <c r="AG13" s="138">
        <f t="shared" si="1"/>
        <v>1554.86074270368</v>
      </c>
      <c r="AH13" s="138">
        <f t="shared" si="1"/>
        <v>1554.86074270368</v>
      </c>
      <c r="AI13" s="138">
        <f t="shared" si="1"/>
        <v>1554.86074270368</v>
      </c>
      <c r="AJ13" s="138">
        <f t="shared" si="1"/>
        <v>1554.86074270368</v>
      </c>
      <c r="AK13" s="138">
        <f t="shared" si="1"/>
        <v>1554.86074270368</v>
      </c>
      <c r="AL13" s="138">
        <f t="shared" si="1"/>
        <v>1554.86074270368</v>
      </c>
      <c r="AM13" s="138">
        <f t="shared" si="1"/>
        <v>1554.86074270368</v>
      </c>
      <c r="AN13" s="138">
        <f t="shared" si="1"/>
        <v>1865.8233577178787</v>
      </c>
      <c r="AO13" s="138">
        <f t="shared" si="1"/>
        <v>1865.8233577178787</v>
      </c>
      <c r="AP13" s="138">
        <f t="shared" si="1"/>
        <v>1865.8233577178787</v>
      </c>
      <c r="AQ13" s="138">
        <f t="shared" si="1"/>
        <v>1723.1766422821213</v>
      </c>
      <c r="AR13" s="138">
        <f t="shared" si="1"/>
        <v>1554.86074270368</v>
      </c>
      <c r="AS13" s="138">
        <f t="shared" si="1"/>
        <v>1554.86074270368</v>
      </c>
      <c r="AT13" s="138">
        <f t="shared" si="1"/>
        <v>1554.86074270368</v>
      </c>
      <c r="AU13" s="138">
        <f t="shared" si="1"/>
        <v>1554.86074270368</v>
      </c>
      <c r="AV13" s="138">
        <f t="shared" si="1"/>
        <v>1554.86074270368</v>
      </c>
      <c r="AW13" s="138">
        <f t="shared" si="1"/>
        <v>1554.86074270368</v>
      </c>
      <c r="AX13" s="138">
        <f t="shared" si="1"/>
        <v>1554.86074270368</v>
      </c>
      <c r="AY13" s="138">
        <f t="shared" si="1"/>
        <v>1554.86074270368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1554.86074270368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1243.8981276894815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1554.86074270368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1554.86074270368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1865.8233577178787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 t="s">
        <v>339</v>
      </c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 t="s">
        <v>339</v>
      </c>
      <c r="X20" s="117"/>
      <c r="Y20" s="117"/>
      <c r="Z20" s="117"/>
      <c r="AA20" s="117" t="s">
        <v>339</v>
      </c>
      <c r="AB20" s="117"/>
      <c r="AC20" s="117"/>
      <c r="AD20" s="117"/>
      <c r="AE20" s="117"/>
      <c r="AF20" s="117"/>
      <c r="AG20" s="117"/>
      <c r="AH20" s="117"/>
      <c r="AI20" s="117"/>
      <c r="AJ20" s="117"/>
      <c r="AK20" s="117" t="s">
        <v>339</v>
      </c>
      <c r="AL20" s="117"/>
      <c r="AM20" s="117"/>
      <c r="AN20" s="117"/>
      <c r="AO20" s="117"/>
      <c r="AP20" s="117" t="s">
        <v>339</v>
      </c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0.42709880236632786</v>
      </c>
      <c r="C21" s="156" t="s">
        <v>293</v>
      </c>
      <c r="D21" s="106">
        <f>IF(C$20="Yes",0,SUM(C$13:C$16)*$B$21)</f>
        <v>796.8530901202098</v>
      </c>
      <c r="E21" s="106">
        <f t="shared" ref="E21:AY21" si="3">IF(D$20="Yes",0,SUM(D$13:D$16)*$B$21)</f>
        <v>0</v>
      </c>
      <c r="F21" s="106">
        <f t="shared" si="3"/>
        <v>1328.1583221103215</v>
      </c>
      <c r="G21" s="106">
        <f t="shared" si="3"/>
        <v>664.07916105516074</v>
      </c>
      <c r="H21" s="106">
        <f t="shared" si="3"/>
        <v>664.07916105516074</v>
      </c>
      <c r="I21" s="106">
        <f t="shared" si="3"/>
        <v>664.07916105516074</v>
      </c>
      <c r="J21" s="106">
        <f t="shared" si="3"/>
        <v>664.07916105516074</v>
      </c>
      <c r="K21" s="106">
        <f t="shared" si="3"/>
        <v>664.07916105516074</v>
      </c>
      <c r="L21" s="106">
        <f t="shared" si="3"/>
        <v>664.07916105516074</v>
      </c>
      <c r="M21" s="106">
        <f t="shared" si="3"/>
        <v>664.07916105516074</v>
      </c>
      <c r="N21" s="106">
        <f t="shared" si="3"/>
        <v>664.07916105516074</v>
      </c>
      <c r="O21" s="106">
        <f t="shared" si="3"/>
        <v>664.07916105516074</v>
      </c>
      <c r="P21" s="106">
        <f t="shared" si="3"/>
        <v>664.07916105516074</v>
      </c>
      <c r="Q21" s="106">
        <f t="shared" si="3"/>
        <v>664.07916105516074</v>
      </c>
      <c r="R21" s="106">
        <f t="shared" si="3"/>
        <v>664.07916105516074</v>
      </c>
      <c r="S21" s="106">
        <f t="shared" si="3"/>
        <v>664.07916105516074</v>
      </c>
      <c r="T21" s="106">
        <f t="shared" si="3"/>
        <v>664.07916105516074</v>
      </c>
      <c r="U21" s="106">
        <f t="shared" si="3"/>
        <v>531.26740060189513</v>
      </c>
      <c r="V21" s="106">
        <f t="shared" si="3"/>
        <v>531.26740060189513</v>
      </c>
      <c r="W21" s="106">
        <f t="shared" si="3"/>
        <v>531.26740060189513</v>
      </c>
      <c r="X21" s="106">
        <f t="shared" si="3"/>
        <v>0</v>
      </c>
      <c r="Y21" s="106">
        <f t="shared" si="3"/>
        <v>1195.3465616570559</v>
      </c>
      <c r="Z21" s="106">
        <f t="shared" si="3"/>
        <v>664.07916105516074</v>
      </c>
      <c r="AA21" s="106">
        <f t="shared" si="3"/>
        <v>664.07916105516074</v>
      </c>
      <c r="AB21" s="106">
        <f t="shared" si="3"/>
        <v>0</v>
      </c>
      <c r="AC21" s="106">
        <f t="shared" si="3"/>
        <v>1328.1583221103215</v>
      </c>
      <c r="AD21" s="106">
        <f t="shared" si="3"/>
        <v>664.07916105516074</v>
      </c>
      <c r="AE21" s="106">
        <f t="shared" si="3"/>
        <v>664.07916105516074</v>
      </c>
      <c r="AF21" s="106">
        <f t="shared" si="3"/>
        <v>664.07916105516074</v>
      </c>
      <c r="AG21" s="106">
        <f t="shared" si="3"/>
        <v>664.07916105516074</v>
      </c>
      <c r="AH21" s="106">
        <f t="shared" si="3"/>
        <v>664.07916105516074</v>
      </c>
      <c r="AI21" s="106">
        <f t="shared" si="3"/>
        <v>664.07916105516074</v>
      </c>
      <c r="AJ21" s="106">
        <f t="shared" si="3"/>
        <v>664.07916105516074</v>
      </c>
      <c r="AK21" s="106">
        <f t="shared" si="3"/>
        <v>664.07916105516074</v>
      </c>
      <c r="AL21" s="106">
        <f t="shared" si="3"/>
        <v>0</v>
      </c>
      <c r="AM21" s="106">
        <f t="shared" si="3"/>
        <v>1328.1583221103215</v>
      </c>
      <c r="AN21" s="106">
        <f t="shared" si="3"/>
        <v>664.07916105516074</v>
      </c>
      <c r="AO21" s="106">
        <f t="shared" si="3"/>
        <v>796.89092150842657</v>
      </c>
      <c r="AP21" s="106">
        <f t="shared" si="3"/>
        <v>796.89092150842657</v>
      </c>
      <c r="AQ21" s="106">
        <f t="shared" si="3"/>
        <v>0</v>
      </c>
      <c r="AR21" s="106">
        <f t="shared" si="3"/>
        <v>1532.8576016927507</v>
      </c>
      <c r="AS21" s="106">
        <f t="shared" si="3"/>
        <v>664.07916105516074</v>
      </c>
      <c r="AT21" s="106">
        <f t="shared" si="3"/>
        <v>664.07916105516074</v>
      </c>
      <c r="AU21" s="106">
        <f t="shared" si="3"/>
        <v>664.07916105516074</v>
      </c>
      <c r="AV21" s="106">
        <f t="shared" si="3"/>
        <v>664.07916105516074</v>
      </c>
      <c r="AW21" s="106">
        <f t="shared" si="3"/>
        <v>664.07916105516074</v>
      </c>
      <c r="AX21" s="106">
        <f t="shared" si="3"/>
        <v>664.07916105516074</v>
      </c>
      <c r="AY21" s="106">
        <f t="shared" si="3"/>
        <v>664.07916105516074</v>
      </c>
      <c r="AZ21" s="157">
        <f>SUM($D21:$AY21)</f>
        <v>31947.649418388657</v>
      </c>
    </row>
    <row r="22" spans="1:52" s="110" customFormat="1">
      <c r="A22" s="158" t="s">
        <v>123</v>
      </c>
      <c r="B22" s="159">
        <f>1-$B$21</f>
        <v>0.5729011976336722</v>
      </c>
      <c r="C22" s="159" t="s">
        <v>293</v>
      </c>
      <c r="D22" s="114">
        <f>IF(C$20="Yes",0,SUM(C$13:C$16)*$B$22)</f>
        <v>1068.8816899945309</v>
      </c>
      <c r="E22" s="114">
        <f t="shared" ref="E22:AY22" si="4">IF(D$20="Yes",0,SUM(D$13:D$16)*$B$22)</f>
        <v>0</v>
      </c>
      <c r="F22" s="114">
        <f t="shared" si="4"/>
        <v>1781.5631632970387</v>
      </c>
      <c r="G22" s="114">
        <f t="shared" si="4"/>
        <v>890.78158164851936</v>
      </c>
      <c r="H22" s="114">
        <f t="shared" si="4"/>
        <v>890.78158164851936</v>
      </c>
      <c r="I22" s="114">
        <f t="shared" si="4"/>
        <v>890.78158164851936</v>
      </c>
      <c r="J22" s="114">
        <f t="shared" si="4"/>
        <v>890.78158164851936</v>
      </c>
      <c r="K22" s="114">
        <f t="shared" si="4"/>
        <v>890.78158164851936</v>
      </c>
      <c r="L22" s="114">
        <f t="shared" si="4"/>
        <v>890.78158164851936</v>
      </c>
      <c r="M22" s="114">
        <f t="shared" si="4"/>
        <v>890.78158164851936</v>
      </c>
      <c r="N22" s="114">
        <f t="shared" si="4"/>
        <v>890.78158164851936</v>
      </c>
      <c r="O22" s="114">
        <f t="shared" si="4"/>
        <v>890.78158164851936</v>
      </c>
      <c r="P22" s="114">
        <f t="shared" si="4"/>
        <v>890.78158164851936</v>
      </c>
      <c r="Q22" s="114">
        <f t="shared" si="4"/>
        <v>890.78158164851936</v>
      </c>
      <c r="R22" s="114">
        <f t="shared" si="4"/>
        <v>890.78158164851936</v>
      </c>
      <c r="S22" s="114">
        <f t="shared" si="4"/>
        <v>890.78158164851936</v>
      </c>
      <c r="T22" s="114">
        <f t="shared" si="4"/>
        <v>890.78158164851936</v>
      </c>
      <c r="U22" s="114">
        <f t="shared" si="4"/>
        <v>712.63072708758648</v>
      </c>
      <c r="V22" s="114">
        <f t="shared" si="4"/>
        <v>712.63072708758648</v>
      </c>
      <c r="W22" s="114">
        <f t="shared" si="4"/>
        <v>712.63072708758648</v>
      </c>
      <c r="X22" s="114">
        <f t="shared" si="4"/>
        <v>0</v>
      </c>
      <c r="Y22" s="114">
        <f t="shared" si="4"/>
        <v>1603.4123087361058</v>
      </c>
      <c r="Z22" s="114">
        <f t="shared" si="4"/>
        <v>890.78158164851936</v>
      </c>
      <c r="AA22" s="114">
        <f t="shared" si="4"/>
        <v>890.78158164851936</v>
      </c>
      <c r="AB22" s="114">
        <f t="shared" si="4"/>
        <v>0</v>
      </c>
      <c r="AC22" s="114">
        <f t="shared" si="4"/>
        <v>1781.5631632970387</v>
      </c>
      <c r="AD22" s="114">
        <f t="shared" si="4"/>
        <v>890.78158164851936</v>
      </c>
      <c r="AE22" s="114">
        <f t="shared" si="4"/>
        <v>890.78158164851936</v>
      </c>
      <c r="AF22" s="114">
        <f t="shared" si="4"/>
        <v>890.78158164851936</v>
      </c>
      <c r="AG22" s="114">
        <f t="shared" si="4"/>
        <v>890.78158164851936</v>
      </c>
      <c r="AH22" s="114">
        <f t="shared" si="4"/>
        <v>890.78158164851936</v>
      </c>
      <c r="AI22" s="114">
        <f t="shared" si="4"/>
        <v>890.78158164851936</v>
      </c>
      <c r="AJ22" s="114">
        <f t="shared" si="4"/>
        <v>890.78158164851936</v>
      </c>
      <c r="AK22" s="114">
        <f t="shared" si="4"/>
        <v>890.78158164851936</v>
      </c>
      <c r="AL22" s="114">
        <f t="shared" si="4"/>
        <v>0</v>
      </c>
      <c r="AM22" s="114">
        <f t="shared" si="4"/>
        <v>1781.5631632970387</v>
      </c>
      <c r="AN22" s="114">
        <f t="shared" si="4"/>
        <v>890.78158164851936</v>
      </c>
      <c r="AO22" s="114">
        <f t="shared" si="4"/>
        <v>1068.9324362094524</v>
      </c>
      <c r="AP22" s="114">
        <f t="shared" si="4"/>
        <v>1068.9324362094524</v>
      </c>
      <c r="AQ22" s="114">
        <f t="shared" si="4"/>
        <v>0</v>
      </c>
      <c r="AR22" s="114">
        <f t="shared" si="4"/>
        <v>2056.1423983072496</v>
      </c>
      <c r="AS22" s="114">
        <f t="shared" si="4"/>
        <v>890.78158164851936</v>
      </c>
      <c r="AT22" s="114">
        <f t="shared" si="4"/>
        <v>890.78158164851936</v>
      </c>
      <c r="AU22" s="114">
        <f t="shared" si="4"/>
        <v>890.78158164851936</v>
      </c>
      <c r="AV22" s="114">
        <f t="shared" si="4"/>
        <v>890.78158164851936</v>
      </c>
      <c r="AW22" s="114">
        <f t="shared" si="4"/>
        <v>890.78158164851936</v>
      </c>
      <c r="AX22" s="114">
        <f t="shared" si="4"/>
        <v>890.78158164851936</v>
      </c>
      <c r="AY22" s="114">
        <f t="shared" si="4"/>
        <v>890.78158164851936</v>
      </c>
      <c r="AZ22" s="141">
        <f t="shared" ref="AZ22:AZ30" si="5">SUM($D22:$AY22)</f>
        <v>42853.893553363283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1593706.1802404197</v>
      </c>
      <c r="E23" s="100">
        <f t="shared" ref="E23:AY23" si="6">E$21*$B$23</f>
        <v>0</v>
      </c>
      <c r="F23" s="100">
        <f t="shared" si="6"/>
        <v>2656316.6442206427</v>
      </c>
      <c r="G23" s="100">
        <f t="shared" si="6"/>
        <v>1328158.3221103214</v>
      </c>
      <c r="H23" s="100">
        <f t="shared" si="6"/>
        <v>1328158.3221103214</v>
      </c>
      <c r="I23" s="100">
        <f t="shared" si="6"/>
        <v>1328158.3221103214</v>
      </c>
      <c r="J23" s="100">
        <f t="shared" si="6"/>
        <v>1328158.3221103214</v>
      </c>
      <c r="K23" s="100">
        <f t="shared" si="6"/>
        <v>1328158.3221103214</v>
      </c>
      <c r="L23" s="100">
        <f t="shared" si="6"/>
        <v>1328158.3221103214</v>
      </c>
      <c r="M23" s="100">
        <f t="shared" si="6"/>
        <v>1328158.3221103214</v>
      </c>
      <c r="N23" s="100">
        <f t="shared" si="6"/>
        <v>1328158.3221103214</v>
      </c>
      <c r="O23" s="100">
        <f t="shared" si="6"/>
        <v>1328158.3221103214</v>
      </c>
      <c r="P23" s="100">
        <f t="shared" si="6"/>
        <v>1328158.3221103214</v>
      </c>
      <c r="Q23" s="100">
        <f t="shared" si="6"/>
        <v>1328158.3221103214</v>
      </c>
      <c r="R23" s="100">
        <f t="shared" si="6"/>
        <v>1328158.3221103214</v>
      </c>
      <c r="S23" s="100">
        <f t="shared" si="6"/>
        <v>1328158.3221103214</v>
      </c>
      <c r="T23" s="100">
        <f t="shared" si="6"/>
        <v>1328158.3221103214</v>
      </c>
      <c r="U23" s="100">
        <f t="shared" si="6"/>
        <v>1062534.8012037904</v>
      </c>
      <c r="V23" s="100">
        <f t="shared" si="6"/>
        <v>1062534.8012037904</v>
      </c>
      <c r="W23" s="100">
        <f t="shared" si="6"/>
        <v>1062534.8012037904</v>
      </c>
      <c r="X23" s="100">
        <f t="shared" si="6"/>
        <v>0</v>
      </c>
      <c r="Y23" s="100">
        <f t="shared" si="6"/>
        <v>2390693.123314112</v>
      </c>
      <c r="Z23" s="100">
        <f t="shared" si="6"/>
        <v>1328158.3221103214</v>
      </c>
      <c r="AA23" s="100">
        <f t="shared" si="6"/>
        <v>1328158.3221103214</v>
      </c>
      <c r="AB23" s="100">
        <f t="shared" si="6"/>
        <v>0</v>
      </c>
      <c r="AC23" s="100">
        <f t="shared" si="6"/>
        <v>2656316.6442206427</v>
      </c>
      <c r="AD23" s="100">
        <f t="shared" si="6"/>
        <v>1328158.3221103214</v>
      </c>
      <c r="AE23" s="100">
        <f t="shared" si="6"/>
        <v>1328158.3221103214</v>
      </c>
      <c r="AF23" s="100">
        <f t="shared" si="6"/>
        <v>1328158.3221103214</v>
      </c>
      <c r="AG23" s="100">
        <f t="shared" si="6"/>
        <v>1328158.3221103214</v>
      </c>
      <c r="AH23" s="100">
        <f t="shared" si="6"/>
        <v>1328158.3221103214</v>
      </c>
      <c r="AI23" s="100">
        <f t="shared" si="6"/>
        <v>1328158.3221103214</v>
      </c>
      <c r="AJ23" s="100">
        <f t="shared" si="6"/>
        <v>1328158.3221103214</v>
      </c>
      <c r="AK23" s="100">
        <f t="shared" si="6"/>
        <v>1328158.3221103214</v>
      </c>
      <c r="AL23" s="100">
        <f t="shared" si="6"/>
        <v>0</v>
      </c>
      <c r="AM23" s="100">
        <f t="shared" si="6"/>
        <v>2656316.6442206427</v>
      </c>
      <c r="AN23" s="100">
        <f t="shared" si="6"/>
        <v>1328158.3221103214</v>
      </c>
      <c r="AO23" s="100">
        <f t="shared" si="6"/>
        <v>1593781.8430168531</v>
      </c>
      <c r="AP23" s="100">
        <f t="shared" si="6"/>
        <v>1593781.8430168531</v>
      </c>
      <c r="AQ23" s="100">
        <f t="shared" si="6"/>
        <v>0</v>
      </c>
      <c r="AR23" s="100">
        <f t="shared" si="6"/>
        <v>3065715.2033855012</v>
      </c>
      <c r="AS23" s="100">
        <f t="shared" si="6"/>
        <v>1328158.3221103214</v>
      </c>
      <c r="AT23" s="100">
        <f t="shared" si="6"/>
        <v>1328158.3221103214</v>
      </c>
      <c r="AU23" s="100">
        <f t="shared" si="6"/>
        <v>1328158.3221103214</v>
      </c>
      <c r="AV23" s="100">
        <f t="shared" si="6"/>
        <v>1328158.3221103214</v>
      </c>
      <c r="AW23" s="100">
        <f t="shared" si="6"/>
        <v>1328158.3221103214</v>
      </c>
      <c r="AX23" s="100">
        <f t="shared" si="6"/>
        <v>1328158.3221103214</v>
      </c>
      <c r="AY23" s="100">
        <f t="shared" si="6"/>
        <v>1328158.3221103214</v>
      </c>
      <c r="AZ23" s="139">
        <f t="shared" si="5"/>
        <v>63895298.836777374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1068881.689994531</v>
      </c>
      <c r="E24" s="106">
        <f t="shared" ref="E24:AY24" si="7">E$22*$B$24</f>
        <v>0</v>
      </c>
      <c r="F24" s="106">
        <f t="shared" si="7"/>
        <v>1781563.1632970388</v>
      </c>
      <c r="G24" s="106">
        <f t="shared" si="7"/>
        <v>890781.58164851938</v>
      </c>
      <c r="H24" s="106">
        <f t="shared" si="7"/>
        <v>890781.58164851938</v>
      </c>
      <c r="I24" s="106">
        <f t="shared" si="7"/>
        <v>890781.58164851938</v>
      </c>
      <c r="J24" s="106">
        <f t="shared" si="7"/>
        <v>890781.58164851938</v>
      </c>
      <c r="K24" s="106">
        <f t="shared" si="7"/>
        <v>890781.58164851938</v>
      </c>
      <c r="L24" s="106">
        <f t="shared" si="7"/>
        <v>890781.58164851938</v>
      </c>
      <c r="M24" s="106">
        <f t="shared" si="7"/>
        <v>890781.58164851938</v>
      </c>
      <c r="N24" s="106">
        <f t="shared" si="7"/>
        <v>890781.58164851938</v>
      </c>
      <c r="O24" s="106">
        <f t="shared" si="7"/>
        <v>890781.58164851938</v>
      </c>
      <c r="P24" s="106">
        <f t="shared" si="7"/>
        <v>890781.58164851938</v>
      </c>
      <c r="Q24" s="106">
        <f t="shared" si="7"/>
        <v>890781.58164851938</v>
      </c>
      <c r="R24" s="106">
        <f t="shared" si="7"/>
        <v>890781.58164851938</v>
      </c>
      <c r="S24" s="106">
        <f t="shared" si="7"/>
        <v>890781.58164851938</v>
      </c>
      <c r="T24" s="106">
        <f t="shared" si="7"/>
        <v>890781.58164851938</v>
      </c>
      <c r="U24" s="106">
        <f t="shared" si="7"/>
        <v>712630.72708758654</v>
      </c>
      <c r="V24" s="106">
        <f t="shared" si="7"/>
        <v>712630.72708758654</v>
      </c>
      <c r="W24" s="106">
        <f t="shared" si="7"/>
        <v>712630.72708758654</v>
      </c>
      <c r="X24" s="106">
        <f t="shared" si="7"/>
        <v>0</v>
      </c>
      <c r="Y24" s="106">
        <f t="shared" si="7"/>
        <v>1603412.3087361059</v>
      </c>
      <c r="Z24" s="106">
        <f t="shared" si="7"/>
        <v>890781.58164851938</v>
      </c>
      <c r="AA24" s="106">
        <f t="shared" si="7"/>
        <v>890781.58164851938</v>
      </c>
      <c r="AB24" s="106">
        <f t="shared" si="7"/>
        <v>0</v>
      </c>
      <c r="AC24" s="106">
        <f t="shared" si="7"/>
        <v>1781563.1632970388</v>
      </c>
      <c r="AD24" s="106">
        <f t="shared" si="7"/>
        <v>890781.58164851938</v>
      </c>
      <c r="AE24" s="106">
        <f t="shared" si="7"/>
        <v>890781.58164851938</v>
      </c>
      <c r="AF24" s="106">
        <f t="shared" si="7"/>
        <v>890781.58164851938</v>
      </c>
      <c r="AG24" s="106">
        <f t="shared" si="7"/>
        <v>890781.58164851938</v>
      </c>
      <c r="AH24" s="106">
        <f t="shared" si="7"/>
        <v>890781.58164851938</v>
      </c>
      <c r="AI24" s="106">
        <f t="shared" si="7"/>
        <v>890781.58164851938</v>
      </c>
      <c r="AJ24" s="106">
        <f t="shared" si="7"/>
        <v>890781.58164851938</v>
      </c>
      <c r="AK24" s="106">
        <f t="shared" si="7"/>
        <v>890781.58164851938</v>
      </c>
      <c r="AL24" s="106">
        <f t="shared" si="7"/>
        <v>0</v>
      </c>
      <c r="AM24" s="106">
        <f t="shared" si="7"/>
        <v>1781563.1632970388</v>
      </c>
      <c r="AN24" s="106">
        <f t="shared" si="7"/>
        <v>890781.58164851938</v>
      </c>
      <c r="AO24" s="106">
        <f t="shared" si="7"/>
        <v>1068932.4362094523</v>
      </c>
      <c r="AP24" s="106">
        <f t="shared" si="7"/>
        <v>1068932.4362094523</v>
      </c>
      <c r="AQ24" s="106">
        <f t="shared" si="7"/>
        <v>0</v>
      </c>
      <c r="AR24" s="106">
        <f t="shared" si="7"/>
        <v>2056142.3983072496</v>
      </c>
      <c r="AS24" s="106">
        <f t="shared" si="7"/>
        <v>890781.58164851938</v>
      </c>
      <c r="AT24" s="106">
        <f t="shared" si="7"/>
        <v>890781.58164851938</v>
      </c>
      <c r="AU24" s="106">
        <f t="shared" si="7"/>
        <v>890781.58164851938</v>
      </c>
      <c r="AV24" s="106">
        <f t="shared" si="7"/>
        <v>890781.58164851938</v>
      </c>
      <c r="AW24" s="106">
        <f t="shared" si="7"/>
        <v>890781.58164851938</v>
      </c>
      <c r="AX24" s="106">
        <f t="shared" si="7"/>
        <v>890781.58164851938</v>
      </c>
      <c r="AY24" s="106">
        <f t="shared" si="7"/>
        <v>890781.58164851938</v>
      </c>
      <c r="AZ24" s="141">
        <f t="shared" si="5"/>
        <v>42853893.553363316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0</v>
      </c>
      <c r="D27" s="124">
        <f>C$27-C$28+C$29</f>
        <v>15</v>
      </c>
      <c r="E27" s="124">
        <f t="shared" ref="E27:AY27" si="8">D27-D28+D29</f>
        <v>0</v>
      </c>
      <c r="F27" s="124">
        <f t="shared" si="8"/>
        <v>15</v>
      </c>
      <c r="G27" s="124">
        <f t="shared" si="8"/>
        <v>0</v>
      </c>
      <c r="H27" s="124">
        <f t="shared" si="8"/>
        <v>15</v>
      </c>
      <c r="I27" s="124">
        <f t="shared" si="8"/>
        <v>0</v>
      </c>
      <c r="J27" s="124">
        <f t="shared" si="8"/>
        <v>15</v>
      </c>
      <c r="K27" s="124">
        <f t="shared" si="8"/>
        <v>0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0</v>
      </c>
      <c r="AK27" s="124">
        <f t="shared" si="8"/>
        <v>15</v>
      </c>
      <c r="AL27" s="124">
        <f t="shared" si="8"/>
        <v>0</v>
      </c>
      <c r="AM27" s="124">
        <f t="shared" si="8"/>
        <v>15</v>
      </c>
      <c r="AN27" s="124">
        <f t="shared" si="8"/>
        <v>0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15</v>
      </c>
      <c r="AS27" s="124">
        <f t="shared" si="8"/>
        <v>0</v>
      </c>
      <c r="AT27" s="124">
        <f t="shared" si="8"/>
        <v>15</v>
      </c>
      <c r="AU27" s="124">
        <f t="shared" si="8"/>
        <v>0</v>
      </c>
      <c r="AV27" s="124">
        <f t="shared" si="8"/>
        <v>15</v>
      </c>
      <c r="AW27" s="124">
        <f t="shared" si="8"/>
        <v>0</v>
      </c>
      <c r="AX27" s="124">
        <f t="shared" si="8"/>
        <v>15</v>
      </c>
      <c r="AY27" s="164">
        <f t="shared" si="8"/>
        <v>0</v>
      </c>
      <c r="AZ27" s="106"/>
    </row>
    <row r="28" spans="1:52">
      <c r="B28" s="165" t="s">
        <v>310</v>
      </c>
      <c r="C28" s="110">
        <v>0</v>
      </c>
      <c r="D28" s="110">
        <v>15</v>
      </c>
      <c r="E28" s="110">
        <v>0</v>
      </c>
      <c r="F28" s="110">
        <v>15</v>
      </c>
      <c r="G28" s="110">
        <v>0</v>
      </c>
      <c r="H28" s="110">
        <v>15</v>
      </c>
      <c r="I28" s="110">
        <v>0</v>
      </c>
      <c r="J28" s="110">
        <v>15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15</v>
      </c>
      <c r="AJ28" s="110">
        <v>0</v>
      </c>
      <c r="AK28" s="110">
        <v>15</v>
      </c>
      <c r="AL28" s="110">
        <v>0</v>
      </c>
      <c r="AM28" s="110">
        <v>15</v>
      </c>
      <c r="AN28" s="110">
        <v>0</v>
      </c>
      <c r="AO28" s="110">
        <v>15</v>
      </c>
      <c r="AP28" s="110">
        <v>0</v>
      </c>
      <c r="AQ28" s="110">
        <v>0</v>
      </c>
      <c r="AR28" s="110">
        <v>15</v>
      </c>
      <c r="AS28" s="110">
        <v>0</v>
      </c>
      <c r="AT28" s="110">
        <v>15</v>
      </c>
      <c r="AU28" s="110">
        <v>0</v>
      </c>
      <c r="AV28" s="110">
        <v>15</v>
      </c>
      <c r="AW28" s="110">
        <v>0</v>
      </c>
      <c r="AX28" s="110">
        <v>15</v>
      </c>
      <c r="AY28" s="166">
        <v>0</v>
      </c>
      <c r="AZ28" s="106"/>
    </row>
    <row r="29" spans="1:52">
      <c r="B29" s="136" t="s">
        <v>311</v>
      </c>
      <c r="C29" s="125">
        <v>15</v>
      </c>
      <c r="D29" s="125">
        <f>C$28</f>
        <v>0</v>
      </c>
      <c r="E29" s="125">
        <f t="shared" ref="E29:AY29" si="9">D$28</f>
        <v>15</v>
      </c>
      <c r="F29" s="125">
        <f t="shared" si="9"/>
        <v>0</v>
      </c>
      <c r="G29" s="125">
        <f t="shared" si="9"/>
        <v>15</v>
      </c>
      <c r="H29" s="125">
        <f t="shared" si="9"/>
        <v>0</v>
      </c>
      <c r="I29" s="125">
        <f t="shared" si="9"/>
        <v>15</v>
      </c>
      <c r="J29" s="125">
        <f t="shared" si="9"/>
        <v>0</v>
      </c>
      <c r="K29" s="125">
        <f t="shared" si="9"/>
        <v>15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15</v>
      </c>
      <c r="AK29" s="125">
        <f t="shared" si="9"/>
        <v>0</v>
      </c>
      <c r="AL29" s="125">
        <f t="shared" si="9"/>
        <v>15</v>
      </c>
      <c r="AM29" s="125">
        <f t="shared" si="9"/>
        <v>0</v>
      </c>
      <c r="AN29" s="125">
        <f t="shared" si="9"/>
        <v>15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0</v>
      </c>
      <c r="AS29" s="125">
        <f t="shared" si="9"/>
        <v>15</v>
      </c>
      <c r="AT29" s="125">
        <f t="shared" si="9"/>
        <v>0</v>
      </c>
      <c r="AU29" s="125">
        <f t="shared" si="9"/>
        <v>15</v>
      </c>
      <c r="AV29" s="125">
        <f t="shared" si="9"/>
        <v>0</v>
      </c>
      <c r="AW29" s="125">
        <f t="shared" si="9"/>
        <v>15</v>
      </c>
      <c r="AX29" s="125">
        <f t="shared" si="9"/>
        <v>0</v>
      </c>
      <c r="AY29" s="167">
        <f t="shared" si="9"/>
        <v>15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150</v>
      </c>
      <c r="E30" s="117">
        <f t="shared" ref="E30:AY30" si="10">E$27*$B$30</f>
        <v>0</v>
      </c>
      <c r="F30" s="117">
        <f t="shared" si="10"/>
        <v>150</v>
      </c>
      <c r="G30" s="117">
        <f t="shared" si="10"/>
        <v>0</v>
      </c>
      <c r="H30" s="117">
        <f t="shared" si="10"/>
        <v>150</v>
      </c>
      <c r="I30" s="117">
        <f t="shared" si="10"/>
        <v>0</v>
      </c>
      <c r="J30" s="117">
        <f t="shared" si="10"/>
        <v>150</v>
      </c>
      <c r="K30" s="117">
        <f t="shared" si="10"/>
        <v>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0</v>
      </c>
      <c r="AK30" s="117">
        <f t="shared" si="10"/>
        <v>150</v>
      </c>
      <c r="AL30" s="117">
        <f t="shared" si="10"/>
        <v>0</v>
      </c>
      <c r="AM30" s="117">
        <f t="shared" si="10"/>
        <v>150</v>
      </c>
      <c r="AN30" s="117">
        <f t="shared" si="10"/>
        <v>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150</v>
      </c>
      <c r="AS30" s="117">
        <f t="shared" si="10"/>
        <v>0</v>
      </c>
      <c r="AT30" s="117">
        <f t="shared" si="10"/>
        <v>150</v>
      </c>
      <c r="AU30" s="117">
        <f t="shared" si="10"/>
        <v>0</v>
      </c>
      <c r="AV30" s="117">
        <f t="shared" si="10"/>
        <v>150</v>
      </c>
      <c r="AW30" s="117">
        <f t="shared" si="10"/>
        <v>0</v>
      </c>
      <c r="AX30" s="117">
        <f t="shared" si="10"/>
        <v>150</v>
      </c>
      <c r="AY30" s="117">
        <f t="shared" si="10"/>
        <v>0</v>
      </c>
      <c r="AZ30" s="141">
        <f t="shared" si="5"/>
        <v>3750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67.61498109589887</v>
      </c>
      <c r="E33" s="124">
        <f>E$21*shipping_manufacturing!$F$27/100</f>
        <v>0</v>
      </c>
      <c r="F33" s="124">
        <f>F$21*shipping_manufacturing!$F$27/100</f>
        <v>112.69756113802958</v>
      </c>
      <c r="G33" s="124">
        <f>G$21*shipping_manufacturing!$F$27/100</f>
        <v>56.348780569014792</v>
      </c>
      <c r="H33" s="124">
        <f>H$21*shipping_manufacturing!$F$27/100</f>
        <v>56.348780569014792</v>
      </c>
      <c r="I33" s="124">
        <f>I$21*shipping_manufacturing!$F$27/100</f>
        <v>56.348780569014792</v>
      </c>
      <c r="J33" s="124">
        <f>J$21*shipping_manufacturing!$F$27/100</f>
        <v>56.348780569014792</v>
      </c>
      <c r="K33" s="124">
        <f>K$21*shipping_manufacturing!$F$27/100</f>
        <v>56.348780569014792</v>
      </c>
      <c r="L33" s="124">
        <f>L$21*shipping_manufacturing!$F$27/100</f>
        <v>56.348780569014792</v>
      </c>
      <c r="M33" s="124">
        <f>M$21*shipping_manufacturing!$F$27/100</f>
        <v>56.348780569014792</v>
      </c>
      <c r="N33" s="124">
        <f>N$21*shipping_manufacturing!$F$27/100</f>
        <v>56.348780569014792</v>
      </c>
      <c r="O33" s="124">
        <f>O$21*shipping_manufacturing!$F$27/100</f>
        <v>56.348780569014792</v>
      </c>
      <c r="P33" s="124">
        <f>P$21*shipping_manufacturing!$F$27/100</f>
        <v>56.348780569014792</v>
      </c>
      <c r="Q33" s="124">
        <f>Q$21*shipping_manufacturing!$F$27/100</f>
        <v>56.348780569014792</v>
      </c>
      <c r="R33" s="124">
        <f>R$21*shipping_manufacturing!$F$27/100</f>
        <v>56.348780569014792</v>
      </c>
      <c r="S33" s="124">
        <f>S$21*shipping_manufacturing!$F$27/100</f>
        <v>56.348780569014792</v>
      </c>
      <c r="T33" s="124">
        <f>T$21*shipping_manufacturing!$F$27/100</f>
        <v>56.348780569014792</v>
      </c>
      <c r="U33" s="124">
        <f>U$21*shipping_manufacturing!$F$27/100</f>
        <v>45.079369954059523</v>
      </c>
      <c r="V33" s="124">
        <f>V$21*shipping_manufacturing!$F$27/100</f>
        <v>45.079369954059523</v>
      </c>
      <c r="W33" s="124">
        <f>W$21*shipping_manufacturing!$F$27/100</f>
        <v>45.079369954059523</v>
      </c>
      <c r="X33" s="124">
        <f>X$21*shipping_manufacturing!$F$27/100</f>
        <v>0</v>
      </c>
      <c r="Y33" s="124">
        <f>Y$21*shipping_manufacturing!$F$27/100</f>
        <v>101.42815052307431</v>
      </c>
      <c r="Z33" s="124">
        <f>Z$21*shipping_manufacturing!$F$27/100</f>
        <v>56.348780569014792</v>
      </c>
      <c r="AA33" s="124">
        <f>AA$21*shipping_manufacturing!$F$27/100</f>
        <v>56.348780569014792</v>
      </c>
      <c r="AB33" s="124">
        <f>AB$21*shipping_manufacturing!$F$27/100</f>
        <v>0</v>
      </c>
      <c r="AC33" s="124">
        <f>AC$21*shipping_manufacturing!$F$27/100</f>
        <v>112.69756113802958</v>
      </c>
      <c r="AD33" s="124">
        <f>AD$21*shipping_manufacturing!$F$27/100</f>
        <v>56.348780569014792</v>
      </c>
      <c r="AE33" s="124">
        <f>AE$21*shipping_manufacturing!$F$27/100</f>
        <v>56.348780569014792</v>
      </c>
      <c r="AF33" s="124">
        <f>AF$21*shipping_manufacturing!$F$27/100</f>
        <v>56.348780569014792</v>
      </c>
      <c r="AG33" s="124">
        <f>AG$21*shipping_manufacturing!$F$27/100</f>
        <v>56.348780569014792</v>
      </c>
      <c r="AH33" s="124">
        <f>AH$21*shipping_manufacturing!$F$27/100</f>
        <v>56.348780569014792</v>
      </c>
      <c r="AI33" s="124">
        <f>AI$21*shipping_manufacturing!$F$27/100</f>
        <v>56.348780569014792</v>
      </c>
      <c r="AJ33" s="124">
        <f>AJ$21*shipping_manufacturing!$F$27/100</f>
        <v>56.348780569014792</v>
      </c>
      <c r="AK33" s="124">
        <f>AK$21*shipping_manufacturing!$F$27/100</f>
        <v>56.348780569014792</v>
      </c>
      <c r="AL33" s="124">
        <f>AL$21*shipping_manufacturing!$F$27/100</f>
        <v>0</v>
      </c>
      <c r="AM33" s="124">
        <f>AM$21*shipping_manufacturing!$F$27/100</f>
        <v>112.69756113802958</v>
      </c>
      <c r="AN33" s="124">
        <f>AN$21*shipping_manufacturing!$F$27/100</f>
        <v>56.348780569014792</v>
      </c>
      <c r="AO33" s="124">
        <f>AO$21*shipping_manufacturing!$F$27/100</f>
        <v>67.618191183970083</v>
      </c>
      <c r="AP33" s="124">
        <f>AP$21*shipping_manufacturing!$F$27/100</f>
        <v>67.618191183970083</v>
      </c>
      <c r="AQ33" s="124">
        <f>AQ$21*shipping_manufacturing!$F$27/100</f>
        <v>0</v>
      </c>
      <c r="AR33" s="124">
        <f>AR$21*shipping_manufacturing!$F$27/100</f>
        <v>130.06680785478903</v>
      </c>
      <c r="AS33" s="124">
        <f>AS$21*shipping_manufacturing!$F$27/100</f>
        <v>56.348780569014792</v>
      </c>
      <c r="AT33" s="124">
        <f>AT$21*shipping_manufacturing!$F$27/100</f>
        <v>56.348780569014792</v>
      </c>
      <c r="AU33" s="124">
        <f>AU$21*shipping_manufacturing!$F$27/100</f>
        <v>56.348780569014792</v>
      </c>
      <c r="AV33" s="124">
        <f>AV$21*shipping_manufacturing!$F$27/100</f>
        <v>56.348780569014792</v>
      </c>
      <c r="AW33" s="124">
        <f>AW$21*shipping_manufacturing!$F$27/100</f>
        <v>56.348780569014792</v>
      </c>
      <c r="AX33" s="124">
        <f>AX$21*shipping_manufacturing!$F$27/100</f>
        <v>56.348780569014792</v>
      </c>
      <c r="AY33" s="124">
        <f>AY$21*shipping_manufacturing!$F$27/100</f>
        <v>56.348780569014792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72.670712652327239</v>
      </c>
      <c r="E34" s="110">
        <f>E$22*shipping_manufacturing!$G$27/100</f>
        <v>0</v>
      </c>
      <c r="F34" s="110">
        <f>F$22*shipping_manufacturing!$G$27/100</f>
        <v>121.12422349810548</v>
      </c>
      <c r="G34" s="110">
        <f>G$22*shipping_manufacturing!$G$27/100</f>
        <v>60.56211174905274</v>
      </c>
      <c r="H34" s="110">
        <f>H$22*shipping_manufacturing!$G$27/100</f>
        <v>60.56211174905274</v>
      </c>
      <c r="I34" s="110">
        <f>I$22*shipping_manufacturing!$G$27/100</f>
        <v>60.56211174905274</v>
      </c>
      <c r="J34" s="110">
        <f>J$22*shipping_manufacturing!$G$27/100</f>
        <v>60.56211174905274</v>
      </c>
      <c r="K34" s="110">
        <f>K$22*shipping_manufacturing!$G$27/100</f>
        <v>60.56211174905274</v>
      </c>
      <c r="L34" s="110">
        <f>L$22*shipping_manufacturing!$G$27/100</f>
        <v>60.56211174905274</v>
      </c>
      <c r="M34" s="110">
        <f>M$22*shipping_manufacturing!$G$27/100</f>
        <v>60.56211174905274</v>
      </c>
      <c r="N34" s="110">
        <f>N$22*shipping_manufacturing!$G$27/100</f>
        <v>60.56211174905274</v>
      </c>
      <c r="O34" s="110">
        <f>O$22*shipping_manufacturing!$G$27/100</f>
        <v>60.56211174905274</v>
      </c>
      <c r="P34" s="110">
        <f>P$22*shipping_manufacturing!$G$27/100</f>
        <v>60.56211174905274</v>
      </c>
      <c r="Q34" s="110">
        <f>Q$22*shipping_manufacturing!$G$27/100</f>
        <v>60.56211174905274</v>
      </c>
      <c r="R34" s="110">
        <f>R$22*shipping_manufacturing!$G$27/100</f>
        <v>60.56211174905274</v>
      </c>
      <c r="S34" s="110">
        <f>S$22*shipping_manufacturing!$G$27/100</f>
        <v>60.56211174905274</v>
      </c>
      <c r="T34" s="110">
        <f>T$22*shipping_manufacturing!$G$27/100</f>
        <v>60.56211174905274</v>
      </c>
      <c r="U34" s="110">
        <f>U$22*shipping_manufacturing!$G$27/100</f>
        <v>48.45006073185332</v>
      </c>
      <c r="V34" s="110">
        <f>V$22*shipping_manufacturing!$G$27/100</f>
        <v>48.45006073185332</v>
      </c>
      <c r="W34" s="110">
        <f>W$22*shipping_manufacturing!$G$27/100</f>
        <v>48.45006073185332</v>
      </c>
      <c r="X34" s="110">
        <f>X$22*shipping_manufacturing!$G$27/100</f>
        <v>0</v>
      </c>
      <c r="Y34" s="110">
        <f>Y$22*shipping_manufacturing!$G$27/100</f>
        <v>109.01217248090605</v>
      </c>
      <c r="Z34" s="110">
        <f>Z$22*shipping_manufacturing!$G$27/100</f>
        <v>60.56211174905274</v>
      </c>
      <c r="AA34" s="110">
        <f>AA$22*shipping_manufacturing!$G$27/100</f>
        <v>60.56211174905274</v>
      </c>
      <c r="AB34" s="110">
        <f>AB$22*shipping_manufacturing!$G$27/100</f>
        <v>0</v>
      </c>
      <c r="AC34" s="110">
        <f>AC$22*shipping_manufacturing!$G$27/100</f>
        <v>121.12422349810548</v>
      </c>
      <c r="AD34" s="110">
        <f>AD$22*shipping_manufacturing!$G$27/100</f>
        <v>60.56211174905274</v>
      </c>
      <c r="AE34" s="110">
        <f>AE$22*shipping_manufacturing!$G$27/100</f>
        <v>60.56211174905274</v>
      </c>
      <c r="AF34" s="110">
        <f>AF$22*shipping_manufacturing!$G$27/100</f>
        <v>60.56211174905274</v>
      </c>
      <c r="AG34" s="110">
        <f>AG$22*shipping_manufacturing!$G$27/100</f>
        <v>60.56211174905274</v>
      </c>
      <c r="AH34" s="110">
        <f>AH$22*shipping_manufacturing!$G$27/100</f>
        <v>60.56211174905274</v>
      </c>
      <c r="AI34" s="110">
        <f>AI$22*shipping_manufacturing!$G$27/100</f>
        <v>60.56211174905274</v>
      </c>
      <c r="AJ34" s="110">
        <f>AJ$22*shipping_manufacturing!$G$27/100</f>
        <v>60.56211174905274</v>
      </c>
      <c r="AK34" s="110">
        <f>AK$22*shipping_manufacturing!$G$27/100</f>
        <v>60.56211174905274</v>
      </c>
      <c r="AL34" s="110">
        <f>AL$22*shipping_manufacturing!$G$27/100</f>
        <v>0</v>
      </c>
      <c r="AM34" s="110">
        <f>AM$22*shipping_manufacturing!$G$27/100</f>
        <v>121.12422349810548</v>
      </c>
      <c r="AN34" s="110">
        <f>AN$22*shipping_manufacturing!$G$27/100</f>
        <v>60.56211174905274</v>
      </c>
      <c r="AO34" s="110">
        <f>AO$22*shipping_manufacturing!$G$27/100</f>
        <v>72.674162766252167</v>
      </c>
      <c r="AP34" s="110">
        <f>AP$22*shipping_manufacturing!$G$27/100</f>
        <v>72.674162766252167</v>
      </c>
      <c r="AQ34" s="110">
        <f>AQ$22*shipping_manufacturing!$G$27/100</f>
        <v>0</v>
      </c>
      <c r="AR34" s="110">
        <f>AR$22*shipping_manufacturing!$G$27/100</f>
        <v>139.79220974438962</v>
      </c>
      <c r="AS34" s="110">
        <f>AS$22*shipping_manufacturing!$G$27/100</f>
        <v>60.56211174905274</v>
      </c>
      <c r="AT34" s="110">
        <f>AT$22*shipping_manufacturing!$G$27/100</f>
        <v>60.56211174905274</v>
      </c>
      <c r="AU34" s="110">
        <f>AU$22*shipping_manufacturing!$G$27/100</f>
        <v>60.56211174905274</v>
      </c>
      <c r="AV34" s="110">
        <f>AV$22*shipping_manufacturing!$G$27/100</f>
        <v>60.56211174905274</v>
      </c>
      <c r="AW34" s="110">
        <f>AW$22*shipping_manufacturing!$G$27/100</f>
        <v>60.56211174905274</v>
      </c>
      <c r="AX34" s="110">
        <f>AX$22*shipping_manufacturing!$G$27/100</f>
        <v>60.56211174905274</v>
      </c>
      <c r="AY34" s="110">
        <f>AY$22*shipping_manufacturing!$G$27/100</f>
        <v>60.56211174905274</v>
      </c>
    </row>
    <row r="35" spans="1:52">
      <c r="A35" s="110">
        <v>1245</v>
      </c>
      <c r="B35" s="165" t="s">
        <v>343</v>
      </c>
      <c r="C35" s="110"/>
      <c r="D35" s="110">
        <f>SUM(D33:D34)</f>
        <v>140.28569374822609</v>
      </c>
      <c r="E35" s="110">
        <f t="shared" ref="E35:AY35" si="11">SUM(E33:E34)</f>
        <v>0</v>
      </c>
      <c r="F35" s="110">
        <f t="shared" si="11"/>
        <v>233.82178463613508</v>
      </c>
      <c r="G35" s="110">
        <f t="shared" si="11"/>
        <v>116.91089231806754</v>
      </c>
      <c r="H35" s="110">
        <f t="shared" si="11"/>
        <v>116.91089231806754</v>
      </c>
      <c r="I35" s="110">
        <f t="shared" si="11"/>
        <v>116.91089231806754</v>
      </c>
      <c r="J35" s="110">
        <f t="shared" si="11"/>
        <v>116.91089231806754</v>
      </c>
      <c r="K35" s="110">
        <f t="shared" si="11"/>
        <v>116.91089231806754</v>
      </c>
      <c r="L35" s="110">
        <f t="shared" si="11"/>
        <v>116.91089231806754</v>
      </c>
      <c r="M35" s="110">
        <f t="shared" si="11"/>
        <v>116.91089231806754</v>
      </c>
      <c r="N35" s="110">
        <f t="shared" si="11"/>
        <v>116.91089231806754</v>
      </c>
      <c r="O35" s="110">
        <f t="shared" si="11"/>
        <v>116.91089231806754</v>
      </c>
      <c r="P35" s="110">
        <f t="shared" si="11"/>
        <v>116.91089231806754</v>
      </c>
      <c r="Q35" s="110">
        <f t="shared" si="11"/>
        <v>116.91089231806754</v>
      </c>
      <c r="R35" s="110">
        <f t="shared" si="11"/>
        <v>116.91089231806754</v>
      </c>
      <c r="S35" s="110">
        <f t="shared" si="11"/>
        <v>116.91089231806754</v>
      </c>
      <c r="T35" s="110">
        <f t="shared" si="11"/>
        <v>116.91089231806754</v>
      </c>
      <c r="U35" s="110">
        <f t="shared" si="11"/>
        <v>93.529430685912843</v>
      </c>
      <c r="V35" s="110">
        <f t="shared" si="11"/>
        <v>93.529430685912843</v>
      </c>
      <c r="W35" s="110">
        <f t="shared" si="11"/>
        <v>93.529430685912843</v>
      </c>
      <c r="X35" s="110">
        <f t="shared" si="11"/>
        <v>0</v>
      </c>
      <c r="Y35" s="110">
        <f t="shared" si="11"/>
        <v>210.44032300398035</v>
      </c>
      <c r="Z35" s="110">
        <f t="shared" si="11"/>
        <v>116.91089231806754</v>
      </c>
      <c r="AA35" s="110">
        <f t="shared" si="11"/>
        <v>116.91089231806754</v>
      </c>
      <c r="AB35" s="110">
        <f t="shared" si="11"/>
        <v>0</v>
      </c>
      <c r="AC35" s="110">
        <f t="shared" si="11"/>
        <v>233.82178463613508</v>
      </c>
      <c r="AD35" s="110">
        <f t="shared" si="11"/>
        <v>116.91089231806754</v>
      </c>
      <c r="AE35" s="110">
        <f t="shared" si="11"/>
        <v>116.91089231806754</v>
      </c>
      <c r="AF35" s="110">
        <f t="shared" si="11"/>
        <v>116.91089231806754</v>
      </c>
      <c r="AG35" s="110">
        <f t="shared" si="11"/>
        <v>116.91089231806754</v>
      </c>
      <c r="AH35" s="110">
        <f t="shared" si="11"/>
        <v>116.91089231806754</v>
      </c>
      <c r="AI35" s="110">
        <f t="shared" si="11"/>
        <v>116.91089231806754</v>
      </c>
      <c r="AJ35" s="110">
        <f t="shared" si="11"/>
        <v>116.91089231806754</v>
      </c>
      <c r="AK35" s="110">
        <f t="shared" si="11"/>
        <v>116.91089231806754</v>
      </c>
      <c r="AL35" s="110">
        <f t="shared" si="11"/>
        <v>0</v>
      </c>
      <c r="AM35" s="110">
        <f t="shared" si="11"/>
        <v>233.82178463613508</v>
      </c>
      <c r="AN35" s="110">
        <f t="shared" si="11"/>
        <v>116.91089231806754</v>
      </c>
      <c r="AO35" s="110">
        <f t="shared" si="11"/>
        <v>140.29235395022226</v>
      </c>
      <c r="AP35" s="110">
        <f t="shared" si="11"/>
        <v>140.29235395022226</v>
      </c>
      <c r="AQ35" s="110">
        <f t="shared" si="11"/>
        <v>0</v>
      </c>
      <c r="AR35" s="110">
        <f t="shared" si="11"/>
        <v>269.85901759917863</v>
      </c>
      <c r="AS35" s="110">
        <f t="shared" si="11"/>
        <v>116.91089231806754</v>
      </c>
      <c r="AT35" s="110">
        <f t="shared" si="11"/>
        <v>116.91089231806754</v>
      </c>
      <c r="AU35" s="110">
        <f t="shared" si="11"/>
        <v>116.91089231806754</v>
      </c>
      <c r="AV35" s="110">
        <f t="shared" si="11"/>
        <v>116.91089231806754</v>
      </c>
      <c r="AW35" s="110">
        <f t="shared" si="11"/>
        <v>116.91089231806754</v>
      </c>
      <c r="AX35" s="110">
        <f t="shared" si="11"/>
        <v>116.91089231806754</v>
      </c>
      <c r="AY35" s="110">
        <f t="shared" si="11"/>
        <v>116.91089231806754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67.61498109589887</v>
      </c>
      <c r="E39" s="110">
        <f t="shared" ref="E39:AY39" si="12">E33-E36</f>
        <v>0</v>
      </c>
      <c r="F39" s="110">
        <f t="shared" si="12"/>
        <v>112.69756113802958</v>
      </c>
      <c r="G39" s="110">
        <f t="shared" si="12"/>
        <v>56.348780569014792</v>
      </c>
      <c r="H39" s="110">
        <f t="shared" si="12"/>
        <v>56.348780569014792</v>
      </c>
      <c r="I39" s="110">
        <f t="shared" si="12"/>
        <v>56.348780569014792</v>
      </c>
      <c r="J39" s="110">
        <f t="shared" si="12"/>
        <v>56.348780569014792</v>
      </c>
      <c r="K39" s="110">
        <f t="shared" si="12"/>
        <v>56.348780569014792</v>
      </c>
      <c r="L39" s="110">
        <f t="shared" si="12"/>
        <v>56.348780569014792</v>
      </c>
      <c r="M39" s="110">
        <f t="shared" si="12"/>
        <v>56.348780569014792</v>
      </c>
      <c r="N39" s="110">
        <f t="shared" si="12"/>
        <v>56.348780569014792</v>
      </c>
      <c r="O39" s="110">
        <f t="shared" si="12"/>
        <v>56.348780569014792</v>
      </c>
      <c r="P39" s="110">
        <f t="shared" si="12"/>
        <v>56.348780569014792</v>
      </c>
      <c r="Q39" s="110">
        <f t="shared" si="12"/>
        <v>56.348780569014792</v>
      </c>
      <c r="R39" s="110">
        <f t="shared" si="12"/>
        <v>56.348780569014792</v>
      </c>
      <c r="S39" s="110">
        <f t="shared" si="12"/>
        <v>56.348780569014792</v>
      </c>
      <c r="T39" s="110">
        <f t="shared" si="12"/>
        <v>56.348780569014792</v>
      </c>
      <c r="U39" s="110">
        <f t="shared" si="12"/>
        <v>45.079369954059523</v>
      </c>
      <c r="V39" s="110">
        <f t="shared" si="12"/>
        <v>45.079369954059523</v>
      </c>
      <c r="W39" s="110">
        <f t="shared" si="12"/>
        <v>45.079369954059523</v>
      </c>
      <c r="X39" s="110">
        <f t="shared" si="12"/>
        <v>0</v>
      </c>
      <c r="Y39" s="110">
        <f t="shared" si="12"/>
        <v>101.42815052307431</v>
      </c>
      <c r="Z39" s="110">
        <f t="shared" si="12"/>
        <v>56.348780569014792</v>
      </c>
      <c r="AA39" s="110">
        <f t="shared" si="12"/>
        <v>56.348780569014792</v>
      </c>
      <c r="AB39" s="110">
        <f t="shared" si="12"/>
        <v>0</v>
      </c>
      <c r="AC39" s="110">
        <f t="shared" si="12"/>
        <v>112.69756113802958</v>
      </c>
      <c r="AD39" s="110">
        <f t="shared" si="12"/>
        <v>56.348780569014792</v>
      </c>
      <c r="AE39" s="110">
        <f t="shared" si="12"/>
        <v>56.348780569014792</v>
      </c>
      <c r="AF39" s="110">
        <f t="shared" si="12"/>
        <v>56.348780569014792</v>
      </c>
      <c r="AG39" s="110">
        <f t="shared" si="12"/>
        <v>56.348780569014792</v>
      </c>
      <c r="AH39" s="110">
        <f t="shared" si="12"/>
        <v>56.348780569014792</v>
      </c>
      <c r="AI39" s="110">
        <f t="shared" si="12"/>
        <v>56.348780569014792</v>
      </c>
      <c r="AJ39" s="110">
        <f t="shared" si="12"/>
        <v>56.348780569014792</v>
      </c>
      <c r="AK39" s="110">
        <f t="shared" si="12"/>
        <v>56.348780569014792</v>
      </c>
      <c r="AL39" s="110">
        <f t="shared" si="12"/>
        <v>0</v>
      </c>
      <c r="AM39" s="110">
        <f t="shared" si="12"/>
        <v>112.69756113802958</v>
      </c>
      <c r="AN39" s="110">
        <f t="shared" si="12"/>
        <v>56.348780569014792</v>
      </c>
      <c r="AO39" s="110">
        <f t="shared" si="12"/>
        <v>67.618191183970083</v>
      </c>
      <c r="AP39" s="110">
        <f t="shared" si="12"/>
        <v>67.618191183970083</v>
      </c>
      <c r="AQ39" s="110">
        <f t="shared" si="12"/>
        <v>0</v>
      </c>
      <c r="AR39" s="110">
        <f t="shared" si="12"/>
        <v>130.06680785478903</v>
      </c>
      <c r="AS39" s="110">
        <f t="shared" si="12"/>
        <v>56.348780569014792</v>
      </c>
      <c r="AT39" s="110">
        <f t="shared" si="12"/>
        <v>56.348780569014792</v>
      </c>
      <c r="AU39" s="110">
        <f t="shared" si="12"/>
        <v>56.348780569014792</v>
      </c>
      <c r="AV39" s="110">
        <f t="shared" si="12"/>
        <v>56.348780569014792</v>
      </c>
      <c r="AW39" s="110">
        <f t="shared" si="12"/>
        <v>56.348780569014792</v>
      </c>
      <c r="AX39" s="110">
        <f t="shared" si="12"/>
        <v>56.348780569014792</v>
      </c>
      <c r="AY39" s="110">
        <f t="shared" si="12"/>
        <v>56.348780569014792</v>
      </c>
    </row>
    <row r="40" spans="1:52">
      <c r="A40" s="110"/>
      <c r="B40" s="165" t="s">
        <v>348</v>
      </c>
      <c r="C40" s="110"/>
      <c r="D40" s="110">
        <f>D34-D37</f>
        <v>72.670712652327239</v>
      </c>
      <c r="E40" s="110">
        <f t="shared" ref="E40:AY40" si="13">E34-E37</f>
        <v>0</v>
      </c>
      <c r="F40" s="110">
        <f t="shared" si="13"/>
        <v>121.12422349810548</v>
      </c>
      <c r="G40" s="110">
        <f t="shared" si="13"/>
        <v>60.56211174905274</v>
      </c>
      <c r="H40" s="110">
        <f t="shared" si="13"/>
        <v>60.56211174905274</v>
      </c>
      <c r="I40" s="110">
        <f t="shared" si="13"/>
        <v>60.56211174905274</v>
      </c>
      <c r="J40" s="110">
        <f t="shared" si="13"/>
        <v>60.56211174905274</v>
      </c>
      <c r="K40" s="110">
        <f t="shared" si="13"/>
        <v>60.56211174905274</v>
      </c>
      <c r="L40" s="110">
        <f t="shared" si="13"/>
        <v>60.56211174905274</v>
      </c>
      <c r="M40" s="110">
        <f t="shared" si="13"/>
        <v>60.56211174905274</v>
      </c>
      <c r="N40" s="110">
        <f t="shared" si="13"/>
        <v>60.56211174905274</v>
      </c>
      <c r="O40" s="110">
        <f t="shared" si="13"/>
        <v>60.56211174905274</v>
      </c>
      <c r="P40" s="110">
        <f t="shared" si="13"/>
        <v>60.56211174905274</v>
      </c>
      <c r="Q40" s="110">
        <f t="shared" si="13"/>
        <v>60.56211174905274</v>
      </c>
      <c r="R40" s="110">
        <f t="shared" si="13"/>
        <v>60.56211174905274</v>
      </c>
      <c r="S40" s="110">
        <f t="shared" si="13"/>
        <v>60.56211174905274</v>
      </c>
      <c r="T40" s="110">
        <f t="shared" si="13"/>
        <v>60.56211174905274</v>
      </c>
      <c r="U40" s="110">
        <f t="shared" si="13"/>
        <v>48.45006073185332</v>
      </c>
      <c r="V40" s="110">
        <f t="shared" si="13"/>
        <v>48.45006073185332</v>
      </c>
      <c r="W40" s="110">
        <f t="shared" si="13"/>
        <v>48.45006073185332</v>
      </c>
      <c r="X40" s="110">
        <f t="shared" si="13"/>
        <v>0</v>
      </c>
      <c r="Y40" s="110">
        <f t="shared" si="13"/>
        <v>109.01217248090605</v>
      </c>
      <c r="Z40" s="110">
        <f t="shared" si="13"/>
        <v>60.56211174905274</v>
      </c>
      <c r="AA40" s="110">
        <f t="shared" si="13"/>
        <v>60.56211174905274</v>
      </c>
      <c r="AB40" s="110">
        <f t="shared" si="13"/>
        <v>0</v>
      </c>
      <c r="AC40" s="110">
        <f t="shared" si="13"/>
        <v>121.12422349810548</v>
      </c>
      <c r="AD40" s="110">
        <f t="shared" si="13"/>
        <v>60.56211174905274</v>
      </c>
      <c r="AE40" s="110">
        <f t="shared" si="13"/>
        <v>60.56211174905274</v>
      </c>
      <c r="AF40" s="110">
        <f t="shared" si="13"/>
        <v>60.56211174905274</v>
      </c>
      <c r="AG40" s="110">
        <f t="shared" si="13"/>
        <v>60.56211174905274</v>
      </c>
      <c r="AH40" s="110">
        <f t="shared" si="13"/>
        <v>60.56211174905274</v>
      </c>
      <c r="AI40" s="110">
        <f t="shared" si="13"/>
        <v>60.56211174905274</v>
      </c>
      <c r="AJ40" s="110">
        <f t="shared" si="13"/>
        <v>60.56211174905274</v>
      </c>
      <c r="AK40" s="110">
        <f t="shared" si="13"/>
        <v>60.56211174905274</v>
      </c>
      <c r="AL40" s="110">
        <f t="shared" si="13"/>
        <v>0</v>
      </c>
      <c r="AM40" s="110">
        <f t="shared" si="13"/>
        <v>121.12422349810548</v>
      </c>
      <c r="AN40" s="110">
        <f t="shared" si="13"/>
        <v>60.56211174905274</v>
      </c>
      <c r="AO40" s="110">
        <f t="shared" si="13"/>
        <v>72.674162766252167</v>
      </c>
      <c r="AP40" s="110">
        <f t="shared" si="13"/>
        <v>72.674162766252167</v>
      </c>
      <c r="AQ40" s="110">
        <f t="shared" si="13"/>
        <v>0</v>
      </c>
      <c r="AR40" s="110">
        <f t="shared" si="13"/>
        <v>139.79220974438962</v>
      </c>
      <c r="AS40" s="110">
        <f t="shared" si="13"/>
        <v>60.56211174905274</v>
      </c>
      <c r="AT40" s="110">
        <f t="shared" si="13"/>
        <v>60.56211174905274</v>
      </c>
      <c r="AU40" s="110">
        <f t="shared" si="13"/>
        <v>60.56211174905274</v>
      </c>
      <c r="AV40" s="110">
        <f t="shared" si="13"/>
        <v>60.56211174905274</v>
      </c>
      <c r="AW40" s="110">
        <f t="shared" si="13"/>
        <v>60.56211174905274</v>
      </c>
      <c r="AX40" s="110">
        <f t="shared" si="13"/>
        <v>60.56211174905274</v>
      </c>
      <c r="AY40" s="110">
        <f t="shared" si="13"/>
        <v>60.56211174905274</v>
      </c>
    </row>
    <row r="41" spans="1:52">
      <c r="A41" s="110"/>
      <c r="B41" s="165" t="s">
        <v>349</v>
      </c>
      <c r="C41" s="110"/>
      <c r="D41" s="110">
        <v>1</v>
      </c>
      <c r="E41" s="110">
        <v>3</v>
      </c>
      <c r="F41" s="110">
        <v>2</v>
      </c>
      <c r="G41" s="110">
        <v>1</v>
      </c>
      <c r="H41" s="110">
        <v>1</v>
      </c>
      <c r="I41" s="110">
        <v>1</v>
      </c>
      <c r="J41" s="110">
        <v>2</v>
      </c>
      <c r="K41" s="110">
        <v>1</v>
      </c>
      <c r="L41" s="110">
        <v>2</v>
      </c>
      <c r="M41" s="110">
        <v>2</v>
      </c>
      <c r="N41" s="110">
        <v>3</v>
      </c>
      <c r="O41" s="110">
        <v>1</v>
      </c>
      <c r="P41" s="110">
        <v>1</v>
      </c>
      <c r="Q41" s="110">
        <v>1</v>
      </c>
      <c r="R41" s="110">
        <v>1</v>
      </c>
      <c r="S41" s="110">
        <v>1</v>
      </c>
      <c r="T41" s="110">
        <v>3</v>
      </c>
      <c r="U41" s="110">
        <v>2</v>
      </c>
      <c r="V41" s="110">
        <v>1</v>
      </c>
      <c r="W41" s="110">
        <v>1</v>
      </c>
      <c r="X41" s="110">
        <v>2</v>
      </c>
      <c r="Y41" s="110">
        <v>1</v>
      </c>
      <c r="Z41" s="110">
        <v>2</v>
      </c>
      <c r="AA41" s="110">
        <v>2</v>
      </c>
      <c r="AB41" s="110">
        <v>1</v>
      </c>
      <c r="AC41" s="110">
        <v>2</v>
      </c>
      <c r="AD41" s="110">
        <v>1</v>
      </c>
      <c r="AE41" s="110">
        <v>3</v>
      </c>
      <c r="AF41" s="110">
        <v>2</v>
      </c>
      <c r="AG41" s="110">
        <v>2</v>
      </c>
      <c r="AH41" s="110">
        <v>2</v>
      </c>
      <c r="AI41" s="110">
        <v>1</v>
      </c>
      <c r="AJ41" s="110">
        <v>1</v>
      </c>
      <c r="AK41" s="110">
        <v>2</v>
      </c>
      <c r="AL41" s="110">
        <v>1</v>
      </c>
      <c r="AM41" s="110">
        <v>2</v>
      </c>
      <c r="AN41" s="110">
        <v>2</v>
      </c>
      <c r="AO41" s="110">
        <v>1</v>
      </c>
      <c r="AP41" s="110">
        <v>2</v>
      </c>
      <c r="AQ41" s="110">
        <v>2</v>
      </c>
      <c r="AR41" s="110">
        <v>1</v>
      </c>
      <c r="AS41" s="110">
        <v>1</v>
      </c>
      <c r="AT41" s="110">
        <v>1</v>
      </c>
      <c r="AU41" s="110">
        <v>2</v>
      </c>
      <c r="AV41" s="110">
        <v>1</v>
      </c>
      <c r="AW41" s="110">
        <v>1</v>
      </c>
      <c r="AX41" s="110">
        <v>1</v>
      </c>
      <c r="AY41" s="110">
        <v>2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113526.19766575197</v>
      </c>
      <c r="E43" s="110">
        <v>0</v>
      </c>
      <c r="F43" s="110">
        <v>189220.27921679232</v>
      </c>
      <c r="G43" s="110">
        <v>94610.139608396159</v>
      </c>
      <c r="H43" s="110">
        <v>94610.139608396159</v>
      </c>
      <c r="I43" s="110">
        <v>94610.139608396159</v>
      </c>
      <c r="J43" s="110">
        <v>94610.139608396159</v>
      </c>
      <c r="K43" s="110">
        <v>94610.139608396159</v>
      </c>
      <c r="L43" s="110">
        <v>94610.139608396159</v>
      </c>
      <c r="M43" s="110">
        <v>94610.139608396159</v>
      </c>
      <c r="N43" s="110">
        <v>94610.139608396159</v>
      </c>
      <c r="O43" s="110">
        <v>94610.139608396159</v>
      </c>
      <c r="P43" s="110">
        <v>94610.139608396159</v>
      </c>
      <c r="Q43" s="110">
        <v>94610.139608396159</v>
      </c>
      <c r="R43" s="110">
        <v>94610.139608396159</v>
      </c>
      <c r="S43" s="110">
        <v>94610.139608396159</v>
      </c>
      <c r="T43" s="110">
        <v>94610.139608396159</v>
      </c>
      <c r="U43" s="110">
        <v>75688.69178257497</v>
      </c>
      <c r="V43" s="110">
        <v>75688.69178257497</v>
      </c>
      <c r="W43" s="110">
        <v>75688.69178257497</v>
      </c>
      <c r="X43" s="110">
        <v>0</v>
      </c>
      <c r="Y43" s="110">
        <v>170298.83139097111</v>
      </c>
      <c r="Z43" s="110">
        <v>94610.139608396159</v>
      </c>
      <c r="AA43" s="110">
        <v>94610.139608396159</v>
      </c>
      <c r="AB43" s="110">
        <v>0</v>
      </c>
      <c r="AC43" s="110">
        <v>189220.27921679232</v>
      </c>
      <c r="AD43" s="110">
        <v>94610.139608396159</v>
      </c>
      <c r="AE43" s="110">
        <v>94610.139608396159</v>
      </c>
      <c r="AF43" s="110">
        <v>94610.139608396159</v>
      </c>
      <c r="AG43" s="110">
        <v>94610.139608396159</v>
      </c>
      <c r="AH43" s="110">
        <v>94610.139608396159</v>
      </c>
      <c r="AI43" s="110">
        <v>94610.139608396159</v>
      </c>
      <c r="AJ43" s="110">
        <v>94610.139608396159</v>
      </c>
      <c r="AK43" s="110">
        <v>94610.139608396159</v>
      </c>
      <c r="AL43" s="110">
        <v>0</v>
      </c>
      <c r="AM43" s="110">
        <v>189220.27921679232</v>
      </c>
      <c r="AN43" s="110">
        <v>94610.139608396159</v>
      </c>
      <c r="AO43" s="110">
        <v>113531.58743421738</v>
      </c>
      <c r="AP43" s="110">
        <v>113531.58743421738</v>
      </c>
      <c r="AQ43" s="110">
        <v>0</v>
      </c>
      <c r="AR43" s="110">
        <v>218383.4099921353</v>
      </c>
      <c r="AS43" s="110">
        <v>94610.139608396159</v>
      </c>
      <c r="AT43" s="110">
        <v>94610.139608396159</v>
      </c>
      <c r="AU43" s="110">
        <v>94610.139608396159</v>
      </c>
      <c r="AV43" s="110">
        <v>94610.139608396159</v>
      </c>
      <c r="AW43" s="110">
        <v>94610.139608396159</v>
      </c>
      <c r="AX43" s="110">
        <v>94610.139608396159</v>
      </c>
      <c r="AY43" s="110">
        <v>94610.139608396159</v>
      </c>
      <c r="AZ43" s="100">
        <f>SUM($D$43:$AY$43)</f>
        <v>4551522.9943840727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3</v>
      </c>
      <c r="F52" s="110">
        <v>1</v>
      </c>
      <c r="G52" s="110">
        <v>3</v>
      </c>
      <c r="H52" s="110">
        <v>1</v>
      </c>
      <c r="I52" s="110">
        <v>1</v>
      </c>
      <c r="J52" s="110">
        <v>1</v>
      </c>
      <c r="K52" s="110">
        <v>2</v>
      </c>
      <c r="L52" s="110">
        <v>2</v>
      </c>
      <c r="M52" s="110">
        <v>1</v>
      </c>
      <c r="N52" s="110">
        <v>2</v>
      </c>
      <c r="O52" s="110">
        <v>1</v>
      </c>
      <c r="P52" s="110">
        <v>1</v>
      </c>
      <c r="Q52" s="110">
        <v>1</v>
      </c>
      <c r="R52" s="110">
        <v>3</v>
      </c>
      <c r="S52" s="110">
        <v>1</v>
      </c>
      <c r="T52" s="110">
        <v>1</v>
      </c>
      <c r="U52" s="110">
        <v>1</v>
      </c>
      <c r="V52" s="110">
        <v>3</v>
      </c>
      <c r="W52" s="110">
        <v>1</v>
      </c>
      <c r="X52" s="110">
        <v>1</v>
      </c>
      <c r="Y52" s="110">
        <v>3</v>
      </c>
      <c r="Z52" s="110">
        <v>1</v>
      </c>
      <c r="AA52" s="110">
        <v>1</v>
      </c>
      <c r="AB52" s="110">
        <v>1</v>
      </c>
      <c r="AC52" s="110">
        <v>1</v>
      </c>
      <c r="AD52" s="110">
        <v>1</v>
      </c>
      <c r="AE52" s="110">
        <v>1</v>
      </c>
      <c r="AF52" s="110">
        <v>1</v>
      </c>
      <c r="AG52" s="110">
        <v>3</v>
      </c>
      <c r="AH52" s="110">
        <v>1</v>
      </c>
      <c r="AI52" s="110">
        <v>1</v>
      </c>
      <c r="AJ52" s="110">
        <v>2</v>
      </c>
      <c r="AK52" s="110">
        <v>1</v>
      </c>
      <c r="AL52" s="110">
        <v>1</v>
      </c>
      <c r="AM52" s="110">
        <v>1</v>
      </c>
      <c r="AN52" s="110">
        <v>2</v>
      </c>
      <c r="AO52" s="110">
        <v>3</v>
      </c>
      <c r="AP52" s="110">
        <v>1</v>
      </c>
      <c r="AQ52" s="110">
        <v>1</v>
      </c>
      <c r="AR52" s="110">
        <v>1</v>
      </c>
      <c r="AS52" s="110">
        <v>1</v>
      </c>
      <c r="AT52" s="110">
        <v>2</v>
      </c>
      <c r="AU52" s="110">
        <v>2</v>
      </c>
      <c r="AV52" s="110">
        <v>1</v>
      </c>
      <c r="AW52" s="110">
        <v>1</v>
      </c>
      <c r="AX52" s="110">
        <v>1</v>
      </c>
      <c r="AY52" s="110">
        <v>1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729.23810902431103</v>
      </c>
      <c r="E55" s="124">
        <f>E$21*shipping_manufacturing!$F$29/100</f>
        <v>0</v>
      </c>
      <c r="F55" s="124">
        <f>F$21*shipping_manufacturing!$F$29/100</f>
        <v>1215.4607609722918</v>
      </c>
      <c r="G55" s="124">
        <f>G$21*shipping_manufacturing!$F$29/100</f>
        <v>607.73038048614592</v>
      </c>
      <c r="H55" s="124">
        <f>H$21*shipping_manufacturing!$F$29/100</f>
        <v>607.73038048614592</v>
      </c>
      <c r="I55" s="124">
        <f>I$21*shipping_manufacturing!$F$29/100</f>
        <v>607.73038048614592</v>
      </c>
      <c r="J55" s="124">
        <f>J$21*shipping_manufacturing!$F$29/100</f>
        <v>607.73038048614592</v>
      </c>
      <c r="K55" s="124">
        <f>K$21*shipping_manufacturing!$F$29/100</f>
        <v>607.73038048614592</v>
      </c>
      <c r="L55" s="124">
        <f>L$21*shipping_manufacturing!$F$29/100</f>
        <v>607.73038048614592</v>
      </c>
      <c r="M55" s="124">
        <f>M$21*shipping_manufacturing!$F$29/100</f>
        <v>607.73038048614592</v>
      </c>
      <c r="N55" s="124">
        <f>N$21*shipping_manufacturing!$F$29/100</f>
        <v>607.73038048614592</v>
      </c>
      <c r="O55" s="124">
        <f>O$21*shipping_manufacturing!$F$29/100</f>
        <v>607.73038048614592</v>
      </c>
      <c r="P55" s="124">
        <f>P$21*shipping_manufacturing!$F$29/100</f>
        <v>607.73038048614592</v>
      </c>
      <c r="Q55" s="124">
        <f>Q$21*shipping_manufacturing!$F$29/100</f>
        <v>607.73038048614592</v>
      </c>
      <c r="R55" s="124">
        <f>R$21*shipping_manufacturing!$F$29/100</f>
        <v>607.73038048614592</v>
      </c>
      <c r="S55" s="124">
        <f>S$21*shipping_manufacturing!$F$29/100</f>
        <v>607.73038048614592</v>
      </c>
      <c r="T55" s="124">
        <f>T$21*shipping_manufacturing!$F$29/100</f>
        <v>607.73038048614592</v>
      </c>
      <c r="U55" s="124">
        <f>U$21*shipping_manufacturing!$F$29/100</f>
        <v>486.1880306478356</v>
      </c>
      <c r="V55" s="124">
        <f>V$21*shipping_manufacturing!$F$29/100</f>
        <v>486.1880306478356</v>
      </c>
      <c r="W55" s="124">
        <f>W$21*shipping_manufacturing!$F$29/100</f>
        <v>486.1880306478356</v>
      </c>
      <c r="X55" s="124">
        <f>X$21*shipping_manufacturing!$F$29/100</f>
        <v>0</v>
      </c>
      <c r="Y55" s="124">
        <f>Y$21*shipping_manufacturing!$F$29/100</f>
        <v>1093.9184111339816</v>
      </c>
      <c r="Z55" s="124">
        <f>Z$21*shipping_manufacturing!$F$29/100</f>
        <v>607.73038048614592</v>
      </c>
      <c r="AA55" s="124">
        <f>AA$21*shipping_manufacturing!$F$29/100</f>
        <v>607.73038048614592</v>
      </c>
      <c r="AB55" s="124">
        <f>AB$21*shipping_manufacturing!$F$29/100</f>
        <v>0</v>
      </c>
      <c r="AC55" s="124">
        <f>AC$21*shipping_manufacturing!$F$29/100</f>
        <v>1215.4607609722918</v>
      </c>
      <c r="AD55" s="124">
        <f>AD$21*shipping_manufacturing!$F$29/100</f>
        <v>607.73038048614592</v>
      </c>
      <c r="AE55" s="124">
        <f>AE$21*shipping_manufacturing!$F$29/100</f>
        <v>607.73038048614592</v>
      </c>
      <c r="AF55" s="124">
        <f>AF$21*shipping_manufacturing!$F$29/100</f>
        <v>607.73038048614592</v>
      </c>
      <c r="AG55" s="124">
        <f>AG$21*shipping_manufacturing!$F$29/100</f>
        <v>607.73038048614592</v>
      </c>
      <c r="AH55" s="124">
        <f>AH$21*shipping_manufacturing!$F$29/100</f>
        <v>607.73038048614592</v>
      </c>
      <c r="AI55" s="124">
        <f>AI$21*shipping_manufacturing!$F$29/100</f>
        <v>607.73038048614592</v>
      </c>
      <c r="AJ55" s="124">
        <f>AJ$21*shipping_manufacturing!$F$29/100</f>
        <v>607.73038048614592</v>
      </c>
      <c r="AK55" s="124">
        <f>AK$21*shipping_manufacturing!$F$29/100</f>
        <v>607.73038048614592</v>
      </c>
      <c r="AL55" s="124">
        <f>AL$21*shipping_manufacturing!$F$29/100</f>
        <v>0</v>
      </c>
      <c r="AM55" s="124">
        <f>AM$21*shipping_manufacturing!$F$29/100</f>
        <v>1215.4607609722918</v>
      </c>
      <c r="AN55" s="124">
        <f>AN$21*shipping_manufacturing!$F$29/100</f>
        <v>607.73038048614592</v>
      </c>
      <c r="AO55" s="124">
        <f>AO$21*shipping_manufacturing!$F$29/100</f>
        <v>729.27273032445646</v>
      </c>
      <c r="AP55" s="124">
        <f>AP$21*shipping_manufacturing!$F$29/100</f>
        <v>729.27273032445646</v>
      </c>
      <c r="AQ55" s="124">
        <f>AQ$21*shipping_manufacturing!$F$29/100</f>
        <v>0</v>
      </c>
      <c r="AR55" s="124">
        <f>AR$21*shipping_manufacturing!$F$29/100</f>
        <v>1402.7907938379617</v>
      </c>
      <c r="AS55" s="124">
        <f>AS$21*shipping_manufacturing!$F$29/100</f>
        <v>607.73038048614592</v>
      </c>
      <c r="AT55" s="124">
        <f>AT$21*shipping_manufacturing!$F$29/100</f>
        <v>607.73038048614592</v>
      </c>
      <c r="AU55" s="124">
        <f>AU$21*shipping_manufacturing!$F$29/100</f>
        <v>607.73038048614592</v>
      </c>
      <c r="AV55" s="124">
        <f>AV$21*shipping_manufacturing!$F$29/100</f>
        <v>607.73038048614592</v>
      </c>
      <c r="AW55" s="124">
        <f>AW$21*shipping_manufacturing!$F$29/100</f>
        <v>607.73038048614592</v>
      </c>
      <c r="AX55" s="124">
        <f>AX$21*shipping_manufacturing!$F$29/100</f>
        <v>607.73038048614592</v>
      </c>
      <c r="AY55" s="124">
        <f>AY$21*shipping_manufacturing!$F$29/100</f>
        <v>607.73038048614592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996.21097734220371</v>
      </c>
      <c r="E56" s="110">
        <f>E$22*shipping_manufacturing!$G$29/100</f>
        <v>0</v>
      </c>
      <c r="F56" s="110">
        <f>F$22*shipping_manufacturing!$G$29/100</f>
        <v>1660.4389397989332</v>
      </c>
      <c r="G56" s="110">
        <f>G$22*shipping_manufacturing!$G$29/100</f>
        <v>830.21946989946662</v>
      </c>
      <c r="H56" s="110">
        <f>H$22*shipping_manufacturing!$G$29/100</f>
        <v>830.21946989946662</v>
      </c>
      <c r="I56" s="110">
        <f>I$22*shipping_manufacturing!$G$29/100</f>
        <v>830.21946989946662</v>
      </c>
      <c r="J56" s="110">
        <f>J$22*shipping_manufacturing!$G$29/100</f>
        <v>830.21946989946662</v>
      </c>
      <c r="K56" s="110">
        <f>K$22*shipping_manufacturing!$G$29/100</f>
        <v>830.21946989946662</v>
      </c>
      <c r="L56" s="110">
        <f>L$22*shipping_manufacturing!$G$29/100</f>
        <v>830.21946989946662</v>
      </c>
      <c r="M56" s="110">
        <f>M$22*shipping_manufacturing!$G$29/100</f>
        <v>830.21946989946662</v>
      </c>
      <c r="N56" s="110">
        <f>N$22*shipping_manufacturing!$G$29/100</f>
        <v>830.21946989946662</v>
      </c>
      <c r="O56" s="110">
        <f>O$22*shipping_manufacturing!$G$29/100</f>
        <v>830.21946989946662</v>
      </c>
      <c r="P56" s="110">
        <f>P$22*shipping_manufacturing!$G$29/100</f>
        <v>830.21946989946662</v>
      </c>
      <c r="Q56" s="110">
        <f>Q$22*shipping_manufacturing!$G$29/100</f>
        <v>830.21946989946662</v>
      </c>
      <c r="R56" s="110">
        <f>R$22*shipping_manufacturing!$G$29/100</f>
        <v>830.21946989946662</v>
      </c>
      <c r="S56" s="110">
        <f>S$22*shipping_manufacturing!$G$29/100</f>
        <v>830.21946989946662</v>
      </c>
      <c r="T56" s="110">
        <f>T$22*shipping_manufacturing!$G$29/100</f>
        <v>830.21946989946662</v>
      </c>
      <c r="U56" s="110">
        <f>U$22*shipping_manufacturing!$G$29/100</f>
        <v>664.18066635573314</v>
      </c>
      <c r="V56" s="110">
        <f>V$22*shipping_manufacturing!$G$29/100</f>
        <v>664.18066635573314</v>
      </c>
      <c r="W56" s="110">
        <f>W$22*shipping_manufacturing!$G$29/100</f>
        <v>664.18066635573314</v>
      </c>
      <c r="X56" s="110">
        <f>X$22*shipping_manufacturing!$G$29/100</f>
        <v>0</v>
      </c>
      <c r="Y56" s="110">
        <f>Y$22*shipping_manufacturing!$G$29/100</f>
        <v>1494.4001362551999</v>
      </c>
      <c r="Z56" s="110">
        <f>Z$22*shipping_manufacturing!$G$29/100</f>
        <v>830.21946989946662</v>
      </c>
      <c r="AA56" s="110">
        <f>AA$22*shipping_manufacturing!$G$29/100</f>
        <v>830.21946989946662</v>
      </c>
      <c r="AB56" s="110">
        <f>AB$22*shipping_manufacturing!$G$29/100</f>
        <v>0</v>
      </c>
      <c r="AC56" s="110">
        <f>AC$22*shipping_manufacturing!$G$29/100</f>
        <v>1660.4389397989332</v>
      </c>
      <c r="AD56" s="110">
        <f>AD$22*shipping_manufacturing!$G$29/100</f>
        <v>830.21946989946662</v>
      </c>
      <c r="AE56" s="110">
        <f>AE$22*shipping_manufacturing!$G$29/100</f>
        <v>830.21946989946662</v>
      </c>
      <c r="AF56" s="110">
        <f>AF$22*shipping_manufacturing!$G$29/100</f>
        <v>830.21946989946662</v>
      </c>
      <c r="AG56" s="110">
        <f>AG$22*shipping_manufacturing!$G$29/100</f>
        <v>830.21946989946662</v>
      </c>
      <c r="AH56" s="110">
        <f>AH$22*shipping_manufacturing!$G$29/100</f>
        <v>830.21946989946662</v>
      </c>
      <c r="AI56" s="110">
        <f>AI$22*shipping_manufacturing!$G$29/100</f>
        <v>830.21946989946662</v>
      </c>
      <c r="AJ56" s="110">
        <f>AJ$22*shipping_manufacturing!$G$29/100</f>
        <v>830.21946989946662</v>
      </c>
      <c r="AK56" s="110">
        <f>AK$22*shipping_manufacturing!$G$29/100</f>
        <v>830.21946989946662</v>
      </c>
      <c r="AL56" s="110">
        <f>AL$22*shipping_manufacturing!$G$29/100</f>
        <v>0</v>
      </c>
      <c r="AM56" s="110">
        <f>AM$22*shipping_manufacturing!$G$29/100</f>
        <v>1660.4389397989332</v>
      </c>
      <c r="AN56" s="110">
        <f>AN$22*shipping_manufacturing!$G$29/100</f>
        <v>830.21946989946662</v>
      </c>
      <c r="AO56" s="110">
        <f>AO$22*shipping_manufacturing!$G$29/100</f>
        <v>996.25827344320021</v>
      </c>
      <c r="AP56" s="110">
        <f>AP$22*shipping_manufacturing!$G$29/100</f>
        <v>996.25827344320021</v>
      </c>
      <c r="AQ56" s="110">
        <f>AQ$22*shipping_manufacturing!$G$29/100</f>
        <v>0</v>
      </c>
      <c r="AR56" s="110">
        <f>AR$22*shipping_manufacturing!$G$29/100</f>
        <v>1916.3501885628598</v>
      </c>
      <c r="AS56" s="110">
        <f>AS$22*shipping_manufacturing!$G$29/100</f>
        <v>830.21946989946662</v>
      </c>
      <c r="AT56" s="110">
        <f>AT$22*shipping_manufacturing!$G$29/100</f>
        <v>830.21946989946662</v>
      </c>
      <c r="AU56" s="110">
        <f>AU$22*shipping_manufacturing!$G$29/100</f>
        <v>830.21946989946662</v>
      </c>
      <c r="AV56" s="110">
        <f>AV$22*shipping_manufacturing!$G$29/100</f>
        <v>830.21946989946662</v>
      </c>
      <c r="AW56" s="110">
        <f>AW$22*shipping_manufacturing!$G$29/100</f>
        <v>830.21946989946662</v>
      </c>
      <c r="AX56" s="110">
        <f>AX$22*shipping_manufacturing!$G$29/100</f>
        <v>830.21946989946662</v>
      </c>
      <c r="AY56" s="110">
        <f>AY$22*shipping_manufacturing!$G$29/100</f>
        <v>830.21946989946662</v>
      </c>
    </row>
    <row r="57" spans="1:52">
      <c r="A57" s="110">
        <v>495</v>
      </c>
      <c r="B57" s="165" t="s">
        <v>343</v>
      </c>
      <c r="C57" s="110"/>
      <c r="D57" s="110">
        <f>SUM(D55:D56)</f>
        <v>1725.4490863665146</v>
      </c>
      <c r="E57" s="110">
        <f t="shared" ref="E57:AY57" si="17">SUM(E55:E56)</f>
        <v>0</v>
      </c>
      <c r="F57" s="110">
        <f t="shared" si="17"/>
        <v>2875.8997007712251</v>
      </c>
      <c r="G57" s="110">
        <f t="shared" si="17"/>
        <v>1437.9498503856125</v>
      </c>
      <c r="H57" s="110">
        <f t="shared" si="17"/>
        <v>1437.9498503856125</v>
      </c>
      <c r="I57" s="110">
        <f t="shared" si="17"/>
        <v>1437.9498503856125</v>
      </c>
      <c r="J57" s="110">
        <f t="shared" si="17"/>
        <v>1437.9498503856125</v>
      </c>
      <c r="K57" s="110">
        <f t="shared" si="17"/>
        <v>1437.9498503856125</v>
      </c>
      <c r="L57" s="110">
        <f t="shared" si="17"/>
        <v>1437.9498503856125</v>
      </c>
      <c r="M57" s="110">
        <f t="shared" si="17"/>
        <v>1437.9498503856125</v>
      </c>
      <c r="N57" s="110">
        <f t="shared" si="17"/>
        <v>1437.9498503856125</v>
      </c>
      <c r="O57" s="110">
        <f t="shared" si="17"/>
        <v>1437.9498503856125</v>
      </c>
      <c r="P57" s="110">
        <f t="shared" si="17"/>
        <v>1437.9498503856125</v>
      </c>
      <c r="Q57" s="110">
        <f t="shared" si="17"/>
        <v>1437.9498503856125</v>
      </c>
      <c r="R57" s="110">
        <f t="shared" si="17"/>
        <v>1437.9498503856125</v>
      </c>
      <c r="S57" s="110">
        <f t="shared" si="17"/>
        <v>1437.9498503856125</v>
      </c>
      <c r="T57" s="110">
        <f t="shared" si="17"/>
        <v>1437.9498503856125</v>
      </c>
      <c r="U57" s="110">
        <f t="shared" si="17"/>
        <v>1150.3686970035687</v>
      </c>
      <c r="V57" s="110">
        <f t="shared" si="17"/>
        <v>1150.3686970035687</v>
      </c>
      <c r="W57" s="110">
        <f t="shared" si="17"/>
        <v>1150.3686970035687</v>
      </c>
      <c r="X57" s="110">
        <f t="shared" si="17"/>
        <v>0</v>
      </c>
      <c r="Y57" s="110">
        <f t="shared" si="17"/>
        <v>2588.3185473891817</v>
      </c>
      <c r="Z57" s="110">
        <f t="shared" si="17"/>
        <v>1437.9498503856125</v>
      </c>
      <c r="AA57" s="110">
        <f t="shared" si="17"/>
        <v>1437.9498503856125</v>
      </c>
      <c r="AB57" s="110">
        <f t="shared" si="17"/>
        <v>0</v>
      </c>
      <c r="AC57" s="110">
        <f t="shared" si="17"/>
        <v>2875.8997007712251</v>
      </c>
      <c r="AD57" s="110">
        <f t="shared" si="17"/>
        <v>1437.9498503856125</v>
      </c>
      <c r="AE57" s="110">
        <f t="shared" si="17"/>
        <v>1437.9498503856125</v>
      </c>
      <c r="AF57" s="110">
        <f t="shared" si="17"/>
        <v>1437.9498503856125</v>
      </c>
      <c r="AG57" s="110">
        <f t="shared" si="17"/>
        <v>1437.9498503856125</v>
      </c>
      <c r="AH57" s="110">
        <f t="shared" si="17"/>
        <v>1437.9498503856125</v>
      </c>
      <c r="AI57" s="110">
        <f t="shared" si="17"/>
        <v>1437.9498503856125</v>
      </c>
      <c r="AJ57" s="110">
        <f t="shared" si="17"/>
        <v>1437.9498503856125</v>
      </c>
      <c r="AK57" s="110">
        <f t="shared" si="17"/>
        <v>1437.9498503856125</v>
      </c>
      <c r="AL57" s="110">
        <f t="shared" si="17"/>
        <v>0</v>
      </c>
      <c r="AM57" s="110">
        <f t="shared" si="17"/>
        <v>2875.8997007712251</v>
      </c>
      <c r="AN57" s="110">
        <f t="shared" si="17"/>
        <v>1437.9498503856125</v>
      </c>
      <c r="AO57" s="110">
        <f t="shared" si="17"/>
        <v>1725.5310037676568</v>
      </c>
      <c r="AP57" s="110">
        <f t="shared" si="17"/>
        <v>1725.5310037676568</v>
      </c>
      <c r="AQ57" s="110">
        <f t="shared" si="17"/>
        <v>0</v>
      </c>
      <c r="AR57" s="110">
        <f t="shared" si="17"/>
        <v>3319.1409824008215</v>
      </c>
      <c r="AS57" s="110">
        <f t="shared" si="17"/>
        <v>1437.9498503856125</v>
      </c>
      <c r="AT57" s="110">
        <f t="shared" si="17"/>
        <v>1437.9498503856125</v>
      </c>
      <c r="AU57" s="110">
        <f t="shared" si="17"/>
        <v>1437.9498503856125</v>
      </c>
      <c r="AV57" s="110">
        <f t="shared" si="17"/>
        <v>1437.9498503856125</v>
      </c>
      <c r="AW57" s="110">
        <f t="shared" si="17"/>
        <v>1437.9498503856125</v>
      </c>
      <c r="AX57" s="110">
        <f t="shared" si="17"/>
        <v>1437.9498503856125</v>
      </c>
      <c r="AY57" s="110">
        <f t="shared" si="17"/>
        <v>1437.9498503856125</v>
      </c>
    </row>
    <row r="58" spans="1:52">
      <c r="A58" s="110"/>
      <c r="B58" s="165" t="s">
        <v>344</v>
      </c>
      <c r="C58" s="110"/>
      <c r="D58" s="110">
        <v>190.18651529844894</v>
      </c>
      <c r="E58" s="110"/>
      <c r="F58" s="110">
        <v>190.18651529844911</v>
      </c>
      <c r="G58" s="110"/>
      <c r="H58" s="110">
        <v>190.18651529844891</v>
      </c>
      <c r="I58" s="110"/>
      <c r="J58" s="110">
        <v>190.18651529844891</v>
      </c>
      <c r="K58" s="110"/>
      <c r="L58" s="110">
        <v>190.18651529844891</v>
      </c>
      <c r="M58" s="110"/>
      <c r="N58" s="110">
        <v>190.18651529844891</v>
      </c>
      <c r="O58" s="110"/>
      <c r="P58" s="110">
        <v>190.18651529844891</v>
      </c>
      <c r="Q58" s="110"/>
      <c r="R58" s="110">
        <v>190.18651529844891</v>
      </c>
      <c r="S58" s="110"/>
      <c r="T58" s="110">
        <v>190.18651529844891</v>
      </c>
      <c r="U58" s="110"/>
      <c r="V58" s="110">
        <v>190.18651529844891</v>
      </c>
      <c r="W58" s="110"/>
      <c r="X58" s="110"/>
      <c r="Y58" s="110">
        <v>190.186515298449</v>
      </c>
      <c r="Z58" s="110"/>
      <c r="AA58" s="110">
        <v>190.18651529844891</v>
      </c>
      <c r="AB58" s="110"/>
      <c r="AC58" s="110">
        <v>190.18651529844911</v>
      </c>
      <c r="AD58" s="110"/>
      <c r="AE58" s="110">
        <v>190.18651529844891</v>
      </c>
      <c r="AF58" s="110"/>
      <c r="AG58" s="110">
        <v>190.18651529844891</v>
      </c>
      <c r="AH58" s="110"/>
      <c r="AI58" s="110">
        <v>190.18651529844891</v>
      </c>
      <c r="AJ58" s="110"/>
      <c r="AK58" s="110">
        <v>190.18651529844891</v>
      </c>
      <c r="AL58" s="110"/>
      <c r="AM58" s="110">
        <v>190.18651529844911</v>
      </c>
      <c r="AN58" s="110"/>
      <c r="AO58" s="110">
        <v>190.18651529844888</v>
      </c>
      <c r="AP58" s="110"/>
      <c r="AQ58" s="110"/>
      <c r="AR58" s="110">
        <v>190.18651529844911</v>
      </c>
      <c r="AS58" s="110"/>
      <c r="AT58" s="110">
        <v>190.18651529844891</v>
      </c>
      <c r="AU58" s="110"/>
      <c r="AV58" s="110">
        <v>190.18651529844891</v>
      </c>
      <c r="AW58" s="110"/>
      <c r="AX58" s="110">
        <v>190.18651529844891</v>
      </c>
      <c r="AY58" s="110"/>
    </row>
    <row r="59" spans="1:52">
      <c r="A59" s="110"/>
      <c r="B59" s="165" t="s">
        <v>345</v>
      </c>
      <c r="C59" s="110"/>
      <c r="D59" s="110">
        <v>259.81348470155109</v>
      </c>
      <c r="E59" s="110"/>
      <c r="F59" s="110">
        <v>259.81348470155092</v>
      </c>
      <c r="G59" s="110"/>
      <c r="H59" s="110">
        <v>259.81348470155115</v>
      </c>
      <c r="I59" s="110"/>
      <c r="J59" s="110">
        <v>259.81348470155115</v>
      </c>
      <c r="K59" s="110"/>
      <c r="L59" s="110">
        <v>259.81348470155115</v>
      </c>
      <c r="M59" s="110"/>
      <c r="N59" s="110">
        <v>259.81348470155115</v>
      </c>
      <c r="O59" s="110"/>
      <c r="P59" s="110">
        <v>259.81348470155115</v>
      </c>
      <c r="Q59" s="110"/>
      <c r="R59" s="110">
        <v>259.81348470155115</v>
      </c>
      <c r="S59" s="110"/>
      <c r="T59" s="110">
        <v>259.81348470155115</v>
      </c>
      <c r="U59" s="110"/>
      <c r="V59" s="110">
        <v>259.81348470155115</v>
      </c>
      <c r="W59" s="110"/>
      <c r="X59" s="110"/>
      <c r="Y59" s="110">
        <v>259.81348470155086</v>
      </c>
      <c r="Z59" s="110"/>
      <c r="AA59" s="110">
        <v>259.81348470155115</v>
      </c>
      <c r="AB59" s="110"/>
      <c r="AC59" s="110">
        <v>259.81348470155092</v>
      </c>
      <c r="AD59" s="110"/>
      <c r="AE59" s="110">
        <v>259.81348470155115</v>
      </c>
      <c r="AF59" s="110"/>
      <c r="AG59" s="110">
        <v>259.81348470155115</v>
      </c>
      <c r="AH59" s="110"/>
      <c r="AI59" s="110">
        <v>259.81348470155115</v>
      </c>
      <c r="AJ59" s="110"/>
      <c r="AK59" s="110">
        <v>259.81348470155115</v>
      </c>
      <c r="AL59" s="110"/>
      <c r="AM59" s="110">
        <v>259.81348470155092</v>
      </c>
      <c r="AN59" s="110"/>
      <c r="AO59" s="110">
        <v>259.81348470155109</v>
      </c>
      <c r="AP59" s="110"/>
      <c r="AQ59" s="110"/>
      <c r="AR59" s="110">
        <v>259.81348470155086</v>
      </c>
      <c r="AS59" s="110"/>
      <c r="AT59" s="110">
        <v>259.81348470155115</v>
      </c>
      <c r="AU59" s="110"/>
      <c r="AV59" s="110">
        <v>259.81348470155115</v>
      </c>
      <c r="AW59" s="110"/>
      <c r="AX59" s="110">
        <v>259.81348470155115</v>
      </c>
      <c r="AY59" s="110"/>
    </row>
    <row r="60" spans="1:52">
      <c r="A60" s="110"/>
      <c r="B60" s="165" t="s">
        <v>346</v>
      </c>
      <c r="C60" s="110"/>
      <c r="D60" s="110">
        <v>15</v>
      </c>
      <c r="E60" s="110"/>
      <c r="F60" s="110">
        <v>15</v>
      </c>
      <c r="G60" s="110"/>
      <c r="H60" s="110">
        <v>15</v>
      </c>
      <c r="I60" s="110"/>
      <c r="J60" s="110">
        <v>15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>
        <v>15</v>
      </c>
      <c r="AJ60" s="110"/>
      <c r="AK60" s="110">
        <v>15</v>
      </c>
      <c r="AL60" s="110"/>
      <c r="AM60" s="110">
        <v>15</v>
      </c>
      <c r="AN60" s="110"/>
      <c r="AO60" s="110">
        <v>15</v>
      </c>
      <c r="AP60" s="110"/>
      <c r="AQ60" s="110"/>
      <c r="AR60" s="110">
        <v>15</v>
      </c>
      <c r="AS60" s="110"/>
      <c r="AT60" s="110">
        <v>15</v>
      </c>
      <c r="AU60" s="110"/>
      <c r="AV60" s="110">
        <v>15</v>
      </c>
      <c r="AW60" s="110"/>
      <c r="AX60" s="110">
        <v>15</v>
      </c>
      <c r="AY60" s="110"/>
    </row>
    <row r="61" spans="1:52">
      <c r="A61" s="110"/>
      <c r="B61" s="165" t="s">
        <v>347</v>
      </c>
      <c r="C61" s="110"/>
      <c r="D61" s="110">
        <f>D55-D58</f>
        <v>539.05159372586206</v>
      </c>
      <c r="E61" s="110">
        <f t="shared" ref="E61:AY61" si="18">E55-E58</f>
        <v>0</v>
      </c>
      <c r="F61" s="110">
        <f t="shared" si="18"/>
        <v>1025.2742456738426</v>
      </c>
      <c r="G61" s="110">
        <f t="shared" si="18"/>
        <v>607.73038048614592</v>
      </c>
      <c r="H61" s="110">
        <f t="shared" si="18"/>
        <v>417.54386518769701</v>
      </c>
      <c r="I61" s="110">
        <f t="shared" si="18"/>
        <v>607.73038048614592</v>
      </c>
      <c r="J61" s="110">
        <f t="shared" si="18"/>
        <v>417.54386518769701</v>
      </c>
      <c r="K61" s="110">
        <f t="shared" si="18"/>
        <v>607.73038048614592</v>
      </c>
      <c r="L61" s="110">
        <f t="shared" si="18"/>
        <v>417.54386518769701</v>
      </c>
      <c r="M61" s="110">
        <f t="shared" si="18"/>
        <v>607.73038048614592</v>
      </c>
      <c r="N61" s="110">
        <f t="shared" si="18"/>
        <v>417.54386518769701</v>
      </c>
      <c r="O61" s="110">
        <f t="shared" si="18"/>
        <v>607.73038048614592</v>
      </c>
      <c r="P61" s="110">
        <f t="shared" si="18"/>
        <v>417.54386518769701</v>
      </c>
      <c r="Q61" s="110">
        <f t="shared" si="18"/>
        <v>607.73038048614592</v>
      </c>
      <c r="R61" s="110">
        <f t="shared" si="18"/>
        <v>417.54386518769701</v>
      </c>
      <c r="S61" s="110">
        <f t="shared" si="18"/>
        <v>607.73038048614592</v>
      </c>
      <c r="T61" s="110">
        <f t="shared" si="18"/>
        <v>417.54386518769701</v>
      </c>
      <c r="U61" s="110">
        <f t="shared" si="18"/>
        <v>486.1880306478356</v>
      </c>
      <c r="V61" s="110">
        <f t="shared" si="18"/>
        <v>296.00151534938669</v>
      </c>
      <c r="W61" s="110">
        <f t="shared" si="18"/>
        <v>486.1880306478356</v>
      </c>
      <c r="X61" s="110">
        <f t="shared" si="18"/>
        <v>0</v>
      </c>
      <c r="Y61" s="110">
        <f t="shared" si="18"/>
        <v>903.73189583553267</v>
      </c>
      <c r="Z61" s="110">
        <f t="shared" si="18"/>
        <v>607.73038048614592</v>
      </c>
      <c r="AA61" s="110">
        <f t="shared" si="18"/>
        <v>417.54386518769701</v>
      </c>
      <c r="AB61" s="110">
        <f t="shared" si="18"/>
        <v>0</v>
      </c>
      <c r="AC61" s="110">
        <f t="shared" si="18"/>
        <v>1025.2742456738426</v>
      </c>
      <c r="AD61" s="110">
        <f t="shared" si="18"/>
        <v>607.73038048614592</v>
      </c>
      <c r="AE61" s="110">
        <f t="shared" si="18"/>
        <v>417.54386518769701</v>
      </c>
      <c r="AF61" s="110">
        <f t="shared" si="18"/>
        <v>607.73038048614592</v>
      </c>
      <c r="AG61" s="110">
        <f t="shared" si="18"/>
        <v>417.54386518769701</v>
      </c>
      <c r="AH61" s="110">
        <f t="shared" si="18"/>
        <v>607.73038048614592</v>
      </c>
      <c r="AI61" s="110">
        <f t="shared" si="18"/>
        <v>417.54386518769701</v>
      </c>
      <c r="AJ61" s="110">
        <f t="shared" si="18"/>
        <v>607.73038048614592</v>
      </c>
      <c r="AK61" s="110">
        <f t="shared" si="18"/>
        <v>417.54386518769701</v>
      </c>
      <c r="AL61" s="110">
        <f t="shared" si="18"/>
        <v>0</v>
      </c>
      <c r="AM61" s="110">
        <f t="shared" si="18"/>
        <v>1025.2742456738426</v>
      </c>
      <c r="AN61" s="110">
        <f t="shared" si="18"/>
        <v>607.73038048614592</v>
      </c>
      <c r="AO61" s="110">
        <f t="shared" si="18"/>
        <v>539.08621502600761</v>
      </c>
      <c r="AP61" s="110">
        <f t="shared" si="18"/>
        <v>729.27273032445646</v>
      </c>
      <c r="AQ61" s="110">
        <f t="shared" si="18"/>
        <v>0</v>
      </c>
      <c r="AR61" s="110">
        <f t="shared" si="18"/>
        <v>1212.6042785395125</v>
      </c>
      <c r="AS61" s="110">
        <f t="shared" si="18"/>
        <v>607.73038048614592</v>
      </c>
      <c r="AT61" s="110">
        <f t="shared" si="18"/>
        <v>417.54386518769701</v>
      </c>
      <c r="AU61" s="110">
        <f t="shared" si="18"/>
        <v>607.73038048614592</v>
      </c>
      <c r="AV61" s="110">
        <f t="shared" si="18"/>
        <v>417.54386518769701</v>
      </c>
      <c r="AW61" s="110">
        <f t="shared" si="18"/>
        <v>607.73038048614592</v>
      </c>
      <c r="AX61" s="110">
        <f t="shared" si="18"/>
        <v>417.54386518769701</v>
      </c>
      <c r="AY61" s="110">
        <f t="shared" si="18"/>
        <v>607.73038048614592</v>
      </c>
    </row>
    <row r="62" spans="1:52">
      <c r="A62" s="110"/>
      <c r="B62" s="165" t="s">
        <v>348</v>
      </c>
      <c r="C62" s="110"/>
      <c r="D62" s="110">
        <f>D56-D59</f>
        <v>736.39749264065267</v>
      </c>
      <c r="E62" s="110">
        <f t="shared" ref="E62:AY62" si="19">E56-E59</f>
        <v>0</v>
      </c>
      <c r="F62" s="110">
        <f t="shared" si="19"/>
        <v>1400.6254550973822</v>
      </c>
      <c r="G62" s="110">
        <f t="shared" si="19"/>
        <v>830.21946989946662</v>
      </c>
      <c r="H62" s="110">
        <f t="shared" si="19"/>
        <v>570.40598519791547</v>
      </c>
      <c r="I62" s="110">
        <f t="shared" si="19"/>
        <v>830.21946989946662</v>
      </c>
      <c r="J62" s="110">
        <f t="shared" si="19"/>
        <v>570.40598519791547</v>
      </c>
      <c r="K62" s="110">
        <f t="shared" si="19"/>
        <v>830.21946989946662</v>
      </c>
      <c r="L62" s="110">
        <f t="shared" si="19"/>
        <v>570.40598519791547</v>
      </c>
      <c r="M62" s="110">
        <f t="shared" si="19"/>
        <v>830.21946989946662</v>
      </c>
      <c r="N62" s="110">
        <f t="shared" si="19"/>
        <v>570.40598519791547</v>
      </c>
      <c r="O62" s="110">
        <f t="shared" si="19"/>
        <v>830.21946989946662</v>
      </c>
      <c r="P62" s="110">
        <f t="shared" si="19"/>
        <v>570.40598519791547</v>
      </c>
      <c r="Q62" s="110">
        <f t="shared" si="19"/>
        <v>830.21946989946662</v>
      </c>
      <c r="R62" s="110">
        <f t="shared" si="19"/>
        <v>570.40598519791547</v>
      </c>
      <c r="S62" s="110">
        <f t="shared" si="19"/>
        <v>830.21946989946662</v>
      </c>
      <c r="T62" s="110">
        <f t="shared" si="19"/>
        <v>570.40598519791547</v>
      </c>
      <c r="U62" s="110">
        <f t="shared" si="19"/>
        <v>664.18066635573314</v>
      </c>
      <c r="V62" s="110">
        <f t="shared" si="19"/>
        <v>404.36718165418199</v>
      </c>
      <c r="W62" s="110">
        <f t="shared" si="19"/>
        <v>664.18066635573314</v>
      </c>
      <c r="X62" s="110">
        <f t="shared" si="19"/>
        <v>0</v>
      </c>
      <c r="Y62" s="110">
        <f t="shared" si="19"/>
        <v>1234.5866515536491</v>
      </c>
      <c r="Z62" s="110">
        <f t="shared" si="19"/>
        <v>830.21946989946662</v>
      </c>
      <c r="AA62" s="110">
        <f t="shared" si="19"/>
        <v>570.40598519791547</v>
      </c>
      <c r="AB62" s="110">
        <f t="shared" si="19"/>
        <v>0</v>
      </c>
      <c r="AC62" s="110">
        <f t="shared" si="19"/>
        <v>1400.6254550973822</v>
      </c>
      <c r="AD62" s="110">
        <f t="shared" si="19"/>
        <v>830.21946989946662</v>
      </c>
      <c r="AE62" s="110">
        <f t="shared" si="19"/>
        <v>570.40598519791547</v>
      </c>
      <c r="AF62" s="110">
        <f t="shared" si="19"/>
        <v>830.21946989946662</v>
      </c>
      <c r="AG62" s="110">
        <f t="shared" si="19"/>
        <v>570.40598519791547</v>
      </c>
      <c r="AH62" s="110">
        <f t="shared" si="19"/>
        <v>830.21946989946662</v>
      </c>
      <c r="AI62" s="110">
        <f t="shared" si="19"/>
        <v>570.40598519791547</v>
      </c>
      <c r="AJ62" s="110">
        <f t="shared" si="19"/>
        <v>830.21946989946662</v>
      </c>
      <c r="AK62" s="110">
        <f t="shared" si="19"/>
        <v>570.40598519791547</v>
      </c>
      <c r="AL62" s="110">
        <f t="shared" si="19"/>
        <v>0</v>
      </c>
      <c r="AM62" s="110">
        <f t="shared" si="19"/>
        <v>1400.6254550973822</v>
      </c>
      <c r="AN62" s="110">
        <f t="shared" si="19"/>
        <v>830.21946989946662</v>
      </c>
      <c r="AO62" s="110">
        <f t="shared" si="19"/>
        <v>736.44478874164906</v>
      </c>
      <c r="AP62" s="110">
        <f t="shared" si="19"/>
        <v>996.25827344320021</v>
      </c>
      <c r="AQ62" s="110">
        <f t="shared" si="19"/>
        <v>0</v>
      </c>
      <c r="AR62" s="110">
        <f t="shared" si="19"/>
        <v>1656.536703861309</v>
      </c>
      <c r="AS62" s="110">
        <f t="shared" si="19"/>
        <v>830.21946989946662</v>
      </c>
      <c r="AT62" s="110">
        <f t="shared" si="19"/>
        <v>570.40598519791547</v>
      </c>
      <c r="AU62" s="110">
        <f t="shared" si="19"/>
        <v>830.21946989946662</v>
      </c>
      <c r="AV62" s="110">
        <f t="shared" si="19"/>
        <v>570.40598519791547</v>
      </c>
      <c r="AW62" s="110">
        <f t="shared" si="19"/>
        <v>830.21946989946662</v>
      </c>
      <c r="AX62" s="110">
        <f t="shared" si="19"/>
        <v>570.40598519791547</v>
      </c>
      <c r="AY62" s="110">
        <f t="shared" si="19"/>
        <v>830.21946989946662</v>
      </c>
    </row>
    <row r="63" spans="1:52">
      <c r="A63" s="110"/>
      <c r="B63" s="165" t="s">
        <v>349</v>
      </c>
      <c r="C63" s="110"/>
      <c r="D63" s="110">
        <v>1</v>
      </c>
      <c r="E63" s="110">
        <v>2</v>
      </c>
      <c r="F63" s="110">
        <v>1</v>
      </c>
      <c r="G63" s="110">
        <v>3</v>
      </c>
      <c r="H63" s="110">
        <v>1</v>
      </c>
      <c r="I63" s="110">
        <v>2</v>
      </c>
      <c r="J63" s="110">
        <v>1</v>
      </c>
      <c r="K63" s="110">
        <v>1</v>
      </c>
      <c r="L63" s="110">
        <v>1</v>
      </c>
      <c r="M63" s="110">
        <v>2</v>
      </c>
      <c r="N63" s="110">
        <v>1</v>
      </c>
      <c r="O63" s="110">
        <v>1</v>
      </c>
      <c r="P63" s="110">
        <v>1</v>
      </c>
      <c r="Q63" s="110">
        <v>1</v>
      </c>
      <c r="R63" s="110">
        <v>2</v>
      </c>
      <c r="S63" s="110">
        <v>1</v>
      </c>
      <c r="T63" s="110">
        <v>1</v>
      </c>
      <c r="U63" s="110">
        <v>1</v>
      </c>
      <c r="V63" s="110">
        <v>1</v>
      </c>
      <c r="W63" s="110">
        <v>1</v>
      </c>
      <c r="X63" s="110">
        <v>2</v>
      </c>
      <c r="Y63" s="110">
        <v>1</v>
      </c>
      <c r="Z63" s="110">
        <v>2</v>
      </c>
      <c r="AA63" s="110">
        <v>1</v>
      </c>
      <c r="AB63" s="110">
        <v>2</v>
      </c>
      <c r="AC63" s="110">
        <v>1</v>
      </c>
      <c r="AD63" s="110">
        <v>3</v>
      </c>
      <c r="AE63" s="110">
        <v>3</v>
      </c>
      <c r="AF63" s="110">
        <v>1</v>
      </c>
      <c r="AG63" s="110">
        <v>1</v>
      </c>
      <c r="AH63" s="110">
        <v>2</v>
      </c>
      <c r="AI63" s="110">
        <v>1</v>
      </c>
      <c r="AJ63" s="110">
        <v>2</v>
      </c>
      <c r="AK63" s="110">
        <v>1</v>
      </c>
      <c r="AL63" s="110">
        <v>1</v>
      </c>
      <c r="AM63" s="110">
        <v>1</v>
      </c>
      <c r="AN63" s="110">
        <v>1</v>
      </c>
      <c r="AO63" s="110">
        <v>2</v>
      </c>
      <c r="AP63" s="110">
        <v>2</v>
      </c>
      <c r="AQ63" s="110">
        <v>1</v>
      </c>
      <c r="AR63" s="110">
        <v>1</v>
      </c>
      <c r="AS63" s="110">
        <v>1</v>
      </c>
      <c r="AT63" s="110">
        <v>1</v>
      </c>
      <c r="AU63" s="110">
        <v>2</v>
      </c>
      <c r="AV63" s="110">
        <v>1</v>
      </c>
      <c r="AW63" s="110">
        <v>3</v>
      </c>
      <c r="AX63" s="110">
        <v>2</v>
      </c>
      <c r="AY63" s="110">
        <v>1</v>
      </c>
    </row>
    <row r="64" spans="1:52">
      <c r="A64" s="110"/>
      <c r="B64" s="178" t="s">
        <v>350</v>
      </c>
      <c r="C64" s="110"/>
      <c r="D64" s="110">
        <v>267300</v>
      </c>
      <c r="E64" s="110">
        <v>0</v>
      </c>
      <c r="F64" s="110">
        <v>267300</v>
      </c>
      <c r="G64" s="110">
        <v>0</v>
      </c>
      <c r="H64" s="110">
        <v>267300</v>
      </c>
      <c r="I64" s="110">
        <v>0</v>
      </c>
      <c r="J64" s="110">
        <v>267300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267300</v>
      </c>
      <c r="AJ64" s="110">
        <v>0</v>
      </c>
      <c r="AK64" s="110">
        <v>267300</v>
      </c>
      <c r="AL64" s="110">
        <v>0</v>
      </c>
      <c r="AM64" s="110">
        <v>267300</v>
      </c>
      <c r="AN64" s="110">
        <v>0</v>
      </c>
      <c r="AO64" s="110">
        <v>267300</v>
      </c>
      <c r="AP64" s="110">
        <v>0</v>
      </c>
      <c r="AQ64" s="110">
        <v>0</v>
      </c>
      <c r="AR64" s="110">
        <v>267300</v>
      </c>
      <c r="AS64" s="110">
        <v>0</v>
      </c>
      <c r="AT64" s="110">
        <v>267300</v>
      </c>
      <c r="AU64" s="110">
        <v>0</v>
      </c>
      <c r="AV64" s="110">
        <v>267300</v>
      </c>
      <c r="AW64" s="110">
        <v>0</v>
      </c>
      <c r="AX64" s="110">
        <v>267300</v>
      </c>
      <c r="AY64" s="110">
        <v>0</v>
      </c>
      <c r="AZ64" s="100">
        <f>SUM($D$64:$AY$64)</f>
        <v>6147900</v>
      </c>
    </row>
    <row r="65" spans="1:52">
      <c r="A65" s="125"/>
      <c r="B65" s="140" t="s">
        <v>351</v>
      </c>
      <c r="C65" s="125"/>
      <c r="D65" s="125">
        <v>410375.74353842606</v>
      </c>
      <c r="E65" s="125">
        <v>0</v>
      </c>
      <c r="F65" s="125">
        <v>780533.22872314171</v>
      </c>
      <c r="G65" s="125">
        <v>462660.36436157086</v>
      </c>
      <c r="H65" s="125">
        <v>317872.86436157086</v>
      </c>
      <c r="I65" s="125">
        <v>462660.36436157086</v>
      </c>
      <c r="J65" s="125">
        <v>317872.86436157086</v>
      </c>
      <c r="K65" s="125">
        <v>462660.36436157086</v>
      </c>
      <c r="L65" s="125">
        <v>317872.86436157086</v>
      </c>
      <c r="M65" s="125">
        <v>462660.36436157086</v>
      </c>
      <c r="N65" s="125">
        <v>317872.86436157086</v>
      </c>
      <c r="O65" s="125">
        <v>462660.36436157086</v>
      </c>
      <c r="P65" s="125">
        <v>317872.86436157086</v>
      </c>
      <c r="Q65" s="125">
        <v>462660.36436157086</v>
      </c>
      <c r="R65" s="125">
        <v>317872.86436157086</v>
      </c>
      <c r="S65" s="125">
        <v>462660.36436157086</v>
      </c>
      <c r="T65" s="125">
        <v>317872.86436157086</v>
      </c>
      <c r="U65" s="125">
        <v>370131.12826089823</v>
      </c>
      <c r="V65" s="125">
        <v>225343.62826089826</v>
      </c>
      <c r="W65" s="125">
        <v>370131.12826089823</v>
      </c>
      <c r="X65" s="125">
        <v>0</v>
      </c>
      <c r="Y65" s="125">
        <v>688003.9926224692</v>
      </c>
      <c r="Z65" s="125">
        <v>462660.36436157086</v>
      </c>
      <c r="AA65" s="125">
        <v>317872.86436157086</v>
      </c>
      <c r="AB65" s="125">
        <v>0</v>
      </c>
      <c r="AC65" s="125">
        <v>780533.22872314171</v>
      </c>
      <c r="AD65" s="125">
        <v>462660.36436157086</v>
      </c>
      <c r="AE65" s="125">
        <v>317872.86436157086</v>
      </c>
      <c r="AF65" s="125">
        <v>462660.36436157086</v>
      </c>
      <c r="AG65" s="125">
        <v>317872.86436157086</v>
      </c>
      <c r="AH65" s="125">
        <v>462660.36436157086</v>
      </c>
      <c r="AI65" s="125">
        <v>317872.86436157086</v>
      </c>
      <c r="AJ65" s="125">
        <v>462660.36436157086</v>
      </c>
      <c r="AK65" s="125">
        <v>317872.86436157086</v>
      </c>
      <c r="AL65" s="125">
        <v>0</v>
      </c>
      <c r="AM65" s="125">
        <v>780533.22872314171</v>
      </c>
      <c r="AN65" s="125">
        <v>462660.36436157086</v>
      </c>
      <c r="AO65" s="125">
        <v>410402.10046224354</v>
      </c>
      <c r="AP65" s="125">
        <v>555189.60046224354</v>
      </c>
      <c r="AQ65" s="125">
        <v>0</v>
      </c>
      <c r="AR65" s="125">
        <v>923146.11108746438</v>
      </c>
      <c r="AS65" s="125">
        <v>462660.36436157086</v>
      </c>
      <c r="AT65" s="125">
        <v>317872.86436157086</v>
      </c>
      <c r="AU65" s="125">
        <v>462660.36436157086</v>
      </c>
      <c r="AV65" s="125">
        <v>317872.86436157086</v>
      </c>
      <c r="AW65" s="125">
        <v>462660.36436157086</v>
      </c>
      <c r="AX65" s="125">
        <v>317872.86436157086</v>
      </c>
      <c r="AY65" s="125">
        <v>462660.36436157086</v>
      </c>
      <c r="AZ65" s="100">
        <f>SUM($D$65:$AY$65)</f>
        <v>18927642.278695229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1600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80.000000000000014</v>
      </c>
      <c r="E9" s="117">
        <v>80.000000000000014</v>
      </c>
      <c r="F9" s="117">
        <v>80.000000000000014</v>
      </c>
      <c r="G9" s="117">
        <v>80.000000000000014</v>
      </c>
      <c r="H9" s="117">
        <v>180.00000000000003</v>
      </c>
      <c r="I9" s="117">
        <v>180.00000000000003</v>
      </c>
      <c r="J9" s="117">
        <v>180.00000000000003</v>
      </c>
      <c r="K9" s="117">
        <v>180.00000000000003</v>
      </c>
      <c r="L9" s="117">
        <v>150.00000000000003</v>
      </c>
      <c r="M9" s="117">
        <v>150.00000000000003</v>
      </c>
      <c r="N9" s="117">
        <v>150.00000000000003</v>
      </c>
      <c r="O9" s="117">
        <v>150.00000000000003</v>
      </c>
      <c r="P9" s="117">
        <v>150.00000000000003</v>
      </c>
      <c r="Q9" s="117">
        <v>150.00000000000003</v>
      </c>
      <c r="R9" s="117">
        <v>150.00000000000003</v>
      </c>
      <c r="S9" s="117">
        <v>150.00000000000003</v>
      </c>
      <c r="T9" s="117">
        <v>150.00000000000003</v>
      </c>
      <c r="U9" s="117">
        <v>150.00000000000003</v>
      </c>
      <c r="V9" s="117">
        <v>150.00000000000003</v>
      </c>
      <c r="W9" s="117">
        <v>150.00000000000003</v>
      </c>
      <c r="X9" s="117">
        <v>120.00000000000003</v>
      </c>
      <c r="Y9" s="117">
        <v>120.00000000000003</v>
      </c>
      <c r="Z9" s="117">
        <v>120.00000000000003</v>
      </c>
      <c r="AA9" s="117">
        <v>120.00000000000003</v>
      </c>
      <c r="AB9" s="117">
        <v>3.6889098949023607E-20</v>
      </c>
      <c r="AC9" s="117">
        <v>3.6889098949023607E-20</v>
      </c>
      <c r="AD9" s="117">
        <v>3.6889098949023607E-20</v>
      </c>
      <c r="AE9" s="117">
        <v>3.6889098949023607E-20</v>
      </c>
      <c r="AF9" s="117">
        <v>150.00000000000003</v>
      </c>
      <c r="AG9" s="117">
        <v>150.00000000000003</v>
      </c>
      <c r="AH9" s="117">
        <v>150.00000000000003</v>
      </c>
      <c r="AI9" s="117">
        <v>150.00000000000003</v>
      </c>
      <c r="AJ9" s="117">
        <v>180.00000000000003</v>
      </c>
      <c r="AK9" s="117">
        <v>180.00000000000003</v>
      </c>
      <c r="AL9" s="117">
        <v>180.00000000000003</v>
      </c>
      <c r="AM9" s="117">
        <v>180.00000000000003</v>
      </c>
      <c r="AN9" s="117">
        <v>150.00000000000003</v>
      </c>
      <c r="AO9" s="117">
        <v>150.00000000000003</v>
      </c>
      <c r="AP9" s="117">
        <v>150.00000000000003</v>
      </c>
      <c r="AQ9" s="117">
        <v>150.00000000000003</v>
      </c>
      <c r="AR9" s="117">
        <v>180.00000000000003</v>
      </c>
      <c r="AS9" s="117">
        <v>180.00000000000003</v>
      </c>
      <c r="AT9" s="117">
        <v>180.00000000000003</v>
      </c>
      <c r="AU9" s="117">
        <v>180.00000000000003</v>
      </c>
      <c r="AV9" s="117">
        <v>150.00000000000003</v>
      </c>
      <c r="AW9" s="117">
        <v>150.00000000000003</v>
      </c>
      <c r="AX9" s="117">
        <v>150.00000000000003</v>
      </c>
      <c r="AY9" s="117">
        <v>150.00000000000003</v>
      </c>
    </row>
    <row r="10" spans="1:54">
      <c r="A10" s="118" t="s">
        <v>133</v>
      </c>
      <c r="B10" s="119">
        <v>1</v>
      </c>
      <c r="C10" s="106" t="s">
        <v>293</v>
      </c>
      <c r="D10" s="100">
        <v>181.0301661110928</v>
      </c>
      <c r="E10" s="100">
        <v>67.61498109589887</v>
      </c>
      <c r="F10" s="100">
        <v>113.78573438528754</v>
      </c>
      <c r="G10" s="100">
        <v>113.78573438528753</v>
      </c>
      <c r="H10" s="100">
        <v>170.13451495430235</v>
      </c>
      <c r="I10" s="100">
        <v>170.13451495430232</v>
      </c>
      <c r="J10" s="100">
        <v>170.13451495430235</v>
      </c>
      <c r="K10" s="100">
        <v>113.78573438528753</v>
      </c>
      <c r="L10" s="100">
        <v>170.13451495430235</v>
      </c>
      <c r="M10" s="100">
        <v>113.78573438528753</v>
      </c>
      <c r="N10" s="100">
        <v>113.78573438528754</v>
      </c>
      <c r="O10" s="100">
        <v>113.78573438528753</v>
      </c>
      <c r="P10" s="100">
        <v>170.13451495430235</v>
      </c>
      <c r="Q10" s="100">
        <v>170.13451495430232</v>
      </c>
      <c r="R10" s="100">
        <v>170.13451495430235</v>
      </c>
      <c r="S10" s="100">
        <v>170.13451495430232</v>
      </c>
      <c r="T10" s="100">
        <v>170.13451495430235</v>
      </c>
      <c r="U10" s="100">
        <v>113.78573438528753</v>
      </c>
      <c r="V10" s="100">
        <v>113.78573438528754</v>
      </c>
      <c r="W10" s="100">
        <v>45.079369954059523</v>
      </c>
      <c r="X10" s="100">
        <v>158.86510433934706</v>
      </c>
      <c r="Y10" s="100">
        <v>113.78573438528753</v>
      </c>
      <c r="Z10" s="100">
        <v>215.21388490836185</v>
      </c>
      <c r="AA10" s="100">
        <v>113.78573438528753</v>
      </c>
      <c r="AB10" s="100">
        <v>113.78573438528754</v>
      </c>
      <c r="AC10" s="100">
        <v>113.78573438528753</v>
      </c>
      <c r="AD10" s="100">
        <v>113.78573438528754</v>
      </c>
      <c r="AE10" s="100">
        <v>56.348780569014792</v>
      </c>
      <c r="AF10" s="100">
        <v>113.78573438528814</v>
      </c>
      <c r="AG10" s="100">
        <v>113.78573438528753</v>
      </c>
      <c r="AH10" s="100">
        <v>113.78573438528754</v>
      </c>
      <c r="AI10" s="100">
        <v>113.78573438528753</v>
      </c>
      <c r="AJ10" s="100">
        <v>170.13451495430235</v>
      </c>
      <c r="AK10" s="100">
        <v>56.348780569014792</v>
      </c>
      <c r="AL10" s="100">
        <v>113.78573438528754</v>
      </c>
      <c r="AM10" s="100">
        <v>113.78573438528753</v>
      </c>
      <c r="AN10" s="100">
        <v>113.78573438528754</v>
      </c>
      <c r="AO10" s="100">
        <v>113.78573438528753</v>
      </c>
      <c r="AP10" s="100">
        <v>181.40392556925764</v>
      </c>
      <c r="AQ10" s="100">
        <v>0</v>
      </c>
      <c r="AR10" s="100">
        <v>113.78573438528754</v>
      </c>
      <c r="AS10" s="100">
        <v>243.85254224007656</v>
      </c>
      <c r="AT10" s="100">
        <v>170.13451495430235</v>
      </c>
      <c r="AU10" s="100">
        <v>56.348780569014792</v>
      </c>
      <c r="AV10" s="100">
        <v>113.78573438528754</v>
      </c>
      <c r="AW10" s="100">
        <v>170.13451495430232</v>
      </c>
      <c r="AX10" s="100">
        <v>170.13451495430235</v>
      </c>
      <c r="AY10" s="100">
        <v>170.13451495430232</v>
      </c>
      <c r="AZ10" s="100">
        <v>113.78573438528754</v>
      </c>
    </row>
    <row r="11" spans="1:54">
      <c r="B11" s="119">
        <v>2</v>
      </c>
      <c r="C11" s="106" t="s">
        <v>293</v>
      </c>
      <c r="G11" s="100">
        <v>0</v>
      </c>
      <c r="H11" s="100">
        <v>112.69756113802958</v>
      </c>
      <c r="I11" s="100">
        <v>0</v>
      </c>
      <c r="K11" s="100">
        <v>0</v>
      </c>
      <c r="L11" s="100">
        <v>56.348780569014792</v>
      </c>
      <c r="N11" s="100">
        <v>56.348780569014792</v>
      </c>
      <c r="O11" s="100">
        <v>56.348780569014792</v>
      </c>
      <c r="Q11" s="100">
        <v>0</v>
      </c>
      <c r="U11" s="100">
        <v>0</v>
      </c>
      <c r="W11" s="100">
        <v>45.079369954059523</v>
      </c>
      <c r="X11" s="100">
        <v>113.78573438528753</v>
      </c>
      <c r="Y11" s="100">
        <v>0</v>
      </c>
      <c r="Z11" s="100">
        <v>0</v>
      </c>
      <c r="AB11" s="100">
        <v>56.348780569014792</v>
      </c>
      <c r="AC11" s="100">
        <v>56.348780569014792</v>
      </c>
      <c r="AE11" s="100">
        <v>112.69756113802958</v>
      </c>
      <c r="AH11" s="100">
        <v>56.348780569014792</v>
      </c>
      <c r="AI11" s="100">
        <v>56.348780569014792</v>
      </c>
      <c r="AJ11" s="100">
        <v>56.348780569014792</v>
      </c>
      <c r="AK11" s="100">
        <v>0</v>
      </c>
      <c r="AL11" s="100">
        <v>113.78573438528753</v>
      </c>
      <c r="AM11" s="100">
        <v>56.348780569014792</v>
      </c>
      <c r="AO11" s="100">
        <v>112.69756113802958</v>
      </c>
      <c r="AP11" s="100">
        <v>56.348780569014792</v>
      </c>
      <c r="AR11" s="100">
        <v>67.618191183970083</v>
      </c>
      <c r="AS11" s="100">
        <v>0</v>
      </c>
      <c r="AU11" s="100">
        <v>0</v>
      </c>
      <c r="AV11" s="100">
        <v>113.78573438528753</v>
      </c>
      <c r="AW11" s="100">
        <v>56.348780569014792</v>
      </c>
      <c r="BA11" s="100">
        <v>56.348780569014792</v>
      </c>
    </row>
    <row r="12" spans="1:54">
      <c r="B12" s="120">
        <v>3</v>
      </c>
      <c r="C12" s="106" t="s">
        <v>293</v>
      </c>
      <c r="E12" s="100">
        <v>68.527285854345763</v>
      </c>
      <c r="G12" s="100">
        <v>113.78573438528774</v>
      </c>
      <c r="H12" s="100">
        <v>0</v>
      </c>
      <c r="N12" s="100">
        <v>0</v>
      </c>
      <c r="Q12" s="100">
        <v>56.348780569014792</v>
      </c>
      <c r="T12" s="100">
        <v>0</v>
      </c>
      <c r="W12" s="100">
        <v>56.348780569014792</v>
      </c>
      <c r="AH12" s="100">
        <v>56.348780569014792</v>
      </c>
      <c r="AS12" s="100">
        <v>113.78573438528753</v>
      </c>
      <c r="AX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50.721291110801914</v>
      </c>
      <c r="E14" s="117">
        <f t="shared" ref="E14:AZ14" si="0">D$172*SUM(D$122:D$169)</f>
        <v>77.277654598110487</v>
      </c>
      <c r="F14" s="117">
        <f t="shared" si="0"/>
        <v>65.26417894711895</v>
      </c>
      <c r="G14" s="117">
        <f t="shared" si="0"/>
        <v>47.410653396983264</v>
      </c>
      <c r="H14" s="117">
        <f t="shared" si="0"/>
        <v>94.81517366609711</v>
      </c>
      <c r="I14" s="117">
        <f t="shared" si="0"/>
        <v>124.09521365590162</v>
      </c>
      <c r="J14" s="117">
        <f t="shared" si="0"/>
        <v>97.369273940474216</v>
      </c>
      <c r="K14" s="117">
        <f t="shared" si="0"/>
        <v>79.7735321590213</v>
      </c>
      <c r="L14" s="117">
        <f t="shared" si="0"/>
        <v>56.566769499222069</v>
      </c>
      <c r="M14" s="117">
        <f t="shared" si="0"/>
        <v>96.07258548799993</v>
      </c>
      <c r="N14" s="117">
        <f t="shared" si="0"/>
        <v>49.444045646614128</v>
      </c>
      <c r="O14" s="117">
        <f t="shared" si="0"/>
        <v>71.741619442491597</v>
      </c>
      <c r="P14" s="117">
        <f t="shared" si="0"/>
        <v>71.741619442491597</v>
      </c>
      <c r="Q14" s="117">
        <f t="shared" si="0"/>
        <v>75.28915747187169</v>
      </c>
      <c r="R14" s="117">
        <f t="shared" si="0"/>
        <v>96.07258548799993</v>
      </c>
      <c r="S14" s="117">
        <f t="shared" si="0"/>
        <v>71.741619442491597</v>
      </c>
      <c r="T14" s="117">
        <f t="shared" si="0"/>
        <v>71.741619442491597</v>
      </c>
      <c r="U14" s="117">
        <f t="shared" si="0"/>
        <v>79.844139679324641</v>
      </c>
      <c r="V14" s="117">
        <f t="shared" si="0"/>
        <v>47.410653396983271</v>
      </c>
      <c r="W14" s="117">
        <f t="shared" si="0"/>
        <v>47.410653396983264</v>
      </c>
      <c r="X14" s="117">
        <f t="shared" si="0"/>
        <v>63.266943213632217</v>
      </c>
      <c r="Y14" s="117">
        <f t="shared" si="0"/>
        <v>116.8710200693984</v>
      </c>
      <c r="Z14" s="117">
        <f t="shared" si="0"/>
        <v>69.921707320190905</v>
      </c>
      <c r="AA14" s="117">
        <f t="shared" si="0"/>
        <v>91.206541462618759</v>
      </c>
      <c r="AB14" s="117">
        <f t="shared" si="0"/>
        <v>58.544541679471912</v>
      </c>
      <c r="AC14" s="117">
        <f t="shared" si="0"/>
        <v>71.741619442491597</v>
      </c>
      <c r="AD14" s="117">
        <f t="shared" si="0"/>
        <v>75.979821778979726</v>
      </c>
      <c r="AE14" s="117">
        <f t="shared" si="0"/>
        <v>54.698943159883811</v>
      </c>
      <c r="AF14" s="117">
        <f t="shared" si="0"/>
        <v>72.999031264394517</v>
      </c>
      <c r="AG14" s="117">
        <f t="shared" si="0"/>
        <v>47.410653396983513</v>
      </c>
      <c r="AH14" s="117">
        <f t="shared" si="0"/>
        <v>47.410653396983271</v>
      </c>
      <c r="AI14" s="117">
        <f t="shared" si="0"/>
        <v>96.07258548799993</v>
      </c>
      <c r="AJ14" s="117">
        <f t="shared" si="0"/>
        <v>84.339773651810191</v>
      </c>
      <c r="AK14" s="117">
        <f t="shared" si="0"/>
        <v>107.96044518478722</v>
      </c>
      <c r="AL14" s="117">
        <f t="shared" si="0"/>
        <v>45.936696926185981</v>
      </c>
      <c r="AM14" s="117">
        <f t="shared" si="0"/>
        <v>94.815173666096996</v>
      </c>
      <c r="AN14" s="117">
        <f t="shared" si="0"/>
        <v>71.741619442491611</v>
      </c>
      <c r="AO14" s="117">
        <f t="shared" si="0"/>
        <v>47.410653396983271</v>
      </c>
      <c r="AP14" s="117">
        <f t="shared" si="0"/>
        <v>96.07258548799993</v>
      </c>
      <c r="AQ14" s="117">
        <f t="shared" si="0"/>
        <v>113.75824460645941</v>
      </c>
      <c r="AR14" s="117">
        <f t="shared" si="0"/>
        <v>6.1331278695378241E-3</v>
      </c>
      <c r="AS14" s="117">
        <f t="shared" si="0"/>
        <v>76.60766346787274</v>
      </c>
      <c r="AT14" s="117">
        <f t="shared" si="0"/>
        <v>156.16348581934787</v>
      </c>
      <c r="AU14" s="117">
        <f t="shared" si="0"/>
        <v>102.49271532421693</v>
      </c>
      <c r="AV14" s="117">
        <f t="shared" si="0"/>
        <v>33.023585415500023</v>
      </c>
      <c r="AW14" s="117">
        <f t="shared" si="0"/>
        <v>94.815173666096996</v>
      </c>
      <c r="AX14" s="117">
        <f t="shared" si="0"/>
        <v>96.07258548799993</v>
      </c>
      <c r="AY14" s="117">
        <f t="shared" si="0"/>
        <v>79.801295785301122</v>
      </c>
      <c r="AZ14" s="110">
        <f t="shared" si="0"/>
        <v>71.741619442491597</v>
      </c>
      <c r="BA14" s="107">
        <f>SUM($E14:$AZ14)</f>
        <v>3659.9662597732122</v>
      </c>
    </row>
    <row r="15" spans="1:54">
      <c r="A15" s="122" t="s">
        <v>123</v>
      </c>
      <c r="B15" s="123">
        <v>1</v>
      </c>
      <c r="C15" s="124" t="s">
        <v>293</v>
      </c>
      <c r="D15" s="124">
        <v>192.35150567888965</v>
      </c>
      <c r="E15" s="124">
        <v>72.685978596750132</v>
      </c>
      <c r="F15" s="124">
        <v>118.00967062932415</v>
      </c>
      <c r="G15" s="124">
        <v>118.00967062932416</v>
      </c>
      <c r="H15" s="124">
        <v>178.57178237837689</v>
      </c>
      <c r="I15" s="124">
        <v>178.57178237837689</v>
      </c>
      <c r="J15" s="124">
        <v>178.57178237837689</v>
      </c>
      <c r="K15" s="124">
        <v>118.00967062932416</v>
      </c>
      <c r="L15" s="124">
        <v>178.57178237837689</v>
      </c>
      <c r="M15" s="124">
        <v>118.00967062932416</v>
      </c>
      <c r="N15" s="124">
        <v>118.00967062932415</v>
      </c>
      <c r="O15" s="124">
        <v>118.00967062932416</v>
      </c>
      <c r="P15" s="124">
        <v>178.57178237837689</v>
      </c>
      <c r="Q15" s="124">
        <v>178.57178237837689</v>
      </c>
      <c r="R15" s="124">
        <v>178.57178237837689</v>
      </c>
      <c r="S15" s="124">
        <v>178.57178237837689</v>
      </c>
      <c r="T15" s="124">
        <v>178.57178237837689</v>
      </c>
      <c r="U15" s="124">
        <v>118.00967062932416</v>
      </c>
      <c r="V15" s="124">
        <v>118.00967062932415</v>
      </c>
      <c r="W15" s="124">
        <v>48.46532667627622</v>
      </c>
      <c r="X15" s="124">
        <v>166.45973136117746</v>
      </c>
      <c r="Y15" s="124">
        <v>118.00967062932416</v>
      </c>
      <c r="Z15" s="124">
        <v>227.02184311023018</v>
      </c>
      <c r="AA15" s="124">
        <v>118.00967062932416</v>
      </c>
      <c r="AB15" s="124">
        <v>118.00967062932415</v>
      </c>
      <c r="AC15" s="124">
        <v>118.00967062932416</v>
      </c>
      <c r="AD15" s="124">
        <v>118.00967062932415</v>
      </c>
      <c r="AE15" s="124">
        <v>60.57737769347564</v>
      </c>
      <c r="AF15" s="124">
        <v>118.00967062932477</v>
      </c>
      <c r="AG15" s="124">
        <v>118.00967062932416</v>
      </c>
      <c r="AH15" s="124">
        <v>118.00967062932415</v>
      </c>
      <c r="AI15" s="124">
        <v>118.00967062932416</v>
      </c>
      <c r="AJ15" s="124">
        <v>178.57178237837689</v>
      </c>
      <c r="AK15" s="124">
        <v>60.57737769347564</v>
      </c>
      <c r="AL15" s="124">
        <v>118.00967062932415</v>
      </c>
      <c r="AM15" s="124">
        <v>118.00967062932416</v>
      </c>
      <c r="AN15" s="124">
        <v>118.00967062932415</v>
      </c>
      <c r="AO15" s="124">
        <v>118.00967062932416</v>
      </c>
      <c r="AP15" s="124">
        <v>190.6838333955763</v>
      </c>
      <c r="AQ15" s="124">
        <v>1.5265944422899273E-2</v>
      </c>
      <c r="AR15" s="124">
        <v>118.00967062932415</v>
      </c>
      <c r="AS15" s="124">
        <v>257.8018803737138</v>
      </c>
      <c r="AT15" s="124">
        <v>178.57178237837689</v>
      </c>
      <c r="AU15" s="124">
        <v>60.57737769347564</v>
      </c>
      <c r="AV15" s="124">
        <v>118.00967062932415</v>
      </c>
      <c r="AW15" s="124">
        <v>178.57178237837689</v>
      </c>
      <c r="AX15" s="124">
        <v>178.57178237837689</v>
      </c>
      <c r="AY15" s="124">
        <v>178.57178237837689</v>
      </c>
      <c r="AZ15" s="100">
        <v>117.99440468490126</v>
      </c>
    </row>
    <row r="16" spans="1:54">
      <c r="A16" s="110"/>
      <c r="B16" s="119">
        <v>2</v>
      </c>
      <c r="C16" s="109" t="s">
        <v>293</v>
      </c>
      <c r="D16" s="106"/>
      <c r="E16" s="110"/>
      <c r="F16" s="110"/>
      <c r="G16" s="110">
        <v>0</v>
      </c>
      <c r="H16" s="110">
        <v>121.12422349810548</v>
      </c>
      <c r="I16" s="110">
        <v>0</v>
      </c>
      <c r="J16" s="110"/>
      <c r="K16" s="110">
        <v>0</v>
      </c>
      <c r="L16" s="110">
        <v>60.56211174905274</v>
      </c>
      <c r="M16" s="110"/>
      <c r="N16" s="110">
        <v>60.56211174905274</v>
      </c>
      <c r="O16" s="110">
        <v>60.56211174905274</v>
      </c>
      <c r="P16" s="110"/>
      <c r="Q16" s="110">
        <v>0</v>
      </c>
      <c r="R16" s="110"/>
      <c r="S16" s="110"/>
      <c r="T16" s="110"/>
      <c r="U16" s="110">
        <v>0</v>
      </c>
      <c r="V16" s="110"/>
      <c r="W16" s="110">
        <v>48.45006073185332</v>
      </c>
      <c r="X16" s="110">
        <v>117.99440468490127</v>
      </c>
      <c r="Y16" s="110">
        <v>0</v>
      </c>
      <c r="Z16" s="110">
        <v>0</v>
      </c>
      <c r="AA16" s="110"/>
      <c r="AB16" s="110">
        <v>60.56211174905274</v>
      </c>
      <c r="AC16" s="110">
        <v>60.56211174905274</v>
      </c>
      <c r="AD16" s="110"/>
      <c r="AE16" s="110">
        <v>121.12422349810548</v>
      </c>
      <c r="AF16" s="110"/>
      <c r="AG16" s="110"/>
      <c r="AH16" s="110">
        <v>60.56211174905274</v>
      </c>
      <c r="AI16" s="110">
        <v>60.56211174905274</v>
      </c>
      <c r="AJ16" s="110">
        <v>60.56211174905274</v>
      </c>
      <c r="AK16" s="110">
        <v>0</v>
      </c>
      <c r="AL16" s="110">
        <v>117.99440468490127</v>
      </c>
      <c r="AM16" s="110">
        <v>60.56211174905274</v>
      </c>
      <c r="AN16" s="110"/>
      <c r="AO16" s="110">
        <v>121.12422349810548</v>
      </c>
      <c r="AP16" s="110">
        <v>60.56211174905274</v>
      </c>
      <c r="AQ16" s="110"/>
      <c r="AR16" s="110">
        <v>72.674162766252167</v>
      </c>
      <c r="AS16" s="110">
        <v>0</v>
      </c>
      <c r="AT16" s="110"/>
      <c r="AU16" s="110">
        <v>0</v>
      </c>
      <c r="AV16" s="110">
        <v>117.99440468490127</v>
      </c>
      <c r="AW16" s="110">
        <v>60.56211174905274</v>
      </c>
      <c r="AX16" s="110"/>
      <c r="AY16" s="110"/>
      <c r="BA16" s="100">
        <v>60.56211174905274</v>
      </c>
    </row>
    <row r="17" spans="1:54">
      <c r="A17" s="110"/>
      <c r="B17" s="119">
        <v>3</v>
      </c>
      <c r="C17" s="109" t="s">
        <v>293</v>
      </c>
      <c r="D17" s="106"/>
      <c r="E17" s="110">
        <v>74.688981077161628</v>
      </c>
      <c r="F17" s="110"/>
      <c r="G17" s="110">
        <v>117.99440468490155</v>
      </c>
      <c r="H17" s="110">
        <v>0</v>
      </c>
      <c r="I17" s="110"/>
      <c r="J17" s="110"/>
      <c r="K17" s="110"/>
      <c r="L17" s="110"/>
      <c r="M17" s="110"/>
      <c r="N17" s="110">
        <v>0</v>
      </c>
      <c r="O17" s="110"/>
      <c r="P17" s="110"/>
      <c r="Q17" s="110">
        <v>60.56211174905274</v>
      </c>
      <c r="R17" s="110"/>
      <c r="S17" s="110"/>
      <c r="T17" s="110">
        <v>0</v>
      </c>
      <c r="U17" s="110"/>
      <c r="V17" s="110"/>
      <c r="W17" s="110">
        <v>60.56211174905274</v>
      </c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>
        <v>60.56211174905274</v>
      </c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>
        <v>117.99440468490127</v>
      </c>
      <c r="AT17" s="110"/>
      <c r="AU17" s="110"/>
      <c r="AV17" s="110"/>
      <c r="AW17" s="110"/>
      <c r="AX17" s="110">
        <v>0</v>
      </c>
      <c r="AY17" s="110"/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158.39209695467886</v>
      </c>
      <c r="D95" s="110">
        <v>80.000000000000014</v>
      </c>
      <c r="E95" s="110">
        <v>80.000000000000014</v>
      </c>
      <c r="F95" s="110">
        <v>80.000000000000014</v>
      </c>
      <c r="G95" s="110">
        <v>80.000000000000014</v>
      </c>
      <c r="H95" s="110">
        <v>180.00000000000003</v>
      </c>
      <c r="I95" s="110">
        <v>180.00000000000003</v>
      </c>
      <c r="J95" s="110">
        <v>180.00000000000003</v>
      </c>
      <c r="K95" s="110">
        <v>180.00000000000003</v>
      </c>
      <c r="L95" s="110">
        <v>150.00000000000003</v>
      </c>
      <c r="M95" s="110">
        <v>150.00000000000003</v>
      </c>
      <c r="N95" s="110">
        <v>150.00000000000003</v>
      </c>
      <c r="O95" s="110">
        <v>150.00000000000003</v>
      </c>
      <c r="P95" s="110">
        <v>150.00000000000003</v>
      </c>
      <c r="Q95" s="110">
        <v>150.00000000000003</v>
      </c>
      <c r="R95" s="110">
        <v>150.00000000000003</v>
      </c>
      <c r="S95" s="110">
        <v>150.00000000000003</v>
      </c>
      <c r="T95" s="110">
        <v>150.00000000000003</v>
      </c>
      <c r="U95" s="110">
        <v>150.00000000000003</v>
      </c>
      <c r="V95" s="110">
        <v>150.00000000000003</v>
      </c>
      <c r="W95" s="110">
        <v>150.00000000000003</v>
      </c>
      <c r="X95" s="110">
        <v>120.00000000000003</v>
      </c>
      <c r="Y95" s="110">
        <v>120.00000000000003</v>
      </c>
      <c r="Z95" s="110">
        <v>120.00000000000003</v>
      </c>
      <c r="AA95" s="110">
        <v>120.00000000000003</v>
      </c>
      <c r="AB95" s="110">
        <v>3.6889098949023607E-20</v>
      </c>
      <c r="AC95" s="110">
        <v>3.6889098949023607E-20</v>
      </c>
      <c r="AD95" s="110">
        <v>3.6889098949023607E-20</v>
      </c>
      <c r="AE95" s="110">
        <v>3.6889098949023607E-20</v>
      </c>
      <c r="AF95" s="110">
        <v>150.00000000000003</v>
      </c>
      <c r="AG95" s="110">
        <v>150.00000000000003</v>
      </c>
      <c r="AH95" s="110">
        <v>150.00000000000003</v>
      </c>
      <c r="AI95" s="110">
        <v>150.00000000000003</v>
      </c>
      <c r="AJ95" s="110">
        <v>180.00000000000003</v>
      </c>
      <c r="AK95" s="110">
        <v>180.00000000000003</v>
      </c>
      <c r="AL95" s="110">
        <v>180.00000000000003</v>
      </c>
      <c r="AM95" s="110">
        <v>180.00000000000003</v>
      </c>
      <c r="AN95" s="110">
        <v>150.00000000000003</v>
      </c>
      <c r="AO95" s="110">
        <v>150.00000000000003</v>
      </c>
      <c r="AP95" s="110">
        <v>150.00000000000003</v>
      </c>
      <c r="AQ95" s="110">
        <v>150.00000000000003</v>
      </c>
      <c r="AR95" s="110">
        <v>180.00000000000003</v>
      </c>
      <c r="AS95" s="110">
        <v>180.00000000000003</v>
      </c>
      <c r="AT95" s="110">
        <v>180.00000000000003</v>
      </c>
      <c r="AU95" s="110">
        <v>180.00000000000003</v>
      </c>
      <c r="AV95" s="110">
        <v>150.00000000000003</v>
      </c>
      <c r="AW95" s="110">
        <v>150.00000000000003</v>
      </c>
      <c r="AX95" s="110">
        <v>150.00000000000003</v>
      </c>
      <c r="AY95" s="110">
        <v>150.00000000000003</v>
      </c>
    </row>
    <row r="96" spans="1:52">
      <c r="A96" s="109"/>
      <c r="B96" s="120">
        <v>2</v>
      </c>
      <c r="C96" s="110">
        <v>158.39209695467886</v>
      </c>
      <c r="D96" s="110">
        <v>158.39209695467886</v>
      </c>
      <c r="E96" s="110">
        <v>80.000000000000014</v>
      </c>
      <c r="F96" s="110">
        <v>80.000000000000014</v>
      </c>
      <c r="G96" s="110">
        <v>80.000000000000014</v>
      </c>
      <c r="H96" s="110">
        <v>80.000000000000014</v>
      </c>
      <c r="I96" s="110">
        <v>180.00000000000003</v>
      </c>
      <c r="J96" s="110">
        <v>180.00000000000003</v>
      </c>
      <c r="K96" s="110">
        <v>180.00000000000003</v>
      </c>
      <c r="L96" s="110">
        <v>180.00000000000003</v>
      </c>
      <c r="M96" s="110">
        <v>150.00000000000003</v>
      </c>
      <c r="N96" s="110">
        <v>150.00000000000003</v>
      </c>
      <c r="O96" s="110">
        <v>150.00000000000003</v>
      </c>
      <c r="P96" s="110">
        <v>150.00000000000003</v>
      </c>
      <c r="Q96" s="110">
        <v>150.00000000000003</v>
      </c>
      <c r="R96" s="110">
        <v>150.00000000000003</v>
      </c>
      <c r="S96" s="110">
        <v>150.00000000000003</v>
      </c>
      <c r="T96" s="110">
        <v>150.00000000000003</v>
      </c>
      <c r="U96" s="110">
        <v>150.00000000000003</v>
      </c>
      <c r="V96" s="110">
        <v>150.00000000000003</v>
      </c>
      <c r="W96" s="110">
        <v>150.00000000000003</v>
      </c>
      <c r="X96" s="110">
        <v>150.00000000000003</v>
      </c>
      <c r="Y96" s="110">
        <v>120.00000000000003</v>
      </c>
      <c r="Z96" s="110">
        <v>120.00000000000003</v>
      </c>
      <c r="AA96" s="110">
        <v>120.00000000000003</v>
      </c>
      <c r="AB96" s="110">
        <v>120.00000000000003</v>
      </c>
      <c r="AC96" s="110">
        <v>3.6889098949023607E-20</v>
      </c>
      <c r="AD96" s="110">
        <v>3.6889098949023607E-20</v>
      </c>
      <c r="AE96" s="110">
        <v>1.2037062152420224E-35</v>
      </c>
      <c r="AF96" s="110">
        <v>0</v>
      </c>
      <c r="AG96" s="110">
        <v>24.000000000000028</v>
      </c>
      <c r="AH96" s="110">
        <v>5.6843418860808015E-14</v>
      </c>
      <c r="AI96" s="110">
        <v>22.000000000000085</v>
      </c>
      <c r="AJ96" s="110">
        <v>1.1368683772161603E-13</v>
      </c>
      <c r="AK96" s="110">
        <v>65.000000000000142</v>
      </c>
      <c r="AL96" s="110">
        <v>109.00000000000017</v>
      </c>
      <c r="AM96" s="110">
        <v>173.0000000000002</v>
      </c>
      <c r="AN96" s="110">
        <v>180.00000000000003</v>
      </c>
      <c r="AO96" s="110">
        <v>150.00000000000003</v>
      </c>
      <c r="AP96" s="110">
        <v>150.00000000000003</v>
      </c>
      <c r="AQ96" s="110">
        <v>150.00000000000003</v>
      </c>
      <c r="AR96" s="110">
        <v>150.00000000000003</v>
      </c>
      <c r="AS96" s="110">
        <v>180.00000000000003</v>
      </c>
      <c r="AT96" s="110">
        <v>180.00000000000003</v>
      </c>
      <c r="AU96" s="110">
        <v>180.00000000000003</v>
      </c>
      <c r="AV96" s="110">
        <v>180.00000000000003</v>
      </c>
      <c r="AW96" s="110">
        <v>150.00000000000003</v>
      </c>
      <c r="AX96" s="110">
        <v>150.00000000000003</v>
      </c>
      <c r="AY96" s="110">
        <v>150.00000000000003</v>
      </c>
    </row>
    <row r="97" spans="1:52">
      <c r="A97" s="109"/>
      <c r="B97" s="127">
        <v>3</v>
      </c>
      <c r="C97" s="110">
        <v>158.39209695467886</v>
      </c>
      <c r="D97" s="110">
        <v>158.39209695467886</v>
      </c>
      <c r="E97" s="110">
        <v>158.39209695467886</v>
      </c>
      <c r="F97" s="110">
        <v>80.000000000000014</v>
      </c>
      <c r="G97" s="110">
        <v>80.000000000000014</v>
      </c>
      <c r="H97" s="110">
        <v>66.784193909357768</v>
      </c>
      <c r="I97" s="110">
        <v>25.784193909357782</v>
      </c>
      <c r="J97" s="110">
        <v>91.784193909357811</v>
      </c>
      <c r="K97" s="110">
        <v>155.78419390935784</v>
      </c>
      <c r="L97" s="110">
        <v>180.00000000000003</v>
      </c>
      <c r="M97" s="110">
        <v>180.00000000000003</v>
      </c>
      <c r="N97" s="110">
        <v>150.00000000000003</v>
      </c>
      <c r="O97" s="110">
        <v>150.00000000000003</v>
      </c>
      <c r="P97" s="110">
        <v>150.00000000000003</v>
      </c>
      <c r="Q97" s="110">
        <v>150.00000000000003</v>
      </c>
      <c r="R97" s="110">
        <v>150.00000000000003</v>
      </c>
      <c r="S97" s="110">
        <v>150.00000000000003</v>
      </c>
      <c r="T97" s="110">
        <v>150.00000000000003</v>
      </c>
      <c r="U97" s="110">
        <v>150.00000000000003</v>
      </c>
      <c r="V97" s="110">
        <v>150.00000000000003</v>
      </c>
      <c r="W97" s="110">
        <v>150.00000000000003</v>
      </c>
      <c r="X97" s="110">
        <v>141.78419390935821</v>
      </c>
      <c r="Y97" s="110">
        <v>150.00000000000003</v>
      </c>
      <c r="Z97" s="110">
        <v>120.00000000000003</v>
      </c>
      <c r="AA97" s="110">
        <v>120.00000000000003</v>
      </c>
      <c r="AB97" s="110">
        <v>120.00000000000003</v>
      </c>
      <c r="AC97" s="110">
        <v>113.78419390935835</v>
      </c>
      <c r="AD97" s="110">
        <v>3.6889098949023607E-20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14.000000000000199</v>
      </c>
      <c r="AO97" s="110">
        <v>62.000000000000227</v>
      </c>
      <c r="AP97" s="110">
        <v>69.000000000000256</v>
      </c>
      <c r="AQ97" s="110">
        <v>49.000000000000284</v>
      </c>
      <c r="AR97" s="110">
        <v>23.000000000000313</v>
      </c>
      <c r="AS97" s="110">
        <v>11.000000000000341</v>
      </c>
      <c r="AT97" s="110">
        <v>32.000000000000369</v>
      </c>
      <c r="AU97" s="110">
        <v>93.000000000000398</v>
      </c>
      <c r="AV97" s="110">
        <v>93.000000000000426</v>
      </c>
      <c r="AW97" s="110">
        <v>119.00000000000045</v>
      </c>
      <c r="AX97" s="110">
        <v>104.00000000000048</v>
      </c>
      <c r="AY97" s="110">
        <v>72.000000000000512</v>
      </c>
    </row>
    <row r="98" spans="1:52">
      <c r="A98" s="109"/>
      <c r="B98" s="130">
        <v>4</v>
      </c>
      <c r="C98" s="106">
        <v>101.49824707650296</v>
      </c>
      <c r="D98" s="110">
        <v>135.89034403118183</v>
      </c>
      <c r="E98" s="110">
        <v>158.39209695467886</v>
      </c>
      <c r="F98" s="110">
        <v>134.78419390935773</v>
      </c>
      <c r="G98" s="110">
        <v>43.784193909357739</v>
      </c>
      <c r="H98" s="110">
        <v>0</v>
      </c>
      <c r="I98" s="110">
        <v>0</v>
      </c>
      <c r="J98" s="110">
        <v>0</v>
      </c>
      <c r="K98" s="110">
        <v>0</v>
      </c>
      <c r="L98" s="110">
        <v>31.784193909357839</v>
      </c>
      <c r="M98" s="110">
        <v>55.784193909357867</v>
      </c>
      <c r="N98" s="110">
        <v>109.7841939093579</v>
      </c>
      <c r="O98" s="110">
        <v>85.784193909357924</v>
      </c>
      <c r="P98" s="110">
        <v>49.784193909357953</v>
      </c>
      <c r="Q98" s="110">
        <v>13.784193909357981</v>
      </c>
      <c r="R98" s="110">
        <v>52.784193909358009</v>
      </c>
      <c r="S98" s="110">
        <v>66.784193909358038</v>
      </c>
      <c r="T98" s="110">
        <v>35.784193909358066</v>
      </c>
      <c r="U98" s="110">
        <v>60.784193909358095</v>
      </c>
      <c r="V98" s="110">
        <v>18.784193909358123</v>
      </c>
      <c r="W98" s="110">
        <v>1.7841939093581516</v>
      </c>
      <c r="X98" s="110">
        <v>0</v>
      </c>
      <c r="Y98" s="110">
        <v>18.784193909358208</v>
      </c>
      <c r="Z98" s="110">
        <v>46.784193909358237</v>
      </c>
      <c r="AA98" s="110">
        <v>17.784193909358265</v>
      </c>
      <c r="AB98" s="110">
        <v>15.784193909358294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6.8903440311818258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6.8903440311818258</v>
      </c>
    </row>
    <row r="100" spans="1:52">
      <c r="A100" s="131" t="s">
        <v>133</v>
      </c>
      <c r="B100" s="119">
        <v>1</v>
      </c>
      <c r="C100" s="106">
        <v>112.50288025674706</v>
      </c>
      <c r="D100" s="106">
        <v>181.0301661110928</v>
      </c>
      <c r="E100" s="106">
        <v>67.61498109589887</v>
      </c>
      <c r="F100" s="106">
        <v>113.78573438528754</v>
      </c>
      <c r="G100" s="106">
        <v>113.78573438528753</v>
      </c>
      <c r="H100" s="106">
        <v>170.13451495430235</v>
      </c>
      <c r="I100" s="106">
        <v>170.13451495430232</v>
      </c>
      <c r="J100" s="106">
        <v>170.13451495430235</v>
      </c>
      <c r="K100" s="106">
        <v>113.78573438528753</v>
      </c>
      <c r="L100" s="106">
        <v>170.13451495430235</v>
      </c>
      <c r="M100" s="106">
        <v>113.78573438528753</v>
      </c>
      <c r="N100" s="106">
        <v>113.78573438528754</v>
      </c>
      <c r="O100" s="106">
        <v>113.78573438528753</v>
      </c>
      <c r="P100" s="106">
        <v>170.13451495430235</v>
      </c>
      <c r="Q100" s="106">
        <v>170.13451495430232</v>
      </c>
      <c r="R100" s="106">
        <v>170.13451495430235</v>
      </c>
      <c r="S100" s="106">
        <v>170.13451495430232</v>
      </c>
      <c r="T100" s="106">
        <v>170.13451495430235</v>
      </c>
      <c r="U100" s="106">
        <v>113.78573438528753</v>
      </c>
      <c r="V100" s="106">
        <v>113.78573438528754</v>
      </c>
      <c r="W100" s="106">
        <v>45.079369954059523</v>
      </c>
      <c r="X100" s="106">
        <v>158.86510433934706</v>
      </c>
      <c r="Y100" s="106">
        <v>113.78573438528753</v>
      </c>
      <c r="Z100" s="106">
        <v>215.21388490836185</v>
      </c>
      <c r="AA100" s="106">
        <v>113.78573438528753</v>
      </c>
      <c r="AB100" s="106">
        <v>113.78573438528754</v>
      </c>
      <c r="AC100" s="106">
        <v>113.78573438528753</v>
      </c>
      <c r="AD100" s="106">
        <v>113.78573438528754</v>
      </c>
      <c r="AE100" s="106">
        <v>56.348780569014792</v>
      </c>
      <c r="AF100" s="106">
        <v>113.78573438528814</v>
      </c>
      <c r="AG100" s="106">
        <v>113.78573438528753</v>
      </c>
      <c r="AH100" s="106">
        <v>113.78573438528754</v>
      </c>
      <c r="AI100" s="106">
        <v>113.78573438528753</v>
      </c>
      <c r="AJ100" s="106">
        <v>170.13451495430235</v>
      </c>
      <c r="AK100" s="106">
        <v>56.348780569014792</v>
      </c>
      <c r="AL100" s="106">
        <v>113.78573438528754</v>
      </c>
      <c r="AM100" s="106">
        <v>113.78573438528753</v>
      </c>
      <c r="AN100" s="106">
        <v>113.78573438528754</v>
      </c>
      <c r="AO100" s="106">
        <v>113.78573438528753</v>
      </c>
      <c r="AP100" s="106">
        <v>181.40392556925764</v>
      </c>
      <c r="AQ100" s="106">
        <v>0</v>
      </c>
      <c r="AR100" s="106">
        <v>113.78573438528754</v>
      </c>
      <c r="AS100" s="106">
        <v>243.85254224007656</v>
      </c>
      <c r="AT100" s="106">
        <v>170.13451495430235</v>
      </c>
      <c r="AU100" s="106">
        <v>56.348780569014792</v>
      </c>
      <c r="AV100" s="106">
        <v>113.78573438528754</v>
      </c>
      <c r="AW100" s="106">
        <v>170.13451495430232</v>
      </c>
      <c r="AX100" s="106">
        <v>170.13451495430235</v>
      </c>
      <c r="AY100" s="106">
        <v>170.13451495430232</v>
      </c>
    </row>
    <row r="101" spans="1:52">
      <c r="A101" s="109"/>
      <c r="B101" s="119">
        <v>2</v>
      </c>
      <c r="C101" s="106">
        <v>181.0301661110928</v>
      </c>
      <c r="D101" s="106">
        <v>112.50288025674706</v>
      </c>
      <c r="E101" s="106">
        <v>127.71404303439672</v>
      </c>
      <c r="F101" s="106">
        <v>67.61498109589887</v>
      </c>
      <c r="G101" s="106">
        <v>50.642044369928897</v>
      </c>
      <c r="H101" s="106">
        <v>152.91107427853376</v>
      </c>
      <c r="I101" s="106">
        <v>101.04558923283611</v>
      </c>
      <c r="J101" s="106">
        <v>132.18010418713843</v>
      </c>
      <c r="K101" s="106">
        <v>157.31461914144077</v>
      </c>
      <c r="L101" s="106">
        <v>166.44913409574309</v>
      </c>
      <c r="M101" s="106">
        <v>97.583649050045437</v>
      </c>
      <c r="N101" s="106">
        <v>56.348780569014792</v>
      </c>
      <c r="O101" s="106">
        <v>93.483295523317139</v>
      </c>
      <c r="P101" s="106">
        <v>16.269029908604665</v>
      </c>
      <c r="Q101" s="106">
        <v>0</v>
      </c>
      <c r="R101" s="106">
        <v>0</v>
      </c>
      <c r="S101" s="106">
        <v>16.134514954302347</v>
      </c>
      <c r="T101" s="106">
        <v>0</v>
      </c>
      <c r="U101" s="106">
        <v>0</v>
      </c>
      <c r="V101" s="106">
        <v>0</v>
      </c>
      <c r="W101" s="106">
        <v>45.079369954059516</v>
      </c>
      <c r="X101" s="106">
        <v>113.78573438528754</v>
      </c>
      <c r="Y101" s="106">
        <v>83.650838724634596</v>
      </c>
      <c r="Z101" s="106">
        <v>1.4210854715202004E-14</v>
      </c>
      <c r="AA101" s="106">
        <v>0</v>
      </c>
      <c r="AB101" s="106">
        <v>56.348780569014792</v>
      </c>
      <c r="AC101" s="106">
        <v>56.348780569014806</v>
      </c>
      <c r="AD101" s="106">
        <v>17.134514954302333</v>
      </c>
      <c r="AE101" s="106">
        <v>112.69756113802957</v>
      </c>
      <c r="AF101" s="106">
        <v>1.4210854715202004E-14</v>
      </c>
      <c r="AG101" s="106">
        <v>0</v>
      </c>
      <c r="AH101" s="106">
        <v>56.348780569014792</v>
      </c>
      <c r="AI101" s="106">
        <v>59.832076092331931</v>
      </c>
      <c r="AJ101" s="106">
        <v>73.96659104663425</v>
      </c>
      <c r="AK101" s="106">
        <v>109.1011060009366</v>
      </c>
      <c r="AL101" s="106">
        <v>113.78573438528753</v>
      </c>
      <c r="AM101" s="106">
        <v>123.92024933958987</v>
      </c>
      <c r="AN101" s="106">
        <v>4.7059837248773988</v>
      </c>
      <c r="AO101" s="106">
        <v>112.69756113802957</v>
      </c>
      <c r="AP101" s="106">
        <v>56.348780569014792</v>
      </c>
      <c r="AQ101" s="106">
        <v>56.75270613827243</v>
      </c>
      <c r="AR101" s="106">
        <v>67.618191183970083</v>
      </c>
      <c r="AS101" s="106">
        <v>0</v>
      </c>
      <c r="AT101" s="106">
        <v>192.63827662536409</v>
      </c>
      <c r="AU101" s="106">
        <v>126.77279157966643</v>
      </c>
      <c r="AV101" s="106">
        <v>120.90730653396875</v>
      </c>
      <c r="AW101" s="106">
        <v>115.0418214882711</v>
      </c>
      <c r="AX101" s="106">
        <v>94.176336442573415</v>
      </c>
      <c r="AY101" s="106">
        <v>111.31085139687576</v>
      </c>
    </row>
    <row r="102" spans="1:52">
      <c r="A102" s="109"/>
      <c r="B102" s="120">
        <v>3</v>
      </c>
      <c r="C102" s="106">
        <v>79.150830555464069</v>
      </c>
      <c r="D102" s="106">
        <v>78.180996666556865</v>
      </c>
      <c r="E102" s="106">
        <v>68.527285854345763</v>
      </c>
      <c r="F102" s="106">
        <v>5.2413288887424869</v>
      </c>
      <c r="G102" s="106">
        <v>113.78573438528774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56.348780569014792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56.348780569014792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56.348780569014792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113.78573438528753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106.37760699865288</v>
      </c>
      <c r="D109" s="106">
        <v>50.721291110801914</v>
      </c>
      <c r="E109" s="106">
        <v>77.277654598110487</v>
      </c>
      <c r="F109" s="106">
        <v>65.26417894711895</v>
      </c>
      <c r="G109" s="106">
        <v>47.410653396983264</v>
      </c>
      <c r="H109" s="106">
        <v>94.81517366609711</v>
      </c>
      <c r="I109" s="106">
        <v>124.09521365590162</v>
      </c>
      <c r="J109" s="106">
        <v>97.369273940474216</v>
      </c>
      <c r="K109" s="106">
        <v>79.7735321590213</v>
      </c>
      <c r="L109" s="106">
        <v>56.566769499222069</v>
      </c>
      <c r="M109" s="106">
        <v>96.07258548799993</v>
      </c>
      <c r="N109" s="106">
        <v>49.444045646614128</v>
      </c>
      <c r="O109" s="106">
        <v>71.741619442491597</v>
      </c>
      <c r="P109" s="106">
        <v>71.741619442491597</v>
      </c>
      <c r="Q109" s="106">
        <v>75.28915747187169</v>
      </c>
      <c r="R109" s="106">
        <v>96.07258548799993</v>
      </c>
      <c r="S109" s="106">
        <v>71.741619442491597</v>
      </c>
      <c r="T109" s="106">
        <v>71.741619442491597</v>
      </c>
      <c r="U109" s="106">
        <v>79.844139679324641</v>
      </c>
      <c r="V109" s="106">
        <v>47.410653396983271</v>
      </c>
      <c r="W109" s="106">
        <v>47.410653396983264</v>
      </c>
      <c r="X109" s="106">
        <v>63.266943213632217</v>
      </c>
      <c r="Y109" s="106">
        <v>116.8710200693984</v>
      </c>
      <c r="Z109" s="106">
        <v>69.921707320190905</v>
      </c>
      <c r="AA109" s="106">
        <v>91.206541462618759</v>
      </c>
      <c r="AB109" s="106">
        <v>58.544541679471912</v>
      </c>
      <c r="AC109" s="106">
        <v>71.741619442491597</v>
      </c>
      <c r="AD109" s="106">
        <v>75.979821778979726</v>
      </c>
      <c r="AE109" s="106">
        <v>54.698943159883811</v>
      </c>
      <c r="AF109" s="106">
        <v>72.999031264394517</v>
      </c>
      <c r="AG109" s="106">
        <v>47.410653396983513</v>
      </c>
      <c r="AH109" s="106">
        <v>47.410653396983271</v>
      </c>
      <c r="AI109" s="106">
        <v>96.07258548799993</v>
      </c>
      <c r="AJ109" s="106">
        <v>84.339773651810191</v>
      </c>
      <c r="AK109" s="106">
        <v>107.96044518478722</v>
      </c>
      <c r="AL109" s="106">
        <v>45.936696926185981</v>
      </c>
      <c r="AM109" s="106">
        <v>94.815173666096996</v>
      </c>
      <c r="AN109" s="106">
        <v>71.741619442491611</v>
      </c>
      <c r="AO109" s="106">
        <v>47.410653396983271</v>
      </c>
      <c r="AP109" s="106">
        <v>96.07258548799993</v>
      </c>
      <c r="AQ109" s="106">
        <v>113.75824460645941</v>
      </c>
      <c r="AR109" s="106">
        <v>6.1331278695378241E-3</v>
      </c>
      <c r="AS109" s="106">
        <v>76.60766346787274</v>
      </c>
      <c r="AT109" s="106">
        <v>156.16348581934787</v>
      </c>
      <c r="AU109" s="106">
        <v>102.49271532421693</v>
      </c>
      <c r="AV109" s="106">
        <v>33.023585415500023</v>
      </c>
      <c r="AW109" s="106">
        <v>94.815173666096996</v>
      </c>
      <c r="AX109" s="106">
        <v>96.07258548799993</v>
      </c>
      <c r="AY109" s="106">
        <v>79.801295785301122</v>
      </c>
    </row>
    <row r="110" spans="1:52">
      <c r="A110" s="109"/>
      <c r="B110" s="119">
        <v>2</v>
      </c>
      <c r="C110" s="106">
        <v>47.632833722152618</v>
      </c>
      <c r="D110" s="106">
        <v>106.37760699865288</v>
      </c>
      <c r="E110" s="106">
        <v>50.721291110801914</v>
      </c>
      <c r="F110" s="106">
        <v>77.277654598110487</v>
      </c>
      <c r="G110" s="106">
        <v>65.26417894711895</v>
      </c>
      <c r="H110" s="106">
        <v>47.410653396983264</v>
      </c>
      <c r="I110" s="106">
        <v>94.81517366609711</v>
      </c>
      <c r="J110" s="106">
        <v>124.09521365590162</v>
      </c>
      <c r="K110" s="106">
        <v>97.369273940474216</v>
      </c>
      <c r="L110" s="106">
        <v>79.7735321590213</v>
      </c>
      <c r="M110" s="106">
        <v>56.566769499222069</v>
      </c>
      <c r="N110" s="106">
        <v>96.07258548799993</v>
      </c>
      <c r="O110" s="106">
        <v>49.444045646614128</v>
      </c>
      <c r="P110" s="106">
        <v>71.741619442491597</v>
      </c>
      <c r="Q110" s="106">
        <v>71.741619442491597</v>
      </c>
      <c r="R110" s="106">
        <v>75.28915747187169</v>
      </c>
      <c r="S110" s="106">
        <v>96.07258548799993</v>
      </c>
      <c r="T110" s="106">
        <v>71.741619442491597</v>
      </c>
      <c r="U110" s="106">
        <v>71.741619442491597</v>
      </c>
      <c r="V110" s="106">
        <v>79.844139679324641</v>
      </c>
      <c r="W110" s="106">
        <v>47.410653396983271</v>
      </c>
      <c r="X110" s="106">
        <v>7.4310958333044752</v>
      </c>
      <c r="Y110" s="106">
        <v>9.6980390469366924</v>
      </c>
      <c r="Z110" s="106">
        <v>36.065564916139763</v>
      </c>
      <c r="AA110" s="106">
        <v>31.885288058496613</v>
      </c>
      <c r="AB110" s="106">
        <v>33.353703847245953</v>
      </c>
      <c r="AC110" s="106">
        <v>17.617375333151521</v>
      </c>
      <c r="AD110" s="106">
        <v>25.358994775643119</v>
      </c>
      <c r="AE110" s="106">
        <v>9.3388165546228379</v>
      </c>
      <c r="AF110" s="106">
        <v>0</v>
      </c>
      <c r="AG110" s="106">
        <v>0</v>
      </c>
      <c r="AH110" s="106">
        <v>0</v>
      </c>
      <c r="AI110" s="106">
        <v>0</v>
      </c>
      <c r="AJ110" s="106">
        <v>20.07258548799993</v>
      </c>
      <c r="AK110" s="106">
        <v>29.412359139810121</v>
      </c>
      <c r="AL110" s="106">
        <v>31.37280432459734</v>
      </c>
      <c r="AM110" s="106">
        <v>7.1054273576010019E-15</v>
      </c>
      <c r="AN110" s="106">
        <v>30.815173666097003</v>
      </c>
      <c r="AO110" s="106">
        <v>28.507100005977172</v>
      </c>
      <c r="AP110" s="106">
        <v>0</v>
      </c>
      <c r="AQ110" s="106">
        <v>0</v>
      </c>
      <c r="AR110" s="106">
        <v>0</v>
      </c>
      <c r="AS110" s="106">
        <v>0</v>
      </c>
      <c r="AT110" s="106">
        <v>3.6076634678727402</v>
      </c>
      <c r="AU110" s="106">
        <v>53.771149287220609</v>
      </c>
      <c r="AV110" s="106">
        <v>66.26386461143754</v>
      </c>
      <c r="AW110" s="106">
        <v>26.287450026937563</v>
      </c>
      <c r="AX110" s="106">
        <v>42.102623693034559</v>
      </c>
      <c r="AY110" s="106">
        <v>64.175209181034489</v>
      </c>
    </row>
    <row r="111" spans="1:52">
      <c r="A111" s="109"/>
      <c r="B111" s="119">
        <v>3</v>
      </c>
      <c r="C111" s="106">
        <v>86.015585308555117</v>
      </c>
      <c r="D111" s="106">
        <v>47.632833722152618</v>
      </c>
      <c r="E111" s="106">
        <v>106.37760699865288</v>
      </c>
      <c r="F111" s="106">
        <v>50.721291110801914</v>
      </c>
      <c r="G111" s="106">
        <v>77.277654598110487</v>
      </c>
      <c r="H111" s="106">
        <v>65.26417894711895</v>
      </c>
      <c r="I111" s="106">
        <v>47.410653396983264</v>
      </c>
      <c r="J111" s="106">
        <v>65.362224263899094</v>
      </c>
      <c r="K111" s="106">
        <v>111.45743791980071</v>
      </c>
      <c r="L111" s="106">
        <v>97.369273940474216</v>
      </c>
      <c r="M111" s="106">
        <v>79.7735321590213</v>
      </c>
      <c r="N111" s="106">
        <v>56.566769499222069</v>
      </c>
      <c r="O111" s="106">
        <v>96.07258548799993</v>
      </c>
      <c r="P111" s="106">
        <v>49.444045646614128</v>
      </c>
      <c r="Q111" s="106">
        <v>71.741619442491597</v>
      </c>
      <c r="R111" s="106">
        <v>62.003509124186664</v>
      </c>
      <c r="S111" s="106">
        <v>73.292666596058353</v>
      </c>
      <c r="T111" s="106">
        <v>70.703040355463088</v>
      </c>
      <c r="U111" s="106">
        <v>48.237442574122753</v>
      </c>
      <c r="V111" s="106">
        <v>26.791052567801088</v>
      </c>
      <c r="W111" s="106">
        <v>22.371285305863395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73.847246515426747</v>
      </c>
      <c r="D112" s="106">
        <v>71.862831823981864</v>
      </c>
      <c r="E112" s="106">
        <v>26.495665546134482</v>
      </c>
      <c r="F112" s="106">
        <v>70.873272544787369</v>
      </c>
      <c r="G112" s="106">
        <v>24.594563655589283</v>
      </c>
      <c r="H112" s="106">
        <v>22.872218253699771</v>
      </c>
      <c r="I112" s="106">
        <v>17.13639720081872</v>
      </c>
      <c r="J112" s="106">
        <v>0</v>
      </c>
      <c r="K112" s="106">
        <v>0</v>
      </c>
      <c r="L112" s="106">
        <v>45.457437919800711</v>
      </c>
      <c r="M112" s="106">
        <v>70.826711860274926</v>
      </c>
      <c r="N112" s="106">
        <v>74.160022463318739</v>
      </c>
      <c r="O112" s="106">
        <v>48.726791962540808</v>
      </c>
      <c r="P112" s="106">
        <v>78.799377450540732</v>
      </c>
      <c r="Q112" s="106">
        <v>19.571461437416829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117.66293464712481</v>
      </c>
      <c r="D122" s="106">
        <v>192.35150567888965</v>
      </c>
      <c r="E122" s="106">
        <v>72.685978596750132</v>
      </c>
      <c r="F122" s="106">
        <v>118.00967062932415</v>
      </c>
      <c r="G122" s="106">
        <v>118.00967062932416</v>
      </c>
      <c r="H122" s="106">
        <v>178.57178237837689</v>
      </c>
      <c r="I122" s="106">
        <v>178.57178237837689</v>
      </c>
      <c r="J122" s="106">
        <v>178.57178237837689</v>
      </c>
      <c r="K122" s="106">
        <v>118.00967062932416</v>
      </c>
      <c r="L122" s="106">
        <v>178.57178237837689</v>
      </c>
      <c r="M122" s="106">
        <v>118.00967062932416</v>
      </c>
      <c r="N122" s="106">
        <v>118.00967062932415</v>
      </c>
      <c r="O122" s="106">
        <v>118.00967062932416</v>
      </c>
      <c r="P122" s="106">
        <v>178.57178237837689</v>
      </c>
      <c r="Q122" s="106">
        <v>178.57178237837689</v>
      </c>
      <c r="R122" s="106">
        <v>178.57178237837689</v>
      </c>
      <c r="S122" s="106">
        <v>178.57178237837689</v>
      </c>
      <c r="T122" s="106">
        <v>178.57178237837689</v>
      </c>
      <c r="U122" s="106">
        <v>118.00967062932416</v>
      </c>
      <c r="V122" s="106">
        <v>118.00967062932415</v>
      </c>
      <c r="W122" s="106">
        <v>48.46532667627622</v>
      </c>
      <c r="X122" s="106">
        <v>166.45973136117746</v>
      </c>
      <c r="Y122" s="106">
        <v>118.00967062932416</v>
      </c>
      <c r="Z122" s="106">
        <v>227.02184311023018</v>
      </c>
      <c r="AA122" s="106">
        <v>118.00967062932416</v>
      </c>
      <c r="AB122" s="106">
        <v>118.00967062932415</v>
      </c>
      <c r="AC122" s="106">
        <v>118.00967062932416</v>
      </c>
      <c r="AD122" s="106">
        <v>118.00967062932415</v>
      </c>
      <c r="AE122" s="106">
        <v>60.57737769347564</v>
      </c>
      <c r="AF122" s="106">
        <v>118.00967062932477</v>
      </c>
      <c r="AG122" s="106">
        <v>118.00967062932416</v>
      </c>
      <c r="AH122" s="106">
        <v>118.00967062932415</v>
      </c>
      <c r="AI122" s="106">
        <v>118.00967062932416</v>
      </c>
      <c r="AJ122" s="106">
        <v>178.57178237837689</v>
      </c>
      <c r="AK122" s="106">
        <v>60.57737769347564</v>
      </c>
      <c r="AL122" s="106">
        <v>118.00967062932415</v>
      </c>
      <c r="AM122" s="106">
        <v>118.00967062932416</v>
      </c>
      <c r="AN122" s="106">
        <v>118.00967062932415</v>
      </c>
      <c r="AO122" s="106">
        <v>118.00967062932416</v>
      </c>
      <c r="AP122" s="106">
        <v>190.6838333955763</v>
      </c>
      <c r="AQ122" s="106">
        <v>1.5265944422899273E-2</v>
      </c>
      <c r="AR122" s="106">
        <v>118.00967062932415</v>
      </c>
      <c r="AS122" s="106">
        <v>257.8018803737138</v>
      </c>
      <c r="AT122" s="106">
        <v>178.57178237837689</v>
      </c>
      <c r="AU122" s="106">
        <v>60.57737769347564</v>
      </c>
      <c r="AV122" s="106">
        <v>118.00967062932415</v>
      </c>
      <c r="AW122" s="106">
        <v>178.57178237837689</v>
      </c>
      <c r="AX122" s="106">
        <v>178.57178237837689</v>
      </c>
      <c r="AY122" s="106">
        <v>178.57178237837689</v>
      </c>
    </row>
    <row r="123" spans="1:52">
      <c r="A123" s="109"/>
      <c r="B123" s="119">
        <v>2</v>
      </c>
      <c r="C123" s="106">
        <v>9.663289802795191</v>
      </c>
      <c r="D123" s="106">
        <v>0</v>
      </c>
      <c r="E123" s="106">
        <v>15.073851080779164</v>
      </c>
      <c r="F123" s="106">
        <v>0</v>
      </c>
      <c r="G123" s="106">
        <v>0</v>
      </c>
      <c r="H123" s="106">
        <v>130.31312514623409</v>
      </c>
      <c r="I123" s="106">
        <v>63.78969386870935</v>
      </c>
      <c r="J123" s="106">
        <v>19.992202306612015</v>
      </c>
      <c r="K123" s="106">
        <v>22.790452525967595</v>
      </c>
      <c r="L123" s="106">
        <v>60.562111749052733</v>
      </c>
      <c r="M123" s="106">
        <v>5.0613086394296971</v>
      </c>
      <c r="N123" s="106">
        <v>60.562111749052733</v>
      </c>
      <c r="O123" s="106">
        <v>60.562111749052747</v>
      </c>
      <c r="P123" s="106">
        <v>8.830162935885312</v>
      </c>
      <c r="Q123" s="106">
        <v>0</v>
      </c>
      <c r="R123" s="106">
        <v>0</v>
      </c>
      <c r="S123" s="106">
        <v>0</v>
      </c>
      <c r="T123" s="106">
        <v>20.167951207290102</v>
      </c>
      <c r="U123" s="106">
        <v>0</v>
      </c>
      <c r="V123" s="106">
        <v>0</v>
      </c>
      <c r="W123" s="106">
        <v>48.450060731853313</v>
      </c>
      <c r="X123" s="106">
        <v>124.44346436192588</v>
      </c>
      <c r="Y123" s="106">
        <v>56.03217565370494</v>
      </c>
      <c r="Z123" s="106">
        <v>1.4210854715202004E-14</v>
      </c>
      <c r="AA123" s="106">
        <v>27.71331746977738</v>
      </c>
      <c r="AB123" s="106">
        <v>60.562111749052747</v>
      </c>
      <c r="AC123" s="106">
        <v>71.111404491371701</v>
      </c>
      <c r="AD123" s="106">
        <v>18.141253341716151</v>
      </c>
      <c r="AE123" s="106">
        <v>121.12422349810549</v>
      </c>
      <c r="AF123" s="106">
        <v>0</v>
      </c>
      <c r="AG123" s="106">
        <v>0</v>
      </c>
      <c r="AH123" s="106">
        <v>60.562111749052733</v>
      </c>
      <c r="AI123" s="106">
        <v>91.920127769851149</v>
      </c>
      <c r="AJ123" s="106">
        <v>90.152136496417853</v>
      </c>
      <c r="AK123" s="106">
        <v>53.763473690007537</v>
      </c>
      <c r="AL123" s="106">
        <v>117.99440468490128</v>
      </c>
      <c r="AM123" s="106">
        <v>60.562111749052761</v>
      </c>
      <c r="AN123" s="106">
        <v>1.4210854715202004E-14</v>
      </c>
      <c r="AO123" s="106">
        <v>121.12422349810549</v>
      </c>
      <c r="AP123" s="106">
        <v>92.471365183327279</v>
      </c>
      <c r="AQ123" s="106">
        <v>0</v>
      </c>
      <c r="AR123" s="106">
        <v>72.674162766252167</v>
      </c>
      <c r="AS123" s="106">
        <v>12.909632397502456</v>
      </c>
      <c r="AT123" s="106">
        <v>76.542431636769649</v>
      </c>
      <c r="AU123" s="106">
        <v>21.621498690929613</v>
      </c>
      <c r="AV123" s="106">
        <v>117.99440468490127</v>
      </c>
      <c r="AW123" s="106">
        <v>60.562111749052747</v>
      </c>
      <c r="AX123" s="106">
        <v>20.061308639429711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74.688981077161628</v>
      </c>
      <c r="F124" s="106">
        <v>0</v>
      </c>
      <c r="G124" s="106">
        <v>117.99440468490155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60.562111749052733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60.56211174905274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60.56211174905274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117.99440468490127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0.39835698678673714</v>
      </c>
      <c r="D172" s="134">
        <v>0.40175227287857729</v>
      </c>
      <c r="E172" s="134">
        <v>0.40175227287857729</v>
      </c>
      <c r="F172" s="134">
        <v>0.40175227287857729</v>
      </c>
      <c r="G172" s="134">
        <v>0.40175227287857729</v>
      </c>
      <c r="H172" s="134">
        <v>0.40175227287857729</v>
      </c>
      <c r="I172" s="134">
        <v>0.40175227287857729</v>
      </c>
      <c r="J172" s="134">
        <v>0.40175227287857729</v>
      </c>
      <c r="K172" s="134">
        <v>0.40175227287857729</v>
      </c>
      <c r="L172" s="134">
        <v>0.40175227287857729</v>
      </c>
      <c r="M172" s="134">
        <v>0.40175227287857729</v>
      </c>
      <c r="N172" s="134">
        <v>0.40175227287857729</v>
      </c>
      <c r="O172" s="134">
        <v>0.40175227287857729</v>
      </c>
      <c r="P172" s="134">
        <v>0.40175227287857729</v>
      </c>
      <c r="Q172" s="134">
        <v>0.40175227287857729</v>
      </c>
      <c r="R172" s="134">
        <v>0.40175227287857729</v>
      </c>
      <c r="S172" s="134">
        <v>0.40175227287857729</v>
      </c>
      <c r="T172" s="134">
        <v>0.40175227287857729</v>
      </c>
      <c r="U172" s="134">
        <v>0.40175227287857729</v>
      </c>
      <c r="V172" s="134">
        <v>0.40175227287857729</v>
      </c>
      <c r="W172" s="134">
        <v>0.40175227287857729</v>
      </c>
      <c r="X172" s="134">
        <v>0.40175227287857729</v>
      </c>
      <c r="Y172" s="134">
        <v>0.40175227287857729</v>
      </c>
      <c r="Z172" s="134">
        <v>0.40175227287857729</v>
      </c>
      <c r="AA172" s="134">
        <v>0.40175227287857729</v>
      </c>
      <c r="AB172" s="134">
        <v>0.40175227287857729</v>
      </c>
      <c r="AC172" s="134">
        <v>0.40175227287857729</v>
      </c>
      <c r="AD172" s="134">
        <v>0.40175227287857729</v>
      </c>
      <c r="AE172" s="134">
        <v>0.40175227287857729</v>
      </c>
      <c r="AF172" s="134">
        <v>0.40175227287857729</v>
      </c>
      <c r="AG172" s="134">
        <v>0.40175227287857729</v>
      </c>
      <c r="AH172" s="134">
        <v>0.40175227287857729</v>
      </c>
      <c r="AI172" s="134">
        <v>0.40175227287857729</v>
      </c>
      <c r="AJ172" s="134">
        <v>0.40175227287857729</v>
      </c>
      <c r="AK172" s="134">
        <v>0.40175227287857729</v>
      </c>
      <c r="AL172" s="134">
        <v>0.40175227287857729</v>
      </c>
      <c r="AM172" s="134">
        <v>0.40175227287857729</v>
      </c>
      <c r="AN172" s="134">
        <v>0.40175227287857729</v>
      </c>
      <c r="AO172" s="134">
        <v>0.40175227287857729</v>
      </c>
      <c r="AP172" s="134">
        <v>0.40175227287857729</v>
      </c>
      <c r="AQ172" s="134">
        <v>0.40175227287857729</v>
      </c>
      <c r="AR172" s="134">
        <v>0.40175227287857729</v>
      </c>
      <c r="AS172" s="134">
        <v>0.40175227287857729</v>
      </c>
      <c r="AT172" s="134">
        <v>0.40175227287857729</v>
      </c>
      <c r="AU172" s="134">
        <v>0.40175227287857729</v>
      </c>
      <c r="AV172" s="134">
        <v>0.40175227287857729</v>
      </c>
      <c r="AW172" s="134">
        <v>0.40175227287857729</v>
      </c>
      <c r="AX172" s="134">
        <v>0.40175227287857729</v>
      </c>
      <c r="AY172" s="134">
        <v>0.40175227287857729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532.67453794053961</v>
      </c>
      <c r="E175" s="124">
        <f t="shared" si="1"/>
        <v>476.78419390935778</v>
      </c>
      <c r="F175" s="124">
        <f t="shared" si="1"/>
        <v>374.78419390935778</v>
      </c>
      <c r="G175" s="124">
        <f t="shared" si="1"/>
        <v>283.78419390935778</v>
      </c>
      <c r="H175" s="124">
        <f t="shared" si="1"/>
        <v>326.78419390935784</v>
      </c>
      <c r="I175" s="124">
        <f t="shared" si="1"/>
        <v>385.78419390935784</v>
      </c>
      <c r="J175" s="124">
        <f t="shared" si="1"/>
        <v>451.7841939093579</v>
      </c>
      <c r="K175" s="124">
        <f t="shared" si="1"/>
        <v>515.7841939093579</v>
      </c>
      <c r="L175" s="124">
        <f t="shared" si="1"/>
        <v>541.78419390935801</v>
      </c>
      <c r="M175" s="124">
        <f t="shared" si="1"/>
        <v>535.78419390935801</v>
      </c>
      <c r="N175" s="124">
        <f t="shared" si="1"/>
        <v>559.78419390935801</v>
      </c>
      <c r="O175" s="124">
        <f t="shared" si="1"/>
        <v>535.78419390935801</v>
      </c>
      <c r="P175" s="124">
        <f t="shared" si="1"/>
        <v>499.78419390935807</v>
      </c>
      <c r="Q175" s="124">
        <f t="shared" si="1"/>
        <v>463.78419390935812</v>
      </c>
      <c r="R175" s="124">
        <f t="shared" si="1"/>
        <v>502.78419390935812</v>
      </c>
      <c r="S175" s="124">
        <f t="shared" si="1"/>
        <v>516.78419390935812</v>
      </c>
      <c r="T175" s="124">
        <f t="shared" si="1"/>
        <v>485.78419390935818</v>
      </c>
      <c r="U175" s="124">
        <f t="shared" si="1"/>
        <v>510.78419390935824</v>
      </c>
      <c r="V175" s="124">
        <f t="shared" si="1"/>
        <v>468.78419390935824</v>
      </c>
      <c r="W175" s="124">
        <f t="shared" si="1"/>
        <v>451.78419390935824</v>
      </c>
      <c r="X175" s="124">
        <f t="shared" si="1"/>
        <v>411.78419390935824</v>
      </c>
      <c r="Y175" s="124">
        <f t="shared" si="1"/>
        <v>408.78419390935835</v>
      </c>
      <c r="Z175" s="124">
        <f t="shared" si="1"/>
        <v>406.78419390935835</v>
      </c>
      <c r="AA175" s="124">
        <f t="shared" si="1"/>
        <v>377.78419390935835</v>
      </c>
      <c r="AB175" s="124">
        <f t="shared" si="1"/>
        <v>255.78419390935835</v>
      </c>
      <c r="AC175" s="124">
        <f t="shared" si="1"/>
        <v>113.78419390935835</v>
      </c>
      <c r="AD175" s="124">
        <f t="shared" si="1"/>
        <v>1.1066729684707081E-19</v>
      </c>
      <c r="AE175" s="124">
        <f t="shared" si="1"/>
        <v>3.6889098949023619E-20</v>
      </c>
      <c r="AF175" s="124">
        <f t="shared" si="1"/>
        <v>150.00000000000003</v>
      </c>
      <c r="AG175" s="124">
        <f t="shared" si="1"/>
        <v>174.00000000000006</v>
      </c>
      <c r="AH175" s="124">
        <f t="shared" si="1"/>
        <v>150.00000000000009</v>
      </c>
      <c r="AI175" s="124">
        <f t="shared" si="1"/>
        <v>172.00000000000011</v>
      </c>
      <c r="AJ175" s="124">
        <f t="shared" si="1"/>
        <v>180.00000000000014</v>
      </c>
      <c r="AK175" s="124">
        <f t="shared" si="1"/>
        <v>245.00000000000017</v>
      </c>
      <c r="AL175" s="124">
        <f t="shared" si="1"/>
        <v>289.00000000000023</v>
      </c>
      <c r="AM175" s="124">
        <f t="shared" si="1"/>
        <v>353.00000000000023</v>
      </c>
      <c r="AN175" s="124">
        <f t="shared" si="1"/>
        <v>344.00000000000023</v>
      </c>
      <c r="AO175" s="124">
        <f t="shared" si="1"/>
        <v>362.00000000000028</v>
      </c>
      <c r="AP175" s="124">
        <f t="shared" si="1"/>
        <v>369.00000000000034</v>
      </c>
      <c r="AQ175" s="124">
        <f t="shared" si="1"/>
        <v>349.00000000000034</v>
      </c>
      <c r="AR175" s="124">
        <f t="shared" si="1"/>
        <v>353.00000000000034</v>
      </c>
      <c r="AS175" s="124">
        <f t="shared" si="1"/>
        <v>371.0000000000004</v>
      </c>
      <c r="AT175" s="124">
        <f t="shared" si="1"/>
        <v>392.00000000000045</v>
      </c>
      <c r="AU175" s="124">
        <f t="shared" si="1"/>
        <v>453.00000000000045</v>
      </c>
      <c r="AV175" s="124">
        <f t="shared" si="1"/>
        <v>423.00000000000045</v>
      </c>
      <c r="AW175" s="124">
        <f t="shared" si="1"/>
        <v>419.00000000000051</v>
      </c>
      <c r="AX175" s="124">
        <f t="shared" si="1"/>
        <v>404.00000000000057</v>
      </c>
      <c r="AY175" s="124">
        <f t="shared" si="1"/>
        <v>372.00000000000057</v>
      </c>
    </row>
    <row r="176" spans="1:52">
      <c r="A176" s="125"/>
      <c r="B176" s="136" t="s">
        <v>299</v>
      </c>
      <c r="C176" s="125" t="s">
        <v>293</v>
      </c>
      <c r="D176" s="125">
        <v>129</v>
      </c>
      <c r="E176" s="125">
        <v>182</v>
      </c>
      <c r="F176" s="125">
        <v>171</v>
      </c>
      <c r="G176" s="125">
        <v>137</v>
      </c>
      <c r="H176" s="125">
        <v>121</v>
      </c>
      <c r="I176" s="125">
        <v>114</v>
      </c>
      <c r="J176" s="125">
        <v>116</v>
      </c>
      <c r="K176" s="125">
        <v>124</v>
      </c>
      <c r="L176" s="125">
        <v>156</v>
      </c>
      <c r="M176" s="125">
        <v>126</v>
      </c>
      <c r="N176" s="125">
        <v>174</v>
      </c>
      <c r="O176" s="125">
        <v>186</v>
      </c>
      <c r="P176" s="125">
        <v>186</v>
      </c>
      <c r="Q176" s="125">
        <v>111</v>
      </c>
      <c r="R176" s="125">
        <v>136</v>
      </c>
      <c r="S176" s="125">
        <v>181</v>
      </c>
      <c r="T176" s="125">
        <v>125</v>
      </c>
      <c r="U176" s="125">
        <v>192</v>
      </c>
      <c r="V176" s="125">
        <v>167</v>
      </c>
      <c r="W176" s="125">
        <v>160</v>
      </c>
      <c r="X176" s="125">
        <v>123</v>
      </c>
      <c r="Y176" s="125">
        <v>122</v>
      </c>
      <c r="Z176" s="125">
        <v>149</v>
      </c>
      <c r="AA176" s="125">
        <v>122</v>
      </c>
      <c r="AB176" s="125">
        <v>142</v>
      </c>
      <c r="AC176" s="125">
        <v>113.78419390935835</v>
      </c>
      <c r="AD176" s="125">
        <v>1.1066729684707081E-19</v>
      </c>
      <c r="AE176" s="125">
        <v>3.6889098949023619E-20</v>
      </c>
      <c r="AF176" s="125">
        <v>126</v>
      </c>
      <c r="AG176" s="125">
        <v>174</v>
      </c>
      <c r="AH176" s="125">
        <v>128</v>
      </c>
      <c r="AI176" s="125">
        <v>172</v>
      </c>
      <c r="AJ176" s="125">
        <v>115</v>
      </c>
      <c r="AK176" s="125">
        <v>136</v>
      </c>
      <c r="AL176" s="125">
        <v>116</v>
      </c>
      <c r="AM176" s="125">
        <v>159</v>
      </c>
      <c r="AN176" s="125">
        <v>132</v>
      </c>
      <c r="AO176" s="125">
        <v>143</v>
      </c>
      <c r="AP176" s="125">
        <v>170</v>
      </c>
      <c r="AQ176" s="125">
        <v>176</v>
      </c>
      <c r="AR176" s="125">
        <v>162</v>
      </c>
      <c r="AS176" s="125">
        <v>159</v>
      </c>
      <c r="AT176" s="125">
        <v>119</v>
      </c>
      <c r="AU176" s="125">
        <v>180</v>
      </c>
      <c r="AV176" s="125">
        <v>154</v>
      </c>
      <c r="AW176" s="125">
        <v>165</v>
      </c>
      <c r="AX176" s="125">
        <v>182</v>
      </c>
      <c r="AY176" s="125">
        <v>195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371.7140430343967</v>
      </c>
      <c r="E177" s="124">
        <f t="shared" si="2"/>
        <v>263.85630998464137</v>
      </c>
      <c r="F177" s="124">
        <f t="shared" si="2"/>
        <v>186.6420443699289</v>
      </c>
      <c r="G177" s="124">
        <f t="shared" si="2"/>
        <v>278.21351314050418</v>
      </c>
      <c r="H177" s="124">
        <f t="shared" si="2"/>
        <v>323.04558923283611</v>
      </c>
      <c r="I177" s="124">
        <f t="shared" si="2"/>
        <v>271.18010418713845</v>
      </c>
      <c r="J177" s="124">
        <f t="shared" si="2"/>
        <v>302.31461914144074</v>
      </c>
      <c r="K177" s="124">
        <f t="shared" si="2"/>
        <v>271.10035352672833</v>
      </c>
      <c r="L177" s="124">
        <f t="shared" si="2"/>
        <v>336.58364905004544</v>
      </c>
      <c r="M177" s="124">
        <f t="shared" si="2"/>
        <v>211.36938343533296</v>
      </c>
      <c r="N177" s="124">
        <f t="shared" si="2"/>
        <v>170.13451495430235</v>
      </c>
      <c r="O177" s="124">
        <f t="shared" si="2"/>
        <v>207.26902990860467</v>
      </c>
      <c r="P177" s="124">
        <f t="shared" si="2"/>
        <v>186.40354486290701</v>
      </c>
      <c r="Q177" s="124">
        <f t="shared" si="2"/>
        <v>226.48329552331711</v>
      </c>
      <c r="R177" s="124">
        <f t="shared" si="2"/>
        <v>170.13451495430235</v>
      </c>
      <c r="S177" s="124">
        <f t="shared" si="2"/>
        <v>186.26902990860467</v>
      </c>
      <c r="T177" s="124">
        <f t="shared" si="2"/>
        <v>170.13451495430235</v>
      </c>
      <c r="U177" s="124">
        <f t="shared" si="2"/>
        <v>113.78573438528753</v>
      </c>
      <c r="V177" s="124">
        <f t="shared" si="2"/>
        <v>113.78573438528754</v>
      </c>
      <c r="W177" s="124">
        <f t="shared" si="2"/>
        <v>146.50752047713382</v>
      </c>
      <c r="X177" s="124">
        <f t="shared" si="2"/>
        <v>272.65083872463458</v>
      </c>
      <c r="Y177" s="124">
        <f t="shared" si="2"/>
        <v>197.43657310992211</v>
      </c>
      <c r="Z177" s="124">
        <f t="shared" si="2"/>
        <v>215.21388490836188</v>
      </c>
      <c r="AA177" s="124">
        <f t="shared" si="2"/>
        <v>113.78573438528753</v>
      </c>
      <c r="AB177" s="124">
        <f t="shared" si="2"/>
        <v>170.13451495430235</v>
      </c>
      <c r="AC177" s="124">
        <f t="shared" si="2"/>
        <v>170.13451495430235</v>
      </c>
      <c r="AD177" s="124">
        <f t="shared" si="2"/>
        <v>130.92024933958987</v>
      </c>
      <c r="AE177" s="124">
        <f t="shared" si="2"/>
        <v>169.04634170704435</v>
      </c>
      <c r="AF177" s="124">
        <f t="shared" si="2"/>
        <v>113.78573438528815</v>
      </c>
      <c r="AG177" s="124">
        <f t="shared" si="2"/>
        <v>113.78573438528753</v>
      </c>
      <c r="AH177" s="124">
        <f t="shared" si="2"/>
        <v>226.48329552331714</v>
      </c>
      <c r="AI177" s="124">
        <f t="shared" si="2"/>
        <v>173.61781047761946</v>
      </c>
      <c r="AJ177" s="124">
        <f t="shared" si="2"/>
        <v>244.1011060009366</v>
      </c>
      <c r="AK177" s="124">
        <f t="shared" si="2"/>
        <v>165.44988656995139</v>
      </c>
      <c r="AL177" s="124">
        <f t="shared" si="2"/>
        <v>227.57146877057505</v>
      </c>
      <c r="AM177" s="124">
        <f t="shared" si="2"/>
        <v>237.7059837248774</v>
      </c>
      <c r="AN177" s="124">
        <f t="shared" si="2"/>
        <v>118.49171811016494</v>
      </c>
      <c r="AO177" s="124">
        <f t="shared" si="2"/>
        <v>226.48329552331711</v>
      </c>
      <c r="AP177" s="124">
        <f t="shared" si="2"/>
        <v>237.75270613827243</v>
      </c>
      <c r="AQ177" s="124">
        <f t="shared" si="2"/>
        <v>56.75270613827243</v>
      </c>
      <c r="AR177" s="124">
        <f t="shared" si="2"/>
        <v>181.40392556925764</v>
      </c>
      <c r="AS177" s="124">
        <f t="shared" si="2"/>
        <v>357.63827662536409</v>
      </c>
      <c r="AT177" s="124">
        <f t="shared" si="2"/>
        <v>362.77279157966643</v>
      </c>
      <c r="AU177" s="124">
        <f t="shared" si="2"/>
        <v>183.12157214868122</v>
      </c>
      <c r="AV177" s="124">
        <f t="shared" si="2"/>
        <v>234.6930409192563</v>
      </c>
      <c r="AW177" s="124">
        <f t="shared" si="2"/>
        <v>285.17633644257342</v>
      </c>
      <c r="AX177" s="124">
        <f t="shared" si="2"/>
        <v>264.31085139687576</v>
      </c>
      <c r="AY177" s="124">
        <f t="shared" si="2"/>
        <v>281.44536635117811</v>
      </c>
    </row>
    <row r="178" spans="1:51">
      <c r="A178" s="125"/>
      <c r="B178" s="136" t="s">
        <v>299</v>
      </c>
      <c r="C178" s="125" t="s">
        <v>293</v>
      </c>
      <c r="D178" s="125">
        <v>244</v>
      </c>
      <c r="E178" s="125">
        <v>191</v>
      </c>
      <c r="F178" s="125">
        <v>136</v>
      </c>
      <c r="G178" s="125">
        <v>238</v>
      </c>
      <c r="H178" s="125">
        <v>222</v>
      </c>
      <c r="I178" s="125">
        <v>139</v>
      </c>
      <c r="J178" s="125">
        <v>145</v>
      </c>
      <c r="K178" s="125">
        <v>161</v>
      </c>
      <c r="L178" s="125">
        <v>239</v>
      </c>
      <c r="M178" s="125">
        <v>211.36938343533296</v>
      </c>
      <c r="N178" s="125">
        <v>133</v>
      </c>
      <c r="O178" s="125">
        <v>191</v>
      </c>
      <c r="P178" s="125">
        <v>186.40354486290701</v>
      </c>
      <c r="Q178" s="125">
        <v>226.48329552331711</v>
      </c>
      <c r="R178" s="125">
        <v>154</v>
      </c>
      <c r="S178" s="125">
        <v>186.26902990860467</v>
      </c>
      <c r="T178" s="125">
        <v>170.13451495430235</v>
      </c>
      <c r="U178" s="125">
        <v>113.78573438528753</v>
      </c>
      <c r="V178" s="125">
        <v>113.78573438528754</v>
      </c>
      <c r="W178" s="125">
        <v>146.50752047713382</v>
      </c>
      <c r="X178" s="125">
        <v>189</v>
      </c>
      <c r="Y178" s="125">
        <v>197.43657310992211</v>
      </c>
      <c r="Z178" s="125">
        <v>215.21388490836188</v>
      </c>
      <c r="AA178" s="125">
        <v>113.78573438528753</v>
      </c>
      <c r="AB178" s="125">
        <v>170.13451495430235</v>
      </c>
      <c r="AC178" s="125">
        <v>153</v>
      </c>
      <c r="AD178" s="125">
        <v>130.92024933958987</v>
      </c>
      <c r="AE178" s="125">
        <v>169.04634170704435</v>
      </c>
      <c r="AF178" s="125">
        <v>113.78573438528815</v>
      </c>
      <c r="AG178" s="125">
        <v>113.78573438528753</v>
      </c>
      <c r="AH178" s="125">
        <v>223</v>
      </c>
      <c r="AI178" s="125">
        <v>156</v>
      </c>
      <c r="AJ178" s="125">
        <v>135</v>
      </c>
      <c r="AK178" s="125">
        <v>165.44988656995139</v>
      </c>
      <c r="AL178" s="125">
        <v>160</v>
      </c>
      <c r="AM178" s="125">
        <v>233</v>
      </c>
      <c r="AN178" s="125">
        <v>118.49171811016494</v>
      </c>
      <c r="AO178" s="125">
        <v>226.48329552331711</v>
      </c>
      <c r="AP178" s="125">
        <v>181</v>
      </c>
      <c r="AQ178" s="125">
        <v>56.75270613827243</v>
      </c>
      <c r="AR178" s="125">
        <v>181.40392556925764</v>
      </c>
      <c r="AS178" s="125">
        <v>165</v>
      </c>
      <c r="AT178" s="125">
        <v>236</v>
      </c>
      <c r="AU178" s="125">
        <v>176</v>
      </c>
      <c r="AV178" s="125">
        <v>176</v>
      </c>
      <c r="AW178" s="125">
        <v>191</v>
      </c>
      <c r="AX178" s="125">
        <v>153</v>
      </c>
      <c r="AY178" s="125">
        <v>167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276.5945636555893</v>
      </c>
      <c r="E179" s="124">
        <f t="shared" si="3"/>
        <v>260.87221825369977</v>
      </c>
      <c r="F179" s="124">
        <f t="shared" si="3"/>
        <v>264.13639720081875</v>
      </c>
      <c r="G179" s="124">
        <f t="shared" si="3"/>
        <v>214.54705059780201</v>
      </c>
      <c r="H179" s="124">
        <f t="shared" si="3"/>
        <v>230.36222426389909</v>
      </c>
      <c r="I179" s="124">
        <f t="shared" si="3"/>
        <v>283.45743791980067</v>
      </c>
      <c r="J179" s="124">
        <f t="shared" si="3"/>
        <v>286.82671186027494</v>
      </c>
      <c r="K179" s="124">
        <f t="shared" si="3"/>
        <v>288.60024401929621</v>
      </c>
      <c r="L179" s="124">
        <f t="shared" si="3"/>
        <v>279.16701351851827</v>
      </c>
      <c r="M179" s="124">
        <f t="shared" si="3"/>
        <v>303.23959900651823</v>
      </c>
      <c r="N179" s="124">
        <f t="shared" si="3"/>
        <v>276.24342309715485</v>
      </c>
      <c r="O179" s="124">
        <f t="shared" si="3"/>
        <v>265.98504253964649</v>
      </c>
      <c r="P179" s="124">
        <f t="shared" si="3"/>
        <v>271.72666198213801</v>
      </c>
      <c r="Q179" s="124">
        <f t="shared" si="3"/>
        <v>238.34385779427168</v>
      </c>
      <c r="R179" s="124">
        <f t="shared" si="3"/>
        <v>233.36525208405828</v>
      </c>
      <c r="S179" s="124">
        <f t="shared" si="3"/>
        <v>241.1068715265499</v>
      </c>
      <c r="T179" s="124">
        <f t="shared" si="3"/>
        <v>214.18627924044628</v>
      </c>
      <c r="U179" s="124">
        <f t="shared" si="3"/>
        <v>199.82320169593899</v>
      </c>
      <c r="V179" s="124">
        <f t="shared" si="3"/>
        <v>154.04584564410902</v>
      </c>
      <c r="W179" s="124">
        <f t="shared" si="3"/>
        <v>117.19259209982992</v>
      </c>
      <c r="X179" s="124">
        <f t="shared" si="3"/>
        <v>70.698039046936685</v>
      </c>
      <c r="Y179" s="124">
        <f t="shared" si="3"/>
        <v>126.5690591163351</v>
      </c>
      <c r="Z179" s="124">
        <f t="shared" si="3"/>
        <v>105.98727223633067</v>
      </c>
      <c r="AA179" s="124">
        <f t="shared" si="3"/>
        <v>123.09182952111537</v>
      </c>
      <c r="AB179" s="124">
        <f t="shared" si="3"/>
        <v>91.898245526717858</v>
      </c>
      <c r="AC179" s="124">
        <f t="shared" si="3"/>
        <v>89.358994775643112</v>
      </c>
      <c r="AD179" s="124">
        <f t="shared" si="3"/>
        <v>101.33881655462284</v>
      </c>
      <c r="AE179" s="124">
        <f t="shared" si="3"/>
        <v>64.037759714506649</v>
      </c>
      <c r="AF179" s="124">
        <f t="shared" si="3"/>
        <v>72.999031264394517</v>
      </c>
      <c r="AG179" s="124">
        <f t="shared" si="3"/>
        <v>47.410653396983513</v>
      </c>
      <c r="AH179" s="124">
        <f t="shared" si="3"/>
        <v>47.410653396983271</v>
      </c>
      <c r="AI179" s="124">
        <f t="shared" si="3"/>
        <v>96.07258548799993</v>
      </c>
      <c r="AJ179" s="124">
        <f t="shared" si="3"/>
        <v>104.41235913981012</v>
      </c>
      <c r="AK179" s="124">
        <f t="shared" si="3"/>
        <v>137.37280432459733</v>
      </c>
      <c r="AL179" s="124">
        <f t="shared" si="3"/>
        <v>77.309501250783313</v>
      </c>
      <c r="AM179" s="124">
        <f t="shared" si="3"/>
        <v>94.815173666096996</v>
      </c>
      <c r="AN179" s="124">
        <f t="shared" si="3"/>
        <v>102.55679310858861</v>
      </c>
      <c r="AO179" s="124">
        <f t="shared" si="3"/>
        <v>75.917753402960443</v>
      </c>
      <c r="AP179" s="124">
        <f t="shared" si="3"/>
        <v>96.07258548799993</v>
      </c>
      <c r="AQ179" s="124">
        <f t="shared" si="3"/>
        <v>113.75824460645941</v>
      </c>
      <c r="AR179" s="124">
        <f t="shared" si="3"/>
        <v>6.1331278695378241E-3</v>
      </c>
      <c r="AS179" s="124">
        <f t="shared" si="3"/>
        <v>76.60766346787274</v>
      </c>
      <c r="AT179" s="124">
        <f t="shared" si="3"/>
        <v>159.77114928722062</v>
      </c>
      <c r="AU179" s="124">
        <f t="shared" si="3"/>
        <v>156.26386461143755</v>
      </c>
      <c r="AV179" s="124">
        <f t="shared" si="3"/>
        <v>99.287450026937563</v>
      </c>
      <c r="AW179" s="124">
        <f t="shared" si="3"/>
        <v>121.10262369303456</v>
      </c>
      <c r="AX179" s="124">
        <f t="shared" si="3"/>
        <v>138.17520918103449</v>
      </c>
      <c r="AY179" s="124">
        <f t="shared" si="3"/>
        <v>143.9765049663356</v>
      </c>
    </row>
    <row r="180" spans="1:51">
      <c r="A180" s="125"/>
      <c r="B180" s="136" t="s">
        <v>299</v>
      </c>
      <c r="C180" s="125" t="s">
        <v>293</v>
      </c>
      <c r="D180" s="125">
        <v>93</v>
      </c>
      <c r="E180" s="125">
        <v>62</v>
      </c>
      <c r="F180" s="125">
        <v>97</v>
      </c>
      <c r="G180" s="125">
        <v>79</v>
      </c>
      <c r="H180" s="125">
        <v>71</v>
      </c>
      <c r="I180" s="125">
        <v>94</v>
      </c>
      <c r="J180" s="125">
        <v>78</v>
      </c>
      <c r="K180" s="125">
        <v>66</v>
      </c>
      <c r="L180" s="125">
        <v>72</v>
      </c>
      <c r="M180" s="125">
        <v>76.440221555977487</v>
      </c>
      <c r="N180" s="125">
        <v>82</v>
      </c>
      <c r="O180" s="125">
        <v>66</v>
      </c>
      <c r="P180" s="125">
        <v>108.67196165973803</v>
      </c>
      <c r="Q180" s="125">
        <v>101.05119119821336</v>
      </c>
      <c r="R180" s="125">
        <v>64</v>
      </c>
      <c r="S180" s="125">
        <v>98.662211728595196</v>
      </c>
      <c r="T180" s="125">
        <v>94.207217223831933</v>
      </c>
      <c r="U180" s="125">
        <v>93.188009448813261</v>
      </c>
      <c r="V180" s="125">
        <v>84.263906941262334</v>
      </c>
      <c r="W180" s="125">
        <v>109.76149626652546</v>
      </c>
      <c r="X180" s="125">
        <v>61</v>
      </c>
      <c r="Y180" s="125">
        <v>90.503494200195334</v>
      </c>
      <c r="Z180" s="125">
        <v>74.101984177834055</v>
      </c>
      <c r="AA180" s="125">
        <v>89.738125673869419</v>
      </c>
      <c r="AB180" s="125">
        <v>74.280870193566344</v>
      </c>
      <c r="AC180" s="125">
        <v>64</v>
      </c>
      <c r="AD180" s="125">
        <v>92</v>
      </c>
      <c r="AE180" s="125">
        <v>64.037759714506649</v>
      </c>
      <c r="AF180" s="125">
        <v>72.999031264394517</v>
      </c>
      <c r="AG180" s="125">
        <v>47.410653396983513</v>
      </c>
      <c r="AH180" s="125">
        <v>47.410653396983271</v>
      </c>
      <c r="AI180" s="125">
        <v>76</v>
      </c>
      <c r="AJ180" s="125">
        <v>75</v>
      </c>
      <c r="AK180" s="125">
        <v>106</v>
      </c>
      <c r="AL180" s="125">
        <v>77.309501250783313</v>
      </c>
      <c r="AM180" s="125">
        <v>64</v>
      </c>
      <c r="AN180" s="125">
        <v>74.049693102611442</v>
      </c>
      <c r="AO180" s="125">
        <v>75.917753402960443</v>
      </c>
      <c r="AP180" s="125">
        <v>96.07258548799993</v>
      </c>
      <c r="AQ180" s="125">
        <v>113.75824460645941</v>
      </c>
      <c r="AR180" s="125">
        <v>6.1331278695378241E-3</v>
      </c>
      <c r="AS180" s="125">
        <v>73</v>
      </c>
      <c r="AT180" s="125">
        <v>106</v>
      </c>
      <c r="AU180" s="125">
        <v>90</v>
      </c>
      <c r="AV180" s="125">
        <v>73</v>
      </c>
      <c r="AW180" s="125">
        <v>79</v>
      </c>
      <c r="AX180" s="125">
        <v>74</v>
      </c>
      <c r="AY180" s="125">
        <v>95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115.07385108077916</v>
      </c>
      <c r="E181" s="124">
        <f t="shared" si="4"/>
        <v>97.184631807571975</v>
      </c>
      <c r="F181" s="124">
        <f t="shared" si="4"/>
        <v>70.599017232340884</v>
      </c>
      <c r="G181" s="124">
        <f t="shared" si="4"/>
        <v>141.18890164812859</v>
      </c>
      <c r="H181" s="124">
        <f t="shared" si="4"/>
        <v>184.78969386870935</v>
      </c>
      <c r="I181" s="124">
        <f t="shared" si="4"/>
        <v>144.99220230661203</v>
      </c>
      <c r="J181" s="124">
        <f t="shared" si="4"/>
        <v>118.79045252596759</v>
      </c>
      <c r="K181" s="124">
        <f t="shared" si="4"/>
        <v>84.23335365606971</v>
      </c>
      <c r="L181" s="124">
        <f t="shared" si="4"/>
        <v>143.06130863942971</v>
      </c>
      <c r="M181" s="124">
        <f t="shared" si="4"/>
        <v>73.626933622139731</v>
      </c>
      <c r="N181" s="124">
        <f t="shared" si="4"/>
        <v>106.8301629358853</v>
      </c>
      <c r="O181" s="124">
        <f t="shared" si="4"/>
        <v>106.8301629358853</v>
      </c>
      <c r="P181" s="124">
        <f t="shared" si="4"/>
        <v>112.11278784239052</v>
      </c>
      <c r="Q181" s="124">
        <f t="shared" si="4"/>
        <v>143.06130863942971</v>
      </c>
      <c r="R181" s="124">
        <f t="shared" si="4"/>
        <v>106.8301629358853</v>
      </c>
      <c r="S181" s="124">
        <f t="shared" si="4"/>
        <v>106.8301629358853</v>
      </c>
      <c r="T181" s="124">
        <f t="shared" si="4"/>
        <v>118.89559390634237</v>
      </c>
      <c r="U181" s="124">
        <f t="shared" si="4"/>
        <v>70.599017232340898</v>
      </c>
      <c r="V181" s="124">
        <f t="shared" si="4"/>
        <v>70.599017232340884</v>
      </c>
      <c r="W181" s="124">
        <f t="shared" si="4"/>
        <v>94.210555943550062</v>
      </c>
      <c r="X181" s="124">
        <f t="shared" si="4"/>
        <v>174.03217565370497</v>
      </c>
      <c r="Y181" s="124">
        <f t="shared" si="4"/>
        <v>104.12013896283818</v>
      </c>
      <c r="Z181" s="124">
        <f t="shared" si="4"/>
        <v>135.81530164761142</v>
      </c>
      <c r="AA181" s="124">
        <f t="shared" si="4"/>
        <v>87.178446419629623</v>
      </c>
      <c r="AB181" s="124">
        <f t="shared" si="4"/>
        <v>106.8301629358853</v>
      </c>
      <c r="AC181" s="124">
        <f t="shared" si="4"/>
        <v>113.14125334171615</v>
      </c>
      <c r="AD181" s="124">
        <f t="shared" si="4"/>
        <v>81.451980811156488</v>
      </c>
      <c r="AE181" s="124">
        <f t="shared" si="4"/>
        <v>108.7025699271866</v>
      </c>
      <c r="AF181" s="124">
        <f t="shared" si="4"/>
        <v>70.599017232341254</v>
      </c>
      <c r="AG181" s="124">
        <f t="shared" si="4"/>
        <v>70.599017232340898</v>
      </c>
      <c r="AH181" s="124">
        <f t="shared" si="4"/>
        <v>143.06130863942971</v>
      </c>
      <c r="AI181" s="124">
        <f t="shared" si="4"/>
        <v>125.59002474736511</v>
      </c>
      <c r="AJ181" s="124">
        <f t="shared" si="4"/>
        <v>160.76347369000757</v>
      </c>
      <c r="AK181" s="124">
        <f t="shared" si="4"/>
        <v>68.404154457297182</v>
      </c>
      <c r="AL181" s="124">
        <f t="shared" si="4"/>
        <v>141.18890164812842</v>
      </c>
      <c r="AM181" s="124">
        <f t="shared" si="4"/>
        <v>106.83016293588531</v>
      </c>
      <c r="AN181" s="124">
        <f t="shared" si="4"/>
        <v>70.599017232340898</v>
      </c>
      <c r="AO181" s="124">
        <f t="shared" si="4"/>
        <v>143.06130863942971</v>
      </c>
      <c r="AP181" s="124">
        <f t="shared" si="4"/>
        <v>169.39695397244418</v>
      </c>
      <c r="AQ181" s="124">
        <f t="shared" si="4"/>
        <v>9.1328165533614489E-3</v>
      </c>
      <c r="AR181" s="124">
        <f t="shared" si="4"/>
        <v>114.07616992770356</v>
      </c>
      <c r="AS181" s="124">
        <f t="shared" si="4"/>
        <v>232.54243163676963</v>
      </c>
      <c r="AT181" s="124">
        <f t="shared" si="4"/>
        <v>152.62149869092963</v>
      </c>
      <c r="AU181" s="124">
        <f t="shared" si="4"/>
        <v>49.17529096890523</v>
      </c>
      <c r="AV181" s="124">
        <f t="shared" si="4"/>
        <v>141.18890164812842</v>
      </c>
      <c r="AW181" s="124">
        <f t="shared" si="4"/>
        <v>143.06130863942971</v>
      </c>
      <c r="AX181" s="124">
        <f t="shared" si="4"/>
        <v>118.83179523250548</v>
      </c>
      <c r="AY181" s="124">
        <f t="shared" si="4"/>
        <v>106.8301629358853</v>
      </c>
    </row>
    <row r="182" spans="1:51">
      <c r="A182" s="125"/>
      <c r="B182" s="136" t="s">
        <v>299</v>
      </c>
      <c r="C182" s="125" t="s">
        <v>293</v>
      </c>
      <c r="D182" s="125">
        <v>100</v>
      </c>
      <c r="E182" s="125">
        <v>97.184631807571975</v>
      </c>
      <c r="F182" s="125">
        <v>70.599017232340884</v>
      </c>
      <c r="G182" s="125">
        <v>132</v>
      </c>
      <c r="H182" s="125">
        <v>121</v>
      </c>
      <c r="I182" s="125">
        <v>125</v>
      </c>
      <c r="J182" s="125">
        <v>96</v>
      </c>
      <c r="K182" s="125">
        <v>84.23335365606971</v>
      </c>
      <c r="L182" s="125">
        <v>138</v>
      </c>
      <c r="M182" s="125">
        <v>73.626933622139731</v>
      </c>
      <c r="N182" s="125">
        <v>106.8301629358853</v>
      </c>
      <c r="O182" s="125">
        <v>98</v>
      </c>
      <c r="P182" s="125">
        <v>112.11278784239052</v>
      </c>
      <c r="Q182" s="125">
        <v>143.06130863942971</v>
      </c>
      <c r="R182" s="125">
        <v>106.8301629358853</v>
      </c>
      <c r="S182" s="125">
        <v>86.662211728595196</v>
      </c>
      <c r="T182" s="125">
        <v>118.89559390634237</v>
      </c>
      <c r="U182" s="125">
        <v>70.599017232340898</v>
      </c>
      <c r="V182" s="125">
        <v>70.599017232340884</v>
      </c>
      <c r="W182" s="125">
        <v>87.761496266525455</v>
      </c>
      <c r="X182" s="125">
        <v>118</v>
      </c>
      <c r="Y182" s="125">
        <v>104.12013896283818</v>
      </c>
      <c r="Z182" s="125">
        <v>108.10198417783405</v>
      </c>
      <c r="AA182" s="125">
        <v>87.178446419629623</v>
      </c>
      <c r="AB182" s="125">
        <v>96.280870193566344</v>
      </c>
      <c r="AC182" s="125">
        <v>95</v>
      </c>
      <c r="AD182" s="125">
        <v>81.451980811156488</v>
      </c>
      <c r="AE182" s="125">
        <v>108.7025699271866</v>
      </c>
      <c r="AF182" s="125">
        <v>70.599017232341254</v>
      </c>
      <c r="AG182" s="125">
        <v>70.599017232340898</v>
      </c>
      <c r="AH182" s="125">
        <v>111.70329261863131</v>
      </c>
      <c r="AI182" s="125">
        <v>96</v>
      </c>
      <c r="AJ182" s="125">
        <v>107</v>
      </c>
      <c r="AK182" s="125">
        <v>68.404154457297182</v>
      </c>
      <c r="AL182" s="125">
        <v>141.18890164812842</v>
      </c>
      <c r="AM182" s="125">
        <v>106.83016293588531</v>
      </c>
      <c r="AN182" s="125">
        <v>70.599017232340898</v>
      </c>
      <c r="AO182" s="125">
        <v>111.15205520515518</v>
      </c>
      <c r="AP182" s="125">
        <v>169.39695397244418</v>
      </c>
      <c r="AQ182" s="125">
        <v>9.1328165533614489E-3</v>
      </c>
      <c r="AR182" s="125">
        <v>101.16653753020111</v>
      </c>
      <c r="AS182" s="125">
        <v>156</v>
      </c>
      <c r="AT182" s="125">
        <v>131</v>
      </c>
      <c r="AU182" s="125">
        <v>49.17529096890523</v>
      </c>
      <c r="AV182" s="125">
        <v>141.18890164812842</v>
      </c>
      <c r="AW182" s="125">
        <v>123</v>
      </c>
      <c r="AX182" s="125">
        <v>118.83179523250548</v>
      </c>
      <c r="AY182" s="125">
        <v>97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3.6889098949023595E-20</v>
      </c>
      <c r="AE185" s="124">
        <v>3.6889098949023607E-20</v>
      </c>
      <c r="AF185" s="124">
        <v>126</v>
      </c>
      <c r="AG185" s="124">
        <v>149.99999999999997</v>
      </c>
      <c r="AH185" s="124">
        <v>127.99999999999994</v>
      </c>
      <c r="AI185" s="124">
        <v>149.99999999999991</v>
      </c>
      <c r="AJ185" s="124">
        <v>114.99999999999989</v>
      </c>
      <c r="AK185" s="124">
        <v>70.999999999999858</v>
      </c>
      <c r="AL185" s="124">
        <v>6.9999999999998295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13.215806090642246</v>
      </c>
      <c r="H186" s="106">
        <v>54.215806090642232</v>
      </c>
      <c r="I186" s="106">
        <v>88.215806090642218</v>
      </c>
      <c r="J186" s="106">
        <v>24.215806090642189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8.21580609064182</v>
      </c>
      <c r="X186" s="106">
        <v>0</v>
      </c>
      <c r="Y186" s="106">
        <v>0</v>
      </c>
      <c r="Z186" s="106">
        <v>0</v>
      </c>
      <c r="AA186" s="106">
        <v>0</v>
      </c>
      <c r="AB186" s="106">
        <v>6.2158060906416779</v>
      </c>
      <c r="AC186" s="106">
        <v>0</v>
      </c>
      <c r="AD186" s="106">
        <v>3.6889098949023607E-20</v>
      </c>
      <c r="AE186" s="106">
        <v>1.2037062152420224E-35</v>
      </c>
      <c r="AF186" s="106">
        <v>0</v>
      </c>
      <c r="AG186" s="106">
        <v>24.000000000000028</v>
      </c>
      <c r="AH186" s="106">
        <v>5.6843418860808015E-14</v>
      </c>
      <c r="AI186" s="106">
        <v>22.000000000000085</v>
      </c>
      <c r="AJ186" s="106">
        <v>1.1368683772161603E-13</v>
      </c>
      <c r="AK186" s="106">
        <v>65.000000000000142</v>
      </c>
      <c r="AL186" s="106">
        <v>109.00000000000017</v>
      </c>
      <c r="AM186" s="106">
        <v>159</v>
      </c>
      <c r="AN186" s="106">
        <v>117.9999999999998</v>
      </c>
      <c r="AO186" s="106">
        <v>80.999999999999773</v>
      </c>
      <c r="AP186" s="106">
        <v>100.99999999999974</v>
      </c>
      <c r="AQ186" s="106">
        <v>126.99999999999972</v>
      </c>
      <c r="AR186" s="106">
        <v>138.99999999999969</v>
      </c>
      <c r="AS186" s="106">
        <v>147.99999999999966</v>
      </c>
      <c r="AT186" s="106">
        <v>86.999999999999631</v>
      </c>
      <c r="AU186" s="106">
        <v>86.999999999999602</v>
      </c>
      <c r="AV186" s="106">
        <v>60.999999999999574</v>
      </c>
      <c r="AW186" s="106">
        <v>45.999999999999545</v>
      </c>
      <c r="AX186" s="106">
        <v>77.999999999999517</v>
      </c>
      <c r="AY186" s="106">
        <v>122.99999999999949</v>
      </c>
    </row>
    <row r="187" spans="1:51">
      <c r="A187" s="109"/>
      <c r="B187" s="127">
        <v>3</v>
      </c>
      <c r="C187" s="106">
        <v>22.501752923497037</v>
      </c>
      <c r="D187" s="106">
        <v>0</v>
      </c>
      <c r="E187" s="106">
        <v>23.607903045321137</v>
      </c>
      <c r="F187" s="106">
        <v>36.215806090642275</v>
      </c>
      <c r="G187" s="106">
        <v>80.000000000000014</v>
      </c>
      <c r="H187" s="106">
        <v>66.784193909357768</v>
      </c>
      <c r="I187" s="106">
        <v>25.784193909357782</v>
      </c>
      <c r="J187" s="106">
        <v>91.784193909357811</v>
      </c>
      <c r="K187" s="106">
        <v>124</v>
      </c>
      <c r="L187" s="106">
        <v>124.21580609064216</v>
      </c>
      <c r="M187" s="106">
        <v>70.215806090642133</v>
      </c>
      <c r="N187" s="106">
        <v>64.215806090642104</v>
      </c>
      <c r="O187" s="106">
        <v>100.21580609064208</v>
      </c>
      <c r="P187" s="106">
        <v>136.21580609064205</v>
      </c>
      <c r="Q187" s="106">
        <v>97.215806090642019</v>
      </c>
      <c r="R187" s="106">
        <v>83.215806090641991</v>
      </c>
      <c r="S187" s="106">
        <v>114.21580609064196</v>
      </c>
      <c r="T187" s="106">
        <v>89.215806090641934</v>
      </c>
      <c r="U187" s="106">
        <v>131.21580609064191</v>
      </c>
      <c r="V187" s="106">
        <v>148.21580609064188</v>
      </c>
      <c r="W187" s="106">
        <v>150.00000000000003</v>
      </c>
      <c r="X187" s="106">
        <v>123</v>
      </c>
      <c r="Y187" s="106">
        <v>103.21580609064179</v>
      </c>
      <c r="Z187" s="106">
        <v>102.21580609064176</v>
      </c>
      <c r="AA187" s="106">
        <v>104.21580609064173</v>
      </c>
      <c r="AB187" s="106">
        <v>120.00000000000003</v>
      </c>
      <c r="AC187" s="106">
        <v>113.78419390935835</v>
      </c>
      <c r="AD187" s="106">
        <v>3.6889098949023607E-20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14.000000000000199</v>
      </c>
      <c r="AO187" s="106">
        <v>62.000000000000227</v>
      </c>
      <c r="AP187" s="106">
        <v>69.000000000000256</v>
      </c>
      <c r="AQ187" s="106">
        <v>49.000000000000284</v>
      </c>
      <c r="AR187" s="106">
        <v>23.000000000000313</v>
      </c>
      <c r="AS187" s="106">
        <v>11.000000000000341</v>
      </c>
      <c r="AT187" s="106">
        <v>32.000000000000369</v>
      </c>
      <c r="AU187" s="106">
        <v>93.000000000000398</v>
      </c>
      <c r="AV187" s="106">
        <v>93.000000000000426</v>
      </c>
      <c r="AW187" s="106">
        <v>119.00000000000045</v>
      </c>
      <c r="AX187" s="106">
        <v>104.00000000000048</v>
      </c>
      <c r="AY187" s="106">
        <v>72.000000000000512</v>
      </c>
    </row>
    <row r="188" spans="1:51">
      <c r="A188" s="128"/>
      <c r="B188" s="129">
        <v>4</v>
      </c>
      <c r="C188" s="106">
        <v>101.49824707650296</v>
      </c>
      <c r="D188" s="106">
        <v>129</v>
      </c>
      <c r="E188" s="106">
        <v>158.39209695467886</v>
      </c>
      <c r="F188" s="106">
        <v>134.78419390935773</v>
      </c>
      <c r="G188" s="106">
        <v>43.784193909357739</v>
      </c>
      <c r="H188" s="106">
        <v>0</v>
      </c>
      <c r="I188" s="106">
        <v>0</v>
      </c>
      <c r="J188" s="106">
        <v>0</v>
      </c>
      <c r="K188" s="106">
        <v>0</v>
      </c>
      <c r="L188" s="106">
        <v>31.784193909357839</v>
      </c>
      <c r="M188" s="106">
        <v>55.784193909357867</v>
      </c>
      <c r="N188" s="106">
        <v>109.7841939093579</v>
      </c>
      <c r="O188" s="106">
        <v>85.784193909357924</v>
      </c>
      <c r="P188" s="106">
        <v>49.784193909357953</v>
      </c>
      <c r="Q188" s="106">
        <v>13.784193909357981</v>
      </c>
      <c r="R188" s="106">
        <v>52.784193909358009</v>
      </c>
      <c r="S188" s="106">
        <v>66.784193909358038</v>
      </c>
      <c r="T188" s="106">
        <v>35.784193909358066</v>
      </c>
      <c r="U188" s="106">
        <v>60.784193909358095</v>
      </c>
      <c r="V188" s="106">
        <v>18.784193909358123</v>
      </c>
      <c r="W188" s="106">
        <v>1.7841939093581516</v>
      </c>
      <c r="X188" s="106">
        <v>0</v>
      </c>
      <c r="Y188" s="106">
        <v>18.784193909358208</v>
      </c>
      <c r="Z188" s="106">
        <v>46.784193909358237</v>
      </c>
      <c r="AA188" s="106">
        <v>17.784193909358265</v>
      </c>
      <c r="AB188" s="106">
        <v>15.784193909358294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53.316123076696073</v>
      </c>
      <c r="E189" s="124">
        <v>0</v>
      </c>
      <c r="F189" s="124">
        <v>63.143690015358644</v>
      </c>
      <c r="G189" s="124">
        <v>73.572221244783364</v>
      </c>
      <c r="H189" s="124">
        <v>69.088925721466239</v>
      </c>
      <c r="I189" s="124">
        <v>37.954410767163893</v>
      </c>
      <c r="J189" s="124">
        <v>12.819895812861574</v>
      </c>
      <c r="K189" s="124">
        <v>3.6853808585592276</v>
      </c>
      <c r="L189" s="124">
        <v>72.550865904256909</v>
      </c>
      <c r="M189" s="124">
        <v>113.78573438528753</v>
      </c>
      <c r="N189" s="124">
        <v>76.651219430985208</v>
      </c>
      <c r="O189" s="124">
        <v>97.516704476682861</v>
      </c>
      <c r="P189" s="124">
        <v>170.13451495430235</v>
      </c>
      <c r="Q189" s="124">
        <v>170.13451495430232</v>
      </c>
      <c r="R189" s="124">
        <v>154</v>
      </c>
      <c r="S189" s="124">
        <v>170.13451495430232</v>
      </c>
      <c r="T189" s="124">
        <v>170.13451495430235</v>
      </c>
      <c r="U189" s="124">
        <v>113.78573438528753</v>
      </c>
      <c r="V189" s="124">
        <v>113.78573438528754</v>
      </c>
      <c r="W189" s="124">
        <v>45.079369954059516</v>
      </c>
      <c r="X189" s="124">
        <v>75.21426561471246</v>
      </c>
      <c r="Y189" s="124">
        <v>113.78573438528751</v>
      </c>
      <c r="Z189" s="124">
        <v>215.21388490836185</v>
      </c>
      <c r="AA189" s="124">
        <v>113.78573438528753</v>
      </c>
      <c r="AB189" s="124">
        <v>113.78573438528754</v>
      </c>
      <c r="AC189" s="124">
        <v>96.651219430985194</v>
      </c>
      <c r="AD189" s="124">
        <v>113.78573438528754</v>
      </c>
      <c r="AE189" s="124">
        <v>56.348780569014778</v>
      </c>
      <c r="AF189" s="124">
        <v>113.78573438528814</v>
      </c>
      <c r="AG189" s="124">
        <v>113.78573438528753</v>
      </c>
      <c r="AH189" s="124">
        <v>110.30243886197042</v>
      </c>
      <c r="AI189" s="124">
        <v>96.167923907668069</v>
      </c>
      <c r="AJ189" s="124">
        <v>61.03340895336575</v>
      </c>
      <c r="AK189" s="124">
        <v>56.348780569014792</v>
      </c>
      <c r="AL189" s="124">
        <v>46.214265614712474</v>
      </c>
      <c r="AM189" s="124">
        <v>109.07975066041013</v>
      </c>
      <c r="AN189" s="124">
        <v>113.78573438528754</v>
      </c>
      <c r="AO189" s="124">
        <v>113.78573438528753</v>
      </c>
      <c r="AP189" s="124">
        <v>124.65121943098521</v>
      </c>
      <c r="AQ189" s="124">
        <v>0</v>
      </c>
      <c r="AR189" s="124">
        <v>113.78573438528754</v>
      </c>
      <c r="AS189" s="124">
        <v>51.214265614712474</v>
      </c>
      <c r="AT189" s="124">
        <v>43.361723374635915</v>
      </c>
      <c r="AU189" s="124">
        <v>49.227208420333568</v>
      </c>
      <c r="AV189" s="124">
        <v>55.09269346603125</v>
      </c>
      <c r="AW189" s="124">
        <v>75.958178511728903</v>
      </c>
      <c r="AX189" s="124">
        <v>58.823663557426585</v>
      </c>
      <c r="AY189" s="124">
        <v>55.689148603124238</v>
      </c>
    </row>
    <row r="190" spans="1:51">
      <c r="A190" s="109"/>
      <c r="B190" s="119">
        <v>2</v>
      </c>
      <c r="C190" s="106">
        <v>102.84916944453593</v>
      </c>
      <c r="D190" s="106">
        <v>112.50288025674706</v>
      </c>
      <c r="E190" s="106">
        <v>122.47271414565424</v>
      </c>
      <c r="F190" s="106">
        <v>67.61498109589887</v>
      </c>
      <c r="G190" s="106">
        <v>50.642044369928897</v>
      </c>
      <c r="H190" s="106">
        <v>152.91107427853376</v>
      </c>
      <c r="I190" s="106">
        <v>101.04558923283611</v>
      </c>
      <c r="J190" s="106">
        <v>132.18010418713843</v>
      </c>
      <c r="K190" s="106">
        <v>157.31461914144077</v>
      </c>
      <c r="L190" s="106">
        <v>166.44913409574309</v>
      </c>
      <c r="M190" s="106">
        <v>97.583649050045437</v>
      </c>
      <c r="N190" s="106">
        <v>56.348780569014792</v>
      </c>
      <c r="O190" s="106">
        <v>93.483295523317139</v>
      </c>
      <c r="P190" s="106">
        <v>16.269029908604665</v>
      </c>
      <c r="Q190" s="106">
        <v>0</v>
      </c>
      <c r="R190" s="106">
        <v>0</v>
      </c>
      <c r="S190" s="106">
        <v>16.134514954302347</v>
      </c>
      <c r="T190" s="106">
        <v>0</v>
      </c>
      <c r="U190" s="106">
        <v>0</v>
      </c>
      <c r="V190" s="106">
        <v>0</v>
      </c>
      <c r="W190" s="106">
        <v>45.079369954059516</v>
      </c>
      <c r="X190" s="106">
        <v>113.78573438528754</v>
      </c>
      <c r="Y190" s="106">
        <v>83.650838724634596</v>
      </c>
      <c r="Z190" s="106">
        <v>1.4210854715202004E-14</v>
      </c>
      <c r="AA190" s="106">
        <v>0</v>
      </c>
      <c r="AB190" s="106">
        <v>56.348780569014792</v>
      </c>
      <c r="AC190" s="106">
        <v>56.348780569014806</v>
      </c>
      <c r="AD190" s="106">
        <v>17.134514954302333</v>
      </c>
      <c r="AE190" s="106">
        <v>112.69756113802957</v>
      </c>
      <c r="AF190" s="106">
        <v>1.4210854715202004E-14</v>
      </c>
      <c r="AG190" s="106">
        <v>0</v>
      </c>
      <c r="AH190" s="106">
        <v>56.348780569014792</v>
      </c>
      <c r="AI190" s="106">
        <v>59.832076092331931</v>
      </c>
      <c r="AJ190" s="106">
        <v>73.96659104663425</v>
      </c>
      <c r="AK190" s="106">
        <v>109.1011060009366</v>
      </c>
      <c r="AL190" s="106">
        <v>113.78573438528753</v>
      </c>
      <c r="AM190" s="106">
        <v>123.92024933958987</v>
      </c>
      <c r="AN190" s="106">
        <v>4.7059837248773988</v>
      </c>
      <c r="AO190" s="106">
        <v>112.69756113802957</v>
      </c>
      <c r="AP190" s="106">
        <v>56.348780569014792</v>
      </c>
      <c r="AQ190" s="106">
        <v>56.75270613827243</v>
      </c>
      <c r="AR190" s="106">
        <v>67.618191183970083</v>
      </c>
      <c r="AS190" s="106">
        <v>0</v>
      </c>
      <c r="AT190" s="106">
        <v>192.63827662536409</v>
      </c>
      <c r="AU190" s="106">
        <v>126.77279157966643</v>
      </c>
      <c r="AV190" s="106">
        <v>120.90730653396875</v>
      </c>
      <c r="AW190" s="106">
        <v>115.0418214882711</v>
      </c>
      <c r="AX190" s="106">
        <v>94.176336442573415</v>
      </c>
      <c r="AY190" s="106">
        <v>111.31085139687576</v>
      </c>
    </row>
    <row r="191" spans="1:51">
      <c r="A191" s="109"/>
      <c r="B191" s="120">
        <v>3</v>
      </c>
      <c r="C191" s="106">
        <v>79.150830555464069</v>
      </c>
      <c r="D191" s="106">
        <v>78.180996666556865</v>
      </c>
      <c r="E191" s="106">
        <v>68.527285854345763</v>
      </c>
      <c r="F191" s="106">
        <v>5.2413288887424869</v>
      </c>
      <c r="G191" s="106">
        <v>113.78573438528774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56.348780569014792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56.348780569014792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56.348780569014792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113.78573438528753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0</v>
      </c>
      <c r="D197" s="106">
        <v>0</v>
      </c>
      <c r="E197" s="106">
        <v>0</v>
      </c>
      <c r="F197" s="106">
        <v>0</v>
      </c>
      <c r="G197" s="106">
        <v>0</v>
      </c>
      <c r="H197" s="106">
        <v>0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0</v>
      </c>
      <c r="S197" s="106">
        <v>0</v>
      </c>
      <c r="T197" s="106">
        <v>0</v>
      </c>
      <c r="U197" s="106">
        <v>0</v>
      </c>
      <c r="V197" s="106">
        <v>0</v>
      </c>
      <c r="W197" s="106">
        <v>39.979557563678789</v>
      </c>
      <c r="X197" s="106">
        <v>53.568904166695525</v>
      </c>
      <c r="Y197" s="106">
        <v>80.805455153258634</v>
      </c>
      <c r="Z197" s="106">
        <v>38.036419261694292</v>
      </c>
      <c r="AA197" s="106">
        <v>57.852837615372806</v>
      </c>
      <c r="AB197" s="106">
        <v>40.927166346320391</v>
      </c>
      <c r="AC197" s="106">
        <v>46.382624666848479</v>
      </c>
      <c r="AD197" s="106">
        <v>66.641005224356888</v>
      </c>
      <c r="AE197" s="106">
        <v>54.698943159883811</v>
      </c>
      <c r="AF197" s="106">
        <v>72.999031264394517</v>
      </c>
      <c r="AG197" s="106">
        <v>47.410653396983513</v>
      </c>
      <c r="AH197" s="106">
        <v>47.410653396983271</v>
      </c>
      <c r="AI197" s="106">
        <v>76</v>
      </c>
      <c r="AJ197" s="106">
        <v>54.92741451200007</v>
      </c>
      <c r="AK197" s="106">
        <v>76.587640860189879</v>
      </c>
      <c r="AL197" s="106">
        <v>45.936696926185974</v>
      </c>
      <c r="AM197" s="106">
        <v>63.999999999999993</v>
      </c>
      <c r="AN197" s="106">
        <v>43.234519436514439</v>
      </c>
      <c r="AO197" s="106">
        <v>47.410653396983271</v>
      </c>
      <c r="AP197" s="106">
        <v>96.07258548799993</v>
      </c>
      <c r="AQ197" s="106">
        <v>113.75824460645941</v>
      </c>
      <c r="AR197" s="106">
        <v>6.1331278695378241E-3</v>
      </c>
      <c r="AS197" s="106">
        <v>73</v>
      </c>
      <c r="AT197" s="106">
        <v>102.39233653212726</v>
      </c>
      <c r="AU197" s="106">
        <v>36.228850712779391</v>
      </c>
      <c r="AV197" s="106">
        <v>6.7361353885624595</v>
      </c>
      <c r="AW197" s="106">
        <v>52.712549973062437</v>
      </c>
      <c r="AX197" s="106">
        <v>31.897376306965441</v>
      </c>
      <c r="AY197" s="106">
        <v>30.824790818965511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29.452949402198016</v>
      </c>
      <c r="J198" s="106">
        <v>12.637775736100906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9.7381103183049333</v>
      </c>
      <c r="R198" s="106">
        <v>1.9964908758133362</v>
      </c>
      <c r="S198" s="106">
        <v>25.369545132536842</v>
      </c>
      <c r="T198" s="106">
        <v>23.504176868368845</v>
      </c>
      <c r="U198" s="106">
        <v>44.950566874690509</v>
      </c>
      <c r="V198" s="106">
        <v>57.472854373461246</v>
      </c>
      <c r="W198" s="106">
        <v>47.410653396983271</v>
      </c>
      <c r="X198" s="106">
        <v>7.4310958333044752</v>
      </c>
      <c r="Y198" s="106">
        <v>9.6980390469366924</v>
      </c>
      <c r="Z198" s="106">
        <v>36.065564916139763</v>
      </c>
      <c r="AA198" s="106">
        <v>31.885288058496613</v>
      </c>
      <c r="AB198" s="106">
        <v>33.353703847245953</v>
      </c>
      <c r="AC198" s="106">
        <v>17.617375333151521</v>
      </c>
      <c r="AD198" s="106">
        <v>25.358994775643119</v>
      </c>
      <c r="AE198" s="106">
        <v>9.3388165546228379</v>
      </c>
      <c r="AF198" s="106">
        <v>0</v>
      </c>
      <c r="AG198" s="106">
        <v>0</v>
      </c>
      <c r="AH198" s="106">
        <v>0</v>
      </c>
      <c r="AI198" s="106">
        <v>0</v>
      </c>
      <c r="AJ198" s="106">
        <v>20.07258548799993</v>
      </c>
      <c r="AK198" s="106">
        <v>29.412359139810121</v>
      </c>
      <c r="AL198" s="106">
        <v>31.37280432459734</v>
      </c>
      <c r="AM198" s="106">
        <v>7.1054273576010019E-15</v>
      </c>
      <c r="AN198" s="106">
        <v>30.815173666097003</v>
      </c>
      <c r="AO198" s="106">
        <v>28.507100005977172</v>
      </c>
      <c r="AP198" s="106">
        <v>0</v>
      </c>
      <c r="AQ198" s="106">
        <v>0</v>
      </c>
      <c r="AR198" s="106">
        <v>0</v>
      </c>
      <c r="AS198" s="106">
        <v>0</v>
      </c>
      <c r="AT198" s="106">
        <v>3.6076634678727402</v>
      </c>
      <c r="AU198" s="106">
        <v>53.771149287220609</v>
      </c>
      <c r="AV198" s="106">
        <v>66.26386461143754</v>
      </c>
      <c r="AW198" s="106">
        <v>26.287450026937563</v>
      </c>
      <c r="AX198" s="106">
        <v>42.102623693034559</v>
      </c>
      <c r="AY198" s="106">
        <v>64.175209181034489</v>
      </c>
    </row>
    <row r="199" spans="1:51">
      <c r="A199" s="109"/>
      <c r="B199" s="119">
        <v>3</v>
      </c>
      <c r="C199" s="106">
        <v>14.152753484573253</v>
      </c>
      <c r="D199" s="106">
        <v>21.137168176018136</v>
      </c>
      <c r="E199" s="106">
        <v>35.504334453865518</v>
      </c>
      <c r="F199" s="106">
        <v>26.126727455212631</v>
      </c>
      <c r="G199" s="106">
        <v>54.405436344410717</v>
      </c>
      <c r="H199" s="106">
        <v>48.127781746300229</v>
      </c>
      <c r="I199" s="106">
        <v>47.410653396983264</v>
      </c>
      <c r="J199" s="106">
        <v>65.362224263899094</v>
      </c>
      <c r="K199" s="106">
        <v>66</v>
      </c>
      <c r="L199" s="106">
        <v>26.542562080199289</v>
      </c>
      <c r="M199" s="106">
        <v>5.613509695702561</v>
      </c>
      <c r="N199" s="106">
        <v>7.8399775366812605</v>
      </c>
      <c r="O199" s="106">
        <v>17.273208037459192</v>
      </c>
      <c r="P199" s="106">
        <v>29.872584209197299</v>
      </c>
      <c r="Q199" s="106">
        <v>71.741619442491597</v>
      </c>
      <c r="R199" s="106">
        <v>62.003509124186664</v>
      </c>
      <c r="S199" s="106">
        <v>73.292666596058353</v>
      </c>
      <c r="T199" s="106">
        <v>70.703040355463088</v>
      </c>
      <c r="U199" s="106">
        <v>48.237442574122753</v>
      </c>
      <c r="V199" s="106">
        <v>26.791052567801088</v>
      </c>
      <c r="W199" s="106">
        <v>22.371285305863395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73.847246515426747</v>
      </c>
      <c r="D200" s="106">
        <v>71.862831823981864</v>
      </c>
      <c r="E200" s="106">
        <v>26.495665546134482</v>
      </c>
      <c r="F200" s="106">
        <v>70.873272544787369</v>
      </c>
      <c r="G200" s="106">
        <v>24.594563655589283</v>
      </c>
      <c r="H200" s="106">
        <v>22.872218253699771</v>
      </c>
      <c r="I200" s="106">
        <v>17.13639720081872</v>
      </c>
      <c r="J200" s="106">
        <v>0</v>
      </c>
      <c r="K200" s="106">
        <v>0</v>
      </c>
      <c r="L200" s="106">
        <v>45.457437919800711</v>
      </c>
      <c r="M200" s="106">
        <v>70.826711860274926</v>
      </c>
      <c r="N200" s="106">
        <v>74.160022463318739</v>
      </c>
      <c r="O200" s="106">
        <v>48.726791962540808</v>
      </c>
      <c r="P200" s="106">
        <v>78.799377450540732</v>
      </c>
      <c r="Q200" s="106">
        <v>19.571461437416829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70.791082544611399</v>
      </c>
      <c r="D209" s="124">
        <v>100</v>
      </c>
      <c r="E209" s="124">
        <v>43.484221489102147</v>
      </c>
      <c r="F209" s="124">
        <v>70.599017232340884</v>
      </c>
      <c r="G209" s="124">
        <v>61.410115584212292</v>
      </c>
      <c r="H209" s="124">
        <v>43.040469067175948</v>
      </c>
      <c r="I209" s="124">
        <v>86.837960629273283</v>
      </c>
      <c r="J209" s="124">
        <v>84.039710409917703</v>
      </c>
      <c r="K209" s="124">
        <v>70.599017232340898</v>
      </c>
      <c r="L209" s="124">
        <v>101.7688542964556</v>
      </c>
      <c r="M209" s="124">
        <v>70.599017232340898</v>
      </c>
      <c r="N209" s="124">
        <v>70.599017232340884</v>
      </c>
      <c r="O209" s="124">
        <v>61.768854296455586</v>
      </c>
      <c r="P209" s="124">
        <v>106.8301629358853</v>
      </c>
      <c r="Q209" s="124">
        <v>106.8301629358853</v>
      </c>
      <c r="R209" s="124">
        <v>106.8301629358853</v>
      </c>
      <c r="S209" s="124">
        <v>86.662211728595196</v>
      </c>
      <c r="T209" s="124">
        <v>106.8301629358853</v>
      </c>
      <c r="U209" s="124">
        <v>70.599017232340898</v>
      </c>
      <c r="V209" s="124">
        <v>70.599017232340884</v>
      </c>
      <c r="W209" s="124">
        <v>22.545211851254901</v>
      </c>
      <c r="X209" s="124">
        <v>43.551980290362081</v>
      </c>
      <c r="Y209" s="124">
        <v>70.599017232340884</v>
      </c>
      <c r="Z209" s="124">
        <v>108.10198417783404</v>
      </c>
      <c r="AA209" s="124">
        <v>70.599017232340884</v>
      </c>
      <c r="AB209" s="124">
        <v>60.04972449002193</v>
      </c>
      <c r="AC209" s="124">
        <v>52.457763890624747</v>
      </c>
      <c r="AD209" s="124">
        <v>70.599017232340884</v>
      </c>
      <c r="AE209" s="124">
        <v>36.240278520097775</v>
      </c>
      <c r="AF209" s="124">
        <v>70.599017232341254</v>
      </c>
      <c r="AG209" s="124">
        <v>70.599017232340898</v>
      </c>
      <c r="AH209" s="124">
        <v>39.241001211542489</v>
      </c>
      <c r="AI209" s="124">
        <v>41.008992484975778</v>
      </c>
      <c r="AJ209" s="124">
        <v>53.066689245877761</v>
      </c>
      <c r="AK209" s="124">
        <v>36.24027852009776</v>
      </c>
      <c r="AL209" s="124">
        <v>70.59901723234087</v>
      </c>
      <c r="AM209" s="124">
        <v>70.599017232340884</v>
      </c>
      <c r="AN209" s="124">
        <v>70.599017232340884</v>
      </c>
      <c r="AO209" s="124">
        <v>38.689763798066352</v>
      </c>
      <c r="AP209" s="124">
        <v>114.07616992770356</v>
      </c>
      <c r="AQ209" s="124">
        <v>9.1328165533614489E-3</v>
      </c>
      <c r="AR209" s="124">
        <v>57.689384834838428</v>
      </c>
      <c r="AS209" s="124">
        <v>77.686957344433537</v>
      </c>
      <c r="AT209" s="124">
        <v>85.208664244955685</v>
      </c>
      <c r="AU209" s="124">
        <v>36.240278520097775</v>
      </c>
      <c r="AV209" s="124">
        <v>70.599017232340884</v>
      </c>
      <c r="AW209" s="124">
        <v>86.768854296455586</v>
      </c>
      <c r="AX209" s="124">
        <v>106.8301629358853</v>
      </c>
      <c r="AY209" s="124">
        <v>97</v>
      </c>
    </row>
    <row r="210" spans="1:51">
      <c r="A210" s="109"/>
      <c r="B210" s="119">
        <v>2</v>
      </c>
      <c r="C210" s="106">
        <v>5.8138507945066955</v>
      </c>
      <c r="D210" s="110">
        <v>0</v>
      </c>
      <c r="E210" s="110">
        <v>9.0178971480429357</v>
      </c>
      <c r="F210" s="110">
        <v>0</v>
      </c>
      <c r="G210" s="110">
        <v>0</v>
      </c>
      <c r="H210" s="110">
        <v>77.959530932824052</v>
      </c>
      <c r="I210" s="110">
        <v>38.162039370726724</v>
      </c>
      <c r="J210" s="110">
        <v>11.960289590082303</v>
      </c>
      <c r="K210" s="110">
        <v>13.634336423728801</v>
      </c>
      <c r="L210" s="110">
        <v>36.231145703544406</v>
      </c>
      <c r="M210" s="110">
        <v>3.0279163897988366</v>
      </c>
      <c r="N210" s="110">
        <v>36.231145703544406</v>
      </c>
      <c r="O210" s="110">
        <v>36.231145703544414</v>
      </c>
      <c r="P210" s="110">
        <v>5.2826249065052169</v>
      </c>
      <c r="Q210" s="110">
        <v>0</v>
      </c>
      <c r="R210" s="110">
        <v>0</v>
      </c>
      <c r="S210" s="110">
        <v>0</v>
      </c>
      <c r="T210" s="110">
        <v>12.065430970457056</v>
      </c>
      <c r="U210" s="110">
        <v>0</v>
      </c>
      <c r="V210" s="110">
        <v>0</v>
      </c>
      <c r="W210" s="110">
        <v>28.98513871172614</v>
      </c>
      <c r="X210" s="110">
        <v>74.448019709637919</v>
      </c>
      <c r="Y210" s="110">
        <v>33.521121730497299</v>
      </c>
      <c r="Z210" s="110">
        <v>8.5016115338223516E-15</v>
      </c>
      <c r="AA210" s="110">
        <v>16.579429187288735</v>
      </c>
      <c r="AB210" s="110">
        <v>36.231145703544414</v>
      </c>
      <c r="AC210" s="110">
        <v>42.542236109375253</v>
      </c>
      <c r="AD210" s="110">
        <v>10.852963578815602</v>
      </c>
      <c r="AE210" s="110">
        <v>72.462291407088827</v>
      </c>
      <c r="AF210" s="110">
        <v>0</v>
      </c>
      <c r="AG210" s="110">
        <v>0</v>
      </c>
      <c r="AH210" s="110">
        <v>36.231145703544406</v>
      </c>
      <c r="AI210" s="110">
        <v>54.991007515024222</v>
      </c>
      <c r="AJ210" s="110">
        <v>53.933310754122239</v>
      </c>
      <c r="AK210" s="110">
        <v>32.163875937199421</v>
      </c>
      <c r="AL210" s="110">
        <v>70.589884415787552</v>
      </c>
      <c r="AM210" s="110">
        <v>36.231145703544428</v>
      </c>
      <c r="AN210" s="110">
        <v>8.5016115338223516E-15</v>
      </c>
      <c r="AO210" s="110">
        <v>72.462291407088827</v>
      </c>
      <c r="AP210" s="110">
        <v>55.320784044740606</v>
      </c>
      <c r="AQ210" s="110">
        <v>0</v>
      </c>
      <c r="AR210" s="110">
        <v>43.477152695362683</v>
      </c>
      <c r="AS210" s="110">
        <v>7.7231582397789271</v>
      </c>
      <c r="AT210" s="110">
        <v>45.791335755044322</v>
      </c>
      <c r="AU210" s="110">
        <v>12.935012448807457</v>
      </c>
      <c r="AV210" s="110">
        <v>70.589884415787537</v>
      </c>
      <c r="AW210" s="110">
        <v>36.231145703544414</v>
      </c>
      <c r="AX210" s="110">
        <v>12.001632296620185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44.682513170426894</v>
      </c>
      <c r="F211" s="110">
        <v>0</v>
      </c>
      <c r="G211" s="110">
        <v>70.589884415787708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36.231145703544406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36.231145703544414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36.231145703544414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70.589884415787537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50230.475488771815</v>
      </c>
      <c r="E259" s="124">
        <f t="shared" ref="E259:AX259" si="5">F$14*$B$259</f>
        <v>42421.716315627316</v>
      </c>
      <c r="F259" s="124">
        <f t="shared" si="5"/>
        <v>30816.924708039121</v>
      </c>
      <c r="G259" s="124">
        <f t="shared" si="5"/>
        <v>61629.86288296312</v>
      </c>
      <c r="H259" s="124">
        <f t="shared" si="5"/>
        <v>80661.888876336045</v>
      </c>
      <c r="I259" s="124">
        <f t="shared" si="5"/>
        <v>63290.028061308243</v>
      </c>
      <c r="J259" s="124">
        <f t="shared" si="5"/>
        <v>51852.795903363847</v>
      </c>
      <c r="K259" s="124">
        <f t="shared" si="5"/>
        <v>36768.400174494345</v>
      </c>
      <c r="L259" s="124">
        <f t="shared" si="5"/>
        <v>62447.180567199954</v>
      </c>
      <c r="M259" s="124">
        <f t="shared" si="5"/>
        <v>32138.629670299182</v>
      </c>
      <c r="N259" s="124">
        <f t="shared" si="5"/>
        <v>46632.052637619541</v>
      </c>
      <c r="O259" s="124">
        <f t="shared" si="5"/>
        <v>46632.052637619541</v>
      </c>
      <c r="P259" s="124">
        <f t="shared" si="5"/>
        <v>48937.952356716596</v>
      </c>
      <c r="Q259" s="124">
        <f t="shared" si="5"/>
        <v>62447.180567199954</v>
      </c>
      <c r="R259" s="124">
        <f t="shared" si="5"/>
        <v>46632.052637619541</v>
      </c>
      <c r="S259" s="124">
        <f t="shared" si="5"/>
        <v>46632.052637619541</v>
      </c>
      <c r="T259" s="124">
        <f t="shared" si="5"/>
        <v>51898.690791561014</v>
      </c>
      <c r="U259" s="124">
        <f t="shared" si="5"/>
        <v>30816.924708039125</v>
      </c>
      <c r="V259" s="124">
        <f t="shared" si="5"/>
        <v>30816.924708039121</v>
      </c>
      <c r="W259" s="124">
        <f t="shared" si="5"/>
        <v>41123.513088860942</v>
      </c>
      <c r="X259" s="124">
        <f t="shared" si="5"/>
        <v>75966.163045108959</v>
      </c>
      <c r="Y259" s="124">
        <f t="shared" si="5"/>
        <v>45449.10975812409</v>
      </c>
      <c r="Z259" s="124">
        <f t="shared" si="5"/>
        <v>59284.251950702193</v>
      </c>
      <c r="AA259" s="124">
        <f t="shared" si="5"/>
        <v>38053.952091656742</v>
      </c>
      <c r="AB259" s="124">
        <f t="shared" si="5"/>
        <v>46632.052637619541</v>
      </c>
      <c r="AC259" s="124">
        <f t="shared" si="5"/>
        <v>49386.884156336819</v>
      </c>
      <c r="AD259" s="124">
        <f t="shared" si="5"/>
        <v>35554.313053924474</v>
      </c>
      <c r="AE259" s="124">
        <f t="shared" si="5"/>
        <v>47449.370321856433</v>
      </c>
      <c r="AF259" s="124">
        <f t="shared" si="5"/>
        <v>30816.924708039282</v>
      </c>
      <c r="AG259" s="124">
        <f t="shared" si="5"/>
        <v>30816.924708039125</v>
      </c>
      <c r="AH259" s="124">
        <f t="shared" si="5"/>
        <v>62447.180567199954</v>
      </c>
      <c r="AI259" s="124">
        <f t="shared" si="5"/>
        <v>54820.852873676624</v>
      </c>
      <c r="AJ259" s="124">
        <f t="shared" si="5"/>
        <v>70174.289370111699</v>
      </c>
      <c r="AK259" s="124">
        <f t="shared" si="5"/>
        <v>29858.853002020889</v>
      </c>
      <c r="AL259" s="124">
        <f t="shared" si="5"/>
        <v>61629.862882963047</v>
      </c>
      <c r="AM259" s="124">
        <f t="shared" si="5"/>
        <v>46632.052637619548</v>
      </c>
      <c r="AN259" s="124">
        <f t="shared" si="5"/>
        <v>30816.924708039125</v>
      </c>
      <c r="AO259" s="124">
        <f t="shared" si="5"/>
        <v>62447.180567199954</v>
      </c>
      <c r="AP259" s="124">
        <f t="shared" si="5"/>
        <v>73942.858994198614</v>
      </c>
      <c r="AQ259" s="124">
        <f t="shared" si="5"/>
        <v>3.9865331151995855</v>
      </c>
      <c r="AR259" s="124">
        <f t="shared" si="5"/>
        <v>49794.98125411728</v>
      </c>
      <c r="AS259" s="124">
        <f t="shared" si="5"/>
        <v>101506.26578257611</v>
      </c>
      <c r="AT259" s="124">
        <f t="shared" si="5"/>
        <v>66620.264960740999</v>
      </c>
      <c r="AU259" s="124">
        <f t="shared" si="5"/>
        <v>21465.330520075015</v>
      </c>
      <c r="AV259" s="124">
        <f t="shared" si="5"/>
        <v>61629.862882963047</v>
      </c>
      <c r="AW259" s="124">
        <f t="shared" si="5"/>
        <v>62447.180567199954</v>
      </c>
      <c r="AX259" s="124">
        <f t="shared" si="5"/>
        <v>51870.84226044573</v>
      </c>
      <c r="AY259" s="124">
        <f>AZ$14*$B$259</f>
        <v>46632.052637619541</v>
      </c>
      <c r="AZ259" s="139">
        <f>SUM($D259:$AY259)</f>
        <v>2378978.0688525871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43803.419742678292</v>
      </c>
      <c r="E260" s="125">
        <f t="shared" ref="E260:AY260" si="6">(E$175-E$176+E$177-E$178+E$179-E$180+E$181-E$182)*$B$260</f>
        <v>33990.763328861933</v>
      </c>
      <c r="F260" s="125">
        <f t="shared" si="6"/>
        <v>25293.758128806327</v>
      </c>
      <c r="G260" s="125">
        <f t="shared" si="6"/>
        <v>19904.019557747553</v>
      </c>
      <c r="H260" s="125">
        <f t="shared" si="6"/>
        <v>31798.902076488142</v>
      </c>
      <c r="I260" s="125">
        <f t="shared" si="6"/>
        <v>36804.836299374547</v>
      </c>
      <c r="J260" s="125">
        <f t="shared" si="6"/>
        <v>43482.958646222469</v>
      </c>
      <c r="K260" s="125">
        <f t="shared" si="6"/>
        <v>43469.087487322948</v>
      </c>
      <c r="L260" s="125">
        <f t="shared" si="6"/>
        <v>41735.769907041089</v>
      </c>
      <c r="M260" s="125">
        <f t="shared" si="6"/>
        <v>38195.014281593933</v>
      </c>
      <c r="N260" s="125">
        <f t="shared" si="6"/>
        <v>37029.727917648917</v>
      </c>
      <c r="O260" s="125">
        <f t="shared" si="6"/>
        <v>34492.105757609672</v>
      </c>
      <c r="P260" s="125">
        <f t="shared" si="6"/>
        <v>28610.333653905487</v>
      </c>
      <c r="Q260" s="125">
        <f t="shared" si="6"/>
        <v>29404.611630324987</v>
      </c>
      <c r="R260" s="125">
        <f t="shared" si="6"/>
        <v>33137.037656863118</v>
      </c>
      <c r="S260" s="125">
        <f t="shared" si="6"/>
        <v>29903.808294876173</v>
      </c>
      <c r="T260" s="125">
        <f t="shared" si="6"/>
        <v>28845.795355558352</v>
      </c>
      <c r="U260" s="125">
        <f t="shared" si="6"/>
        <v>25525.163169389041</v>
      </c>
      <c r="V260" s="125">
        <f t="shared" si="6"/>
        <v>22293.967956732296</v>
      </c>
      <c r="W260" s="125">
        <f t="shared" si="6"/>
        <v>18339.86096518124</v>
      </c>
      <c r="X260" s="125">
        <f t="shared" si="6"/>
        <v>26289.914840078069</v>
      </c>
      <c r="Y260" s="125">
        <f t="shared" si="6"/>
        <v>19370.985529529891</v>
      </c>
      <c r="Z260" s="125">
        <f t="shared" si="6"/>
        <v>19042.96796625794</v>
      </c>
      <c r="AA260" s="125">
        <f t="shared" si="6"/>
        <v>17348.273865396255</v>
      </c>
      <c r="AB260" s="125">
        <f t="shared" si="6"/>
        <v>8517.0517190897317</v>
      </c>
      <c r="AC260" s="125">
        <f t="shared" si="6"/>
        <v>3638.0857842996966</v>
      </c>
      <c r="AD260" s="125">
        <f t="shared" si="6"/>
        <v>560.32899327737027</v>
      </c>
      <c r="AE260" s="125">
        <f t="shared" si="6"/>
        <v>0</v>
      </c>
      <c r="AF260" s="125">
        <f t="shared" si="6"/>
        <v>1440.0000000000018</v>
      </c>
      <c r="AG260" s="125">
        <f t="shared" si="6"/>
        <v>3.4106051316484809E-12</v>
      </c>
      <c r="AH260" s="125">
        <f t="shared" si="6"/>
        <v>3410.4786926469378</v>
      </c>
      <c r="AI260" s="125">
        <f t="shared" si="6"/>
        <v>4036.8252427790767</v>
      </c>
      <c r="AJ260" s="125">
        <f t="shared" si="6"/>
        <v>15436.616329845267</v>
      </c>
      <c r="AK260" s="125">
        <f t="shared" si="6"/>
        <v>8422.3682594758502</v>
      </c>
      <c r="AL260" s="125">
        <f t="shared" si="6"/>
        <v>14434.288126234516</v>
      </c>
      <c r="AM260" s="125">
        <f t="shared" si="6"/>
        <v>13771.269443458477</v>
      </c>
      <c r="AN260" s="125">
        <f t="shared" si="6"/>
        <v>14430.426000358644</v>
      </c>
      <c r="AO260" s="125">
        <f t="shared" si="6"/>
        <v>15054.555206056486</v>
      </c>
      <c r="AP260" s="125">
        <f t="shared" si="6"/>
        <v>15345.162368296365</v>
      </c>
      <c r="AQ260" s="125">
        <f t="shared" si="6"/>
        <v>10380.00000000002</v>
      </c>
      <c r="AR260" s="125">
        <f t="shared" si="6"/>
        <v>12234.577943850169</v>
      </c>
      <c r="AS260" s="125">
        <f t="shared" si="6"/>
        <v>29087.30230380041</v>
      </c>
      <c r="AT260" s="125">
        <f t="shared" si="6"/>
        <v>28509.926373469025</v>
      </c>
      <c r="AU260" s="125">
        <f t="shared" si="6"/>
        <v>20783.126205607157</v>
      </c>
      <c r="AV260" s="125">
        <f t="shared" si="6"/>
        <v>21238.829456771658</v>
      </c>
      <c r="AW260" s="125">
        <f t="shared" si="6"/>
        <v>24620.416126502292</v>
      </c>
      <c r="AX260" s="125">
        <f t="shared" si="6"/>
        <v>23849.163634674649</v>
      </c>
      <c r="AY260" s="125">
        <f t="shared" si="6"/>
        <v>21015.122055203974</v>
      </c>
      <c r="AZ260" s="141">
        <f>SUM($D260:$AY260)</f>
        <v>1038329.0042811866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217.22257048205316</v>
      </c>
      <c r="E9" s="117">
        <v>217.22257048205316</v>
      </c>
      <c r="F9" s="117">
        <v>217.22257048205316</v>
      </c>
      <c r="G9" s="117">
        <v>217.22257048205316</v>
      </c>
      <c r="H9" s="117">
        <v>217.22257048205316</v>
      </c>
      <c r="I9" s="117">
        <v>217.22257048205316</v>
      </c>
      <c r="J9" s="117">
        <v>217.22257048205316</v>
      </c>
      <c r="K9" s="117">
        <v>217.22257048205316</v>
      </c>
      <c r="L9" s="117">
        <v>217.22257048205316</v>
      </c>
      <c r="M9" s="117">
        <v>217.22257048205316</v>
      </c>
      <c r="N9" s="117">
        <v>217.22257048205316</v>
      </c>
      <c r="O9" s="117">
        <v>217.22257048205316</v>
      </c>
      <c r="P9" s="117">
        <v>217.22257048205316</v>
      </c>
      <c r="Q9" s="117">
        <v>217.22257048205316</v>
      </c>
      <c r="R9" s="117">
        <v>217.22257048205316</v>
      </c>
      <c r="S9" s="117">
        <v>217.22257048205316</v>
      </c>
      <c r="T9" s="117">
        <v>217.22257048205316</v>
      </c>
      <c r="U9" s="117">
        <v>217.22257048205316</v>
      </c>
      <c r="V9" s="117">
        <v>217.22257048205316</v>
      </c>
      <c r="W9" s="117">
        <v>217.22257048205316</v>
      </c>
      <c r="X9" s="117">
        <v>217.22257048205316</v>
      </c>
      <c r="Y9" s="117">
        <v>217.22257048205316</v>
      </c>
      <c r="Z9" s="117">
        <v>217.22257048205316</v>
      </c>
      <c r="AA9" s="117">
        <v>217.22257048205316</v>
      </c>
      <c r="AB9" s="117">
        <v>217.22257048205316</v>
      </c>
      <c r="AC9" s="117">
        <v>217.22257048205316</v>
      </c>
      <c r="AD9" s="117">
        <v>217.22257048205316</v>
      </c>
      <c r="AE9" s="117">
        <v>217.22257048205316</v>
      </c>
      <c r="AF9" s="117">
        <v>217.22257048205316</v>
      </c>
      <c r="AG9" s="117">
        <v>217.22257048205316</v>
      </c>
      <c r="AH9" s="117">
        <v>217.22257048205316</v>
      </c>
      <c r="AI9" s="117">
        <v>217.22257048205316</v>
      </c>
      <c r="AJ9" s="117">
        <v>217.22257048205316</v>
      </c>
      <c r="AK9" s="117">
        <v>217.22257048205316</v>
      </c>
      <c r="AL9" s="117">
        <v>217.22257048205316</v>
      </c>
      <c r="AM9" s="117">
        <v>217.22257048205316</v>
      </c>
      <c r="AN9" s="117">
        <v>217.22257048205316</v>
      </c>
      <c r="AO9" s="117">
        <v>217.22257048205316</v>
      </c>
      <c r="AP9" s="117">
        <v>217.22257048205316</v>
      </c>
      <c r="AQ9" s="117">
        <v>217.22257048205316</v>
      </c>
      <c r="AR9" s="117">
        <v>217.22257048205316</v>
      </c>
      <c r="AS9" s="117">
        <v>217.22257048205316</v>
      </c>
      <c r="AT9" s="117">
        <v>217.22257048205316</v>
      </c>
      <c r="AU9" s="117">
        <v>217.22257048205316</v>
      </c>
      <c r="AV9" s="117">
        <v>217.22257048205316</v>
      </c>
      <c r="AW9" s="117">
        <v>217.22257048205316</v>
      </c>
      <c r="AX9" s="117">
        <v>217.22257048205316</v>
      </c>
      <c r="AY9" s="117">
        <v>217.22257048205316</v>
      </c>
    </row>
    <row r="10" spans="1:53">
      <c r="A10" s="118" t="s">
        <v>133</v>
      </c>
      <c r="B10" s="119">
        <v>1</v>
      </c>
      <c r="C10" s="106" t="s">
        <v>293</v>
      </c>
      <c r="D10" s="100">
        <v>152.01457356010624</v>
      </c>
      <c r="E10" s="100">
        <v>152.25378896796423</v>
      </c>
      <c r="F10" s="100">
        <v>152.25378896796394</v>
      </c>
      <c r="G10" s="100">
        <v>152.25378896796391</v>
      </c>
      <c r="H10" s="100">
        <v>152.25378896796394</v>
      </c>
      <c r="I10" s="100">
        <v>12.404582570600718</v>
      </c>
      <c r="J10" s="100">
        <v>152.25378896796394</v>
      </c>
      <c r="K10" s="100">
        <v>12.404582570600718</v>
      </c>
      <c r="L10" s="100">
        <v>152.25378896796394</v>
      </c>
      <c r="M10" s="100">
        <v>12.404582570600718</v>
      </c>
      <c r="N10" s="100">
        <v>152.25378896796394</v>
      </c>
      <c r="O10" s="100">
        <v>152.25378896796391</v>
      </c>
      <c r="P10" s="100">
        <v>152.25378896796394</v>
      </c>
      <c r="Q10" s="100">
        <v>12.404582570600718</v>
      </c>
      <c r="R10" s="100">
        <v>152.25378896796394</v>
      </c>
      <c r="S10" s="100">
        <v>152.25378896796391</v>
      </c>
      <c r="T10" s="100">
        <v>152.25378896796394</v>
      </c>
      <c r="U10" s="100">
        <v>152.25378896796391</v>
      </c>
      <c r="V10" s="100">
        <v>152.25378896796394</v>
      </c>
      <c r="W10" s="100">
        <v>152.25378896796391</v>
      </c>
      <c r="X10" s="100">
        <v>152.25378896796394</v>
      </c>
      <c r="Y10" s="100">
        <v>152.25378896796391</v>
      </c>
      <c r="Z10" s="100">
        <v>152.25378896796394</v>
      </c>
      <c r="AA10" s="100">
        <v>152.25378896796391</v>
      </c>
      <c r="AB10" s="100">
        <v>152.25378896796394</v>
      </c>
      <c r="AC10" s="100">
        <v>12.404582570600718</v>
      </c>
      <c r="AD10" s="100">
        <v>152.25378896796394</v>
      </c>
      <c r="AE10" s="100">
        <v>0</v>
      </c>
      <c r="AF10" s="100">
        <v>152.25378896796477</v>
      </c>
      <c r="AG10" s="100">
        <v>152.25378896796391</v>
      </c>
      <c r="AH10" s="100">
        <v>152.25378896796394</v>
      </c>
      <c r="AI10" s="100">
        <v>12.404582570600718</v>
      </c>
      <c r="AJ10" s="100">
        <v>152.25378896796394</v>
      </c>
      <c r="AK10" s="100">
        <v>152.25378896796391</v>
      </c>
      <c r="AL10" s="100">
        <v>152.25378896796394</v>
      </c>
      <c r="AM10" s="100">
        <v>152.25378896796391</v>
      </c>
      <c r="AN10" s="100">
        <v>152.25378896796394</v>
      </c>
      <c r="AO10" s="100">
        <v>12.404582570600718</v>
      </c>
      <c r="AP10" s="100">
        <v>152.25378896796394</v>
      </c>
      <c r="AQ10" s="100">
        <v>152.25378896796391</v>
      </c>
      <c r="AR10" s="100">
        <v>152.25378896796394</v>
      </c>
      <c r="AS10" s="100">
        <v>152.25378896796391</v>
      </c>
      <c r="AT10" s="100">
        <v>152.25378896796394</v>
      </c>
      <c r="AU10" s="100">
        <v>152.25378896796391</v>
      </c>
      <c r="AV10" s="100">
        <v>152.25378896796394</v>
      </c>
      <c r="AW10" s="100">
        <v>12.404582570600718</v>
      </c>
      <c r="AX10" s="100">
        <v>152.25378896796394</v>
      </c>
      <c r="AY10" s="100">
        <v>12.404582570600718</v>
      </c>
      <c r="AZ10" s="100">
        <v>152.25378896796394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J11" s="100">
        <v>139.84920639736319</v>
      </c>
      <c r="L11" s="100">
        <v>139.84920639736319</v>
      </c>
      <c r="M11" s="100">
        <v>0</v>
      </c>
      <c r="N11" s="100">
        <v>139.84920639736319</v>
      </c>
      <c r="P11" s="100">
        <v>0</v>
      </c>
      <c r="R11" s="100">
        <v>139.84920639736319</v>
      </c>
      <c r="U11" s="100">
        <v>0</v>
      </c>
      <c r="AA11" s="100">
        <v>0</v>
      </c>
      <c r="AD11" s="100">
        <v>139.84920639736319</v>
      </c>
      <c r="AF11" s="100">
        <v>0</v>
      </c>
      <c r="AG11" s="100">
        <v>0</v>
      </c>
      <c r="AJ11" s="100">
        <v>139.84920639736319</v>
      </c>
      <c r="AL11" s="100">
        <v>0</v>
      </c>
      <c r="AP11" s="100">
        <v>139.84920639736319</v>
      </c>
      <c r="AV11" s="100">
        <v>0</v>
      </c>
      <c r="AW11" s="100">
        <v>0</v>
      </c>
      <c r="AX11" s="100">
        <v>139.84920639736319</v>
      </c>
      <c r="AZ11" s="100">
        <v>139.84920639736319</v>
      </c>
    </row>
    <row r="12" spans="1:53">
      <c r="B12" s="120">
        <v>3</v>
      </c>
      <c r="C12" s="106" t="s">
        <v>293</v>
      </c>
      <c r="H12" s="100">
        <v>0</v>
      </c>
      <c r="J12" s="100">
        <v>0</v>
      </c>
      <c r="U12" s="100">
        <v>0</v>
      </c>
      <c r="Y12" s="100">
        <v>0</v>
      </c>
      <c r="AB12" s="100">
        <v>0</v>
      </c>
      <c r="AJ12" s="100">
        <v>0</v>
      </c>
      <c r="AP12" s="100">
        <v>0</v>
      </c>
      <c r="AR12" s="100">
        <v>0</v>
      </c>
      <c r="AV12" s="100">
        <v>0</v>
      </c>
      <c r="AZ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88.402037955440349</v>
      </c>
      <c r="E14" s="117">
        <f t="shared" ref="E14:AZ14" si="0">D$172*SUM(D$122:D$169)</f>
        <v>88.246434202353726</v>
      </c>
      <c r="F14" s="117">
        <f t="shared" si="0"/>
        <v>87.489267493611862</v>
      </c>
      <c r="G14" s="117">
        <f t="shared" si="0"/>
        <v>87.489267493611649</v>
      </c>
      <c r="H14" s="117">
        <f t="shared" si="0"/>
        <v>87.489267493611663</v>
      </c>
      <c r="I14" s="117">
        <f t="shared" si="0"/>
        <v>87.489267493611649</v>
      </c>
      <c r="J14" s="117">
        <f t="shared" si="0"/>
        <v>7.1348886319832099</v>
      </c>
      <c r="K14" s="117">
        <f t="shared" si="0"/>
        <v>167.84364635524011</v>
      </c>
      <c r="L14" s="117">
        <f t="shared" si="0"/>
        <v>30.544494298420013</v>
      </c>
      <c r="M14" s="117">
        <f t="shared" si="0"/>
        <v>167.84364635524011</v>
      </c>
      <c r="N14" s="117">
        <f t="shared" si="0"/>
        <v>28.556520273470497</v>
      </c>
      <c r="O14" s="117">
        <f t="shared" si="0"/>
        <v>167.84364635524011</v>
      </c>
      <c r="P14" s="117">
        <f t="shared" si="0"/>
        <v>107.04254704072652</v>
      </c>
      <c r="Q14" s="117">
        <f t="shared" si="0"/>
        <v>97.702394707941622</v>
      </c>
      <c r="R14" s="117">
        <f t="shared" si="0"/>
        <v>7.1348886319832099</v>
      </c>
      <c r="S14" s="117">
        <f t="shared" si="0"/>
        <v>167.84364635524011</v>
      </c>
      <c r="T14" s="117">
        <f t="shared" si="0"/>
        <v>118.98005952564283</v>
      </c>
      <c r="U14" s="117">
        <f t="shared" si="0"/>
        <v>105.61450008293421</v>
      </c>
      <c r="V14" s="117">
        <f t="shared" si="0"/>
        <v>87.489267493611663</v>
      </c>
      <c r="W14" s="117">
        <f t="shared" si="0"/>
        <v>87.489267493611649</v>
      </c>
      <c r="X14" s="117">
        <f t="shared" si="0"/>
        <v>87.489267493611663</v>
      </c>
      <c r="Y14" s="117">
        <f t="shared" si="0"/>
        <v>87.489267493611649</v>
      </c>
      <c r="Z14" s="117">
        <f t="shared" si="0"/>
        <v>87.489267493611663</v>
      </c>
      <c r="AA14" s="117">
        <f t="shared" si="0"/>
        <v>87.489267493611649</v>
      </c>
      <c r="AB14" s="117">
        <f t="shared" si="0"/>
        <v>87.489267493611663</v>
      </c>
      <c r="AC14" s="117">
        <f t="shared" si="0"/>
        <v>87.489267493611649</v>
      </c>
      <c r="AD14" s="117">
        <f t="shared" si="0"/>
        <v>7.1348886319832099</v>
      </c>
      <c r="AE14" s="117">
        <f t="shared" si="0"/>
        <v>167.84364635524011</v>
      </c>
      <c r="AF14" s="117">
        <f t="shared" si="0"/>
        <v>37.169278077812308</v>
      </c>
      <c r="AG14" s="117">
        <f t="shared" si="0"/>
        <v>87.489267493612118</v>
      </c>
      <c r="AH14" s="117">
        <f t="shared" si="0"/>
        <v>87.489267493611663</v>
      </c>
      <c r="AI14" s="117">
        <f t="shared" si="0"/>
        <v>87.489267493611649</v>
      </c>
      <c r="AJ14" s="117">
        <f t="shared" si="0"/>
        <v>7.1348886319832099</v>
      </c>
      <c r="AK14" s="117">
        <f t="shared" si="0"/>
        <v>167.84364635524011</v>
      </c>
      <c r="AL14" s="117">
        <f t="shared" si="0"/>
        <v>121.82297376502629</v>
      </c>
      <c r="AM14" s="117">
        <f t="shared" si="0"/>
        <v>98.799319638542855</v>
      </c>
      <c r="AN14" s="117">
        <f t="shared" si="0"/>
        <v>87.489267493611663</v>
      </c>
      <c r="AO14" s="117">
        <f t="shared" si="0"/>
        <v>87.489267493611649</v>
      </c>
      <c r="AP14" s="117">
        <f t="shared" si="0"/>
        <v>7.1348886319832099</v>
      </c>
      <c r="AQ14" s="117">
        <f t="shared" si="0"/>
        <v>167.84364635524011</v>
      </c>
      <c r="AR14" s="117">
        <f t="shared" si="0"/>
        <v>123.48253918925884</v>
      </c>
      <c r="AS14" s="117">
        <f t="shared" si="0"/>
        <v>90.875059832772337</v>
      </c>
      <c r="AT14" s="117">
        <f t="shared" si="0"/>
        <v>87.489267493611663</v>
      </c>
      <c r="AU14" s="117">
        <f t="shared" si="0"/>
        <v>87.489267493611649</v>
      </c>
      <c r="AV14" s="117">
        <f t="shared" si="0"/>
        <v>87.489267493611663</v>
      </c>
      <c r="AW14" s="117">
        <f t="shared" si="0"/>
        <v>87.489267493611649</v>
      </c>
      <c r="AX14" s="117">
        <f t="shared" si="0"/>
        <v>7.1348886319832099</v>
      </c>
      <c r="AY14" s="117">
        <f t="shared" si="0"/>
        <v>167.84364635524011</v>
      </c>
      <c r="AZ14" s="110">
        <f t="shared" si="0"/>
        <v>30.142045275680395</v>
      </c>
      <c r="BA14" s="107">
        <f>SUM($E14:$AZ14)</f>
        <v>4301.8112859102494</v>
      </c>
    </row>
    <row r="15" spans="1:53">
      <c r="A15" s="122" t="s">
        <v>123</v>
      </c>
      <c r="B15" s="123">
        <v>1</v>
      </c>
      <c r="C15" s="124" t="s">
        <v>293</v>
      </c>
      <c r="D15" s="124">
        <v>217.85375185364822</v>
      </c>
      <c r="E15" s="124">
        <v>215.98453628965328</v>
      </c>
      <c r="F15" s="124">
        <v>215.98453628965277</v>
      </c>
      <c r="G15" s="124">
        <v>215.98453628965279</v>
      </c>
      <c r="H15" s="124">
        <v>215.98453628965277</v>
      </c>
      <c r="I15" s="124">
        <v>17.613881757207903</v>
      </c>
      <c r="J15" s="124">
        <v>215.98453628965277</v>
      </c>
      <c r="K15" s="124">
        <v>17.613881757207903</v>
      </c>
      <c r="L15" s="124">
        <v>215.98453628965277</v>
      </c>
      <c r="M15" s="124">
        <v>17.613881757207903</v>
      </c>
      <c r="N15" s="124">
        <v>215.98453628965277</v>
      </c>
      <c r="O15" s="124">
        <v>215.98453628965279</v>
      </c>
      <c r="P15" s="124">
        <v>215.98453628965277</v>
      </c>
      <c r="Q15" s="124">
        <v>17.613881757207903</v>
      </c>
      <c r="R15" s="124">
        <v>215.98453628965277</v>
      </c>
      <c r="S15" s="124">
        <v>215.98453628965279</v>
      </c>
      <c r="T15" s="124">
        <v>215.98453628965277</v>
      </c>
      <c r="U15" s="124">
        <v>215.98453628965279</v>
      </c>
      <c r="V15" s="124">
        <v>215.98453628965277</v>
      </c>
      <c r="W15" s="124">
        <v>215.98453628965279</v>
      </c>
      <c r="X15" s="124">
        <v>215.98453628965277</v>
      </c>
      <c r="Y15" s="124">
        <v>215.98453628965279</v>
      </c>
      <c r="Z15" s="124">
        <v>215.98453628965277</v>
      </c>
      <c r="AA15" s="124">
        <v>215.98453628965279</v>
      </c>
      <c r="AB15" s="124">
        <v>215.98453628965277</v>
      </c>
      <c r="AC15" s="124">
        <v>17.613881757207903</v>
      </c>
      <c r="AD15" s="124">
        <v>215.98453628965277</v>
      </c>
      <c r="AE15" s="124">
        <v>1.8464327808617478E-2</v>
      </c>
      <c r="AF15" s="124">
        <v>215.9845362896539</v>
      </c>
      <c r="AG15" s="124">
        <v>215.98453628965279</v>
      </c>
      <c r="AH15" s="124">
        <v>215.98453628965277</v>
      </c>
      <c r="AI15" s="124">
        <v>17.613881757207903</v>
      </c>
      <c r="AJ15" s="124">
        <v>215.98453628965277</v>
      </c>
      <c r="AK15" s="124">
        <v>215.98453628965279</v>
      </c>
      <c r="AL15" s="124">
        <v>215.98453628965277</v>
      </c>
      <c r="AM15" s="124">
        <v>215.98453628965279</v>
      </c>
      <c r="AN15" s="124">
        <v>215.98453628965277</v>
      </c>
      <c r="AO15" s="124">
        <v>17.613881757207903</v>
      </c>
      <c r="AP15" s="124">
        <v>215.98453628965277</v>
      </c>
      <c r="AQ15" s="124">
        <v>215.98453628965279</v>
      </c>
      <c r="AR15" s="124">
        <v>215.98453628965277</v>
      </c>
      <c r="AS15" s="124">
        <v>215.98453628965279</v>
      </c>
      <c r="AT15" s="124">
        <v>215.98453628965277</v>
      </c>
      <c r="AU15" s="124">
        <v>215.98453628965279</v>
      </c>
      <c r="AV15" s="124">
        <v>215.98453628965277</v>
      </c>
      <c r="AW15" s="124">
        <v>17.613881757207903</v>
      </c>
      <c r="AX15" s="124">
        <v>215.98453628965277</v>
      </c>
      <c r="AY15" s="124">
        <v>17.613881757207903</v>
      </c>
      <c r="AZ15" s="100">
        <v>215.96607196184414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/>
      <c r="G16" s="110"/>
      <c r="H16" s="110"/>
      <c r="I16" s="110"/>
      <c r="J16" s="110">
        <v>198.37065453244489</v>
      </c>
      <c r="K16" s="110"/>
      <c r="L16" s="110">
        <v>198.37065453244489</v>
      </c>
      <c r="M16" s="110">
        <v>0</v>
      </c>
      <c r="N16" s="110">
        <v>198.37065453244489</v>
      </c>
      <c r="O16" s="110"/>
      <c r="P16" s="110">
        <v>0</v>
      </c>
      <c r="Q16" s="110"/>
      <c r="R16" s="110">
        <v>198.37065453244489</v>
      </c>
      <c r="S16" s="110"/>
      <c r="T16" s="110"/>
      <c r="U16" s="110">
        <v>0</v>
      </c>
      <c r="V16" s="110"/>
      <c r="W16" s="110"/>
      <c r="X16" s="110"/>
      <c r="Y16" s="110"/>
      <c r="Z16" s="110"/>
      <c r="AA16" s="110">
        <v>0</v>
      </c>
      <c r="AB16" s="110"/>
      <c r="AC16" s="110"/>
      <c r="AD16" s="110">
        <v>198.37065453244489</v>
      </c>
      <c r="AE16" s="110"/>
      <c r="AF16" s="110">
        <v>0</v>
      </c>
      <c r="AG16" s="110">
        <v>0</v>
      </c>
      <c r="AH16" s="110"/>
      <c r="AI16" s="110"/>
      <c r="AJ16" s="110">
        <v>198.37065453244489</v>
      </c>
      <c r="AK16" s="110"/>
      <c r="AL16" s="110">
        <v>0</v>
      </c>
      <c r="AM16" s="110"/>
      <c r="AN16" s="110"/>
      <c r="AO16" s="110"/>
      <c r="AP16" s="110">
        <v>198.37065453244489</v>
      </c>
      <c r="AQ16" s="110"/>
      <c r="AR16" s="110"/>
      <c r="AS16" s="110"/>
      <c r="AT16" s="110"/>
      <c r="AU16" s="110"/>
      <c r="AV16" s="110">
        <v>0</v>
      </c>
      <c r="AW16" s="110">
        <v>0</v>
      </c>
      <c r="AX16" s="110">
        <v>198.37065453244489</v>
      </c>
      <c r="AY16" s="110"/>
      <c r="AZ16" s="100">
        <v>198.37065453244489</v>
      </c>
    </row>
    <row r="17" spans="1:52">
      <c r="A17" s="110"/>
      <c r="B17" s="119">
        <v>3</v>
      </c>
      <c r="C17" s="109" t="s">
        <v>293</v>
      </c>
      <c r="D17" s="106"/>
      <c r="E17" s="110"/>
      <c r="F17" s="110"/>
      <c r="G17" s="110"/>
      <c r="H17" s="110">
        <v>0</v>
      </c>
      <c r="I17" s="110"/>
      <c r="J17" s="110">
        <v>0</v>
      </c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>
        <v>0</v>
      </c>
      <c r="V17" s="110"/>
      <c r="W17" s="110"/>
      <c r="X17" s="110"/>
      <c r="Y17" s="110">
        <v>0</v>
      </c>
      <c r="Z17" s="110"/>
      <c r="AA17" s="110"/>
      <c r="AB17" s="110">
        <v>0</v>
      </c>
      <c r="AC17" s="110"/>
      <c r="AD17" s="110"/>
      <c r="AE17" s="110"/>
      <c r="AF17" s="110"/>
      <c r="AG17" s="110"/>
      <c r="AH17" s="110"/>
      <c r="AI17" s="110"/>
      <c r="AJ17" s="110">
        <v>0</v>
      </c>
      <c r="AK17" s="110"/>
      <c r="AL17" s="110"/>
      <c r="AM17" s="110"/>
      <c r="AN17" s="110"/>
      <c r="AO17" s="110"/>
      <c r="AP17" s="110">
        <v>0</v>
      </c>
      <c r="AQ17" s="110"/>
      <c r="AR17" s="110">
        <v>0</v>
      </c>
      <c r="AS17" s="110"/>
      <c r="AT17" s="110"/>
      <c r="AU17" s="110"/>
      <c r="AV17" s="110">
        <v>0</v>
      </c>
      <c r="AW17" s="110"/>
      <c r="AX17" s="110"/>
      <c r="AY17" s="110"/>
      <c r="AZ17" s="100">
        <v>0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216.7656674757711</v>
      </c>
      <c r="D95" s="110">
        <v>217.22257048205316</v>
      </c>
      <c r="E95" s="110">
        <v>217.22257048205316</v>
      </c>
      <c r="F95" s="110">
        <v>217.22257048205316</v>
      </c>
      <c r="G95" s="110">
        <v>217.22257048205316</v>
      </c>
      <c r="H95" s="110">
        <v>217.22257048205316</v>
      </c>
      <c r="I95" s="110">
        <v>217.22257048205316</v>
      </c>
      <c r="J95" s="110">
        <v>217.22257048205316</v>
      </c>
      <c r="K95" s="110">
        <v>217.22257048205316</v>
      </c>
      <c r="L95" s="110">
        <v>217.22257048205316</v>
      </c>
      <c r="M95" s="110">
        <v>217.22257048205316</v>
      </c>
      <c r="N95" s="110">
        <v>217.22257048205316</v>
      </c>
      <c r="O95" s="110">
        <v>217.22257048205316</v>
      </c>
      <c r="P95" s="110">
        <v>217.22257048205316</v>
      </c>
      <c r="Q95" s="110">
        <v>217.22257048205316</v>
      </c>
      <c r="R95" s="110">
        <v>217.22257048205316</v>
      </c>
      <c r="S95" s="110">
        <v>217.22257048205316</v>
      </c>
      <c r="T95" s="110">
        <v>217.22257048205316</v>
      </c>
      <c r="U95" s="110">
        <v>217.22257048205316</v>
      </c>
      <c r="V95" s="110">
        <v>217.22257048205316</v>
      </c>
      <c r="W95" s="110">
        <v>217.22257048205316</v>
      </c>
      <c r="X95" s="110">
        <v>217.22257048205316</v>
      </c>
      <c r="Y95" s="110">
        <v>217.22257048205316</v>
      </c>
      <c r="Z95" s="110">
        <v>217.22257048205316</v>
      </c>
      <c r="AA95" s="110">
        <v>217.22257048205316</v>
      </c>
      <c r="AB95" s="110">
        <v>217.22257048205316</v>
      </c>
      <c r="AC95" s="110">
        <v>217.22257048205316</v>
      </c>
      <c r="AD95" s="110">
        <v>217.22257048205316</v>
      </c>
      <c r="AE95" s="110">
        <v>217.22257048205316</v>
      </c>
      <c r="AF95" s="110">
        <v>217.22257048205316</v>
      </c>
      <c r="AG95" s="110">
        <v>217.22257048205316</v>
      </c>
      <c r="AH95" s="110">
        <v>217.22257048205316</v>
      </c>
      <c r="AI95" s="110">
        <v>217.22257048205316</v>
      </c>
      <c r="AJ95" s="110">
        <v>217.22257048205316</v>
      </c>
      <c r="AK95" s="110">
        <v>217.22257048205316</v>
      </c>
      <c r="AL95" s="110">
        <v>217.22257048205316</v>
      </c>
      <c r="AM95" s="110">
        <v>217.22257048205316</v>
      </c>
      <c r="AN95" s="110">
        <v>217.22257048205316</v>
      </c>
      <c r="AO95" s="110">
        <v>217.22257048205316</v>
      </c>
      <c r="AP95" s="110">
        <v>217.22257048205316</v>
      </c>
      <c r="AQ95" s="110">
        <v>217.22257048205316</v>
      </c>
      <c r="AR95" s="110">
        <v>217.22257048205316</v>
      </c>
      <c r="AS95" s="110">
        <v>217.22257048205316</v>
      </c>
      <c r="AT95" s="110">
        <v>217.22257048205316</v>
      </c>
      <c r="AU95" s="110">
        <v>217.22257048205316</v>
      </c>
      <c r="AV95" s="110">
        <v>217.22257048205316</v>
      </c>
      <c r="AW95" s="110">
        <v>217.22257048205316</v>
      </c>
      <c r="AX95" s="110">
        <v>217.22257048205316</v>
      </c>
      <c r="AY95" s="110">
        <v>217.22257048205316</v>
      </c>
    </row>
    <row r="96" spans="1:52">
      <c r="A96" s="109"/>
      <c r="B96" s="120">
        <v>2</v>
      </c>
      <c r="C96" s="110">
        <v>216.7656674757711</v>
      </c>
      <c r="D96" s="110">
        <v>216.7656674757711</v>
      </c>
      <c r="E96" s="110">
        <v>217.22257048205316</v>
      </c>
      <c r="F96" s="110">
        <v>217.22257048205316</v>
      </c>
      <c r="G96" s="110">
        <v>217.22257048205316</v>
      </c>
      <c r="H96" s="110">
        <v>217.22257048205316</v>
      </c>
      <c r="I96" s="110">
        <v>217.22257048205316</v>
      </c>
      <c r="J96" s="110">
        <v>217.22257048205316</v>
      </c>
      <c r="K96" s="110">
        <v>217.22257048205316</v>
      </c>
      <c r="L96" s="110">
        <v>217.22257048205316</v>
      </c>
      <c r="M96" s="110">
        <v>217.22257048205316</v>
      </c>
      <c r="N96" s="110">
        <v>217.22257048205316</v>
      </c>
      <c r="O96" s="110">
        <v>217.22257048205316</v>
      </c>
      <c r="P96" s="110">
        <v>217.22257048205316</v>
      </c>
      <c r="Q96" s="110">
        <v>217.22257048205316</v>
      </c>
      <c r="R96" s="110">
        <v>217.22257048205316</v>
      </c>
      <c r="S96" s="110">
        <v>217.22257048205316</v>
      </c>
      <c r="T96" s="110">
        <v>217.22257048205316</v>
      </c>
      <c r="U96" s="110">
        <v>217.22257048205316</v>
      </c>
      <c r="V96" s="110">
        <v>217.22257048205316</v>
      </c>
      <c r="W96" s="110">
        <v>217.22257048205316</v>
      </c>
      <c r="X96" s="110">
        <v>217.22257048205316</v>
      </c>
      <c r="Y96" s="110">
        <v>217.22257048205316</v>
      </c>
      <c r="Z96" s="110">
        <v>217.22257048205316</v>
      </c>
      <c r="AA96" s="110">
        <v>217.22257048205316</v>
      </c>
      <c r="AB96" s="110">
        <v>217.22257048205316</v>
      </c>
      <c r="AC96" s="110">
        <v>217.22257048205316</v>
      </c>
      <c r="AD96" s="110">
        <v>217.22257048205316</v>
      </c>
      <c r="AE96" s="110">
        <v>217.22257048205316</v>
      </c>
      <c r="AF96" s="110">
        <v>217.22257048205316</v>
      </c>
      <c r="AG96" s="110">
        <v>217.22257048205316</v>
      </c>
      <c r="AH96" s="110">
        <v>217.22257048205316</v>
      </c>
      <c r="AI96" s="110">
        <v>217.22257048205316</v>
      </c>
      <c r="AJ96" s="110">
        <v>217.22257048205316</v>
      </c>
      <c r="AK96" s="110">
        <v>217.22257048205316</v>
      </c>
      <c r="AL96" s="110">
        <v>217.22257048205316</v>
      </c>
      <c r="AM96" s="110">
        <v>217.22257048205316</v>
      </c>
      <c r="AN96" s="110">
        <v>217.22257048205316</v>
      </c>
      <c r="AO96" s="110">
        <v>217.22257048205316</v>
      </c>
      <c r="AP96" s="110">
        <v>217.22257048205316</v>
      </c>
      <c r="AQ96" s="110">
        <v>217.22257048205316</v>
      </c>
      <c r="AR96" s="110">
        <v>217.22257048205316</v>
      </c>
      <c r="AS96" s="110">
        <v>217.22257048205316</v>
      </c>
      <c r="AT96" s="110">
        <v>217.22257048205316</v>
      </c>
      <c r="AU96" s="110">
        <v>217.22257048205316</v>
      </c>
      <c r="AV96" s="110">
        <v>217.22257048205316</v>
      </c>
      <c r="AW96" s="110">
        <v>217.22257048205316</v>
      </c>
      <c r="AX96" s="110">
        <v>217.22257048205316</v>
      </c>
      <c r="AY96" s="110">
        <v>217.22257048205316</v>
      </c>
    </row>
    <row r="97" spans="1:52">
      <c r="A97" s="109"/>
      <c r="B97" s="127">
        <v>3</v>
      </c>
      <c r="C97" s="110">
        <v>216.7656674757711</v>
      </c>
      <c r="D97" s="110">
        <v>216.7656674757711</v>
      </c>
      <c r="E97" s="110">
        <v>216.7656674757711</v>
      </c>
      <c r="F97" s="110">
        <v>217.22257048205316</v>
      </c>
      <c r="G97" s="110">
        <v>217.22257048205316</v>
      </c>
      <c r="H97" s="110">
        <v>217.22257048205316</v>
      </c>
      <c r="I97" s="110">
        <v>217.22257048205316</v>
      </c>
      <c r="J97" s="110">
        <v>217.22257048205316</v>
      </c>
      <c r="K97" s="110">
        <v>217.22257048205316</v>
      </c>
      <c r="L97" s="110">
        <v>217.22257048205316</v>
      </c>
      <c r="M97" s="110">
        <v>217.22257048205316</v>
      </c>
      <c r="N97" s="110">
        <v>217.22257048205316</v>
      </c>
      <c r="O97" s="110">
        <v>217.22257048205316</v>
      </c>
      <c r="P97" s="110">
        <v>217.22257048205316</v>
      </c>
      <c r="Q97" s="110">
        <v>217.22257048205316</v>
      </c>
      <c r="R97" s="110">
        <v>217.22257048205316</v>
      </c>
      <c r="S97" s="110">
        <v>217.22257048205316</v>
      </c>
      <c r="T97" s="110">
        <v>217.22257048205316</v>
      </c>
      <c r="U97" s="110">
        <v>217.22257048205316</v>
      </c>
      <c r="V97" s="110">
        <v>217.22257048205316</v>
      </c>
      <c r="W97" s="110">
        <v>217.22257048205316</v>
      </c>
      <c r="X97" s="110">
        <v>217.22257048205316</v>
      </c>
      <c r="Y97" s="110">
        <v>217.22257048205316</v>
      </c>
      <c r="Z97" s="110">
        <v>217.22257048205316</v>
      </c>
      <c r="AA97" s="110">
        <v>217.22257048205316</v>
      </c>
      <c r="AB97" s="110">
        <v>217.22257048205316</v>
      </c>
      <c r="AC97" s="110">
        <v>217.22257048205316</v>
      </c>
      <c r="AD97" s="110">
        <v>217.22257048205316</v>
      </c>
      <c r="AE97" s="110">
        <v>217.22257048205316</v>
      </c>
      <c r="AF97" s="110">
        <v>217.22257048205316</v>
      </c>
      <c r="AG97" s="110">
        <v>217.22257048205316</v>
      </c>
      <c r="AH97" s="110">
        <v>217.22257048205316</v>
      </c>
      <c r="AI97" s="110">
        <v>217.22257048205316</v>
      </c>
      <c r="AJ97" s="110">
        <v>217.22257048205316</v>
      </c>
      <c r="AK97" s="110">
        <v>217.22257048205316</v>
      </c>
      <c r="AL97" s="110">
        <v>217.22257048205316</v>
      </c>
      <c r="AM97" s="110">
        <v>217.22257048205316</v>
      </c>
      <c r="AN97" s="110">
        <v>217.22257048205316</v>
      </c>
      <c r="AO97" s="110">
        <v>217.22257048205316</v>
      </c>
      <c r="AP97" s="110">
        <v>217.22257048205316</v>
      </c>
      <c r="AQ97" s="110">
        <v>217.22257048205316</v>
      </c>
      <c r="AR97" s="110">
        <v>217.22257048205316</v>
      </c>
      <c r="AS97" s="110">
        <v>217.22257048205316</v>
      </c>
      <c r="AT97" s="110">
        <v>217.22257048205316</v>
      </c>
      <c r="AU97" s="110">
        <v>217.22257048205316</v>
      </c>
      <c r="AV97" s="110">
        <v>217.22257048205316</v>
      </c>
      <c r="AW97" s="110">
        <v>217.22257048205316</v>
      </c>
      <c r="AX97" s="110">
        <v>217.22257048205316</v>
      </c>
      <c r="AY97" s="110">
        <v>217.22257048205316</v>
      </c>
    </row>
    <row r="98" spans="1:52">
      <c r="A98" s="109"/>
      <c r="B98" s="130">
        <v>4</v>
      </c>
      <c r="C98" s="106">
        <v>216.7656674757711</v>
      </c>
      <c r="D98" s="110">
        <v>215.53133495154219</v>
      </c>
      <c r="E98" s="110">
        <v>216.7656674757711</v>
      </c>
      <c r="F98" s="110">
        <v>216.7656674757711</v>
      </c>
      <c r="G98" s="110">
        <v>207.98823795782425</v>
      </c>
      <c r="H98" s="110">
        <v>217.22257048205316</v>
      </c>
      <c r="I98" s="110">
        <v>217.22257048205316</v>
      </c>
      <c r="J98" s="110">
        <v>217.22257048205316</v>
      </c>
      <c r="K98" s="110">
        <v>213.44514096410632</v>
      </c>
      <c r="L98" s="110">
        <v>217.22257048205316</v>
      </c>
      <c r="M98" s="110">
        <v>217.22257048205316</v>
      </c>
      <c r="N98" s="110">
        <v>217.22257048205316</v>
      </c>
      <c r="O98" s="110">
        <v>217.22257048205316</v>
      </c>
      <c r="P98" s="110">
        <v>217.22257048205316</v>
      </c>
      <c r="Q98" s="110">
        <v>217.22257048205316</v>
      </c>
      <c r="R98" s="110">
        <v>217.22257048205316</v>
      </c>
      <c r="S98" s="110">
        <v>217.22257048205316</v>
      </c>
      <c r="T98" s="110">
        <v>217.22257048205316</v>
      </c>
      <c r="U98" s="110">
        <v>217.22257048205316</v>
      </c>
      <c r="V98" s="110">
        <v>202.44514096410632</v>
      </c>
      <c r="W98" s="110">
        <v>217.22257048205316</v>
      </c>
      <c r="X98" s="110">
        <v>217.22257048205316</v>
      </c>
      <c r="Y98" s="110">
        <v>217.22257048205316</v>
      </c>
      <c r="Z98" s="110">
        <v>194.44514096410632</v>
      </c>
      <c r="AA98" s="110">
        <v>217.22257048205316</v>
      </c>
      <c r="AB98" s="110">
        <v>213.44514096410632</v>
      </c>
      <c r="AC98" s="110">
        <v>217.22257048205316</v>
      </c>
      <c r="AD98" s="110">
        <v>217.22257048205316</v>
      </c>
      <c r="AE98" s="110">
        <v>217.22257048205316</v>
      </c>
      <c r="AF98" s="110">
        <v>216.44514096410632</v>
      </c>
      <c r="AG98" s="110">
        <v>207.66771144615947</v>
      </c>
      <c r="AH98" s="110">
        <v>217.22257048205316</v>
      </c>
      <c r="AI98" s="110">
        <v>217.22257048205316</v>
      </c>
      <c r="AJ98" s="110">
        <v>217.22257048205316</v>
      </c>
      <c r="AK98" s="110">
        <v>217.22257048205316</v>
      </c>
      <c r="AL98" s="110">
        <v>217.22257048205316</v>
      </c>
      <c r="AM98" s="110">
        <v>217.22257048205316</v>
      </c>
      <c r="AN98" s="110">
        <v>217.22257048205316</v>
      </c>
      <c r="AO98" s="110">
        <v>217.22257048205316</v>
      </c>
      <c r="AP98" s="110">
        <v>217.22257048205316</v>
      </c>
      <c r="AQ98" s="110">
        <v>207.44514096410632</v>
      </c>
      <c r="AR98" s="110">
        <v>217.22257048205316</v>
      </c>
      <c r="AS98" s="110">
        <v>194.44514096410632</v>
      </c>
      <c r="AT98" s="110">
        <v>217.22257048205316</v>
      </c>
      <c r="AU98" s="110">
        <v>202.44514096410632</v>
      </c>
      <c r="AV98" s="110">
        <v>205.66771144615947</v>
      </c>
      <c r="AW98" s="110">
        <v>201.89028192821263</v>
      </c>
      <c r="AX98" s="110">
        <v>192.11285241026579</v>
      </c>
      <c r="AY98" s="110">
        <v>200.33542289231895</v>
      </c>
    </row>
    <row r="99" spans="1:52">
      <c r="A99" s="128"/>
      <c r="B99" s="132" t="s">
        <v>296</v>
      </c>
      <c r="C99" s="125">
        <v>7.765667475771096</v>
      </c>
      <c r="D99" s="125">
        <v>0</v>
      </c>
      <c r="E99" s="125">
        <v>48.531334951542192</v>
      </c>
      <c r="F99" s="125">
        <v>17.765667475771096</v>
      </c>
      <c r="G99" s="125">
        <v>0</v>
      </c>
      <c r="H99" s="125">
        <v>7.9882379578242535</v>
      </c>
      <c r="I99" s="125">
        <v>18.222570482053158</v>
      </c>
      <c r="J99" s="125">
        <v>44.222570482053158</v>
      </c>
      <c r="K99" s="125">
        <v>0</v>
      </c>
      <c r="L99" s="125">
        <v>36.445140964106315</v>
      </c>
      <c r="M99" s="125">
        <v>11.222570482053158</v>
      </c>
      <c r="N99" s="125">
        <v>59.222570482053158</v>
      </c>
      <c r="O99" s="125">
        <v>32.222570482053158</v>
      </c>
      <c r="P99" s="125">
        <v>44.222570482053158</v>
      </c>
      <c r="Q99" s="125">
        <v>31.222570482053158</v>
      </c>
      <c r="R99" s="125">
        <v>32.222570482053158</v>
      </c>
      <c r="S99" s="125">
        <v>18.222570482053158</v>
      </c>
      <c r="T99" s="125">
        <v>54.222570482053158</v>
      </c>
      <c r="U99" s="125">
        <v>53.222570482053158</v>
      </c>
      <c r="V99" s="125">
        <v>0</v>
      </c>
      <c r="W99" s="125">
        <v>18.445140964106315</v>
      </c>
      <c r="X99" s="125">
        <v>4.2225704820531575</v>
      </c>
      <c r="Y99" s="125">
        <v>76.222570482053158</v>
      </c>
      <c r="Z99" s="125">
        <v>0</v>
      </c>
      <c r="AA99" s="125">
        <v>0.4451409641063151</v>
      </c>
      <c r="AB99" s="125">
        <v>0</v>
      </c>
      <c r="AC99" s="125">
        <v>37.445140964106315</v>
      </c>
      <c r="AD99" s="125">
        <v>31.222570482053158</v>
      </c>
      <c r="AE99" s="125">
        <v>27.222570482053158</v>
      </c>
      <c r="AF99" s="125">
        <v>0</v>
      </c>
      <c r="AG99" s="125">
        <v>0</v>
      </c>
      <c r="AH99" s="125">
        <v>8.6677114461594726</v>
      </c>
      <c r="AI99" s="125">
        <v>23.222570482053158</v>
      </c>
      <c r="AJ99" s="125">
        <v>9.2225704820531575</v>
      </c>
      <c r="AK99" s="125">
        <v>42.222570482053158</v>
      </c>
      <c r="AL99" s="125">
        <v>4.2225704820531575</v>
      </c>
      <c r="AM99" s="125">
        <v>48.222570482053158</v>
      </c>
      <c r="AN99" s="125">
        <v>10.222570482053158</v>
      </c>
      <c r="AO99" s="125">
        <v>21.222570482053158</v>
      </c>
      <c r="AP99" s="125">
        <v>20.222570482053158</v>
      </c>
      <c r="AQ99" s="125">
        <v>0</v>
      </c>
      <c r="AR99" s="125">
        <v>20.445140964106315</v>
      </c>
      <c r="AS99" s="125">
        <v>0</v>
      </c>
      <c r="AT99" s="125">
        <v>34.445140964106315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946.74291870315687</v>
      </c>
    </row>
    <row r="100" spans="1:52">
      <c r="A100" s="131" t="s">
        <v>133</v>
      </c>
      <c r="B100" s="119">
        <v>1</v>
      </c>
      <c r="C100" s="106">
        <v>152.01457356010624</v>
      </c>
      <c r="D100" s="106">
        <v>152.01457356010624</v>
      </c>
      <c r="E100" s="106">
        <v>152.25378896796423</v>
      </c>
      <c r="F100" s="106">
        <v>152.25378896796394</v>
      </c>
      <c r="G100" s="106">
        <v>152.25378896796391</v>
      </c>
      <c r="H100" s="106">
        <v>152.25378896796394</v>
      </c>
      <c r="I100" s="106">
        <v>12.404582570600718</v>
      </c>
      <c r="J100" s="106">
        <v>152.25378896796394</v>
      </c>
      <c r="K100" s="106">
        <v>12.404582570600718</v>
      </c>
      <c r="L100" s="106">
        <v>152.25378896796394</v>
      </c>
      <c r="M100" s="106">
        <v>12.404582570600718</v>
      </c>
      <c r="N100" s="106">
        <v>152.25378896796394</v>
      </c>
      <c r="O100" s="106">
        <v>152.25378896796391</v>
      </c>
      <c r="P100" s="106">
        <v>152.25378896796394</v>
      </c>
      <c r="Q100" s="106">
        <v>12.404582570600718</v>
      </c>
      <c r="R100" s="106">
        <v>152.25378896796394</v>
      </c>
      <c r="S100" s="106">
        <v>152.25378896796391</v>
      </c>
      <c r="T100" s="106">
        <v>152.25378896796394</v>
      </c>
      <c r="U100" s="106">
        <v>152.25378896796391</v>
      </c>
      <c r="V100" s="106">
        <v>152.25378896796394</v>
      </c>
      <c r="W100" s="106">
        <v>152.25378896796391</v>
      </c>
      <c r="X100" s="106">
        <v>152.25378896796394</v>
      </c>
      <c r="Y100" s="106">
        <v>152.25378896796391</v>
      </c>
      <c r="Z100" s="106">
        <v>152.25378896796394</v>
      </c>
      <c r="AA100" s="106">
        <v>152.25378896796391</v>
      </c>
      <c r="AB100" s="106">
        <v>152.25378896796394</v>
      </c>
      <c r="AC100" s="106">
        <v>12.404582570600718</v>
      </c>
      <c r="AD100" s="106">
        <v>152.25378896796394</v>
      </c>
      <c r="AE100" s="106">
        <v>0</v>
      </c>
      <c r="AF100" s="106">
        <v>152.25378896796477</v>
      </c>
      <c r="AG100" s="106">
        <v>152.25378896796391</v>
      </c>
      <c r="AH100" s="106">
        <v>152.25378896796394</v>
      </c>
      <c r="AI100" s="106">
        <v>12.404582570600718</v>
      </c>
      <c r="AJ100" s="106">
        <v>152.25378896796394</v>
      </c>
      <c r="AK100" s="106">
        <v>152.25378896796391</v>
      </c>
      <c r="AL100" s="106">
        <v>152.25378896796394</v>
      </c>
      <c r="AM100" s="106">
        <v>152.25378896796391</v>
      </c>
      <c r="AN100" s="106">
        <v>152.25378896796394</v>
      </c>
      <c r="AO100" s="106">
        <v>12.404582570600718</v>
      </c>
      <c r="AP100" s="106">
        <v>152.25378896796394</v>
      </c>
      <c r="AQ100" s="106">
        <v>152.25378896796391</v>
      </c>
      <c r="AR100" s="106">
        <v>152.25378896796394</v>
      </c>
      <c r="AS100" s="106">
        <v>152.25378896796391</v>
      </c>
      <c r="AT100" s="106">
        <v>152.25378896796394</v>
      </c>
      <c r="AU100" s="106">
        <v>152.25378896796391</v>
      </c>
      <c r="AV100" s="106">
        <v>152.25378896796394</v>
      </c>
      <c r="AW100" s="106">
        <v>12.404582570600718</v>
      </c>
      <c r="AX100" s="106">
        <v>152.25378896796394</v>
      </c>
      <c r="AY100" s="106">
        <v>12.404582570600718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0</v>
      </c>
      <c r="G101" s="106">
        <v>0</v>
      </c>
      <c r="H101" s="106">
        <v>17.253788967963914</v>
      </c>
      <c r="I101" s="106">
        <v>24.507577935927856</v>
      </c>
      <c r="J101" s="106">
        <v>139.84920639736319</v>
      </c>
      <c r="K101" s="106">
        <v>152.25378896796394</v>
      </c>
      <c r="L101" s="106">
        <v>140.35678433329105</v>
      </c>
      <c r="M101" s="106">
        <v>124.61057330125499</v>
      </c>
      <c r="N101" s="106">
        <v>139.84920639736319</v>
      </c>
      <c r="O101" s="106">
        <v>100.10299536532713</v>
      </c>
      <c r="P101" s="106">
        <v>50.356784333291046</v>
      </c>
      <c r="Q101" s="106">
        <v>27.610573301254988</v>
      </c>
      <c r="R101" s="106">
        <v>139.84920639736319</v>
      </c>
      <c r="S101" s="106">
        <v>63.102995365327132</v>
      </c>
      <c r="T101" s="106">
        <v>3.3567843332910456</v>
      </c>
      <c r="U101" s="106">
        <v>0</v>
      </c>
      <c r="V101" s="106">
        <v>0</v>
      </c>
      <c r="W101" s="106">
        <v>0</v>
      </c>
      <c r="X101" s="106">
        <v>4.2537889679639136</v>
      </c>
      <c r="Y101" s="106">
        <v>0</v>
      </c>
      <c r="Z101" s="106">
        <v>0</v>
      </c>
      <c r="AA101" s="106">
        <v>0</v>
      </c>
      <c r="AB101" s="106">
        <v>0</v>
      </c>
      <c r="AC101" s="106">
        <v>0</v>
      </c>
      <c r="AD101" s="106">
        <v>139.84920639736319</v>
      </c>
      <c r="AE101" s="106">
        <v>118.10299536532713</v>
      </c>
      <c r="AF101" s="106">
        <v>0</v>
      </c>
      <c r="AG101" s="106">
        <v>0</v>
      </c>
      <c r="AH101" s="106">
        <v>0</v>
      </c>
      <c r="AI101" s="106">
        <v>0</v>
      </c>
      <c r="AJ101" s="106">
        <v>139.84920639736319</v>
      </c>
      <c r="AK101" s="106">
        <v>136.10299536532713</v>
      </c>
      <c r="AL101" s="106">
        <v>124.35678433329105</v>
      </c>
      <c r="AM101" s="106">
        <v>97.610573301254988</v>
      </c>
      <c r="AN101" s="106">
        <v>85.864362269218901</v>
      </c>
      <c r="AO101" s="106">
        <v>12.118151237182843</v>
      </c>
      <c r="AP101" s="106">
        <v>139.84920639736319</v>
      </c>
      <c r="AQ101" s="106">
        <v>101.10299536532713</v>
      </c>
      <c r="AR101" s="106">
        <v>67.356784333291046</v>
      </c>
      <c r="AS101" s="106">
        <v>56.610573301254988</v>
      </c>
      <c r="AT101" s="106">
        <v>15.864362269218901</v>
      </c>
      <c r="AU101" s="106">
        <v>0</v>
      </c>
      <c r="AV101" s="106">
        <v>0</v>
      </c>
      <c r="AW101" s="106">
        <v>0</v>
      </c>
      <c r="AX101" s="106">
        <v>139.84920639736319</v>
      </c>
      <c r="AY101" s="106">
        <v>74.102995365327132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4.84920639736319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88.402037955440321</v>
      </c>
      <c r="D109" s="106">
        <v>88.402037955440349</v>
      </c>
      <c r="E109" s="106">
        <v>88.246434202353726</v>
      </c>
      <c r="F109" s="106">
        <v>87.489267493611862</v>
      </c>
      <c r="G109" s="106">
        <v>87.489267493611649</v>
      </c>
      <c r="H109" s="106">
        <v>87.489267493611663</v>
      </c>
      <c r="I109" s="106">
        <v>87.489267493611649</v>
      </c>
      <c r="J109" s="106">
        <v>7.1348886319832099</v>
      </c>
      <c r="K109" s="106">
        <v>167.84364635524011</v>
      </c>
      <c r="L109" s="106">
        <v>30.544494298420013</v>
      </c>
      <c r="M109" s="106">
        <v>167.84364635524011</v>
      </c>
      <c r="N109" s="106">
        <v>28.556520273470497</v>
      </c>
      <c r="O109" s="106">
        <v>167.84364635524011</v>
      </c>
      <c r="P109" s="106">
        <v>107.04254704072652</v>
      </c>
      <c r="Q109" s="106">
        <v>97.702394707941622</v>
      </c>
      <c r="R109" s="106">
        <v>7.1348886319832099</v>
      </c>
      <c r="S109" s="106">
        <v>167.84364635524011</v>
      </c>
      <c r="T109" s="106">
        <v>118.98005952564283</v>
      </c>
      <c r="U109" s="106">
        <v>105.61450008293421</v>
      </c>
      <c r="V109" s="106">
        <v>87.489267493611663</v>
      </c>
      <c r="W109" s="106">
        <v>87.489267493611649</v>
      </c>
      <c r="X109" s="106">
        <v>87.489267493611663</v>
      </c>
      <c r="Y109" s="106">
        <v>87.489267493611649</v>
      </c>
      <c r="Z109" s="106">
        <v>87.489267493611663</v>
      </c>
      <c r="AA109" s="106">
        <v>87.489267493611649</v>
      </c>
      <c r="AB109" s="106">
        <v>87.489267493611663</v>
      </c>
      <c r="AC109" s="106">
        <v>87.489267493611649</v>
      </c>
      <c r="AD109" s="106">
        <v>7.1348886319832099</v>
      </c>
      <c r="AE109" s="106">
        <v>167.84364635524011</v>
      </c>
      <c r="AF109" s="106">
        <v>37.169278077812308</v>
      </c>
      <c r="AG109" s="106">
        <v>87.489267493612118</v>
      </c>
      <c r="AH109" s="106">
        <v>87.489267493611663</v>
      </c>
      <c r="AI109" s="106">
        <v>87.489267493611649</v>
      </c>
      <c r="AJ109" s="106">
        <v>7.1348886319832099</v>
      </c>
      <c r="AK109" s="106">
        <v>167.84364635524011</v>
      </c>
      <c r="AL109" s="106">
        <v>121.82297376502629</v>
      </c>
      <c r="AM109" s="106">
        <v>98.799319638542855</v>
      </c>
      <c r="AN109" s="106">
        <v>87.489267493611663</v>
      </c>
      <c r="AO109" s="106">
        <v>87.489267493611649</v>
      </c>
      <c r="AP109" s="106">
        <v>7.1348886319832099</v>
      </c>
      <c r="AQ109" s="106">
        <v>167.84364635524011</v>
      </c>
      <c r="AR109" s="106">
        <v>123.48253918925884</v>
      </c>
      <c r="AS109" s="106">
        <v>90.875059832772337</v>
      </c>
      <c r="AT109" s="106">
        <v>87.489267493611663</v>
      </c>
      <c r="AU109" s="106">
        <v>87.489267493611649</v>
      </c>
      <c r="AV109" s="106">
        <v>87.489267493611663</v>
      </c>
      <c r="AW109" s="106">
        <v>87.489267493611649</v>
      </c>
      <c r="AX109" s="106">
        <v>7.1348886319832099</v>
      </c>
      <c r="AY109" s="106">
        <v>167.84364635524011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31.843646355240111</v>
      </c>
      <c r="M110" s="106">
        <v>0</v>
      </c>
      <c r="N110" s="106">
        <v>6.6976248278655248</v>
      </c>
      <c r="O110" s="106">
        <v>0</v>
      </c>
      <c r="P110" s="106">
        <v>45.843646355240111</v>
      </c>
      <c r="Q110" s="106">
        <v>6.8861933959666288</v>
      </c>
      <c r="R110" s="106">
        <v>0</v>
      </c>
      <c r="S110" s="106">
        <v>0</v>
      </c>
      <c r="T110" s="106">
        <v>23.843646355240111</v>
      </c>
      <c r="U110" s="106">
        <v>1.4210854715202004E-14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33.938055190596828</v>
      </c>
      <c r="AG110" s="106">
        <v>0</v>
      </c>
      <c r="AH110" s="106">
        <v>0</v>
      </c>
      <c r="AI110" s="106">
        <v>0</v>
      </c>
      <c r="AJ110" s="106">
        <v>0</v>
      </c>
      <c r="AK110" s="106">
        <v>0</v>
      </c>
      <c r="AL110" s="106">
        <v>30.843646355240111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40.843646355240111</v>
      </c>
      <c r="AS110" s="106">
        <v>35.326185544498955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217.8542703501677</v>
      </c>
      <c r="D122" s="106">
        <v>217.85375185364822</v>
      </c>
      <c r="E122" s="106">
        <v>215.98453628965328</v>
      </c>
      <c r="F122" s="106">
        <v>215.98453628965277</v>
      </c>
      <c r="G122" s="106">
        <v>215.98453628965279</v>
      </c>
      <c r="H122" s="106">
        <v>215.98453628965277</v>
      </c>
      <c r="I122" s="106">
        <v>17.613881757207903</v>
      </c>
      <c r="J122" s="106">
        <v>215.98453628965277</v>
      </c>
      <c r="K122" s="106">
        <v>17.613881757207903</v>
      </c>
      <c r="L122" s="106">
        <v>215.98453628965277</v>
      </c>
      <c r="M122" s="106">
        <v>17.613881757207903</v>
      </c>
      <c r="N122" s="106">
        <v>215.98453628965277</v>
      </c>
      <c r="O122" s="106">
        <v>215.98453628965279</v>
      </c>
      <c r="P122" s="106">
        <v>215.98453628965277</v>
      </c>
      <c r="Q122" s="106">
        <v>17.613881757207903</v>
      </c>
      <c r="R122" s="106">
        <v>215.98453628965277</v>
      </c>
      <c r="S122" s="106">
        <v>215.98453628965279</v>
      </c>
      <c r="T122" s="106">
        <v>215.98453628965277</v>
      </c>
      <c r="U122" s="106">
        <v>215.98453628965279</v>
      </c>
      <c r="V122" s="106">
        <v>215.98453628965277</v>
      </c>
      <c r="W122" s="106">
        <v>215.98453628965279</v>
      </c>
      <c r="X122" s="106">
        <v>215.98453628965277</v>
      </c>
      <c r="Y122" s="106">
        <v>215.98453628965279</v>
      </c>
      <c r="Z122" s="106">
        <v>215.98453628965277</v>
      </c>
      <c r="AA122" s="106">
        <v>215.98453628965279</v>
      </c>
      <c r="AB122" s="106">
        <v>215.98453628965277</v>
      </c>
      <c r="AC122" s="106">
        <v>17.613881757207903</v>
      </c>
      <c r="AD122" s="106">
        <v>215.98453628965277</v>
      </c>
      <c r="AE122" s="106">
        <v>1.8464327808617478E-2</v>
      </c>
      <c r="AF122" s="106">
        <v>215.9845362896539</v>
      </c>
      <c r="AG122" s="106">
        <v>215.98453628965279</v>
      </c>
      <c r="AH122" s="106">
        <v>215.98453628965277</v>
      </c>
      <c r="AI122" s="106">
        <v>17.613881757207903</v>
      </c>
      <c r="AJ122" s="106">
        <v>215.98453628965277</v>
      </c>
      <c r="AK122" s="106">
        <v>215.98453628965279</v>
      </c>
      <c r="AL122" s="106">
        <v>215.98453628965277</v>
      </c>
      <c r="AM122" s="106">
        <v>215.98453628965279</v>
      </c>
      <c r="AN122" s="106">
        <v>215.98453628965277</v>
      </c>
      <c r="AO122" s="106">
        <v>17.613881757207903</v>
      </c>
      <c r="AP122" s="106">
        <v>215.98453628965277</v>
      </c>
      <c r="AQ122" s="106">
        <v>215.98453628965279</v>
      </c>
      <c r="AR122" s="106">
        <v>215.98453628965277</v>
      </c>
      <c r="AS122" s="106">
        <v>215.98453628965279</v>
      </c>
      <c r="AT122" s="106">
        <v>215.98453628965277</v>
      </c>
      <c r="AU122" s="106">
        <v>215.98453628965279</v>
      </c>
      <c r="AV122" s="106">
        <v>215.98453628965277</v>
      </c>
      <c r="AW122" s="106">
        <v>17.613881757207903</v>
      </c>
      <c r="AX122" s="106">
        <v>215.98453628965277</v>
      </c>
      <c r="AY122" s="106">
        <v>17.613881757207903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198.37065453244489</v>
      </c>
      <c r="K123" s="106">
        <v>57.791235078727468</v>
      </c>
      <c r="L123" s="106">
        <v>198.37065453244489</v>
      </c>
      <c r="M123" s="106">
        <v>52.883528565286284</v>
      </c>
      <c r="N123" s="106">
        <v>198.37065453244489</v>
      </c>
      <c r="O123" s="106">
        <v>48.27113241328631</v>
      </c>
      <c r="P123" s="106">
        <v>25.213121662212586</v>
      </c>
      <c r="Q123" s="106">
        <v>0</v>
      </c>
      <c r="R123" s="106">
        <v>198.37065453244489</v>
      </c>
      <c r="S123" s="106">
        <v>77.741239688957094</v>
      </c>
      <c r="T123" s="106">
        <v>44.745716452967045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198.37065453244489</v>
      </c>
      <c r="AE123" s="106">
        <v>91.741239688957094</v>
      </c>
      <c r="AF123" s="106">
        <v>0</v>
      </c>
      <c r="AG123" s="106">
        <v>0</v>
      </c>
      <c r="AH123" s="106">
        <v>0</v>
      </c>
      <c r="AI123" s="106">
        <v>0</v>
      </c>
      <c r="AJ123" s="106">
        <v>198.37065453244489</v>
      </c>
      <c r="AK123" s="106">
        <v>84.759534975854066</v>
      </c>
      <c r="AL123" s="106">
        <v>27.921097500480585</v>
      </c>
      <c r="AM123" s="106">
        <v>0</v>
      </c>
      <c r="AN123" s="106">
        <v>0</v>
      </c>
      <c r="AO123" s="106">
        <v>0</v>
      </c>
      <c r="AP123" s="106">
        <v>198.37065453244489</v>
      </c>
      <c r="AQ123" s="106">
        <v>88.856499996407976</v>
      </c>
      <c r="AR123" s="106">
        <v>8.3584970968019263</v>
      </c>
      <c r="AS123" s="106">
        <v>0</v>
      </c>
      <c r="AT123" s="106">
        <v>0</v>
      </c>
      <c r="AU123" s="106">
        <v>0</v>
      </c>
      <c r="AV123" s="106">
        <v>0</v>
      </c>
      <c r="AW123" s="106">
        <v>0</v>
      </c>
      <c r="AX123" s="106">
        <v>198.37065453244489</v>
      </c>
      <c r="AY123" s="106">
        <v>56.797710180796557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0.40578519674343533</v>
      </c>
      <c r="D172" s="134">
        <v>0.40507190466766313</v>
      </c>
      <c r="E172" s="134">
        <v>0.40507190466766313</v>
      </c>
      <c r="F172" s="134">
        <v>0.40507190466766313</v>
      </c>
      <c r="G172" s="134">
        <v>0.40507190466766313</v>
      </c>
      <c r="H172" s="134">
        <v>0.40507190466766313</v>
      </c>
      <c r="I172" s="134">
        <v>0.40507190466766313</v>
      </c>
      <c r="J172" s="134">
        <v>0.40507190466766313</v>
      </c>
      <c r="K172" s="134">
        <v>0.40507190466766313</v>
      </c>
      <c r="L172" s="134">
        <v>0.40507190466766313</v>
      </c>
      <c r="M172" s="134">
        <v>0.40507190466766313</v>
      </c>
      <c r="N172" s="134">
        <v>0.40507190466766313</v>
      </c>
      <c r="O172" s="134">
        <v>0.40507190466766313</v>
      </c>
      <c r="P172" s="134">
        <v>0.40507190466766313</v>
      </c>
      <c r="Q172" s="134">
        <v>0.40507190466766313</v>
      </c>
      <c r="R172" s="134">
        <v>0.40507190466766313</v>
      </c>
      <c r="S172" s="134">
        <v>0.40507190466766313</v>
      </c>
      <c r="T172" s="134">
        <v>0.40507190466766313</v>
      </c>
      <c r="U172" s="134">
        <v>0.40507190466766313</v>
      </c>
      <c r="V172" s="134">
        <v>0.40507190466766313</v>
      </c>
      <c r="W172" s="134">
        <v>0.40507190466766313</v>
      </c>
      <c r="X172" s="134">
        <v>0.40507190466766313</v>
      </c>
      <c r="Y172" s="134">
        <v>0.40507190466766313</v>
      </c>
      <c r="Z172" s="134">
        <v>0.40507190466766313</v>
      </c>
      <c r="AA172" s="134">
        <v>0.40507190466766313</v>
      </c>
      <c r="AB172" s="134">
        <v>0.40507190466766313</v>
      </c>
      <c r="AC172" s="134">
        <v>0.40507190466766313</v>
      </c>
      <c r="AD172" s="134">
        <v>0.40507190466766313</v>
      </c>
      <c r="AE172" s="134">
        <v>0.40507190466766313</v>
      </c>
      <c r="AF172" s="134">
        <v>0.40507190466766313</v>
      </c>
      <c r="AG172" s="134">
        <v>0.40507190466766313</v>
      </c>
      <c r="AH172" s="134">
        <v>0.40507190466766313</v>
      </c>
      <c r="AI172" s="134">
        <v>0.40507190466766313</v>
      </c>
      <c r="AJ172" s="134">
        <v>0.40507190466766313</v>
      </c>
      <c r="AK172" s="134">
        <v>0.40507190466766313</v>
      </c>
      <c r="AL172" s="134">
        <v>0.40507190466766313</v>
      </c>
      <c r="AM172" s="134">
        <v>0.40507190466766313</v>
      </c>
      <c r="AN172" s="134">
        <v>0.40507190466766313</v>
      </c>
      <c r="AO172" s="134">
        <v>0.40507190466766313</v>
      </c>
      <c r="AP172" s="134">
        <v>0.40507190466766313</v>
      </c>
      <c r="AQ172" s="134">
        <v>0.40507190466766313</v>
      </c>
      <c r="AR172" s="134">
        <v>0.40507190466766313</v>
      </c>
      <c r="AS172" s="134">
        <v>0.40507190466766313</v>
      </c>
      <c r="AT172" s="134">
        <v>0.40507190466766313</v>
      </c>
      <c r="AU172" s="134">
        <v>0.40507190466766313</v>
      </c>
      <c r="AV172" s="134">
        <v>0.40507190466766313</v>
      </c>
      <c r="AW172" s="134">
        <v>0.40507190466766313</v>
      </c>
      <c r="AX172" s="134">
        <v>0.40507190466766313</v>
      </c>
      <c r="AY172" s="134">
        <v>0.40507190466766313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866.28524038513751</v>
      </c>
      <c r="E175" s="124">
        <f t="shared" si="1"/>
        <v>867.97647591564851</v>
      </c>
      <c r="F175" s="124">
        <f t="shared" si="1"/>
        <v>868.43337892193063</v>
      </c>
      <c r="G175" s="124">
        <f t="shared" si="1"/>
        <v>859.65594940398375</v>
      </c>
      <c r="H175" s="124">
        <f t="shared" si="1"/>
        <v>868.89028192821263</v>
      </c>
      <c r="I175" s="124">
        <f t="shared" si="1"/>
        <v>868.89028192821263</v>
      </c>
      <c r="J175" s="124">
        <f t="shared" si="1"/>
        <v>868.89028192821263</v>
      </c>
      <c r="K175" s="124">
        <f t="shared" si="1"/>
        <v>865.11285241026576</v>
      </c>
      <c r="L175" s="124">
        <f t="shared" si="1"/>
        <v>868.89028192821263</v>
      </c>
      <c r="M175" s="124">
        <f t="shared" si="1"/>
        <v>868.89028192821263</v>
      </c>
      <c r="N175" s="124">
        <f t="shared" si="1"/>
        <v>868.89028192821263</v>
      </c>
      <c r="O175" s="124">
        <f t="shared" si="1"/>
        <v>868.89028192821263</v>
      </c>
      <c r="P175" s="124">
        <f t="shared" si="1"/>
        <v>868.89028192821263</v>
      </c>
      <c r="Q175" s="124">
        <f t="shared" si="1"/>
        <v>868.89028192821263</v>
      </c>
      <c r="R175" s="124">
        <f t="shared" si="1"/>
        <v>868.89028192821263</v>
      </c>
      <c r="S175" s="124">
        <f t="shared" si="1"/>
        <v>868.89028192821263</v>
      </c>
      <c r="T175" s="124">
        <f t="shared" si="1"/>
        <v>868.89028192821263</v>
      </c>
      <c r="U175" s="124">
        <f t="shared" si="1"/>
        <v>868.89028192821263</v>
      </c>
      <c r="V175" s="124">
        <f t="shared" si="1"/>
        <v>854.11285241026576</v>
      </c>
      <c r="W175" s="124">
        <f t="shared" si="1"/>
        <v>868.89028192821263</v>
      </c>
      <c r="X175" s="124">
        <f t="shared" si="1"/>
        <v>868.89028192821263</v>
      </c>
      <c r="Y175" s="124">
        <f t="shared" si="1"/>
        <v>868.89028192821263</v>
      </c>
      <c r="Z175" s="124">
        <f t="shared" si="1"/>
        <v>846.11285241026576</v>
      </c>
      <c r="AA175" s="124">
        <f t="shared" si="1"/>
        <v>868.89028192821263</v>
      </c>
      <c r="AB175" s="124">
        <f t="shared" si="1"/>
        <v>865.11285241026576</v>
      </c>
      <c r="AC175" s="124">
        <f t="shared" si="1"/>
        <v>868.89028192821263</v>
      </c>
      <c r="AD175" s="124">
        <f t="shared" si="1"/>
        <v>868.89028192821263</v>
      </c>
      <c r="AE175" s="124">
        <f t="shared" si="1"/>
        <v>868.89028192821263</v>
      </c>
      <c r="AF175" s="124">
        <f t="shared" si="1"/>
        <v>868.11285241026576</v>
      </c>
      <c r="AG175" s="124">
        <f t="shared" si="1"/>
        <v>859.335422892319</v>
      </c>
      <c r="AH175" s="124">
        <f t="shared" si="1"/>
        <v>868.89028192821263</v>
      </c>
      <c r="AI175" s="124">
        <f t="shared" si="1"/>
        <v>868.89028192821263</v>
      </c>
      <c r="AJ175" s="124">
        <f t="shared" si="1"/>
        <v>868.89028192821263</v>
      </c>
      <c r="AK175" s="124">
        <f t="shared" si="1"/>
        <v>868.89028192821263</v>
      </c>
      <c r="AL175" s="124">
        <f t="shared" si="1"/>
        <v>868.89028192821263</v>
      </c>
      <c r="AM175" s="124">
        <f t="shared" si="1"/>
        <v>868.89028192821263</v>
      </c>
      <c r="AN175" s="124">
        <f t="shared" si="1"/>
        <v>868.89028192821263</v>
      </c>
      <c r="AO175" s="124">
        <f t="shared" si="1"/>
        <v>868.89028192821263</v>
      </c>
      <c r="AP175" s="124">
        <f t="shared" si="1"/>
        <v>868.89028192821263</v>
      </c>
      <c r="AQ175" s="124">
        <f t="shared" si="1"/>
        <v>859.11285241026576</v>
      </c>
      <c r="AR175" s="124">
        <f t="shared" si="1"/>
        <v>868.89028192821263</v>
      </c>
      <c r="AS175" s="124">
        <f t="shared" si="1"/>
        <v>846.11285241026576</v>
      </c>
      <c r="AT175" s="124">
        <f t="shared" si="1"/>
        <v>868.89028192821263</v>
      </c>
      <c r="AU175" s="124">
        <f t="shared" si="1"/>
        <v>854.11285241026576</v>
      </c>
      <c r="AV175" s="124">
        <f t="shared" si="1"/>
        <v>857.335422892319</v>
      </c>
      <c r="AW175" s="124">
        <f t="shared" si="1"/>
        <v>853.55799337437213</v>
      </c>
      <c r="AX175" s="124">
        <f t="shared" si="1"/>
        <v>843.78056385642526</v>
      </c>
      <c r="AY175" s="124">
        <f t="shared" si="1"/>
        <v>852.0031343384785</v>
      </c>
    </row>
    <row r="176" spans="1:52">
      <c r="A176" s="125"/>
      <c r="B176" s="136" t="s">
        <v>299</v>
      </c>
      <c r="C176" s="125" t="s">
        <v>293</v>
      </c>
      <c r="D176" s="125">
        <v>167</v>
      </c>
      <c r="E176" s="125">
        <v>199</v>
      </c>
      <c r="F176" s="125">
        <v>226</v>
      </c>
      <c r="G176" s="125">
        <v>200</v>
      </c>
      <c r="H176" s="125">
        <v>199</v>
      </c>
      <c r="I176" s="125">
        <v>173</v>
      </c>
      <c r="J176" s="125">
        <v>221</v>
      </c>
      <c r="K176" s="125">
        <v>177</v>
      </c>
      <c r="L176" s="125">
        <v>206</v>
      </c>
      <c r="M176" s="125">
        <v>158</v>
      </c>
      <c r="N176" s="125">
        <v>185</v>
      </c>
      <c r="O176" s="125">
        <v>173</v>
      </c>
      <c r="P176" s="125">
        <v>186</v>
      </c>
      <c r="Q176" s="125">
        <v>185</v>
      </c>
      <c r="R176" s="125">
        <v>199</v>
      </c>
      <c r="S176" s="125">
        <v>163</v>
      </c>
      <c r="T176" s="125">
        <v>164</v>
      </c>
      <c r="U176" s="125">
        <v>232</v>
      </c>
      <c r="V176" s="125">
        <v>184</v>
      </c>
      <c r="W176" s="125">
        <v>213</v>
      </c>
      <c r="X176" s="125">
        <v>141</v>
      </c>
      <c r="Y176" s="125">
        <v>240</v>
      </c>
      <c r="Z176" s="125">
        <v>194</v>
      </c>
      <c r="AA176" s="125">
        <v>221</v>
      </c>
      <c r="AB176" s="125">
        <v>176</v>
      </c>
      <c r="AC176" s="125">
        <v>186</v>
      </c>
      <c r="AD176" s="125">
        <v>190</v>
      </c>
      <c r="AE176" s="125">
        <v>218</v>
      </c>
      <c r="AF176" s="125">
        <v>226</v>
      </c>
      <c r="AG176" s="125">
        <v>199</v>
      </c>
      <c r="AH176" s="125">
        <v>194</v>
      </c>
      <c r="AI176" s="125">
        <v>208</v>
      </c>
      <c r="AJ176" s="125">
        <v>175</v>
      </c>
      <c r="AK176" s="125">
        <v>213</v>
      </c>
      <c r="AL176" s="125">
        <v>169</v>
      </c>
      <c r="AM176" s="125">
        <v>207</v>
      </c>
      <c r="AN176" s="125">
        <v>196</v>
      </c>
      <c r="AO176" s="125">
        <v>197</v>
      </c>
      <c r="AP176" s="125">
        <v>227</v>
      </c>
      <c r="AQ176" s="125">
        <v>187</v>
      </c>
      <c r="AR176" s="125">
        <v>240</v>
      </c>
      <c r="AS176" s="125">
        <v>160</v>
      </c>
      <c r="AT176" s="125">
        <v>232</v>
      </c>
      <c r="AU176" s="125">
        <v>214</v>
      </c>
      <c r="AV176" s="125">
        <v>221</v>
      </c>
      <c r="AW176" s="125">
        <v>227</v>
      </c>
      <c r="AX176" s="125">
        <v>209</v>
      </c>
      <c r="AY176" s="125">
        <v>239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152.01457356010624</v>
      </c>
      <c r="E177" s="124">
        <f t="shared" si="2"/>
        <v>152.25378896796423</v>
      </c>
      <c r="F177" s="124">
        <f t="shared" si="2"/>
        <v>152.25378896796394</v>
      </c>
      <c r="G177" s="124">
        <f t="shared" si="2"/>
        <v>152.25378896796391</v>
      </c>
      <c r="H177" s="124">
        <f t="shared" si="2"/>
        <v>169.50757793592786</v>
      </c>
      <c r="I177" s="124">
        <f t="shared" si="2"/>
        <v>36.912160506528572</v>
      </c>
      <c r="J177" s="124">
        <f t="shared" si="2"/>
        <v>292.10299536532716</v>
      </c>
      <c r="K177" s="124">
        <f t="shared" si="2"/>
        <v>169.50757793592786</v>
      </c>
      <c r="L177" s="124">
        <f t="shared" si="2"/>
        <v>292.61057330125499</v>
      </c>
      <c r="M177" s="124">
        <f t="shared" si="2"/>
        <v>137.01515587185571</v>
      </c>
      <c r="N177" s="124">
        <f t="shared" si="2"/>
        <v>292.10299536532716</v>
      </c>
      <c r="O177" s="124">
        <f t="shared" si="2"/>
        <v>252.35678433329105</v>
      </c>
      <c r="P177" s="124">
        <f t="shared" si="2"/>
        <v>202.61057330125499</v>
      </c>
      <c r="Q177" s="124">
        <f t="shared" si="2"/>
        <v>40.015155871855704</v>
      </c>
      <c r="R177" s="124">
        <f t="shared" si="2"/>
        <v>292.10299536532716</v>
      </c>
      <c r="S177" s="124">
        <f t="shared" si="2"/>
        <v>215.35678433329105</v>
      </c>
      <c r="T177" s="124">
        <f t="shared" si="2"/>
        <v>155.61057330125499</v>
      </c>
      <c r="U177" s="124">
        <f t="shared" si="2"/>
        <v>152.25378896796391</v>
      </c>
      <c r="V177" s="124">
        <f t="shared" si="2"/>
        <v>152.25378896796394</v>
      </c>
      <c r="W177" s="124">
        <f t="shared" si="2"/>
        <v>152.25378896796391</v>
      </c>
      <c r="X177" s="124">
        <f t="shared" si="2"/>
        <v>156.50757793592786</v>
      </c>
      <c r="Y177" s="124">
        <f t="shared" si="2"/>
        <v>152.25378896796391</v>
      </c>
      <c r="Z177" s="124">
        <f t="shared" si="2"/>
        <v>152.25378896796394</v>
      </c>
      <c r="AA177" s="124">
        <f t="shared" si="2"/>
        <v>152.25378896796391</v>
      </c>
      <c r="AB177" s="124">
        <f t="shared" si="2"/>
        <v>152.25378896796394</v>
      </c>
      <c r="AC177" s="124">
        <f t="shared" si="2"/>
        <v>12.404582570600718</v>
      </c>
      <c r="AD177" s="124">
        <f t="shared" si="2"/>
        <v>292.10299536532716</v>
      </c>
      <c r="AE177" s="124">
        <f t="shared" si="2"/>
        <v>118.10299536532713</v>
      </c>
      <c r="AF177" s="124">
        <f t="shared" si="2"/>
        <v>152.25378896796477</v>
      </c>
      <c r="AG177" s="124">
        <f t="shared" si="2"/>
        <v>152.25378896796391</v>
      </c>
      <c r="AH177" s="124">
        <f t="shared" si="2"/>
        <v>152.25378896796394</v>
      </c>
      <c r="AI177" s="124">
        <f t="shared" si="2"/>
        <v>12.404582570600718</v>
      </c>
      <c r="AJ177" s="124">
        <f t="shared" si="2"/>
        <v>292.10299536532716</v>
      </c>
      <c r="AK177" s="124">
        <f t="shared" si="2"/>
        <v>288.35678433329105</v>
      </c>
      <c r="AL177" s="124">
        <f t="shared" si="2"/>
        <v>276.61057330125499</v>
      </c>
      <c r="AM177" s="124">
        <f t="shared" si="2"/>
        <v>249.8643622692189</v>
      </c>
      <c r="AN177" s="124">
        <f t="shared" si="2"/>
        <v>238.11815123718284</v>
      </c>
      <c r="AO177" s="124">
        <f t="shared" si="2"/>
        <v>24.52273380778356</v>
      </c>
      <c r="AP177" s="124">
        <f t="shared" si="2"/>
        <v>292.10299536532716</v>
      </c>
      <c r="AQ177" s="124">
        <f t="shared" si="2"/>
        <v>253.35678433329105</v>
      </c>
      <c r="AR177" s="124">
        <f t="shared" si="2"/>
        <v>219.61057330125499</v>
      </c>
      <c r="AS177" s="124">
        <f t="shared" si="2"/>
        <v>208.8643622692189</v>
      </c>
      <c r="AT177" s="124">
        <f t="shared" si="2"/>
        <v>168.11815123718284</v>
      </c>
      <c r="AU177" s="124">
        <f t="shared" si="2"/>
        <v>152.25378896796391</v>
      </c>
      <c r="AV177" s="124">
        <f t="shared" si="2"/>
        <v>152.25378896796394</v>
      </c>
      <c r="AW177" s="124">
        <f t="shared" si="2"/>
        <v>12.404582570600718</v>
      </c>
      <c r="AX177" s="124">
        <f t="shared" si="2"/>
        <v>292.10299536532716</v>
      </c>
      <c r="AY177" s="124">
        <f t="shared" si="2"/>
        <v>86.507577935927856</v>
      </c>
    </row>
    <row r="178" spans="1:51">
      <c r="A178" s="125"/>
      <c r="B178" s="136" t="s">
        <v>299</v>
      </c>
      <c r="C178" s="125" t="s">
        <v>293</v>
      </c>
      <c r="D178" s="125">
        <v>152.01457356010624</v>
      </c>
      <c r="E178" s="125">
        <v>152.25378896796423</v>
      </c>
      <c r="F178" s="125">
        <v>152.25378896796394</v>
      </c>
      <c r="G178" s="125">
        <v>135</v>
      </c>
      <c r="H178" s="125">
        <v>145</v>
      </c>
      <c r="I178" s="125">
        <v>36.912160506528572</v>
      </c>
      <c r="J178" s="125">
        <v>135</v>
      </c>
      <c r="K178" s="125">
        <v>169</v>
      </c>
      <c r="L178" s="125">
        <v>168</v>
      </c>
      <c r="M178" s="125">
        <v>137.01515587185571</v>
      </c>
      <c r="N178" s="125">
        <v>192</v>
      </c>
      <c r="O178" s="125">
        <v>202</v>
      </c>
      <c r="P178" s="125">
        <v>175</v>
      </c>
      <c r="Q178" s="125">
        <v>40.015155871855704</v>
      </c>
      <c r="R178" s="125">
        <v>229</v>
      </c>
      <c r="S178" s="125">
        <v>212</v>
      </c>
      <c r="T178" s="125">
        <v>155.61057330125499</v>
      </c>
      <c r="U178" s="125">
        <v>152.25378896796391</v>
      </c>
      <c r="V178" s="125">
        <v>152.25378896796394</v>
      </c>
      <c r="W178" s="125">
        <v>148</v>
      </c>
      <c r="X178" s="125">
        <v>156.50757793592786</v>
      </c>
      <c r="Y178" s="125">
        <v>152.25378896796391</v>
      </c>
      <c r="Z178" s="125">
        <v>152.25378896796394</v>
      </c>
      <c r="AA178" s="125">
        <v>152.25378896796391</v>
      </c>
      <c r="AB178" s="125">
        <v>152.25378896796394</v>
      </c>
      <c r="AC178" s="125">
        <v>12.404582570600718</v>
      </c>
      <c r="AD178" s="125">
        <v>174</v>
      </c>
      <c r="AE178" s="125">
        <v>118.10299536532713</v>
      </c>
      <c r="AF178" s="125">
        <v>152.25378896796477</v>
      </c>
      <c r="AG178" s="125">
        <v>152.25378896796391</v>
      </c>
      <c r="AH178" s="125">
        <v>152.25378896796394</v>
      </c>
      <c r="AI178" s="125">
        <v>12.404582570600718</v>
      </c>
      <c r="AJ178" s="125">
        <v>156</v>
      </c>
      <c r="AK178" s="125">
        <v>164</v>
      </c>
      <c r="AL178" s="125">
        <v>179</v>
      </c>
      <c r="AM178" s="125">
        <v>164</v>
      </c>
      <c r="AN178" s="125">
        <v>226</v>
      </c>
      <c r="AO178" s="125">
        <v>24.52273380778356</v>
      </c>
      <c r="AP178" s="125">
        <v>191</v>
      </c>
      <c r="AQ178" s="125">
        <v>186</v>
      </c>
      <c r="AR178" s="125">
        <v>163</v>
      </c>
      <c r="AS178" s="125">
        <v>193</v>
      </c>
      <c r="AT178" s="125">
        <v>168.11815123718284</v>
      </c>
      <c r="AU178" s="125">
        <v>152.25378896796391</v>
      </c>
      <c r="AV178" s="125">
        <v>152.25378896796394</v>
      </c>
      <c r="AW178" s="125">
        <v>12.404582570600718</v>
      </c>
      <c r="AX178" s="125">
        <v>218</v>
      </c>
      <c r="AY178" s="125">
        <v>86.507577935927856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88.402037955440349</v>
      </c>
      <c r="E179" s="124">
        <f t="shared" si="3"/>
        <v>88.246434202353726</v>
      </c>
      <c r="F179" s="124">
        <f t="shared" si="3"/>
        <v>87.489267493611862</v>
      </c>
      <c r="G179" s="124">
        <f t="shared" si="3"/>
        <v>87.489267493611649</v>
      </c>
      <c r="H179" s="124">
        <f t="shared" si="3"/>
        <v>87.489267493611663</v>
      </c>
      <c r="I179" s="124">
        <f t="shared" si="3"/>
        <v>87.489267493611649</v>
      </c>
      <c r="J179" s="124">
        <f t="shared" si="3"/>
        <v>7.1348886319832099</v>
      </c>
      <c r="K179" s="124">
        <f t="shared" si="3"/>
        <v>167.84364635524011</v>
      </c>
      <c r="L179" s="124">
        <f t="shared" si="3"/>
        <v>62.388140653660123</v>
      </c>
      <c r="M179" s="124">
        <f t="shared" si="3"/>
        <v>167.84364635524011</v>
      </c>
      <c r="N179" s="124">
        <f t="shared" si="3"/>
        <v>35.254145101336022</v>
      </c>
      <c r="O179" s="124">
        <f t="shared" si="3"/>
        <v>167.84364635524011</v>
      </c>
      <c r="P179" s="124">
        <f t="shared" si="3"/>
        <v>152.88619339596664</v>
      </c>
      <c r="Q179" s="124">
        <f t="shared" si="3"/>
        <v>104.58858810390825</v>
      </c>
      <c r="R179" s="124">
        <f t="shared" si="3"/>
        <v>7.1348886319832099</v>
      </c>
      <c r="S179" s="124">
        <f t="shared" si="3"/>
        <v>167.84364635524011</v>
      </c>
      <c r="T179" s="124">
        <f t="shared" si="3"/>
        <v>142.82370588088293</v>
      </c>
      <c r="U179" s="124">
        <f t="shared" si="3"/>
        <v>105.61450008293423</v>
      </c>
      <c r="V179" s="124">
        <f t="shared" si="3"/>
        <v>87.489267493611663</v>
      </c>
      <c r="W179" s="124">
        <f t="shared" si="3"/>
        <v>87.489267493611649</v>
      </c>
      <c r="X179" s="124">
        <f t="shared" si="3"/>
        <v>87.489267493611663</v>
      </c>
      <c r="Y179" s="124">
        <f t="shared" si="3"/>
        <v>87.489267493611649</v>
      </c>
      <c r="Z179" s="124">
        <f t="shared" si="3"/>
        <v>87.489267493611663</v>
      </c>
      <c r="AA179" s="124">
        <f t="shared" si="3"/>
        <v>87.489267493611649</v>
      </c>
      <c r="AB179" s="124">
        <f t="shared" si="3"/>
        <v>87.489267493611663</v>
      </c>
      <c r="AC179" s="124">
        <f t="shared" si="3"/>
        <v>87.489267493611649</v>
      </c>
      <c r="AD179" s="124">
        <f t="shared" si="3"/>
        <v>7.1348886319832099</v>
      </c>
      <c r="AE179" s="124">
        <f t="shared" si="3"/>
        <v>167.84364635524011</v>
      </c>
      <c r="AF179" s="124">
        <f t="shared" si="3"/>
        <v>71.107333268409135</v>
      </c>
      <c r="AG179" s="124">
        <f t="shared" si="3"/>
        <v>87.489267493612118</v>
      </c>
      <c r="AH179" s="124">
        <f t="shared" si="3"/>
        <v>87.489267493611663</v>
      </c>
      <c r="AI179" s="124">
        <f t="shared" si="3"/>
        <v>87.489267493611649</v>
      </c>
      <c r="AJ179" s="124">
        <f t="shared" si="3"/>
        <v>7.1348886319832099</v>
      </c>
      <c r="AK179" s="124">
        <f t="shared" si="3"/>
        <v>167.84364635524011</v>
      </c>
      <c r="AL179" s="124">
        <f t="shared" si="3"/>
        <v>152.6666201202664</v>
      </c>
      <c r="AM179" s="124">
        <f t="shared" si="3"/>
        <v>98.799319638542855</v>
      </c>
      <c r="AN179" s="124">
        <f t="shared" si="3"/>
        <v>87.489267493611663</v>
      </c>
      <c r="AO179" s="124">
        <f t="shared" si="3"/>
        <v>87.489267493611649</v>
      </c>
      <c r="AP179" s="124">
        <f t="shared" si="3"/>
        <v>7.1348886319832099</v>
      </c>
      <c r="AQ179" s="124">
        <f t="shared" si="3"/>
        <v>167.84364635524011</v>
      </c>
      <c r="AR179" s="124">
        <f t="shared" si="3"/>
        <v>164.32618554449897</v>
      </c>
      <c r="AS179" s="124">
        <f t="shared" si="3"/>
        <v>126.20124537727129</v>
      </c>
      <c r="AT179" s="124">
        <f t="shared" si="3"/>
        <v>87.489267493611663</v>
      </c>
      <c r="AU179" s="124">
        <f t="shared" si="3"/>
        <v>87.489267493611649</v>
      </c>
      <c r="AV179" s="124">
        <f t="shared" si="3"/>
        <v>87.489267493611663</v>
      </c>
      <c r="AW179" s="124">
        <f t="shared" si="3"/>
        <v>87.489267493611649</v>
      </c>
      <c r="AX179" s="124">
        <f t="shared" si="3"/>
        <v>7.1348886319832099</v>
      </c>
      <c r="AY179" s="124">
        <f t="shared" si="3"/>
        <v>167.84364635524011</v>
      </c>
    </row>
    <row r="180" spans="1:51">
      <c r="A180" s="125"/>
      <c r="B180" s="136" t="s">
        <v>299</v>
      </c>
      <c r="C180" s="125" t="s">
        <v>293</v>
      </c>
      <c r="D180" s="125">
        <v>88.402037955440349</v>
      </c>
      <c r="E180" s="125">
        <v>88.246434202353726</v>
      </c>
      <c r="F180" s="125">
        <v>87.489267493611862</v>
      </c>
      <c r="G180" s="125">
        <v>87.489267493611649</v>
      </c>
      <c r="H180" s="125">
        <v>87.489267493611663</v>
      </c>
      <c r="I180" s="125">
        <v>87.489267493611649</v>
      </c>
      <c r="J180" s="125">
        <v>7.1348886319832099</v>
      </c>
      <c r="K180" s="125">
        <v>136</v>
      </c>
      <c r="L180" s="125">
        <v>62.388140653660123</v>
      </c>
      <c r="M180" s="125">
        <v>161.14602152737459</v>
      </c>
      <c r="N180" s="125">
        <v>35.254145101336022</v>
      </c>
      <c r="O180" s="125">
        <v>122</v>
      </c>
      <c r="P180" s="125">
        <v>146</v>
      </c>
      <c r="Q180" s="125">
        <v>104.58858810390825</v>
      </c>
      <c r="R180" s="125">
        <v>7.1348886319832099</v>
      </c>
      <c r="S180" s="125">
        <v>144</v>
      </c>
      <c r="T180" s="125">
        <v>142.82370588088293</v>
      </c>
      <c r="U180" s="125">
        <v>105.61450008293423</v>
      </c>
      <c r="V180" s="125">
        <v>87.489267493611663</v>
      </c>
      <c r="W180" s="125">
        <v>87.489267493611649</v>
      </c>
      <c r="X180" s="125">
        <v>87.489267493611663</v>
      </c>
      <c r="Y180" s="125">
        <v>87.489267493611649</v>
      </c>
      <c r="Z180" s="125">
        <v>87.489267493611663</v>
      </c>
      <c r="AA180" s="125">
        <v>87.489267493611649</v>
      </c>
      <c r="AB180" s="125">
        <v>87.489267493611663</v>
      </c>
      <c r="AC180" s="125">
        <v>87.489267493611649</v>
      </c>
      <c r="AD180" s="125">
        <v>7.1348886319832099</v>
      </c>
      <c r="AE180" s="125">
        <v>133.90559116464328</v>
      </c>
      <c r="AF180" s="125">
        <v>71.107333268409135</v>
      </c>
      <c r="AG180" s="125">
        <v>87.489267493612118</v>
      </c>
      <c r="AH180" s="125">
        <v>87.489267493611663</v>
      </c>
      <c r="AI180" s="125">
        <v>87.489267493611649</v>
      </c>
      <c r="AJ180" s="125">
        <v>7.1348886319832099</v>
      </c>
      <c r="AK180" s="125">
        <v>137</v>
      </c>
      <c r="AL180" s="125">
        <v>152.6666201202664</v>
      </c>
      <c r="AM180" s="125">
        <v>98.799319638542855</v>
      </c>
      <c r="AN180" s="125">
        <v>87.489267493611663</v>
      </c>
      <c r="AO180" s="125">
        <v>87.489267493611649</v>
      </c>
      <c r="AP180" s="125">
        <v>7.1348886319832099</v>
      </c>
      <c r="AQ180" s="125">
        <v>127</v>
      </c>
      <c r="AR180" s="125">
        <v>129</v>
      </c>
      <c r="AS180" s="125">
        <v>126.20124537727129</v>
      </c>
      <c r="AT180" s="125">
        <v>87.489267493611663</v>
      </c>
      <c r="AU180" s="125">
        <v>87.489267493611649</v>
      </c>
      <c r="AV180" s="125">
        <v>87.489267493611663</v>
      </c>
      <c r="AW180" s="125">
        <v>87.489267493611649</v>
      </c>
      <c r="AX180" s="125">
        <v>7.1348886319832099</v>
      </c>
      <c r="AY180" s="125">
        <v>167.4240829131428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129.60731765129447</v>
      </c>
      <c r="E181" s="124">
        <f t="shared" si="4"/>
        <v>128.49526879604142</v>
      </c>
      <c r="F181" s="124">
        <f t="shared" si="4"/>
        <v>128.4952687960411</v>
      </c>
      <c r="G181" s="124">
        <f t="shared" si="4"/>
        <v>128.49526879604113</v>
      </c>
      <c r="H181" s="124">
        <f t="shared" si="4"/>
        <v>128.4952687960411</v>
      </c>
      <c r="I181" s="124">
        <f t="shared" si="4"/>
        <v>10.478993125224692</v>
      </c>
      <c r="J181" s="124">
        <f t="shared" si="4"/>
        <v>246.51154446685752</v>
      </c>
      <c r="K181" s="124">
        <f t="shared" si="4"/>
        <v>44.860622537515354</v>
      </c>
      <c r="L181" s="124">
        <f t="shared" si="4"/>
        <v>246.51154446685752</v>
      </c>
      <c r="M181" s="124">
        <f t="shared" si="4"/>
        <v>41.940890049023686</v>
      </c>
      <c r="N181" s="124">
        <f t="shared" si="4"/>
        <v>246.51154446685752</v>
      </c>
      <c r="O181" s="124">
        <f t="shared" si="4"/>
        <v>157.21312166221256</v>
      </c>
      <c r="P181" s="124">
        <f t="shared" si="4"/>
        <v>143.49526324392372</v>
      </c>
      <c r="Q181" s="124">
        <f t="shared" si="4"/>
        <v>10.478993125224692</v>
      </c>
      <c r="R181" s="124">
        <f t="shared" si="4"/>
        <v>246.51154446685752</v>
      </c>
      <c r="S181" s="124">
        <f t="shared" si="4"/>
        <v>174.74571645296703</v>
      </c>
      <c r="T181" s="124">
        <f t="shared" si="4"/>
        <v>155.1157526596856</v>
      </c>
      <c r="U181" s="124">
        <f t="shared" si="4"/>
        <v>128.49526879604113</v>
      </c>
      <c r="V181" s="124">
        <f t="shared" si="4"/>
        <v>128.4952687960411</v>
      </c>
      <c r="W181" s="124">
        <f t="shared" si="4"/>
        <v>128.49526879604113</v>
      </c>
      <c r="X181" s="124">
        <f t="shared" si="4"/>
        <v>128.4952687960411</v>
      </c>
      <c r="Y181" s="124">
        <f t="shared" si="4"/>
        <v>128.49526879604113</v>
      </c>
      <c r="Z181" s="124">
        <f t="shared" si="4"/>
        <v>128.4952687960411</v>
      </c>
      <c r="AA181" s="124">
        <f t="shared" si="4"/>
        <v>128.49526879604113</v>
      </c>
      <c r="AB181" s="124">
        <f t="shared" si="4"/>
        <v>128.4952687960411</v>
      </c>
      <c r="AC181" s="124">
        <f t="shared" si="4"/>
        <v>10.478993125224692</v>
      </c>
      <c r="AD181" s="124">
        <f t="shared" si="4"/>
        <v>246.51154446685752</v>
      </c>
      <c r="AE181" s="124">
        <f t="shared" si="4"/>
        <v>54.590425938953402</v>
      </c>
      <c r="AF181" s="124">
        <f t="shared" si="4"/>
        <v>128.49526879604178</v>
      </c>
      <c r="AG181" s="124">
        <f t="shared" si="4"/>
        <v>128.49526879604113</v>
      </c>
      <c r="AH181" s="124">
        <f t="shared" si="4"/>
        <v>128.4952687960411</v>
      </c>
      <c r="AI181" s="124">
        <f t="shared" si="4"/>
        <v>10.478993125224692</v>
      </c>
      <c r="AJ181" s="124">
        <f t="shared" si="4"/>
        <v>246.51154446685752</v>
      </c>
      <c r="AK181" s="124">
        <f t="shared" si="4"/>
        <v>178.92109750048058</v>
      </c>
      <c r="AL181" s="124">
        <f t="shared" si="4"/>
        <v>145.10631415159048</v>
      </c>
      <c r="AM181" s="124">
        <f t="shared" si="4"/>
        <v>128.49526879604113</v>
      </c>
      <c r="AN181" s="124">
        <f t="shared" si="4"/>
        <v>128.4952687960411</v>
      </c>
      <c r="AO181" s="124">
        <f t="shared" si="4"/>
        <v>10.478993125224692</v>
      </c>
      <c r="AP181" s="124">
        <f t="shared" si="4"/>
        <v>246.51154446685752</v>
      </c>
      <c r="AQ181" s="124">
        <f t="shared" si="4"/>
        <v>181.35849709680193</v>
      </c>
      <c r="AR181" s="124">
        <f t="shared" si="4"/>
        <v>133.46797355368233</v>
      </c>
      <c r="AS181" s="124">
        <f t="shared" si="4"/>
        <v>128.49526879604113</v>
      </c>
      <c r="AT181" s="124">
        <f t="shared" si="4"/>
        <v>128.4952687960411</v>
      </c>
      <c r="AU181" s="124">
        <f t="shared" si="4"/>
        <v>128.49526879604113</v>
      </c>
      <c r="AV181" s="124">
        <f t="shared" si="4"/>
        <v>128.4952687960411</v>
      </c>
      <c r="AW181" s="124">
        <f t="shared" si="4"/>
        <v>10.478993125224692</v>
      </c>
      <c r="AX181" s="124">
        <f t="shared" si="4"/>
        <v>246.51154446685752</v>
      </c>
      <c r="AY181" s="124">
        <f t="shared" si="4"/>
        <v>44.269546662324068</v>
      </c>
    </row>
    <row r="182" spans="1:51">
      <c r="A182" s="125"/>
      <c r="B182" s="136" t="s">
        <v>299</v>
      </c>
      <c r="C182" s="125" t="s">
        <v>293</v>
      </c>
      <c r="D182" s="125">
        <v>129.60731765129447</v>
      </c>
      <c r="E182" s="125">
        <v>128.49526879604142</v>
      </c>
      <c r="F182" s="125">
        <v>128.4952687960411</v>
      </c>
      <c r="G182" s="125">
        <v>128.49526879604113</v>
      </c>
      <c r="H182" s="125">
        <v>128.4952687960411</v>
      </c>
      <c r="I182" s="125">
        <v>10.478993125224692</v>
      </c>
      <c r="J182" s="125">
        <v>188.72030938813006</v>
      </c>
      <c r="K182" s="125">
        <v>44.860622537515354</v>
      </c>
      <c r="L182" s="125">
        <v>193.62801590157125</v>
      </c>
      <c r="M182" s="125">
        <v>41.940890049023686</v>
      </c>
      <c r="N182" s="125">
        <v>198.24041205357122</v>
      </c>
      <c r="O182" s="125">
        <v>132</v>
      </c>
      <c r="P182" s="125">
        <v>143.49526324392372</v>
      </c>
      <c r="Q182" s="125">
        <v>10.478993125224692</v>
      </c>
      <c r="R182" s="125">
        <v>168.77030477790044</v>
      </c>
      <c r="S182" s="125">
        <v>130</v>
      </c>
      <c r="T182" s="125">
        <v>155.1157526596856</v>
      </c>
      <c r="U182" s="125">
        <v>128.49526879604113</v>
      </c>
      <c r="V182" s="125">
        <v>128.4952687960411</v>
      </c>
      <c r="W182" s="125">
        <v>128.49526879604113</v>
      </c>
      <c r="X182" s="125">
        <v>128.4952687960411</v>
      </c>
      <c r="Y182" s="125">
        <v>128.49526879604113</v>
      </c>
      <c r="Z182" s="125">
        <v>128.4952687960411</v>
      </c>
      <c r="AA182" s="125">
        <v>128.49526879604113</v>
      </c>
      <c r="AB182" s="125">
        <v>128.4952687960411</v>
      </c>
      <c r="AC182" s="125">
        <v>10.478993125224692</v>
      </c>
      <c r="AD182" s="125">
        <v>154.77030477790044</v>
      </c>
      <c r="AE182" s="125">
        <v>54.590425938953402</v>
      </c>
      <c r="AF182" s="125">
        <v>128.49526879604178</v>
      </c>
      <c r="AG182" s="125">
        <v>128.49526879604113</v>
      </c>
      <c r="AH182" s="125">
        <v>128.4952687960411</v>
      </c>
      <c r="AI182" s="125">
        <v>10.478993125224692</v>
      </c>
      <c r="AJ182" s="125">
        <v>161.75200949100346</v>
      </c>
      <c r="AK182" s="125">
        <v>151</v>
      </c>
      <c r="AL182" s="125">
        <v>145.10631415159048</v>
      </c>
      <c r="AM182" s="125">
        <v>128.49526879604113</v>
      </c>
      <c r="AN182" s="125">
        <v>128.4952687960411</v>
      </c>
      <c r="AO182" s="125">
        <v>10.478993125224692</v>
      </c>
      <c r="AP182" s="125">
        <v>157.65504447044955</v>
      </c>
      <c r="AQ182" s="125">
        <v>173</v>
      </c>
      <c r="AR182" s="125">
        <v>133.46797355368233</v>
      </c>
      <c r="AS182" s="125">
        <v>128.49526879604113</v>
      </c>
      <c r="AT182" s="125">
        <v>128.4952687960411</v>
      </c>
      <c r="AU182" s="125">
        <v>128.49526879604113</v>
      </c>
      <c r="AV182" s="125">
        <v>128.4952687960411</v>
      </c>
      <c r="AW182" s="125">
        <v>10.478993125224692</v>
      </c>
      <c r="AX182" s="125">
        <v>189.71383428606097</v>
      </c>
      <c r="AY182" s="125">
        <v>44.269546662324068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1.234332524228904</v>
      </c>
      <c r="D187" s="106">
        <v>0</v>
      </c>
      <c r="E187" s="106">
        <v>0</v>
      </c>
      <c r="F187" s="106">
        <v>9.234332524228904</v>
      </c>
      <c r="G187" s="106">
        <v>0</v>
      </c>
      <c r="H187" s="106">
        <v>0</v>
      </c>
      <c r="I187" s="106">
        <v>0</v>
      </c>
      <c r="J187" s="106">
        <v>3.7774295179468425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14.777429517946842</v>
      </c>
      <c r="V187" s="106">
        <v>0</v>
      </c>
      <c r="W187" s="106">
        <v>0</v>
      </c>
      <c r="X187" s="106">
        <v>0</v>
      </c>
      <c r="Y187" s="106">
        <v>22.777429517946842</v>
      </c>
      <c r="Z187" s="106">
        <v>0</v>
      </c>
      <c r="AA187" s="106">
        <v>3.7774295179468425</v>
      </c>
      <c r="AB187" s="106">
        <v>0</v>
      </c>
      <c r="AC187" s="106">
        <v>0</v>
      </c>
      <c r="AD187" s="106">
        <v>0</v>
      </c>
      <c r="AE187" s="106">
        <v>0.77742951794684245</v>
      </c>
      <c r="AF187" s="106">
        <v>9.5548590358936849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9.7774295179468425</v>
      </c>
      <c r="AQ187" s="106">
        <v>0</v>
      </c>
      <c r="AR187" s="106">
        <v>22.777429517946842</v>
      </c>
      <c r="AS187" s="106">
        <v>0</v>
      </c>
      <c r="AT187" s="106">
        <v>14.777429517946842</v>
      </c>
      <c r="AU187" s="106">
        <v>11.554859035893685</v>
      </c>
      <c r="AV187" s="106">
        <v>15.332288553840527</v>
      </c>
      <c r="AW187" s="106">
        <v>25.10971807178737</v>
      </c>
      <c r="AX187" s="106">
        <v>16.887147589734212</v>
      </c>
      <c r="AY187" s="106">
        <v>38.664577107681055</v>
      </c>
    </row>
    <row r="188" spans="1:51">
      <c r="A188" s="128"/>
      <c r="B188" s="129">
        <v>4</v>
      </c>
      <c r="C188" s="106">
        <v>216.7656674757711</v>
      </c>
      <c r="D188" s="106">
        <v>167</v>
      </c>
      <c r="E188" s="106">
        <v>199</v>
      </c>
      <c r="F188" s="106">
        <v>216.7656674757711</v>
      </c>
      <c r="G188" s="106">
        <v>200</v>
      </c>
      <c r="H188" s="106">
        <v>199</v>
      </c>
      <c r="I188" s="106">
        <v>173</v>
      </c>
      <c r="J188" s="106">
        <v>217.22257048205316</v>
      </c>
      <c r="K188" s="106">
        <v>177</v>
      </c>
      <c r="L188" s="106">
        <v>206</v>
      </c>
      <c r="M188" s="106">
        <v>158</v>
      </c>
      <c r="N188" s="106">
        <v>185</v>
      </c>
      <c r="O188" s="106">
        <v>173</v>
      </c>
      <c r="P188" s="106">
        <v>186</v>
      </c>
      <c r="Q188" s="106">
        <v>185</v>
      </c>
      <c r="R188" s="106">
        <v>199</v>
      </c>
      <c r="S188" s="106">
        <v>163</v>
      </c>
      <c r="T188" s="106">
        <v>164</v>
      </c>
      <c r="U188" s="106">
        <v>217.22257048205316</v>
      </c>
      <c r="V188" s="106">
        <v>184</v>
      </c>
      <c r="W188" s="106">
        <v>213</v>
      </c>
      <c r="X188" s="106">
        <v>141</v>
      </c>
      <c r="Y188" s="106">
        <v>217.22257048205316</v>
      </c>
      <c r="Z188" s="106">
        <v>194</v>
      </c>
      <c r="AA188" s="106">
        <v>217.22257048205316</v>
      </c>
      <c r="AB188" s="106">
        <v>176</v>
      </c>
      <c r="AC188" s="106">
        <v>186</v>
      </c>
      <c r="AD188" s="106">
        <v>190</v>
      </c>
      <c r="AE188" s="106">
        <v>217.22257048205316</v>
      </c>
      <c r="AF188" s="106">
        <v>216.44514096410632</v>
      </c>
      <c r="AG188" s="106">
        <v>199</v>
      </c>
      <c r="AH188" s="106">
        <v>194</v>
      </c>
      <c r="AI188" s="106">
        <v>208</v>
      </c>
      <c r="AJ188" s="106">
        <v>175</v>
      </c>
      <c r="AK188" s="106">
        <v>213</v>
      </c>
      <c r="AL188" s="106">
        <v>169</v>
      </c>
      <c r="AM188" s="106">
        <v>207</v>
      </c>
      <c r="AN188" s="106">
        <v>196</v>
      </c>
      <c r="AO188" s="106">
        <v>197</v>
      </c>
      <c r="AP188" s="106">
        <v>217.22257048205316</v>
      </c>
      <c r="AQ188" s="106">
        <v>187</v>
      </c>
      <c r="AR188" s="106">
        <v>217.22257048205316</v>
      </c>
      <c r="AS188" s="106">
        <v>160</v>
      </c>
      <c r="AT188" s="106">
        <v>217.22257048205316</v>
      </c>
      <c r="AU188" s="106">
        <v>202.44514096410632</v>
      </c>
      <c r="AV188" s="106">
        <v>205.66771144615947</v>
      </c>
      <c r="AW188" s="106">
        <v>201.89028192821263</v>
      </c>
      <c r="AX188" s="106">
        <v>192.11285241026579</v>
      </c>
      <c r="AY188" s="106">
        <v>200.33542289231895</v>
      </c>
    </row>
    <row r="189" spans="1:51">
      <c r="A189" s="126" t="s">
        <v>133</v>
      </c>
      <c r="B189" s="123">
        <v>1</v>
      </c>
      <c r="C189" s="124">
        <v>152.01457356010624</v>
      </c>
      <c r="D189" s="124">
        <v>152.01457356010624</v>
      </c>
      <c r="E189" s="124">
        <v>152.25378896796423</v>
      </c>
      <c r="F189" s="124">
        <v>152.25378896796394</v>
      </c>
      <c r="G189" s="124">
        <v>135</v>
      </c>
      <c r="H189" s="124">
        <v>127.74621103203609</v>
      </c>
      <c r="I189" s="124">
        <v>12.404582570600716</v>
      </c>
      <c r="J189" s="124">
        <v>0</v>
      </c>
      <c r="K189" s="124">
        <v>11.897004634672868</v>
      </c>
      <c r="L189" s="124">
        <v>27.643215666708954</v>
      </c>
      <c r="M189" s="124">
        <v>12.404582570600718</v>
      </c>
      <c r="N189" s="124">
        <v>52.15079360263681</v>
      </c>
      <c r="O189" s="124">
        <v>101.89700463467287</v>
      </c>
      <c r="P189" s="124">
        <v>124.64321566670895</v>
      </c>
      <c r="Q189" s="124">
        <v>12.404582570600716</v>
      </c>
      <c r="R189" s="124">
        <v>89.15079360263681</v>
      </c>
      <c r="S189" s="124">
        <v>148.89700463467287</v>
      </c>
      <c r="T189" s="124">
        <v>152.25378896796394</v>
      </c>
      <c r="U189" s="124">
        <v>152.25378896796391</v>
      </c>
      <c r="V189" s="124">
        <v>152.25378896796394</v>
      </c>
      <c r="W189" s="124">
        <v>148</v>
      </c>
      <c r="X189" s="124">
        <v>152.25378896796394</v>
      </c>
      <c r="Y189" s="124">
        <v>152.25378896796391</v>
      </c>
      <c r="Z189" s="124">
        <v>152.25378896796394</v>
      </c>
      <c r="AA189" s="124">
        <v>152.25378896796391</v>
      </c>
      <c r="AB189" s="124">
        <v>152.25378896796394</v>
      </c>
      <c r="AC189" s="124">
        <v>12.404582570600718</v>
      </c>
      <c r="AD189" s="124">
        <v>34.15079360263681</v>
      </c>
      <c r="AE189" s="124">
        <v>0</v>
      </c>
      <c r="AF189" s="124">
        <v>152.25378896796477</v>
      </c>
      <c r="AG189" s="124">
        <v>152.25378896796391</v>
      </c>
      <c r="AH189" s="124">
        <v>152.25378896796394</v>
      </c>
      <c r="AI189" s="124">
        <v>12.404582570600718</v>
      </c>
      <c r="AJ189" s="124">
        <v>16.15079360263681</v>
      </c>
      <c r="AK189" s="124">
        <v>27.897004634672868</v>
      </c>
      <c r="AL189" s="124">
        <v>54.643215666708954</v>
      </c>
      <c r="AM189" s="124">
        <v>66.389426698745012</v>
      </c>
      <c r="AN189" s="124">
        <v>140.1356377307811</v>
      </c>
      <c r="AO189" s="124">
        <v>12.404582570600716</v>
      </c>
      <c r="AP189" s="124">
        <v>51.15079360263681</v>
      </c>
      <c r="AQ189" s="124">
        <v>84.897004634672868</v>
      </c>
      <c r="AR189" s="124">
        <v>95.643215666708954</v>
      </c>
      <c r="AS189" s="124">
        <v>136.38942669874501</v>
      </c>
      <c r="AT189" s="124">
        <v>152.25378896796394</v>
      </c>
      <c r="AU189" s="124">
        <v>152.25378896796391</v>
      </c>
      <c r="AV189" s="124">
        <v>152.25378896796394</v>
      </c>
      <c r="AW189" s="124">
        <v>12.404582570600718</v>
      </c>
      <c r="AX189" s="124">
        <v>78.15079360263681</v>
      </c>
      <c r="AY189" s="124">
        <v>12.404582570600718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0</v>
      </c>
      <c r="H190" s="106">
        <v>17.253788967963914</v>
      </c>
      <c r="I190" s="106">
        <v>24.507577935927856</v>
      </c>
      <c r="J190" s="106">
        <v>135</v>
      </c>
      <c r="K190" s="106">
        <v>152.25378896796394</v>
      </c>
      <c r="L190" s="106">
        <v>140.35678433329105</v>
      </c>
      <c r="M190" s="106">
        <v>124.61057330125499</v>
      </c>
      <c r="N190" s="106">
        <v>139.84920639736319</v>
      </c>
      <c r="O190" s="106">
        <v>100.10299536532713</v>
      </c>
      <c r="P190" s="106">
        <v>50.356784333291046</v>
      </c>
      <c r="Q190" s="106">
        <v>27.610573301254988</v>
      </c>
      <c r="R190" s="106">
        <v>139.84920639736319</v>
      </c>
      <c r="S190" s="106">
        <v>63.102995365327132</v>
      </c>
      <c r="T190" s="106">
        <v>3.3567843332910456</v>
      </c>
      <c r="U190" s="106">
        <v>0</v>
      </c>
      <c r="V190" s="106">
        <v>0</v>
      </c>
      <c r="W190" s="106">
        <v>0</v>
      </c>
      <c r="X190" s="106">
        <v>4.2537889679639136</v>
      </c>
      <c r="Y190" s="106">
        <v>0</v>
      </c>
      <c r="Z190" s="106">
        <v>0</v>
      </c>
      <c r="AA190" s="106">
        <v>0</v>
      </c>
      <c r="AB190" s="106">
        <v>0</v>
      </c>
      <c r="AC190" s="106">
        <v>0</v>
      </c>
      <c r="AD190" s="106">
        <v>139.84920639736319</v>
      </c>
      <c r="AE190" s="106">
        <v>118.10299536532713</v>
      </c>
      <c r="AF190" s="106">
        <v>0</v>
      </c>
      <c r="AG190" s="106">
        <v>0</v>
      </c>
      <c r="AH190" s="106">
        <v>0</v>
      </c>
      <c r="AI190" s="106">
        <v>0</v>
      </c>
      <c r="AJ190" s="106">
        <v>139.84920639736319</v>
      </c>
      <c r="AK190" s="106">
        <v>136.10299536532713</v>
      </c>
      <c r="AL190" s="106">
        <v>124.35678433329105</v>
      </c>
      <c r="AM190" s="106">
        <v>97.610573301254988</v>
      </c>
      <c r="AN190" s="106">
        <v>85.864362269218901</v>
      </c>
      <c r="AO190" s="106">
        <v>12.118151237182843</v>
      </c>
      <c r="AP190" s="106">
        <v>139.84920639736319</v>
      </c>
      <c r="AQ190" s="106">
        <v>101.10299536532713</v>
      </c>
      <c r="AR190" s="106">
        <v>67.356784333291046</v>
      </c>
      <c r="AS190" s="106">
        <v>56.610573301254988</v>
      </c>
      <c r="AT190" s="106">
        <v>15.864362269218901</v>
      </c>
      <c r="AU190" s="106">
        <v>0</v>
      </c>
      <c r="AV190" s="106">
        <v>0</v>
      </c>
      <c r="AW190" s="106">
        <v>0</v>
      </c>
      <c r="AX190" s="106">
        <v>139.84920639736319</v>
      </c>
      <c r="AY190" s="106">
        <v>74.102995365327132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4.84920639736319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88.402037955440321</v>
      </c>
      <c r="D197" s="106">
        <v>88.402037955440349</v>
      </c>
      <c r="E197" s="106">
        <v>88.246434202353726</v>
      </c>
      <c r="F197" s="106">
        <v>87.489267493611862</v>
      </c>
      <c r="G197" s="106">
        <v>87.489267493611649</v>
      </c>
      <c r="H197" s="106">
        <v>87.489267493611663</v>
      </c>
      <c r="I197" s="106">
        <v>87.489267493611649</v>
      </c>
      <c r="J197" s="106">
        <v>7.1348886319832099</v>
      </c>
      <c r="K197" s="106">
        <v>136</v>
      </c>
      <c r="L197" s="106">
        <v>30.544494298420013</v>
      </c>
      <c r="M197" s="106">
        <v>161.14602152737459</v>
      </c>
      <c r="N197" s="106">
        <v>28.556520273470497</v>
      </c>
      <c r="O197" s="106">
        <v>122</v>
      </c>
      <c r="P197" s="106">
        <v>100.15635364475989</v>
      </c>
      <c r="Q197" s="106">
        <v>97.702394707941622</v>
      </c>
      <c r="R197" s="106">
        <v>7.1348886319832099</v>
      </c>
      <c r="S197" s="106">
        <v>144</v>
      </c>
      <c r="T197" s="106">
        <v>118.98005952564282</v>
      </c>
      <c r="U197" s="106">
        <v>105.61450008293421</v>
      </c>
      <c r="V197" s="106">
        <v>87.489267493611663</v>
      </c>
      <c r="W197" s="106">
        <v>87.489267493611649</v>
      </c>
      <c r="X197" s="106">
        <v>87.489267493611663</v>
      </c>
      <c r="Y197" s="106">
        <v>87.489267493611649</v>
      </c>
      <c r="Z197" s="106">
        <v>87.489267493611663</v>
      </c>
      <c r="AA197" s="106">
        <v>87.489267493611649</v>
      </c>
      <c r="AB197" s="106">
        <v>87.489267493611663</v>
      </c>
      <c r="AC197" s="106">
        <v>87.489267493611649</v>
      </c>
      <c r="AD197" s="106">
        <v>7.1348886319832099</v>
      </c>
      <c r="AE197" s="106">
        <v>133.90559116464328</v>
      </c>
      <c r="AF197" s="106">
        <v>37.169278077812308</v>
      </c>
      <c r="AG197" s="106">
        <v>87.489267493612118</v>
      </c>
      <c r="AH197" s="106">
        <v>87.489267493611663</v>
      </c>
      <c r="AI197" s="106">
        <v>87.489267493611649</v>
      </c>
      <c r="AJ197" s="106">
        <v>7.1348886319832099</v>
      </c>
      <c r="AK197" s="106">
        <v>137</v>
      </c>
      <c r="AL197" s="106">
        <v>121.82297376502629</v>
      </c>
      <c r="AM197" s="106">
        <v>98.799319638542855</v>
      </c>
      <c r="AN197" s="106">
        <v>87.489267493611663</v>
      </c>
      <c r="AO197" s="106">
        <v>87.489267493611649</v>
      </c>
      <c r="AP197" s="106">
        <v>7.1348886319832099</v>
      </c>
      <c r="AQ197" s="106">
        <v>127</v>
      </c>
      <c r="AR197" s="106">
        <v>88.156353644759889</v>
      </c>
      <c r="AS197" s="106">
        <v>90.875059832772337</v>
      </c>
      <c r="AT197" s="106">
        <v>87.489267493611663</v>
      </c>
      <c r="AU197" s="106">
        <v>87.489267493611649</v>
      </c>
      <c r="AV197" s="106">
        <v>87.489267493611663</v>
      </c>
      <c r="AW197" s="106">
        <v>87.489267493611649</v>
      </c>
      <c r="AX197" s="106">
        <v>7.1348886319832099</v>
      </c>
      <c r="AY197" s="106">
        <v>167.4240829131428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31.843646355240111</v>
      </c>
      <c r="M198" s="106">
        <v>0</v>
      </c>
      <c r="N198" s="106">
        <v>6.6976248278655248</v>
      </c>
      <c r="O198" s="106">
        <v>0</v>
      </c>
      <c r="P198" s="106">
        <v>45.843646355240111</v>
      </c>
      <c r="Q198" s="106">
        <v>6.8861933959666288</v>
      </c>
      <c r="R198" s="106">
        <v>0</v>
      </c>
      <c r="S198" s="106">
        <v>0</v>
      </c>
      <c r="T198" s="106">
        <v>23.843646355240111</v>
      </c>
      <c r="U198" s="106">
        <v>1.4210854715202004E-14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33.938055190596828</v>
      </c>
      <c r="AG198" s="106">
        <v>0</v>
      </c>
      <c r="AH198" s="106">
        <v>0</v>
      </c>
      <c r="AI198" s="106">
        <v>0</v>
      </c>
      <c r="AJ198" s="106">
        <v>0</v>
      </c>
      <c r="AK198" s="106">
        <v>0</v>
      </c>
      <c r="AL198" s="106">
        <v>30.843646355240111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40.843646355240111</v>
      </c>
      <c r="AS198" s="106">
        <v>35.326185544498955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129.45223239472733</v>
      </c>
      <c r="D209" s="124">
        <v>129.60731765129447</v>
      </c>
      <c r="E209" s="124">
        <v>128.49526879604142</v>
      </c>
      <c r="F209" s="124">
        <v>128.4952687960411</v>
      </c>
      <c r="G209" s="124">
        <v>128.49526879604113</v>
      </c>
      <c r="H209" s="124">
        <v>128.4952687960411</v>
      </c>
      <c r="I209" s="124">
        <v>10.478993125224692</v>
      </c>
      <c r="J209" s="124">
        <v>70.704033717313635</v>
      </c>
      <c r="K209" s="124">
        <v>10.47899312522469</v>
      </c>
      <c r="L209" s="124">
        <v>75.611740230754819</v>
      </c>
      <c r="M209" s="124">
        <v>10.47899312522469</v>
      </c>
      <c r="N209" s="124">
        <v>80.224136382754793</v>
      </c>
      <c r="O209" s="124">
        <v>103.28214713382854</v>
      </c>
      <c r="P209" s="124">
        <v>128.4952687960411</v>
      </c>
      <c r="Q209" s="124">
        <v>10.478993125224692</v>
      </c>
      <c r="R209" s="124">
        <v>50.754029107084008</v>
      </c>
      <c r="S209" s="124">
        <v>83.749552343074086</v>
      </c>
      <c r="T209" s="124">
        <v>128.4952687960411</v>
      </c>
      <c r="U209" s="124">
        <v>128.49526879604113</v>
      </c>
      <c r="V209" s="124">
        <v>128.4952687960411</v>
      </c>
      <c r="W209" s="124">
        <v>128.49526879604113</v>
      </c>
      <c r="X209" s="124">
        <v>128.4952687960411</v>
      </c>
      <c r="Y209" s="124">
        <v>128.49526879604113</v>
      </c>
      <c r="Z209" s="124">
        <v>128.4952687960411</v>
      </c>
      <c r="AA209" s="124">
        <v>128.49526879604113</v>
      </c>
      <c r="AB209" s="124">
        <v>128.4952687960411</v>
      </c>
      <c r="AC209" s="124">
        <v>10.478993125224692</v>
      </c>
      <c r="AD209" s="124">
        <v>36.754029107084008</v>
      </c>
      <c r="AE209" s="124">
        <v>1.0984947374772696E-2</v>
      </c>
      <c r="AF209" s="124">
        <v>128.49526879604178</v>
      </c>
      <c r="AG209" s="124">
        <v>128.49526879604113</v>
      </c>
      <c r="AH209" s="124">
        <v>128.4952687960411</v>
      </c>
      <c r="AI209" s="124">
        <v>10.478993125224692</v>
      </c>
      <c r="AJ209" s="124">
        <v>43.735733820187036</v>
      </c>
      <c r="AK209" s="124">
        <v>100.57417129556055</v>
      </c>
      <c r="AL209" s="124">
        <v>128.4952687960411</v>
      </c>
      <c r="AM209" s="124">
        <v>128.49526879604113</v>
      </c>
      <c r="AN209" s="124">
        <v>128.4952687960411</v>
      </c>
      <c r="AO209" s="124">
        <v>10.478993125224692</v>
      </c>
      <c r="AP209" s="124">
        <v>39.638768799633127</v>
      </c>
      <c r="AQ209" s="124">
        <v>120.1367716992392</v>
      </c>
      <c r="AR209" s="124">
        <v>128.4952687960411</v>
      </c>
      <c r="AS209" s="124">
        <v>128.49526879604113</v>
      </c>
      <c r="AT209" s="124">
        <v>128.4952687960411</v>
      </c>
      <c r="AU209" s="124">
        <v>128.49526879604113</v>
      </c>
      <c r="AV209" s="124">
        <v>128.4952687960411</v>
      </c>
      <c r="AW209" s="124">
        <v>10.478993125224692</v>
      </c>
      <c r="AX209" s="124">
        <v>71.697558615244546</v>
      </c>
      <c r="AY209" s="124">
        <v>10.478993125224692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118.01627567081643</v>
      </c>
      <c r="K210" s="110">
        <v>34.381629412290664</v>
      </c>
      <c r="L210" s="110">
        <v>118.01627567081643</v>
      </c>
      <c r="M210" s="110">
        <v>31.461896923798996</v>
      </c>
      <c r="N210" s="110">
        <v>118.01627567081643</v>
      </c>
      <c r="O210" s="110">
        <v>28.717852866171452</v>
      </c>
      <c r="P210" s="110">
        <v>14.999994447882615</v>
      </c>
      <c r="Q210" s="110">
        <v>0</v>
      </c>
      <c r="R210" s="110">
        <v>118.01627567081643</v>
      </c>
      <c r="S210" s="110">
        <v>46.250447656925914</v>
      </c>
      <c r="T210" s="110">
        <v>26.620483863644491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118.01627567081643</v>
      </c>
      <c r="AE210" s="110">
        <v>54.579440991578629</v>
      </c>
      <c r="AF210" s="110">
        <v>0</v>
      </c>
      <c r="AG210" s="110">
        <v>0</v>
      </c>
      <c r="AH210" s="110">
        <v>0</v>
      </c>
      <c r="AI210" s="110">
        <v>0</v>
      </c>
      <c r="AJ210" s="110">
        <v>118.01627567081643</v>
      </c>
      <c r="AK210" s="110">
        <v>50.425828704439446</v>
      </c>
      <c r="AL210" s="110">
        <v>16.611045355549383</v>
      </c>
      <c r="AM210" s="110">
        <v>0</v>
      </c>
      <c r="AN210" s="110">
        <v>0</v>
      </c>
      <c r="AO210" s="110">
        <v>0</v>
      </c>
      <c r="AP210" s="110">
        <v>118.01627567081643</v>
      </c>
      <c r="AQ210" s="110">
        <v>52.863228300760788</v>
      </c>
      <c r="AR210" s="110">
        <v>4.9727047576412371</v>
      </c>
      <c r="AS210" s="110">
        <v>0</v>
      </c>
      <c r="AT210" s="110">
        <v>0</v>
      </c>
      <c r="AU210" s="110">
        <v>0</v>
      </c>
      <c r="AV210" s="110">
        <v>0</v>
      </c>
      <c r="AW210" s="110">
        <v>0</v>
      </c>
      <c r="AX210" s="110">
        <v>118.01627567081643</v>
      </c>
      <c r="AY210" s="110">
        <v>33.79055353709937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57360.182231529921</v>
      </c>
      <c r="E259" s="124">
        <f t="shared" ref="E259:AX259" si="5">F$14*$B$259</f>
        <v>56868.023870847712</v>
      </c>
      <c r="F259" s="124">
        <f t="shared" si="5"/>
        <v>56868.023870847574</v>
      </c>
      <c r="G259" s="124">
        <f t="shared" si="5"/>
        <v>56868.023870847581</v>
      </c>
      <c r="H259" s="124">
        <f t="shared" si="5"/>
        <v>56868.023870847574</v>
      </c>
      <c r="I259" s="124">
        <f t="shared" si="5"/>
        <v>4637.6776107890864</v>
      </c>
      <c r="J259" s="124">
        <f t="shared" si="5"/>
        <v>109098.37013090607</v>
      </c>
      <c r="K259" s="124">
        <f t="shared" si="5"/>
        <v>19853.92129397301</v>
      </c>
      <c r="L259" s="124">
        <f t="shared" si="5"/>
        <v>109098.37013090607</v>
      </c>
      <c r="M259" s="124">
        <f t="shared" si="5"/>
        <v>18561.738177755822</v>
      </c>
      <c r="N259" s="124">
        <f t="shared" si="5"/>
        <v>109098.37013090607</v>
      </c>
      <c r="O259" s="124">
        <f t="shared" si="5"/>
        <v>69577.655576472243</v>
      </c>
      <c r="P259" s="124">
        <f t="shared" si="5"/>
        <v>63506.556560162055</v>
      </c>
      <c r="Q259" s="124">
        <f t="shared" si="5"/>
        <v>4637.6776107890864</v>
      </c>
      <c r="R259" s="124">
        <f t="shared" si="5"/>
        <v>109098.37013090607</v>
      </c>
      <c r="S259" s="124">
        <f t="shared" si="5"/>
        <v>77337.03869166784</v>
      </c>
      <c r="T259" s="124">
        <f t="shared" si="5"/>
        <v>68649.425053907238</v>
      </c>
      <c r="U259" s="124">
        <f t="shared" si="5"/>
        <v>56868.023870847581</v>
      </c>
      <c r="V259" s="124">
        <f t="shared" si="5"/>
        <v>56868.023870847574</v>
      </c>
      <c r="W259" s="124">
        <f t="shared" si="5"/>
        <v>56868.023870847581</v>
      </c>
      <c r="X259" s="124">
        <f t="shared" si="5"/>
        <v>56868.023870847574</v>
      </c>
      <c r="Y259" s="124">
        <f t="shared" si="5"/>
        <v>56868.023870847581</v>
      </c>
      <c r="Z259" s="124">
        <f t="shared" si="5"/>
        <v>56868.023870847574</v>
      </c>
      <c r="AA259" s="124">
        <f t="shared" si="5"/>
        <v>56868.023870847581</v>
      </c>
      <c r="AB259" s="124">
        <f t="shared" si="5"/>
        <v>56868.023870847574</v>
      </c>
      <c r="AC259" s="124">
        <f t="shared" si="5"/>
        <v>4637.6776107890864</v>
      </c>
      <c r="AD259" s="124">
        <f t="shared" si="5"/>
        <v>109098.37013090607</v>
      </c>
      <c r="AE259" s="124">
        <f t="shared" si="5"/>
        <v>24160.030750578</v>
      </c>
      <c r="AF259" s="124">
        <f t="shared" si="5"/>
        <v>56868.023870847879</v>
      </c>
      <c r="AG259" s="124">
        <f t="shared" si="5"/>
        <v>56868.023870847581</v>
      </c>
      <c r="AH259" s="124">
        <f t="shared" si="5"/>
        <v>56868.023870847574</v>
      </c>
      <c r="AI259" s="124">
        <f t="shared" si="5"/>
        <v>4637.6776107890864</v>
      </c>
      <c r="AJ259" s="124">
        <f t="shared" si="5"/>
        <v>109098.37013090607</v>
      </c>
      <c r="AK259" s="124">
        <f t="shared" si="5"/>
        <v>79184.932947267094</v>
      </c>
      <c r="AL259" s="124">
        <f t="shared" si="5"/>
        <v>64219.557765052858</v>
      </c>
      <c r="AM259" s="124">
        <f t="shared" si="5"/>
        <v>56868.023870847581</v>
      </c>
      <c r="AN259" s="124">
        <f t="shared" si="5"/>
        <v>56868.023870847574</v>
      </c>
      <c r="AO259" s="124">
        <f t="shared" si="5"/>
        <v>4637.6776107890864</v>
      </c>
      <c r="AP259" s="124">
        <f t="shared" si="5"/>
        <v>109098.37013090607</v>
      </c>
      <c r="AQ259" s="124">
        <f t="shared" si="5"/>
        <v>80263.65047301825</v>
      </c>
      <c r="AR259" s="124">
        <f t="shared" si="5"/>
        <v>59068.788891302022</v>
      </c>
      <c r="AS259" s="124">
        <f t="shared" si="5"/>
        <v>56868.023870847581</v>
      </c>
      <c r="AT259" s="124">
        <f t="shared" si="5"/>
        <v>56868.023870847574</v>
      </c>
      <c r="AU259" s="124">
        <f t="shared" si="5"/>
        <v>56868.023870847581</v>
      </c>
      <c r="AV259" s="124">
        <f t="shared" si="5"/>
        <v>56868.023870847574</v>
      </c>
      <c r="AW259" s="124">
        <f t="shared" si="5"/>
        <v>4637.6776107890864</v>
      </c>
      <c r="AX259" s="124">
        <f t="shared" si="5"/>
        <v>109098.37013090607</v>
      </c>
      <c r="AY259" s="124">
        <f>AZ$14*$B$259</f>
        <v>19592.329429192258</v>
      </c>
      <c r="AZ259" s="139">
        <f>SUM($D259:$AY259)</f>
        <v>2796177.3358416623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41957.114423108251</v>
      </c>
      <c r="E260" s="125">
        <f t="shared" ref="E260:AY260" si="6">(E$175-E$176+E$177-E$178+E$179-E$180+E$181-E$182)*$B$260</f>
        <v>40138.588554938913</v>
      </c>
      <c r="F260" s="125">
        <f t="shared" si="6"/>
        <v>38546.002735315837</v>
      </c>
      <c r="G260" s="125">
        <f t="shared" si="6"/>
        <v>40614.584302316864</v>
      </c>
      <c r="H260" s="125">
        <f t="shared" si="6"/>
        <v>41663.871591848438</v>
      </c>
      <c r="I260" s="125">
        <f t="shared" si="6"/>
        <v>41753.41691569276</v>
      </c>
      <c r="J260" s="125">
        <f t="shared" si="6"/>
        <v>51767.070742336036</v>
      </c>
      <c r="K260" s="125">
        <f t="shared" si="6"/>
        <v>43227.844602086028</v>
      </c>
      <c r="L260" s="125">
        <f t="shared" si="6"/>
        <v>50423.063027685232</v>
      </c>
      <c r="M260" s="125">
        <f t="shared" si="6"/>
        <v>43055.274405364682</v>
      </c>
      <c r="N260" s="125">
        <f t="shared" si="6"/>
        <v>49935.864582409573</v>
      </c>
      <c r="O260" s="125">
        <f t="shared" si="6"/>
        <v>49038.230056737382</v>
      </c>
      <c r="P260" s="125">
        <f t="shared" si="6"/>
        <v>43043.222917526044</v>
      </c>
      <c r="Q260" s="125">
        <f t="shared" si="6"/>
        <v>41033.41691569276</v>
      </c>
      <c r="R260" s="125">
        <f t="shared" si="6"/>
        <v>48644.071018949813</v>
      </c>
      <c r="S260" s="125">
        <f t="shared" si="6"/>
        <v>46670.185744182658</v>
      </c>
      <c r="T260" s="125">
        <f t="shared" si="6"/>
        <v>42293.416915692753</v>
      </c>
      <c r="U260" s="125">
        <f t="shared" si="6"/>
        <v>38213.41691569276</v>
      </c>
      <c r="V260" s="125">
        <f t="shared" si="6"/>
        <v>40206.771144615945</v>
      </c>
      <c r="W260" s="125">
        <f t="shared" si="6"/>
        <v>39608.644253770595</v>
      </c>
      <c r="X260" s="125">
        <f t="shared" si="6"/>
        <v>43673.416915692767</v>
      </c>
      <c r="Y260" s="125">
        <f t="shared" si="6"/>
        <v>37733.41691569276</v>
      </c>
      <c r="Z260" s="125">
        <f t="shared" si="6"/>
        <v>39126.771144615945</v>
      </c>
      <c r="AA260" s="125">
        <f t="shared" si="6"/>
        <v>38873.41691569276</v>
      </c>
      <c r="AB260" s="125">
        <f t="shared" si="6"/>
        <v>41346.771144615945</v>
      </c>
      <c r="AC260" s="125">
        <f t="shared" si="6"/>
        <v>40973.41691569276</v>
      </c>
      <c r="AD260" s="125">
        <f t="shared" si="6"/>
        <v>53324.071018949813</v>
      </c>
      <c r="AE260" s="125">
        <f t="shared" si="6"/>
        <v>41089.700227128567</v>
      </c>
      <c r="AF260" s="125">
        <f t="shared" si="6"/>
        <v>38526.771144615945</v>
      </c>
      <c r="AG260" s="125">
        <f t="shared" si="6"/>
        <v>39620.125373539136</v>
      </c>
      <c r="AH260" s="125">
        <f t="shared" si="6"/>
        <v>40493.416915692767</v>
      </c>
      <c r="AI260" s="125">
        <f t="shared" si="6"/>
        <v>39653.41691569276</v>
      </c>
      <c r="AJ260" s="125">
        <f t="shared" si="6"/>
        <v>54885.168736163629</v>
      </c>
      <c r="AK260" s="125">
        <f t="shared" si="6"/>
        <v>50340.70860703347</v>
      </c>
      <c r="AL260" s="125">
        <f t="shared" si="6"/>
        <v>47850.051313768054</v>
      </c>
      <c r="AM260" s="125">
        <f t="shared" si="6"/>
        <v>44865.278651845889</v>
      </c>
      <c r="AN260" s="125">
        <f t="shared" si="6"/>
        <v>41100.505989923724</v>
      </c>
      <c r="AO260" s="125">
        <f t="shared" si="6"/>
        <v>40313.41691569276</v>
      </c>
      <c r="AP260" s="125">
        <f t="shared" si="6"/>
        <v>49910.986637396869</v>
      </c>
      <c r="AQ260" s="125">
        <f t="shared" si="6"/>
        <v>47320.306811735929</v>
      </c>
      <c r="AR260" s="125">
        <f t="shared" si="6"/>
        <v>43249.622446437992</v>
      </c>
      <c r="AS260" s="125">
        <f t="shared" si="6"/>
        <v>42118.632880769081</v>
      </c>
      <c r="AT260" s="125">
        <f t="shared" si="6"/>
        <v>38213.416915692767</v>
      </c>
      <c r="AU260" s="125">
        <f t="shared" si="6"/>
        <v>38406.771144615945</v>
      </c>
      <c r="AV260" s="125">
        <f t="shared" si="6"/>
        <v>38180.125373539136</v>
      </c>
      <c r="AW260" s="125">
        <f t="shared" si="6"/>
        <v>37593.479602462328</v>
      </c>
      <c r="AX260" s="125">
        <f t="shared" si="6"/>
        <v>45940.876164152935</v>
      </c>
      <c r="AY260" s="125">
        <f t="shared" si="6"/>
        <v>36805.361866834552</v>
      </c>
      <c r="AZ260" s="141">
        <f>SUM($D260:$AY260)</f>
        <v>2063363.4933716508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5500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1049.1730744833612</v>
      </c>
      <c r="E9" s="117">
        <v>1049.1730744833612</v>
      </c>
      <c r="F9" s="117">
        <v>1049.1730744833612</v>
      </c>
      <c r="G9" s="117">
        <v>1049.1730744833612</v>
      </c>
      <c r="H9" s="117">
        <v>1049.1730744833612</v>
      </c>
      <c r="I9" s="117">
        <v>1049.1730744833612</v>
      </c>
      <c r="J9" s="117">
        <v>1049.1730744833612</v>
      </c>
      <c r="K9" s="117">
        <v>1049.1730744833612</v>
      </c>
      <c r="L9" s="117">
        <v>1049.1730744833612</v>
      </c>
      <c r="M9" s="117">
        <v>1049.1730744833612</v>
      </c>
      <c r="N9" s="117">
        <v>1049.1730744833612</v>
      </c>
      <c r="O9" s="117">
        <v>1049.1730744833612</v>
      </c>
      <c r="P9" s="117">
        <v>1049.1730744833612</v>
      </c>
      <c r="Q9" s="117">
        <v>1049.1730744833612</v>
      </c>
      <c r="R9" s="117">
        <v>1049.1730744833612</v>
      </c>
      <c r="S9" s="117">
        <v>1049.1730744833612</v>
      </c>
      <c r="T9" s="117">
        <v>839.34489252249682</v>
      </c>
      <c r="U9" s="117">
        <v>839.34489252249682</v>
      </c>
      <c r="V9" s="117">
        <v>839.34489252249682</v>
      </c>
      <c r="W9" s="117">
        <v>839.34489252249682</v>
      </c>
      <c r="X9" s="117">
        <v>1049.1730744833612</v>
      </c>
      <c r="Y9" s="117">
        <v>1049.1730744833612</v>
      </c>
      <c r="Z9" s="117">
        <v>1049.1730744833612</v>
      </c>
      <c r="AA9" s="117">
        <v>1049.1730744833612</v>
      </c>
      <c r="AB9" s="117">
        <v>1049.1730744833612</v>
      </c>
      <c r="AC9" s="117">
        <v>1049.1730744833612</v>
      </c>
      <c r="AD9" s="117">
        <v>1049.1730744833612</v>
      </c>
      <c r="AE9" s="117">
        <v>1049.1730744833612</v>
      </c>
      <c r="AF9" s="117">
        <v>1049.1730744833612</v>
      </c>
      <c r="AG9" s="117">
        <v>1049.1730744833612</v>
      </c>
      <c r="AH9" s="117">
        <v>1049.1730744833612</v>
      </c>
      <c r="AI9" s="117">
        <v>1049.1730744833612</v>
      </c>
      <c r="AJ9" s="117">
        <v>1049.1730744833612</v>
      </c>
      <c r="AK9" s="117">
        <v>1049.1730744833612</v>
      </c>
      <c r="AL9" s="117">
        <v>1049.1730744833612</v>
      </c>
      <c r="AM9" s="117">
        <v>1049.1730744833612</v>
      </c>
      <c r="AN9" s="117">
        <v>1259.0012564442259</v>
      </c>
      <c r="AO9" s="117">
        <v>1259.0012564442259</v>
      </c>
      <c r="AP9" s="117">
        <v>1259.0012564442259</v>
      </c>
      <c r="AQ9" s="117">
        <v>1259.0012564442259</v>
      </c>
      <c r="AR9" s="117">
        <v>1049.1730744833612</v>
      </c>
      <c r="AS9" s="117">
        <v>1049.1730744833612</v>
      </c>
      <c r="AT9" s="117">
        <v>1049.1730744833612</v>
      </c>
      <c r="AU9" s="117">
        <v>1049.1730744833612</v>
      </c>
      <c r="AV9" s="117">
        <v>1049.1730744833612</v>
      </c>
      <c r="AW9" s="117">
        <v>1049.1730744833612</v>
      </c>
      <c r="AX9" s="117">
        <v>1049.1730744833612</v>
      </c>
      <c r="AY9" s="117">
        <v>1049.1730744833612</v>
      </c>
    </row>
    <row r="10" spans="1:53">
      <c r="A10" s="118" t="s">
        <v>133</v>
      </c>
      <c r="B10" s="119">
        <v>1</v>
      </c>
      <c r="C10" s="106" t="s">
        <v>293</v>
      </c>
      <c r="D10" s="100">
        <v>0</v>
      </c>
      <c r="E10" s="100">
        <v>729.23810902431103</v>
      </c>
      <c r="F10" s="100">
        <v>0</v>
      </c>
      <c r="G10" s="100">
        <v>1215.4607609722918</v>
      </c>
      <c r="H10" s="100">
        <v>0</v>
      </c>
      <c r="I10" s="100">
        <v>607.73038048614592</v>
      </c>
      <c r="J10" s="100">
        <v>0</v>
      </c>
      <c r="K10" s="100">
        <v>607.73038048614592</v>
      </c>
      <c r="L10" s="100">
        <v>607.73038048614592</v>
      </c>
      <c r="M10" s="100">
        <v>607.73038048614592</v>
      </c>
      <c r="N10" s="100">
        <v>0</v>
      </c>
      <c r="O10" s="100">
        <v>607.73038048614592</v>
      </c>
      <c r="P10" s="100">
        <v>607.73038048614592</v>
      </c>
      <c r="Q10" s="100">
        <v>607.73038048614592</v>
      </c>
      <c r="R10" s="100">
        <v>607.73038048614592</v>
      </c>
      <c r="S10" s="100">
        <v>190.18651529844891</v>
      </c>
      <c r="T10" s="100">
        <v>607.73038048614592</v>
      </c>
      <c r="U10" s="100">
        <v>607.73038048614592</v>
      </c>
      <c r="V10" s="100">
        <v>486.1880306478356</v>
      </c>
      <c r="W10" s="100">
        <v>486.1880306478356</v>
      </c>
      <c r="X10" s="100">
        <v>486.1880306478356</v>
      </c>
      <c r="Y10" s="100">
        <v>0</v>
      </c>
      <c r="Z10" s="100">
        <v>1093.9184111339816</v>
      </c>
      <c r="AA10" s="100">
        <v>0</v>
      </c>
      <c r="AB10" s="100">
        <v>607.73038048614592</v>
      </c>
      <c r="AC10" s="100">
        <v>0</v>
      </c>
      <c r="AD10" s="100">
        <v>1215.4607609722918</v>
      </c>
      <c r="AE10" s="100">
        <v>0</v>
      </c>
      <c r="AF10" s="100">
        <v>190.18651529844891</v>
      </c>
      <c r="AG10" s="100">
        <v>607.73038048614592</v>
      </c>
      <c r="AH10" s="100">
        <v>607.73038048614592</v>
      </c>
      <c r="AI10" s="100">
        <v>0</v>
      </c>
      <c r="AJ10" s="100">
        <v>607.73038048614592</v>
      </c>
      <c r="AK10" s="100">
        <v>0</v>
      </c>
      <c r="AL10" s="100">
        <v>607.73038048614592</v>
      </c>
      <c r="AM10" s="100">
        <v>0</v>
      </c>
      <c r="AN10" s="100">
        <v>1215.4607609722918</v>
      </c>
      <c r="AO10" s="100">
        <v>607.73038048614592</v>
      </c>
      <c r="AP10" s="100">
        <v>190.18651529844888</v>
      </c>
      <c r="AQ10" s="100">
        <v>0</v>
      </c>
      <c r="AR10" s="100">
        <v>0</v>
      </c>
      <c r="AS10" s="100">
        <v>1402.7907938379617</v>
      </c>
      <c r="AT10" s="100">
        <v>607.73038048614592</v>
      </c>
      <c r="AU10" s="100">
        <v>607.73038048614592</v>
      </c>
      <c r="AV10" s="100">
        <v>0</v>
      </c>
      <c r="AW10" s="100">
        <v>607.73038048614592</v>
      </c>
      <c r="AX10" s="100">
        <v>0</v>
      </c>
      <c r="AY10" s="100">
        <v>190.18651529844891</v>
      </c>
      <c r="AZ10" s="100">
        <v>607.73038048614592</v>
      </c>
    </row>
    <row r="11" spans="1:53">
      <c r="B11" s="119">
        <v>2</v>
      </c>
      <c r="C11" s="106" t="s">
        <v>293</v>
      </c>
      <c r="E11" s="100">
        <v>0</v>
      </c>
      <c r="F11" s="100">
        <v>0</v>
      </c>
      <c r="G11" s="100">
        <v>0</v>
      </c>
      <c r="K11" s="100">
        <v>607.73038048614592</v>
      </c>
      <c r="L11" s="100">
        <v>0</v>
      </c>
      <c r="M11" s="100">
        <v>0</v>
      </c>
      <c r="O11" s="100">
        <v>607.73038048614592</v>
      </c>
      <c r="Q11" s="100">
        <v>0</v>
      </c>
      <c r="S11" s="100">
        <v>0</v>
      </c>
      <c r="T11" s="100">
        <v>417.54386518769701</v>
      </c>
      <c r="U11" s="100">
        <v>0</v>
      </c>
      <c r="W11" s="100">
        <v>0</v>
      </c>
      <c r="Y11" s="100">
        <v>0</v>
      </c>
      <c r="Z11" s="100">
        <v>0</v>
      </c>
      <c r="AA11" s="100">
        <v>0</v>
      </c>
      <c r="AB11" s="100">
        <v>607.73038048614592</v>
      </c>
      <c r="AC11" s="100">
        <v>0</v>
      </c>
      <c r="AD11" s="100">
        <v>0</v>
      </c>
      <c r="AF11" s="100">
        <v>0</v>
      </c>
      <c r="AH11" s="100">
        <v>0</v>
      </c>
      <c r="AI11" s="100">
        <v>0</v>
      </c>
      <c r="AJ11" s="100">
        <v>607.73038048614592</v>
      </c>
      <c r="AK11" s="100">
        <v>0</v>
      </c>
      <c r="AL11" s="100">
        <v>607.73038048614592</v>
      </c>
      <c r="AM11" s="100">
        <v>0</v>
      </c>
      <c r="AN11" s="100">
        <v>0</v>
      </c>
      <c r="AO11" s="100">
        <v>0</v>
      </c>
      <c r="AP11" s="100">
        <v>0</v>
      </c>
      <c r="AQ11" s="100">
        <v>539.08621502600761</v>
      </c>
      <c r="AR11" s="100">
        <v>729.27273032445646</v>
      </c>
      <c r="AS11" s="100">
        <v>0</v>
      </c>
      <c r="AU11" s="100">
        <v>0</v>
      </c>
      <c r="AV11" s="100">
        <v>0</v>
      </c>
      <c r="AW11" s="100">
        <v>607.73038048614592</v>
      </c>
      <c r="AX11" s="100">
        <v>0</v>
      </c>
      <c r="AY11" s="100">
        <v>0</v>
      </c>
      <c r="AZ11" s="100">
        <v>417.54386518769701</v>
      </c>
      <c r="BA11" s="100">
        <v>0</v>
      </c>
    </row>
    <row r="12" spans="1:53">
      <c r="B12" s="120">
        <v>3</v>
      </c>
      <c r="C12" s="106" t="s">
        <v>293</v>
      </c>
      <c r="D12" s="100">
        <v>728.53584003484445</v>
      </c>
      <c r="E12" s="100">
        <v>0</v>
      </c>
      <c r="F12" s="100">
        <v>728.53584003484445</v>
      </c>
      <c r="H12" s="100">
        <v>0</v>
      </c>
      <c r="I12" s="100">
        <v>0</v>
      </c>
      <c r="J12" s="100">
        <v>607.73038048614592</v>
      </c>
      <c r="K12" s="100">
        <v>0</v>
      </c>
      <c r="O12" s="100">
        <v>0</v>
      </c>
      <c r="P12" s="100">
        <v>0</v>
      </c>
      <c r="Q12" s="100">
        <v>0</v>
      </c>
      <c r="S12" s="100">
        <v>0</v>
      </c>
      <c r="W12" s="100">
        <v>0</v>
      </c>
      <c r="Y12" s="100">
        <v>0</v>
      </c>
      <c r="AF12" s="100">
        <v>0</v>
      </c>
      <c r="AG12" s="100">
        <v>607.73038048614592</v>
      </c>
      <c r="AH12" s="100">
        <v>417.54386518769701</v>
      </c>
      <c r="AK12" s="100">
        <v>0</v>
      </c>
      <c r="AU12" s="100">
        <v>0</v>
      </c>
      <c r="AX12" s="100">
        <v>0</v>
      </c>
      <c r="AZ12" s="100">
        <v>607.73038048614592</v>
      </c>
    </row>
    <row r="13" spans="1:53">
      <c r="B13" s="120">
        <v>4</v>
      </c>
      <c r="C13" s="106" t="s">
        <v>293</v>
      </c>
      <c r="K13" s="100">
        <v>0</v>
      </c>
      <c r="AD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430.72763868965006</v>
      </c>
      <c r="E14" s="117">
        <f t="shared" ref="E14:AZ14" si="0">D$172*SUM(D$122:D$169)</f>
        <v>434.05153194430653</v>
      </c>
      <c r="F14" s="117">
        <f t="shared" si="0"/>
        <v>455.54789868907125</v>
      </c>
      <c r="G14" s="117">
        <f t="shared" si="0"/>
        <v>449.21901582714992</v>
      </c>
      <c r="H14" s="117">
        <f t="shared" si="0"/>
        <v>750.19650530472734</v>
      </c>
      <c r="I14" s="117">
        <f t="shared" si="0"/>
        <v>196.47204141571845</v>
      </c>
      <c r="J14" s="117">
        <f t="shared" si="0"/>
        <v>362.54465808090617</v>
      </c>
      <c r="K14" s="117">
        <f t="shared" si="0"/>
        <v>362.54465808090617</v>
      </c>
      <c r="L14" s="117">
        <f t="shared" si="0"/>
        <v>725.0583225382544</v>
      </c>
      <c r="M14" s="117">
        <f t="shared" si="0"/>
        <v>571.89623563877944</v>
      </c>
      <c r="N14" s="117">
        <f t="shared" si="0"/>
        <v>418.80492365849091</v>
      </c>
      <c r="O14" s="117">
        <f t="shared" si="0"/>
        <v>15.021704367679654</v>
      </c>
      <c r="P14" s="117">
        <f t="shared" si="0"/>
        <v>725.0583225382544</v>
      </c>
      <c r="Q14" s="117">
        <f t="shared" si="0"/>
        <v>516.44194065379395</v>
      </c>
      <c r="R14" s="117">
        <f t="shared" si="0"/>
        <v>382.32485932281224</v>
      </c>
      <c r="S14" s="117">
        <f t="shared" si="0"/>
        <v>362.54465808090617</v>
      </c>
      <c r="T14" s="117">
        <f t="shared" si="0"/>
        <v>113.47803001502876</v>
      </c>
      <c r="U14" s="117">
        <f t="shared" si="0"/>
        <v>611.61128614678353</v>
      </c>
      <c r="V14" s="117">
        <f t="shared" si="0"/>
        <v>409.30317369312183</v>
      </c>
      <c r="W14" s="117">
        <f t="shared" si="0"/>
        <v>290.04414791816413</v>
      </c>
      <c r="X14" s="117">
        <f t="shared" si="0"/>
        <v>290.04414791816413</v>
      </c>
      <c r="Y14" s="117">
        <f t="shared" si="0"/>
        <v>290.04414791816413</v>
      </c>
      <c r="Z14" s="117">
        <f t="shared" si="0"/>
        <v>3.0993623557806944E-2</v>
      </c>
      <c r="AA14" s="117">
        <f t="shared" si="0"/>
        <v>652.55781237551253</v>
      </c>
      <c r="AB14" s="117">
        <f t="shared" si="0"/>
        <v>145.83356761638512</v>
      </c>
      <c r="AC14" s="117">
        <f t="shared" si="0"/>
        <v>725.0583225382544</v>
      </c>
      <c r="AD14" s="117">
        <f t="shared" si="0"/>
        <v>100.95345469004626</v>
      </c>
      <c r="AE14" s="117">
        <f t="shared" si="0"/>
        <v>725.0583225382544</v>
      </c>
      <c r="AF14" s="117">
        <f t="shared" si="0"/>
        <v>96.734594289728207</v>
      </c>
      <c r="AG14" s="117">
        <f t="shared" si="0"/>
        <v>113.47803001502876</v>
      </c>
      <c r="AH14" s="117">
        <f t="shared" si="0"/>
        <v>725.0583225382544</v>
      </c>
      <c r="AI14" s="117">
        <f t="shared" si="0"/>
        <v>774.1656578683469</v>
      </c>
      <c r="AJ14" s="117">
        <f t="shared" si="0"/>
        <v>226.13108734659295</v>
      </c>
      <c r="AK14" s="117">
        <f t="shared" si="0"/>
        <v>725.0583225382544</v>
      </c>
      <c r="AL14" s="117">
        <f t="shared" si="0"/>
        <v>205.01609126135352</v>
      </c>
      <c r="AM14" s="117">
        <f t="shared" si="0"/>
        <v>725.0583225382544</v>
      </c>
      <c r="AN14" s="117">
        <f t="shared" si="0"/>
        <v>154.36492418845344</v>
      </c>
      <c r="AO14" s="117">
        <f t="shared" si="0"/>
        <v>725.0583225382544</v>
      </c>
      <c r="AP14" s="117">
        <f t="shared" si="0"/>
        <v>479.03459057876296</v>
      </c>
      <c r="AQ14" s="117">
        <f t="shared" si="0"/>
        <v>126.59410921475346</v>
      </c>
      <c r="AR14" s="117">
        <f t="shared" si="0"/>
        <v>321.59813185217729</v>
      </c>
      <c r="AS14" s="117">
        <f t="shared" si="0"/>
        <v>435.04516824364822</v>
      </c>
      <c r="AT14" s="117">
        <f t="shared" si="0"/>
        <v>836.80145544322124</v>
      </c>
      <c r="AU14" s="117">
        <f t="shared" si="0"/>
        <v>586.01319938987024</v>
      </c>
      <c r="AV14" s="117">
        <f t="shared" si="0"/>
        <v>413.22165578218107</v>
      </c>
      <c r="AW14" s="117">
        <f t="shared" si="0"/>
        <v>32.39881482276661</v>
      </c>
      <c r="AX14" s="117">
        <f t="shared" si="0"/>
        <v>725.0583225382544</v>
      </c>
      <c r="AY14" s="117">
        <f t="shared" si="0"/>
        <v>107.88411881833765</v>
      </c>
      <c r="AZ14" s="110">
        <f t="shared" si="0"/>
        <v>113.47803001502876</v>
      </c>
      <c r="BA14" s="107">
        <f>SUM($E14:$AZ14)</f>
        <v>19728.995954954717</v>
      </c>
    </row>
    <row r="15" spans="1:53">
      <c r="A15" s="122" t="s">
        <v>123</v>
      </c>
      <c r="B15" s="123">
        <v>1</v>
      </c>
      <c r="C15" s="124" t="s">
        <v>293</v>
      </c>
      <c r="D15" s="124">
        <v>7.0980799465708275E-2</v>
      </c>
      <c r="E15" s="124">
        <v>996.28195814166952</v>
      </c>
      <c r="F15" s="124">
        <v>7.0980799465708275E-2</v>
      </c>
      <c r="G15" s="124">
        <v>1660.5099205983988</v>
      </c>
      <c r="H15" s="124">
        <v>7.0980799465708275E-2</v>
      </c>
      <c r="I15" s="124">
        <v>830.29045069893232</v>
      </c>
      <c r="J15" s="124">
        <v>7.0980799465708275E-2</v>
      </c>
      <c r="K15" s="124">
        <v>830.29045069893232</v>
      </c>
      <c r="L15" s="124">
        <v>830.29045069893232</v>
      </c>
      <c r="M15" s="124">
        <v>830.29045069893232</v>
      </c>
      <c r="N15" s="124">
        <v>7.0980799465708275E-2</v>
      </c>
      <c r="O15" s="124">
        <v>830.29045069893232</v>
      </c>
      <c r="P15" s="124">
        <v>830.29045069893232</v>
      </c>
      <c r="Q15" s="124">
        <v>830.29045069893232</v>
      </c>
      <c r="R15" s="124">
        <v>830.29045069893232</v>
      </c>
      <c r="S15" s="124">
        <v>259.88446550101685</v>
      </c>
      <c r="T15" s="124">
        <v>830.29045069893232</v>
      </c>
      <c r="U15" s="124">
        <v>830.29045069893232</v>
      </c>
      <c r="V15" s="124">
        <v>664.25164715519884</v>
      </c>
      <c r="W15" s="124">
        <v>664.25164715519884</v>
      </c>
      <c r="X15" s="124">
        <v>664.25164715519884</v>
      </c>
      <c r="Y15" s="124">
        <v>7.0980799465708275E-2</v>
      </c>
      <c r="Z15" s="124">
        <v>1494.4711170546657</v>
      </c>
      <c r="AA15" s="124">
        <v>7.0980799465708275E-2</v>
      </c>
      <c r="AB15" s="124">
        <v>830.29045069893232</v>
      </c>
      <c r="AC15" s="124">
        <v>7.0980799465708275E-2</v>
      </c>
      <c r="AD15" s="124">
        <v>1660.5099205983988</v>
      </c>
      <c r="AE15" s="124">
        <v>7.0980799465708275E-2</v>
      </c>
      <c r="AF15" s="124">
        <v>259.88446550101685</v>
      </c>
      <c r="AG15" s="124">
        <v>830.29045069893232</v>
      </c>
      <c r="AH15" s="124">
        <v>830.29045069893232</v>
      </c>
      <c r="AI15" s="124">
        <v>7.0980799465708275E-2</v>
      </c>
      <c r="AJ15" s="124">
        <v>830.29045069893232</v>
      </c>
      <c r="AK15" s="124">
        <v>7.0980799465708275E-2</v>
      </c>
      <c r="AL15" s="124">
        <v>830.29045069893232</v>
      </c>
      <c r="AM15" s="124">
        <v>7.0980799465708275E-2</v>
      </c>
      <c r="AN15" s="124">
        <v>1660.5099205983988</v>
      </c>
      <c r="AO15" s="124">
        <v>830.29045069893232</v>
      </c>
      <c r="AP15" s="124">
        <v>259.88446550101679</v>
      </c>
      <c r="AQ15" s="124">
        <v>7.0980799465708275E-2</v>
      </c>
      <c r="AR15" s="124">
        <v>7.0980799465708275E-2</v>
      </c>
      <c r="AS15" s="124">
        <v>1916.4211693623256</v>
      </c>
      <c r="AT15" s="124">
        <v>830.29045069893232</v>
      </c>
      <c r="AU15" s="124">
        <v>830.29045069893232</v>
      </c>
      <c r="AV15" s="124">
        <v>7.0980799465708275E-2</v>
      </c>
      <c r="AW15" s="124">
        <v>830.29045069893232</v>
      </c>
      <c r="AX15" s="124">
        <v>7.0980799465708275E-2</v>
      </c>
      <c r="AY15" s="124">
        <v>259.88446550101685</v>
      </c>
      <c r="AZ15" s="100">
        <v>830.21946989946662</v>
      </c>
    </row>
    <row r="16" spans="1:53">
      <c r="A16" s="110"/>
      <c r="B16" s="119">
        <v>2</v>
      </c>
      <c r="C16" s="109" t="s">
        <v>293</v>
      </c>
      <c r="D16" s="106"/>
      <c r="E16" s="110">
        <v>0</v>
      </c>
      <c r="F16" s="110">
        <v>0</v>
      </c>
      <c r="G16" s="110">
        <v>0</v>
      </c>
      <c r="H16" s="110"/>
      <c r="I16" s="110"/>
      <c r="J16" s="110"/>
      <c r="K16" s="110">
        <v>830.21946989946662</v>
      </c>
      <c r="L16" s="110">
        <v>0</v>
      </c>
      <c r="M16" s="110">
        <v>0</v>
      </c>
      <c r="N16" s="110"/>
      <c r="O16" s="110">
        <v>830.21946989946662</v>
      </c>
      <c r="P16" s="110"/>
      <c r="Q16" s="110">
        <v>0</v>
      </c>
      <c r="R16" s="110"/>
      <c r="S16" s="110">
        <v>0</v>
      </c>
      <c r="T16" s="110">
        <v>570.40598519791547</v>
      </c>
      <c r="U16" s="110">
        <v>0</v>
      </c>
      <c r="V16" s="110"/>
      <c r="W16" s="110">
        <v>0</v>
      </c>
      <c r="X16" s="110"/>
      <c r="Y16" s="110">
        <v>0</v>
      </c>
      <c r="Z16" s="110">
        <v>0</v>
      </c>
      <c r="AA16" s="110">
        <v>0</v>
      </c>
      <c r="AB16" s="110">
        <v>830.21946989946662</v>
      </c>
      <c r="AC16" s="110">
        <v>0</v>
      </c>
      <c r="AD16" s="110">
        <v>0</v>
      </c>
      <c r="AE16" s="110"/>
      <c r="AF16" s="110">
        <v>0</v>
      </c>
      <c r="AG16" s="110"/>
      <c r="AH16" s="110">
        <v>0</v>
      </c>
      <c r="AI16" s="110">
        <v>0</v>
      </c>
      <c r="AJ16" s="110">
        <v>830.21946989946662</v>
      </c>
      <c r="AK16" s="110">
        <v>0</v>
      </c>
      <c r="AL16" s="110">
        <v>830.21946989946662</v>
      </c>
      <c r="AM16" s="110">
        <v>0</v>
      </c>
      <c r="AN16" s="110">
        <v>0</v>
      </c>
      <c r="AO16" s="110">
        <v>0</v>
      </c>
      <c r="AP16" s="110">
        <v>0</v>
      </c>
      <c r="AQ16" s="110">
        <v>736.44478874164906</v>
      </c>
      <c r="AR16" s="110">
        <v>996.25827344320021</v>
      </c>
      <c r="AS16" s="110">
        <v>0</v>
      </c>
      <c r="AT16" s="110"/>
      <c r="AU16" s="110">
        <v>0</v>
      </c>
      <c r="AV16" s="110">
        <v>0</v>
      </c>
      <c r="AW16" s="110">
        <v>830.21946989946662</v>
      </c>
      <c r="AX16" s="110">
        <v>0</v>
      </c>
      <c r="AY16" s="110">
        <v>0</v>
      </c>
      <c r="AZ16" s="100">
        <v>570.40598519791547</v>
      </c>
      <c r="BA16" s="100">
        <v>0</v>
      </c>
    </row>
    <row r="17" spans="1:52">
      <c r="A17" s="110"/>
      <c r="B17" s="119">
        <v>3</v>
      </c>
      <c r="C17" s="109" t="s">
        <v>293</v>
      </c>
      <c r="D17" s="106">
        <v>993.9826731483887</v>
      </c>
      <c r="E17" s="110">
        <v>0</v>
      </c>
      <c r="F17" s="110">
        <v>993.9826731483887</v>
      </c>
      <c r="G17" s="110"/>
      <c r="H17" s="110">
        <v>0</v>
      </c>
      <c r="I17" s="110">
        <v>0</v>
      </c>
      <c r="J17" s="110">
        <v>830.21946989946662</v>
      </c>
      <c r="K17" s="110">
        <v>0</v>
      </c>
      <c r="L17" s="110"/>
      <c r="M17" s="110"/>
      <c r="N17" s="110"/>
      <c r="O17" s="110">
        <v>0</v>
      </c>
      <c r="P17" s="110">
        <v>0</v>
      </c>
      <c r="Q17" s="110">
        <v>0</v>
      </c>
      <c r="R17" s="110"/>
      <c r="S17" s="110">
        <v>0</v>
      </c>
      <c r="T17" s="110"/>
      <c r="U17" s="110"/>
      <c r="V17" s="110"/>
      <c r="W17" s="110">
        <v>0</v>
      </c>
      <c r="X17" s="110"/>
      <c r="Y17" s="110">
        <v>0</v>
      </c>
      <c r="Z17" s="110"/>
      <c r="AA17" s="110"/>
      <c r="AB17" s="110"/>
      <c r="AC17" s="110"/>
      <c r="AD17" s="110"/>
      <c r="AE17" s="110"/>
      <c r="AF17" s="110">
        <v>0</v>
      </c>
      <c r="AG17" s="110">
        <v>830.21946989946662</v>
      </c>
      <c r="AH17" s="110">
        <v>570.40598519791547</v>
      </c>
      <c r="AI17" s="110"/>
      <c r="AJ17" s="110"/>
      <c r="AK17" s="110">
        <v>0</v>
      </c>
      <c r="AL17" s="110"/>
      <c r="AM17" s="110"/>
      <c r="AN17" s="110"/>
      <c r="AO17" s="110"/>
      <c r="AP17" s="110"/>
      <c r="AQ17" s="110"/>
      <c r="AR17" s="110"/>
      <c r="AS17" s="110"/>
      <c r="AT17" s="110"/>
      <c r="AU17" s="110">
        <v>0</v>
      </c>
      <c r="AV17" s="110"/>
      <c r="AW17" s="110"/>
      <c r="AX17" s="110">
        <v>0</v>
      </c>
      <c r="AY17" s="110"/>
      <c r="AZ17" s="100">
        <v>830.21946989946662</v>
      </c>
    </row>
    <row r="18" spans="1:52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>
        <v>0</v>
      </c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>
        <v>0</v>
      </c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2">
      <c r="A20" s="102" t="s">
        <v>294</v>
      </c>
    </row>
    <row r="21" spans="1:52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>
        <v>1032.7304285538398</v>
      </c>
      <c r="H21" s="124"/>
      <c r="I21" s="124"/>
      <c r="J21" s="124"/>
      <c r="K21" s="124">
        <v>696.83899380383082</v>
      </c>
      <c r="L21" s="124">
        <v>470.85982498890917</v>
      </c>
      <c r="M21" s="124">
        <v>307.88065617398752</v>
      </c>
      <c r="N21" s="124"/>
      <c r="O21" s="124">
        <v>384.54170195161896</v>
      </c>
      <c r="P21" s="124">
        <v>62.562533136697311</v>
      </c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2">
      <c r="A22" s="109"/>
      <c r="B22" s="120">
        <v>2</v>
      </c>
      <c r="C22" s="110" t="s">
        <v>293</v>
      </c>
      <c r="D22" s="110">
        <v>17.658944089113902</v>
      </c>
      <c r="E22" s="110">
        <v>89.693141649341669</v>
      </c>
      <c r="F22" s="110">
        <v>107.76256846606066</v>
      </c>
      <c r="G22" s="110">
        <v>146.41332750021184</v>
      </c>
      <c r="H22" s="110"/>
      <c r="I22" s="110"/>
      <c r="J22" s="110"/>
      <c r="K22" s="110">
        <v>212.5192234500837</v>
      </c>
      <c r="L22" s="110">
        <v>0</v>
      </c>
      <c r="M22" s="110">
        <v>0</v>
      </c>
      <c r="N22" s="110"/>
      <c r="O22" s="110">
        <v>0</v>
      </c>
      <c r="P22" s="110">
        <v>0</v>
      </c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2">
      <c r="A23" s="109"/>
      <c r="B23" s="127">
        <v>3</v>
      </c>
      <c r="C23" s="110" t="s">
        <v>293</v>
      </c>
      <c r="D23" s="110">
        <v>0</v>
      </c>
      <c r="E23" s="110">
        <v>0</v>
      </c>
      <c r="F23" s="110">
        <v>0</v>
      </c>
      <c r="G23" s="110">
        <v>0</v>
      </c>
      <c r="H23" s="110"/>
      <c r="I23" s="110"/>
      <c r="J23" s="110"/>
      <c r="K23" s="110">
        <v>0</v>
      </c>
      <c r="L23" s="110">
        <v>0</v>
      </c>
      <c r="M23" s="110">
        <v>0</v>
      </c>
      <c r="N23" s="110"/>
      <c r="O23" s="110">
        <v>0</v>
      </c>
      <c r="P23" s="110">
        <v>0</v>
      </c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2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2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2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2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2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2">
      <c r="A29" s="109"/>
      <c r="B29" s="127">
        <v>5</v>
      </c>
      <c r="C29" s="109" t="s">
        <v>293</v>
      </c>
      <c r="D29" s="110"/>
      <c r="E29" s="110"/>
      <c r="F29" s="110"/>
      <c r="G29" s="110">
        <v>0</v>
      </c>
      <c r="H29" s="110"/>
      <c r="I29" s="110"/>
      <c r="J29" s="110"/>
      <c r="K29" s="110">
        <v>0</v>
      </c>
      <c r="L29" s="110">
        <v>0</v>
      </c>
      <c r="M29" s="110">
        <v>0</v>
      </c>
      <c r="N29" s="110"/>
      <c r="O29" s="110">
        <v>0</v>
      </c>
      <c r="P29" s="110">
        <v>0</v>
      </c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2">
      <c r="A30" s="109"/>
      <c r="B30" s="127">
        <v>6</v>
      </c>
      <c r="C30" s="109" t="s">
        <v>293</v>
      </c>
      <c r="D30" s="110">
        <v>0</v>
      </c>
      <c r="E30" s="110">
        <v>0</v>
      </c>
      <c r="F30" s="110">
        <v>0</v>
      </c>
      <c r="G30" s="110">
        <v>0</v>
      </c>
      <c r="H30" s="110"/>
      <c r="I30" s="110"/>
      <c r="J30" s="110"/>
      <c r="K30" s="110">
        <v>0</v>
      </c>
      <c r="L30" s="110">
        <v>0</v>
      </c>
      <c r="M30" s="110">
        <v>0</v>
      </c>
      <c r="N30" s="110"/>
      <c r="O30" s="110">
        <v>0</v>
      </c>
      <c r="P30" s="110">
        <v>0</v>
      </c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2">
      <c r="A31" s="109"/>
      <c r="B31" s="130">
        <v>7</v>
      </c>
      <c r="C31" s="109" t="s">
        <v>293</v>
      </c>
      <c r="D31" s="110">
        <v>0</v>
      </c>
      <c r="E31" s="110">
        <v>0</v>
      </c>
      <c r="F31" s="110">
        <v>0</v>
      </c>
      <c r="G31" s="110">
        <v>0</v>
      </c>
      <c r="H31" s="110"/>
      <c r="I31" s="110"/>
      <c r="J31" s="110"/>
      <c r="K31" s="110">
        <v>0</v>
      </c>
      <c r="L31" s="110">
        <v>0</v>
      </c>
      <c r="M31" s="110">
        <v>0</v>
      </c>
      <c r="N31" s="110"/>
      <c r="O31" s="110">
        <v>0</v>
      </c>
      <c r="P31" s="110">
        <v>0</v>
      </c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2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>
        <v>0</v>
      </c>
      <c r="H41" s="106"/>
      <c r="I41" s="106"/>
      <c r="J41" s="106"/>
      <c r="K41" s="106">
        <v>0</v>
      </c>
      <c r="L41" s="106">
        <v>0</v>
      </c>
      <c r="M41" s="106">
        <v>0</v>
      </c>
      <c r="N41" s="106"/>
      <c r="O41" s="106">
        <v>0</v>
      </c>
      <c r="P41" s="106">
        <v>0</v>
      </c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>
        <v>0</v>
      </c>
      <c r="E42" s="106">
        <v>0</v>
      </c>
      <c r="F42" s="106">
        <v>0</v>
      </c>
      <c r="G42" s="106">
        <v>0</v>
      </c>
      <c r="H42" s="106"/>
      <c r="I42" s="106"/>
      <c r="J42" s="106"/>
      <c r="K42" s="106">
        <v>0</v>
      </c>
      <c r="L42" s="106">
        <v>0</v>
      </c>
      <c r="M42" s="106">
        <v>0</v>
      </c>
      <c r="N42" s="106"/>
      <c r="O42" s="106">
        <v>0</v>
      </c>
      <c r="P42" s="106">
        <v>0</v>
      </c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>
        <v>0</v>
      </c>
      <c r="E43" s="106">
        <v>0</v>
      </c>
      <c r="F43" s="106">
        <v>0</v>
      </c>
      <c r="G43" s="106">
        <v>0</v>
      </c>
      <c r="H43" s="106"/>
      <c r="I43" s="106"/>
      <c r="J43" s="106"/>
      <c r="K43" s="106">
        <v>0</v>
      </c>
      <c r="L43" s="106">
        <v>0</v>
      </c>
      <c r="M43" s="106">
        <v>0</v>
      </c>
      <c r="N43" s="106"/>
      <c r="O43" s="106">
        <v>0</v>
      </c>
      <c r="P43" s="106">
        <v>0</v>
      </c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>
        <v>0</v>
      </c>
      <c r="H89" s="110"/>
      <c r="I89" s="110"/>
      <c r="J89" s="110"/>
      <c r="K89" s="110">
        <v>0</v>
      </c>
      <c r="L89" s="110">
        <v>0</v>
      </c>
      <c r="M89" s="110">
        <v>0</v>
      </c>
      <c r="N89" s="110"/>
      <c r="O89" s="110">
        <v>0</v>
      </c>
      <c r="P89" s="110">
        <v>0</v>
      </c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>
        <v>0</v>
      </c>
      <c r="E90" s="110">
        <v>0</v>
      </c>
      <c r="F90" s="110">
        <v>0</v>
      </c>
      <c r="G90" s="110">
        <v>0</v>
      </c>
      <c r="H90" s="110"/>
      <c r="I90" s="110"/>
      <c r="J90" s="110"/>
      <c r="K90" s="110">
        <v>0</v>
      </c>
      <c r="L90" s="110">
        <v>0</v>
      </c>
      <c r="M90" s="110">
        <v>0</v>
      </c>
      <c r="N90" s="110"/>
      <c r="O90" s="110">
        <v>0</v>
      </c>
      <c r="P90" s="110">
        <v>0</v>
      </c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>
        <v>0</v>
      </c>
      <c r="E91" s="110">
        <v>0</v>
      </c>
      <c r="F91" s="110">
        <v>0</v>
      </c>
      <c r="G91" s="110">
        <v>0</v>
      </c>
      <c r="H91" s="110"/>
      <c r="I91" s="110"/>
      <c r="J91" s="110"/>
      <c r="K91" s="110">
        <v>0</v>
      </c>
      <c r="L91" s="110">
        <v>0</v>
      </c>
      <c r="M91" s="110">
        <v>0</v>
      </c>
      <c r="N91" s="110"/>
      <c r="O91" s="110">
        <v>0</v>
      </c>
      <c r="P91" s="110">
        <v>0</v>
      </c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3529.4613437636954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1278.0043791273222</v>
      </c>
      <c r="D95" s="110">
        <v>1049.1730744833612</v>
      </c>
      <c r="E95" s="110">
        <v>1049.1730744833612</v>
      </c>
      <c r="F95" s="110">
        <v>1049.1730744833612</v>
      </c>
      <c r="G95" s="110">
        <v>16.442645929521404</v>
      </c>
      <c r="H95" s="110">
        <v>1049.1730744833612</v>
      </c>
      <c r="I95" s="110">
        <v>1049.1730744833612</v>
      </c>
      <c r="J95" s="110">
        <v>1049.1730744833612</v>
      </c>
      <c r="K95" s="110">
        <v>352.33408067953042</v>
      </c>
      <c r="L95" s="110">
        <v>578.31324949445207</v>
      </c>
      <c r="M95" s="110">
        <v>741.29241830937372</v>
      </c>
      <c r="N95" s="110">
        <v>1049.1730744833612</v>
      </c>
      <c r="O95" s="110">
        <v>664.63137253174227</v>
      </c>
      <c r="P95" s="110">
        <v>986.61054134666392</v>
      </c>
      <c r="Q95" s="110">
        <v>1049.1730744833612</v>
      </c>
      <c r="R95" s="110">
        <v>1049.1730744833612</v>
      </c>
      <c r="S95" s="110">
        <v>1049.1730744833612</v>
      </c>
      <c r="T95" s="110">
        <v>839.34489252249682</v>
      </c>
      <c r="U95" s="110">
        <v>839.34489252249682</v>
      </c>
      <c r="V95" s="110">
        <v>839.34489252249682</v>
      </c>
      <c r="W95" s="110">
        <v>839.34489252249682</v>
      </c>
      <c r="X95" s="110">
        <v>1049.1730744833612</v>
      </c>
      <c r="Y95" s="110">
        <v>1049.1730744833612</v>
      </c>
      <c r="Z95" s="110">
        <v>1049.1730744833612</v>
      </c>
      <c r="AA95" s="110">
        <v>1049.1730744833612</v>
      </c>
      <c r="AB95" s="110">
        <v>1049.1730744833612</v>
      </c>
      <c r="AC95" s="110">
        <v>1049.1730744833612</v>
      </c>
      <c r="AD95" s="110">
        <v>1049.1730744833612</v>
      </c>
      <c r="AE95" s="110">
        <v>1049.1730744833612</v>
      </c>
      <c r="AF95" s="110">
        <v>1049.1730744833612</v>
      </c>
      <c r="AG95" s="110">
        <v>1049.1730744833612</v>
      </c>
      <c r="AH95" s="110">
        <v>1049.1730744833612</v>
      </c>
      <c r="AI95" s="110">
        <v>1049.1730744833612</v>
      </c>
      <c r="AJ95" s="110">
        <v>1049.1730744833612</v>
      </c>
      <c r="AK95" s="110">
        <v>1049.1730744833612</v>
      </c>
      <c r="AL95" s="110">
        <v>1049.1730744833612</v>
      </c>
      <c r="AM95" s="110">
        <v>1049.1730744833612</v>
      </c>
      <c r="AN95" s="110">
        <v>1259.0012564442259</v>
      </c>
      <c r="AO95" s="110">
        <v>1259.0012564442259</v>
      </c>
      <c r="AP95" s="110">
        <v>1259.0012564442259</v>
      </c>
      <c r="AQ95" s="110">
        <v>1259.0012564442259</v>
      </c>
      <c r="AR95" s="110">
        <v>1049.1730744833612</v>
      </c>
      <c r="AS95" s="110">
        <v>1049.1730744833612</v>
      </c>
      <c r="AT95" s="110">
        <v>1049.1730744833612</v>
      </c>
      <c r="AU95" s="110">
        <v>1049.1730744833612</v>
      </c>
      <c r="AV95" s="110">
        <v>1049.1730744833612</v>
      </c>
      <c r="AW95" s="110">
        <v>1049.1730744833612</v>
      </c>
      <c r="AX95" s="110">
        <v>1049.1730744833612</v>
      </c>
      <c r="AY95" s="110">
        <v>1049.1730744833612</v>
      </c>
    </row>
    <row r="96" spans="1:52">
      <c r="A96" s="109"/>
      <c r="B96" s="120">
        <v>2</v>
      </c>
      <c r="C96" s="110">
        <v>233.00437912732218</v>
      </c>
      <c r="D96" s="110">
        <v>355.34981416553046</v>
      </c>
      <c r="E96" s="110">
        <v>292.82974699955003</v>
      </c>
      <c r="F96" s="110">
        <v>126.2402530168506</v>
      </c>
      <c r="G96" s="110">
        <v>0</v>
      </c>
      <c r="H96" s="110">
        <v>0</v>
      </c>
      <c r="I96" s="110">
        <v>144.17307448336123</v>
      </c>
      <c r="J96" s="110">
        <v>247.34614896672247</v>
      </c>
      <c r="K96" s="110">
        <v>0</v>
      </c>
      <c r="L96" s="110">
        <v>0</v>
      </c>
      <c r="M96" s="110">
        <v>0</v>
      </c>
      <c r="N96" s="110">
        <v>0</v>
      </c>
      <c r="O96" s="110">
        <v>0</v>
      </c>
      <c r="P96" s="110">
        <v>0</v>
      </c>
      <c r="Q96" s="110">
        <v>32.610541346663922</v>
      </c>
      <c r="R96" s="110">
        <v>34.783615830025155</v>
      </c>
      <c r="S96" s="110">
        <v>0</v>
      </c>
      <c r="T96" s="110">
        <v>49.173074483361233</v>
      </c>
      <c r="U96" s="110">
        <v>0</v>
      </c>
      <c r="V96" s="110">
        <v>0</v>
      </c>
      <c r="W96" s="110">
        <v>0</v>
      </c>
      <c r="X96" s="110">
        <v>0</v>
      </c>
      <c r="Y96" s="110">
        <v>11.173074483361233</v>
      </c>
      <c r="Z96" s="110">
        <v>0</v>
      </c>
      <c r="AA96" s="110">
        <v>0</v>
      </c>
      <c r="AB96" s="110">
        <v>0</v>
      </c>
      <c r="AC96" s="110">
        <v>47.173074483361233</v>
      </c>
      <c r="AD96" s="110">
        <v>0</v>
      </c>
      <c r="AE96" s="110">
        <v>0</v>
      </c>
      <c r="AF96" s="110">
        <v>0</v>
      </c>
      <c r="AG96" s="110">
        <v>86.173074483361233</v>
      </c>
      <c r="AH96" s="110">
        <v>201.34614896672247</v>
      </c>
      <c r="AI96" s="110">
        <v>140.5192234500837</v>
      </c>
      <c r="AJ96" s="110">
        <v>240.69229793344493</v>
      </c>
      <c r="AK96" s="110">
        <v>165.86537241680617</v>
      </c>
      <c r="AL96" s="110">
        <v>182.0384469001674</v>
      </c>
      <c r="AM96" s="110">
        <v>151.21152138352863</v>
      </c>
      <c r="AN96" s="110">
        <v>299.38459586688987</v>
      </c>
      <c r="AO96" s="110">
        <v>218.38585231111574</v>
      </c>
      <c r="AP96" s="110">
        <v>189.38710875534161</v>
      </c>
      <c r="AQ96" s="110">
        <v>349.38836519956749</v>
      </c>
      <c r="AR96" s="110">
        <v>290.38962164379336</v>
      </c>
      <c r="AS96" s="110">
        <v>421.5626961271546</v>
      </c>
      <c r="AT96" s="110">
        <v>490.73577061051583</v>
      </c>
      <c r="AU96" s="110">
        <v>551.90884509387706</v>
      </c>
      <c r="AV96" s="110">
        <v>538.0819195772383</v>
      </c>
      <c r="AW96" s="110">
        <v>672.25499406059953</v>
      </c>
      <c r="AX96" s="110">
        <v>500.42806854396076</v>
      </c>
      <c r="AY96" s="110">
        <v>524.601143027322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728.53584003484445</v>
      </c>
      <c r="D100" s="106">
        <v>0</v>
      </c>
      <c r="E100" s="106">
        <v>729.23810902431103</v>
      </c>
      <c r="F100" s="106">
        <v>0</v>
      </c>
      <c r="G100" s="106">
        <v>1215.4607609722918</v>
      </c>
      <c r="H100" s="106">
        <v>0</v>
      </c>
      <c r="I100" s="106">
        <v>607.73038048614592</v>
      </c>
      <c r="J100" s="106">
        <v>0</v>
      </c>
      <c r="K100" s="106">
        <v>607.73038048614592</v>
      </c>
      <c r="L100" s="106">
        <v>607.73038048614592</v>
      </c>
      <c r="M100" s="106">
        <v>607.73038048614592</v>
      </c>
      <c r="N100" s="106">
        <v>0</v>
      </c>
      <c r="O100" s="106">
        <v>607.73038048614592</v>
      </c>
      <c r="P100" s="106">
        <v>607.73038048614592</v>
      </c>
      <c r="Q100" s="106">
        <v>607.73038048614592</v>
      </c>
      <c r="R100" s="106">
        <v>607.73038048614592</v>
      </c>
      <c r="S100" s="106">
        <v>190.18651529844891</v>
      </c>
      <c r="T100" s="106">
        <v>607.73038048614592</v>
      </c>
      <c r="U100" s="106">
        <v>607.73038048614592</v>
      </c>
      <c r="V100" s="106">
        <v>486.1880306478356</v>
      </c>
      <c r="W100" s="106">
        <v>486.1880306478356</v>
      </c>
      <c r="X100" s="106">
        <v>486.1880306478356</v>
      </c>
      <c r="Y100" s="106">
        <v>0</v>
      </c>
      <c r="Z100" s="106">
        <v>1093.9184111339816</v>
      </c>
      <c r="AA100" s="106">
        <v>0</v>
      </c>
      <c r="AB100" s="106">
        <v>607.73038048614592</v>
      </c>
      <c r="AC100" s="106">
        <v>0</v>
      </c>
      <c r="AD100" s="106">
        <v>1215.4607609722918</v>
      </c>
      <c r="AE100" s="106">
        <v>0</v>
      </c>
      <c r="AF100" s="106">
        <v>190.18651529844891</v>
      </c>
      <c r="AG100" s="106">
        <v>607.73038048614592</v>
      </c>
      <c r="AH100" s="106">
        <v>607.73038048614592</v>
      </c>
      <c r="AI100" s="106">
        <v>0</v>
      </c>
      <c r="AJ100" s="106">
        <v>607.73038048614592</v>
      </c>
      <c r="AK100" s="106">
        <v>0</v>
      </c>
      <c r="AL100" s="106">
        <v>607.73038048614592</v>
      </c>
      <c r="AM100" s="106">
        <v>0</v>
      </c>
      <c r="AN100" s="106">
        <v>1215.4607609722918</v>
      </c>
      <c r="AO100" s="106">
        <v>607.73038048614592</v>
      </c>
      <c r="AP100" s="106">
        <v>190.18651529844888</v>
      </c>
      <c r="AQ100" s="106">
        <v>0</v>
      </c>
      <c r="AR100" s="106">
        <v>0</v>
      </c>
      <c r="AS100" s="106">
        <v>1402.7907938379617</v>
      </c>
      <c r="AT100" s="106">
        <v>607.73038048614592</v>
      </c>
      <c r="AU100" s="106">
        <v>607.73038048614592</v>
      </c>
      <c r="AV100" s="106">
        <v>0</v>
      </c>
      <c r="AW100" s="106">
        <v>607.73038048614592</v>
      </c>
      <c r="AX100" s="106">
        <v>0</v>
      </c>
      <c r="AY100" s="106">
        <v>190.18651529844891</v>
      </c>
    </row>
    <row r="101" spans="1:52">
      <c r="A101" s="109"/>
      <c r="B101" s="119">
        <v>2</v>
      </c>
      <c r="C101" s="106">
        <v>0</v>
      </c>
      <c r="D101" s="106">
        <v>325.58779475434073</v>
      </c>
      <c r="E101" s="106">
        <v>0</v>
      </c>
      <c r="F101" s="106">
        <v>579.36174381349622</v>
      </c>
      <c r="G101" s="106">
        <v>0</v>
      </c>
      <c r="H101" s="106">
        <v>1119.3583448206325</v>
      </c>
      <c r="I101" s="106">
        <v>0</v>
      </c>
      <c r="J101" s="106">
        <v>416.08872530677843</v>
      </c>
      <c r="K101" s="106">
        <v>607.73038048614592</v>
      </c>
      <c r="L101" s="106">
        <v>607.73038048614592</v>
      </c>
      <c r="M101" s="106">
        <v>607.73038048614592</v>
      </c>
      <c r="N101" s="106">
        <v>607.73038048614592</v>
      </c>
      <c r="O101" s="106">
        <v>607.73038048614592</v>
      </c>
      <c r="P101" s="106">
        <v>532.20138870979986</v>
      </c>
      <c r="Q101" s="106">
        <v>493.93176919594578</v>
      </c>
      <c r="R101" s="106">
        <v>483.66214968209169</v>
      </c>
      <c r="S101" s="106">
        <v>359.39253016823761</v>
      </c>
      <c r="T101" s="106">
        <v>417.54386518769707</v>
      </c>
      <c r="U101" s="106">
        <v>258.27424567384298</v>
      </c>
      <c r="V101" s="106">
        <v>99.004626159988902</v>
      </c>
      <c r="W101" s="106">
        <v>0</v>
      </c>
      <c r="X101" s="106">
        <v>0</v>
      </c>
      <c r="Y101" s="106">
        <v>0</v>
      </c>
      <c r="Z101" s="106">
        <v>0</v>
      </c>
      <c r="AA101" s="106">
        <v>368.91841113398164</v>
      </c>
      <c r="AB101" s="106">
        <v>607.73038048614592</v>
      </c>
      <c r="AC101" s="106">
        <v>560.46076097229184</v>
      </c>
      <c r="AD101" s="106">
        <v>0</v>
      </c>
      <c r="AE101" s="106">
        <v>653.46076097229184</v>
      </c>
      <c r="AF101" s="106">
        <v>0</v>
      </c>
      <c r="AG101" s="106">
        <v>0</v>
      </c>
      <c r="AH101" s="106">
        <v>607.73038048614592</v>
      </c>
      <c r="AI101" s="106">
        <v>607.73038048614592</v>
      </c>
      <c r="AJ101" s="106">
        <v>607.73038048614592</v>
      </c>
      <c r="AK101" s="106">
        <v>607.73038048614592</v>
      </c>
      <c r="AL101" s="106">
        <v>607.73038048614592</v>
      </c>
      <c r="AM101" s="106">
        <v>607.73038048614592</v>
      </c>
      <c r="AN101" s="106">
        <v>0</v>
      </c>
      <c r="AO101" s="106">
        <v>523.46076097229184</v>
      </c>
      <c r="AP101" s="106">
        <v>546.19114145843776</v>
      </c>
      <c r="AQ101" s="106">
        <v>542.46387178289422</v>
      </c>
      <c r="AR101" s="106">
        <v>729.27273032445646</v>
      </c>
      <c r="AS101" s="106">
        <v>0</v>
      </c>
      <c r="AT101" s="106">
        <v>703.06352416241816</v>
      </c>
      <c r="AU101" s="106">
        <v>469.79390464856408</v>
      </c>
      <c r="AV101" s="106">
        <v>487.52428513471</v>
      </c>
      <c r="AW101" s="106">
        <v>607.73038048614592</v>
      </c>
      <c r="AX101" s="106">
        <v>431.46076097229184</v>
      </c>
      <c r="AY101" s="106">
        <v>0</v>
      </c>
    </row>
    <row r="102" spans="1:52">
      <c r="A102" s="109"/>
      <c r="B102" s="120">
        <v>3</v>
      </c>
      <c r="C102" s="106">
        <v>189.05195471949628</v>
      </c>
      <c r="D102" s="106">
        <v>728.53584003484445</v>
      </c>
      <c r="E102" s="106">
        <v>325.58779475434073</v>
      </c>
      <c r="F102" s="106">
        <v>728.53584003484445</v>
      </c>
      <c r="G102" s="106">
        <v>579.36174381349622</v>
      </c>
      <c r="H102" s="106">
        <v>0</v>
      </c>
      <c r="I102" s="106">
        <v>477.35834482063251</v>
      </c>
      <c r="J102" s="106">
        <v>607.73038048614592</v>
      </c>
      <c r="K102" s="106">
        <v>390.81910579292435</v>
      </c>
      <c r="L102" s="106">
        <v>296.54948627907027</v>
      </c>
      <c r="M102" s="106">
        <v>296.27986676521618</v>
      </c>
      <c r="N102" s="106">
        <v>223.0102472513621</v>
      </c>
      <c r="O102" s="106">
        <v>73.740627737508021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72.460760972291837</v>
      </c>
      <c r="AG102" s="106">
        <v>607.73038048614592</v>
      </c>
      <c r="AH102" s="106">
        <v>417.54386518769701</v>
      </c>
      <c r="AI102" s="106">
        <v>440.00462615998885</v>
      </c>
      <c r="AJ102" s="106">
        <v>335.73500664613476</v>
      </c>
      <c r="AK102" s="106">
        <v>437.46538713228068</v>
      </c>
      <c r="AL102" s="106">
        <v>339.1957676184266</v>
      </c>
      <c r="AM102" s="106">
        <v>56.926148104572462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59.272730324456461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119.53584003484445</v>
      </c>
      <c r="F103" s="106">
        <v>0</v>
      </c>
      <c r="G103" s="106">
        <v>40.535840034844455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62.730380486145918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3.1276817257320962E-2</v>
      </c>
      <c r="D109" s="106">
        <v>430.72763868965006</v>
      </c>
      <c r="E109" s="106">
        <v>434.05153194430653</v>
      </c>
      <c r="F109" s="106">
        <v>455.54789868907125</v>
      </c>
      <c r="G109" s="106">
        <v>449.21901582714992</v>
      </c>
      <c r="H109" s="106">
        <v>750.19650530472734</v>
      </c>
      <c r="I109" s="106">
        <v>196.47204141571845</v>
      </c>
      <c r="J109" s="106">
        <v>362.54465808090617</v>
      </c>
      <c r="K109" s="106">
        <v>362.54465808090617</v>
      </c>
      <c r="L109" s="106">
        <v>725.0583225382544</v>
      </c>
      <c r="M109" s="106">
        <v>571.89623563877944</v>
      </c>
      <c r="N109" s="106">
        <v>418.80492365849091</v>
      </c>
      <c r="O109" s="106">
        <v>15.021704367679654</v>
      </c>
      <c r="P109" s="106">
        <v>725.0583225382544</v>
      </c>
      <c r="Q109" s="106">
        <v>516.44194065379395</v>
      </c>
      <c r="R109" s="106">
        <v>382.32485932281224</v>
      </c>
      <c r="S109" s="106">
        <v>362.54465808090617</v>
      </c>
      <c r="T109" s="106">
        <v>113.47803001502876</v>
      </c>
      <c r="U109" s="106">
        <v>611.61128614678353</v>
      </c>
      <c r="V109" s="106">
        <v>409.30317369312183</v>
      </c>
      <c r="W109" s="106">
        <v>290.04414791816413</v>
      </c>
      <c r="X109" s="106">
        <v>290.04414791816413</v>
      </c>
      <c r="Y109" s="106">
        <v>290.04414791816413</v>
      </c>
      <c r="Z109" s="106">
        <v>3.0993623557806944E-2</v>
      </c>
      <c r="AA109" s="106">
        <v>652.55781237551253</v>
      </c>
      <c r="AB109" s="106">
        <v>145.83356761638512</v>
      </c>
      <c r="AC109" s="106">
        <v>725.0583225382544</v>
      </c>
      <c r="AD109" s="106">
        <v>100.95345469004626</v>
      </c>
      <c r="AE109" s="106">
        <v>725.0583225382544</v>
      </c>
      <c r="AF109" s="106">
        <v>96.734594289728207</v>
      </c>
      <c r="AG109" s="106">
        <v>113.47803001502876</v>
      </c>
      <c r="AH109" s="106">
        <v>725.0583225382544</v>
      </c>
      <c r="AI109" s="106">
        <v>774.1656578683469</v>
      </c>
      <c r="AJ109" s="106">
        <v>226.13108734659295</v>
      </c>
      <c r="AK109" s="106">
        <v>725.0583225382544</v>
      </c>
      <c r="AL109" s="106">
        <v>205.01609126135352</v>
      </c>
      <c r="AM109" s="106">
        <v>725.0583225382544</v>
      </c>
      <c r="AN109" s="106">
        <v>154.36492418845344</v>
      </c>
      <c r="AO109" s="106">
        <v>725.0583225382544</v>
      </c>
      <c r="AP109" s="106">
        <v>479.03459057876296</v>
      </c>
      <c r="AQ109" s="106">
        <v>126.59410921475346</v>
      </c>
      <c r="AR109" s="106">
        <v>321.59813185217729</v>
      </c>
      <c r="AS109" s="106">
        <v>435.04516824364822</v>
      </c>
      <c r="AT109" s="106">
        <v>836.80145544322124</v>
      </c>
      <c r="AU109" s="106">
        <v>586.01319938987024</v>
      </c>
      <c r="AV109" s="106">
        <v>413.22165578218107</v>
      </c>
      <c r="AW109" s="106">
        <v>32.39881482276661</v>
      </c>
      <c r="AX109" s="106">
        <v>725.0583225382544</v>
      </c>
      <c r="AY109" s="106">
        <v>107.88411881833765</v>
      </c>
    </row>
    <row r="110" spans="1:52">
      <c r="A110" s="109"/>
      <c r="B110" s="119">
        <v>2</v>
      </c>
      <c r="C110" s="106">
        <v>479.86271060254558</v>
      </c>
      <c r="D110" s="106">
        <v>3.1276817257320962E-2</v>
      </c>
      <c r="E110" s="106">
        <v>430.72763868965006</v>
      </c>
      <c r="F110" s="106">
        <v>434.05153194430653</v>
      </c>
      <c r="G110" s="106">
        <v>455.54789868907125</v>
      </c>
      <c r="H110" s="106">
        <v>449.21901582714992</v>
      </c>
      <c r="I110" s="106">
        <v>750.19650530472734</v>
      </c>
      <c r="J110" s="106">
        <v>196.47204141571845</v>
      </c>
      <c r="K110" s="106">
        <v>362.54465808090617</v>
      </c>
      <c r="L110" s="106">
        <v>362.54465808090617</v>
      </c>
      <c r="M110" s="106">
        <v>725.0583225382544</v>
      </c>
      <c r="N110" s="106">
        <v>571.89623563877944</v>
      </c>
      <c r="O110" s="106">
        <v>418.80492365849091</v>
      </c>
      <c r="P110" s="106">
        <v>15.021704367679654</v>
      </c>
      <c r="Q110" s="106">
        <v>725.0583225382544</v>
      </c>
      <c r="R110" s="106">
        <v>516.44194065379395</v>
      </c>
      <c r="S110" s="106">
        <v>382.32485932281224</v>
      </c>
      <c r="T110" s="106">
        <v>362.54465808090617</v>
      </c>
      <c r="U110" s="106">
        <v>113.47803001502876</v>
      </c>
      <c r="V110" s="106">
        <v>611.61128614678353</v>
      </c>
      <c r="W110" s="106">
        <v>409.30317369312183</v>
      </c>
      <c r="X110" s="106">
        <v>290.04414791816413</v>
      </c>
      <c r="Y110" s="106">
        <v>290.04414791816413</v>
      </c>
      <c r="Z110" s="106">
        <v>290.04414791816413</v>
      </c>
      <c r="AA110" s="106">
        <v>3.0993623557806944E-2</v>
      </c>
      <c r="AB110" s="106">
        <v>196.40332576358395</v>
      </c>
      <c r="AC110" s="106">
        <v>2.8421709430404007E-14</v>
      </c>
      <c r="AD110" s="106">
        <v>175.48927530319861</v>
      </c>
      <c r="AE110" s="106">
        <v>0</v>
      </c>
      <c r="AF110" s="106">
        <v>221.0583225382544</v>
      </c>
      <c r="AG110" s="106">
        <v>1.4210854715202004E-14</v>
      </c>
      <c r="AH110" s="106">
        <v>0</v>
      </c>
      <c r="AI110" s="106">
        <v>182.0583225382544</v>
      </c>
      <c r="AJ110" s="106">
        <v>508.2239804066013</v>
      </c>
      <c r="AK110" s="106">
        <v>183.35506775319425</v>
      </c>
      <c r="AL110" s="106">
        <v>421.41339029144865</v>
      </c>
      <c r="AM110" s="106">
        <v>188.42948155280217</v>
      </c>
      <c r="AN110" s="106">
        <v>273.47356101942137</v>
      </c>
      <c r="AO110" s="106">
        <v>2.8421709430404007E-14</v>
      </c>
      <c r="AP110" s="106">
        <v>216.0583225382544</v>
      </c>
      <c r="AQ110" s="106">
        <v>101.09291311701736</v>
      </c>
      <c r="AR110" s="106">
        <v>0</v>
      </c>
      <c r="AS110" s="106">
        <v>0</v>
      </c>
      <c r="AT110" s="106">
        <v>0</v>
      </c>
      <c r="AU110" s="106">
        <v>284.80145544322124</v>
      </c>
      <c r="AV110" s="106">
        <v>367.81465483309148</v>
      </c>
      <c r="AW110" s="106">
        <v>262.53822104850406</v>
      </c>
      <c r="AX110" s="106">
        <v>0</v>
      </c>
      <c r="AY110" s="106">
        <v>187.76126288701289</v>
      </c>
    </row>
    <row r="111" spans="1:52">
      <c r="A111" s="109"/>
      <c r="B111" s="119">
        <v>3</v>
      </c>
      <c r="C111" s="106">
        <v>524.06338163557382</v>
      </c>
      <c r="D111" s="106">
        <v>479.86271060254558</v>
      </c>
      <c r="E111" s="106">
        <v>3.1276817257320962E-2</v>
      </c>
      <c r="F111" s="106">
        <v>430.72763868965006</v>
      </c>
      <c r="G111" s="106">
        <v>434.05153194430653</v>
      </c>
      <c r="H111" s="106">
        <v>455.54789868907125</v>
      </c>
      <c r="I111" s="106">
        <v>449.21901582714992</v>
      </c>
      <c r="J111" s="106">
        <v>750.19650530472734</v>
      </c>
      <c r="K111" s="106">
        <v>196.47204141571845</v>
      </c>
      <c r="L111" s="106">
        <v>362.54465808090617</v>
      </c>
      <c r="M111" s="106">
        <v>362.54465808090617</v>
      </c>
      <c r="N111" s="106">
        <v>725.0583225382544</v>
      </c>
      <c r="O111" s="106">
        <v>571.89623563877944</v>
      </c>
      <c r="P111" s="106">
        <v>418.80492365849091</v>
      </c>
      <c r="Q111" s="106">
        <v>15.021704367679654</v>
      </c>
      <c r="R111" s="106">
        <v>725.0583225382544</v>
      </c>
      <c r="S111" s="106">
        <v>516.44194065379395</v>
      </c>
      <c r="T111" s="106">
        <v>382.32485932281224</v>
      </c>
      <c r="U111" s="106">
        <v>362.54465808090617</v>
      </c>
      <c r="V111" s="106">
        <v>113.47803001502876</v>
      </c>
      <c r="W111" s="106">
        <v>611.61128614678353</v>
      </c>
      <c r="X111" s="106">
        <v>409.30317369312183</v>
      </c>
      <c r="Y111" s="106">
        <v>290.04414791816413</v>
      </c>
      <c r="Z111" s="106">
        <v>251.64355431757286</v>
      </c>
      <c r="AA111" s="106">
        <v>7.6877022357369924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668.58186717600029</v>
      </c>
      <c r="D112" s="106">
        <v>524.06338163557382</v>
      </c>
      <c r="E112" s="106">
        <v>479.86271060254558</v>
      </c>
      <c r="F112" s="106">
        <v>3.1276817257320962E-2</v>
      </c>
      <c r="G112" s="106">
        <v>430.72763868965006</v>
      </c>
      <c r="H112" s="106">
        <v>434.05153194430653</v>
      </c>
      <c r="I112" s="106">
        <v>455.54789868907125</v>
      </c>
      <c r="J112" s="106">
        <v>449.21901582714992</v>
      </c>
      <c r="K112" s="106">
        <v>750.19650530472734</v>
      </c>
      <c r="L112" s="106">
        <v>196.47204141571845</v>
      </c>
      <c r="M112" s="106">
        <v>362.54465808090617</v>
      </c>
      <c r="N112" s="106">
        <v>362.54465808090617</v>
      </c>
      <c r="O112" s="106">
        <v>725.0583225382544</v>
      </c>
      <c r="P112" s="106">
        <v>571.89623563877944</v>
      </c>
      <c r="Q112" s="106">
        <v>418.80492365849091</v>
      </c>
      <c r="R112" s="106">
        <v>15.021704367679654</v>
      </c>
      <c r="S112" s="106">
        <v>710.71564069831334</v>
      </c>
      <c r="T112" s="106">
        <v>516.44194065379395</v>
      </c>
      <c r="U112" s="106">
        <v>382.32485932281224</v>
      </c>
      <c r="V112" s="106">
        <v>362.54465808090617</v>
      </c>
      <c r="W112" s="106">
        <v>113.47803001502876</v>
      </c>
      <c r="X112" s="106">
        <v>227.33662241052497</v>
      </c>
      <c r="Y112" s="106">
        <v>114.55525848124461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392.03294769304171</v>
      </c>
      <c r="D113" s="106">
        <v>612.61481486904199</v>
      </c>
      <c r="E113" s="106">
        <v>524.06338163557382</v>
      </c>
      <c r="F113" s="106">
        <v>479.86271060254558</v>
      </c>
      <c r="G113" s="106">
        <v>3.1276817257320962E-2</v>
      </c>
      <c r="H113" s="106">
        <v>70.299822614068773</v>
      </c>
      <c r="I113" s="106">
        <v>85.351354558375306</v>
      </c>
      <c r="J113" s="106">
        <v>166.89925324744655</v>
      </c>
      <c r="K113" s="106">
        <v>209.11826907459647</v>
      </c>
      <c r="L113" s="106">
        <v>453.31477437932381</v>
      </c>
      <c r="M113" s="106">
        <v>196.47204141571845</v>
      </c>
      <c r="N113" s="106">
        <v>153.33147387594843</v>
      </c>
      <c r="O113" s="106">
        <v>154.87613195685461</v>
      </c>
      <c r="P113" s="106">
        <v>459.93445449510898</v>
      </c>
      <c r="Q113" s="106">
        <v>496.83069013388842</v>
      </c>
      <c r="R113" s="106">
        <v>418.80492365849091</v>
      </c>
      <c r="S113" s="106">
        <v>0</v>
      </c>
      <c r="T113" s="106">
        <v>274.74700957422522</v>
      </c>
      <c r="U113" s="106">
        <v>211.18895022801917</v>
      </c>
      <c r="V113" s="106">
        <v>86.513809550831411</v>
      </c>
      <c r="W113" s="106">
        <v>17.23351759712898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71.614814869041993</v>
      </c>
      <c r="F114" s="106">
        <v>187.67819650461581</v>
      </c>
      <c r="G114" s="106">
        <v>160.54090710716139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69.314774379323808</v>
      </c>
      <c r="N114" s="106">
        <v>0</v>
      </c>
      <c r="O114" s="106">
        <v>0</v>
      </c>
      <c r="P114" s="106">
        <v>0</v>
      </c>
      <c r="Q114" s="106">
        <v>0</v>
      </c>
      <c r="R114" s="106">
        <v>70.830690133888424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994.05485535649882</v>
      </c>
      <c r="D122" s="106">
        <v>7.0980799465708275E-2</v>
      </c>
      <c r="E122" s="106">
        <v>996.28195814166952</v>
      </c>
      <c r="F122" s="106">
        <v>7.0980799465708275E-2</v>
      </c>
      <c r="G122" s="106">
        <v>1660.5099205983988</v>
      </c>
      <c r="H122" s="106">
        <v>7.0980799465708275E-2</v>
      </c>
      <c r="I122" s="106">
        <v>830.29045069893232</v>
      </c>
      <c r="J122" s="106">
        <v>7.0980799465708275E-2</v>
      </c>
      <c r="K122" s="106">
        <v>830.29045069893232</v>
      </c>
      <c r="L122" s="106">
        <v>830.29045069893232</v>
      </c>
      <c r="M122" s="106">
        <v>830.29045069893232</v>
      </c>
      <c r="N122" s="106">
        <v>7.0980799465708275E-2</v>
      </c>
      <c r="O122" s="106">
        <v>830.29045069893232</v>
      </c>
      <c r="P122" s="106">
        <v>830.29045069893232</v>
      </c>
      <c r="Q122" s="106">
        <v>830.29045069893232</v>
      </c>
      <c r="R122" s="106">
        <v>830.29045069893232</v>
      </c>
      <c r="S122" s="106">
        <v>259.88446550101685</v>
      </c>
      <c r="T122" s="106">
        <v>830.29045069893232</v>
      </c>
      <c r="U122" s="106">
        <v>830.29045069893232</v>
      </c>
      <c r="V122" s="106">
        <v>664.25164715519884</v>
      </c>
      <c r="W122" s="106">
        <v>664.25164715519884</v>
      </c>
      <c r="X122" s="106">
        <v>664.25164715519884</v>
      </c>
      <c r="Y122" s="106">
        <v>7.0980799465708275E-2</v>
      </c>
      <c r="Z122" s="106">
        <v>1494.4711170546657</v>
      </c>
      <c r="AA122" s="106">
        <v>7.0980799465708275E-2</v>
      </c>
      <c r="AB122" s="106">
        <v>830.29045069893232</v>
      </c>
      <c r="AC122" s="106">
        <v>7.0980799465708275E-2</v>
      </c>
      <c r="AD122" s="106">
        <v>1660.5099205983988</v>
      </c>
      <c r="AE122" s="106">
        <v>7.0980799465708275E-2</v>
      </c>
      <c r="AF122" s="106">
        <v>259.88446550101685</v>
      </c>
      <c r="AG122" s="106">
        <v>830.29045069893232</v>
      </c>
      <c r="AH122" s="106">
        <v>830.29045069893232</v>
      </c>
      <c r="AI122" s="106">
        <v>7.0980799465708275E-2</v>
      </c>
      <c r="AJ122" s="106">
        <v>830.29045069893232</v>
      </c>
      <c r="AK122" s="106">
        <v>7.0980799465708275E-2</v>
      </c>
      <c r="AL122" s="106">
        <v>830.29045069893232</v>
      </c>
      <c r="AM122" s="106">
        <v>7.0980799465708275E-2</v>
      </c>
      <c r="AN122" s="106">
        <v>1660.5099205983988</v>
      </c>
      <c r="AO122" s="106">
        <v>830.29045069893232</v>
      </c>
      <c r="AP122" s="106">
        <v>259.88446550101679</v>
      </c>
      <c r="AQ122" s="106">
        <v>7.0980799465708275E-2</v>
      </c>
      <c r="AR122" s="106">
        <v>7.0980799465708275E-2</v>
      </c>
      <c r="AS122" s="106">
        <v>1916.4211693623256</v>
      </c>
      <c r="AT122" s="106">
        <v>830.29045069893232</v>
      </c>
      <c r="AU122" s="106">
        <v>830.29045069893232</v>
      </c>
      <c r="AV122" s="106">
        <v>7.0980799465708275E-2</v>
      </c>
      <c r="AW122" s="106">
        <v>830.29045069893232</v>
      </c>
      <c r="AX122" s="106">
        <v>7.0980799465708275E-2</v>
      </c>
      <c r="AY122" s="106">
        <v>259.88446550101685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3.998717590790133E-2</v>
      </c>
      <c r="F123" s="106">
        <v>34.736181456146028</v>
      </c>
      <c r="G123" s="106">
        <v>3.998717590790133E-2</v>
      </c>
      <c r="H123" s="106">
        <v>449.88423487052222</v>
      </c>
      <c r="I123" s="106">
        <v>5.0862092315639984E-15</v>
      </c>
      <c r="J123" s="106">
        <v>0</v>
      </c>
      <c r="K123" s="106">
        <v>830.21946989946662</v>
      </c>
      <c r="L123" s="106">
        <v>467.74579261802614</v>
      </c>
      <c r="M123" s="106">
        <v>128.84581312029724</v>
      </c>
      <c r="N123" s="106">
        <v>34.331340160738591</v>
      </c>
      <c r="O123" s="106">
        <v>830.21946989946662</v>
      </c>
      <c r="P123" s="106">
        <v>352.45159806014442</v>
      </c>
      <c r="Q123" s="106">
        <v>45.300108105282675</v>
      </c>
      <c r="R123" s="106">
        <v>0</v>
      </c>
      <c r="S123" s="106">
        <v>0</v>
      </c>
      <c r="T123" s="106">
        <v>570.40598519791547</v>
      </c>
      <c r="U123" s="106">
        <v>107.0851497500642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333.91330467915316</v>
      </c>
      <c r="AB123" s="106">
        <v>830.21946989946662</v>
      </c>
      <c r="AC123" s="106">
        <v>231.13002444471351</v>
      </c>
      <c r="AD123" s="106">
        <v>5.0862092315639984E-15</v>
      </c>
      <c r="AE123" s="106">
        <v>221.46809887185282</v>
      </c>
      <c r="AF123" s="106">
        <v>5.0862092315639984E-15</v>
      </c>
      <c r="AG123" s="106">
        <v>0</v>
      </c>
      <c r="AH123" s="106">
        <v>372.27784095403513</v>
      </c>
      <c r="AI123" s="106">
        <v>467.74579261802614</v>
      </c>
      <c r="AJ123" s="106">
        <v>830.21946989946662</v>
      </c>
      <c r="AK123" s="106">
        <v>467.74579261802614</v>
      </c>
      <c r="AL123" s="106">
        <v>830.21946989946662</v>
      </c>
      <c r="AM123" s="106">
        <v>353.45159806014442</v>
      </c>
      <c r="AN123" s="106">
        <v>5.0862092315639984E-15</v>
      </c>
      <c r="AO123" s="106">
        <v>266.78224709616165</v>
      </c>
      <c r="AP123" s="106">
        <v>30.038107216331014</v>
      </c>
      <c r="AQ123" s="106">
        <v>736.44478874164906</v>
      </c>
      <c r="AR123" s="106">
        <v>996.25827344320021</v>
      </c>
      <c r="AS123" s="106">
        <v>3.3507918661968006E-14</v>
      </c>
      <c r="AT123" s="106">
        <v>511.78190533163627</v>
      </c>
      <c r="AU123" s="106">
        <v>116.05915664069835</v>
      </c>
      <c r="AV123" s="106">
        <v>74.127951557449592</v>
      </c>
      <c r="AW123" s="106">
        <v>830.21946989946662</v>
      </c>
      <c r="AX123" s="106">
        <v>247.00245316337862</v>
      </c>
      <c r="AY123" s="106">
        <v>5.0862092315639984E-15</v>
      </c>
    </row>
    <row r="124" spans="1:52">
      <c r="A124" s="109"/>
      <c r="B124" s="119">
        <v>3</v>
      </c>
      <c r="C124" s="106">
        <v>0</v>
      </c>
      <c r="D124" s="106">
        <v>993.9826731483887</v>
      </c>
      <c r="E124" s="106">
        <v>0</v>
      </c>
      <c r="F124" s="106">
        <v>993.9826731483887</v>
      </c>
      <c r="G124" s="106">
        <v>19.568697573302703</v>
      </c>
      <c r="H124" s="106">
        <v>0</v>
      </c>
      <c r="I124" s="106">
        <v>0</v>
      </c>
      <c r="J124" s="106">
        <v>830.21946989946662</v>
      </c>
      <c r="K124" s="106">
        <v>0</v>
      </c>
      <c r="L124" s="106">
        <v>11.705805442118276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830.21946989946662</v>
      </c>
      <c r="AH124" s="106">
        <v>570.40598519791547</v>
      </c>
      <c r="AI124" s="106">
        <v>50.062826364509817</v>
      </c>
      <c r="AJ124" s="106">
        <v>0</v>
      </c>
      <c r="AK124" s="106">
        <v>1.705805442118276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46.962134827639943</v>
      </c>
      <c r="F125" s="106">
        <v>0</v>
      </c>
      <c r="G125" s="106">
        <v>37.962134827639943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0.43330369181203565</v>
      </c>
      <c r="D172" s="134">
        <v>0.43664799200775917</v>
      </c>
      <c r="E172" s="134">
        <v>0.43664799200775917</v>
      </c>
      <c r="F172" s="134">
        <v>0.43664799200775917</v>
      </c>
      <c r="G172" s="134">
        <v>0.43664799200775917</v>
      </c>
      <c r="H172" s="134">
        <v>0.43664799200775917</v>
      </c>
      <c r="I172" s="134">
        <v>0.43664799200775917</v>
      </c>
      <c r="J172" s="134">
        <v>0.43664799200775917</v>
      </c>
      <c r="K172" s="134">
        <v>0.43664799200775917</v>
      </c>
      <c r="L172" s="134">
        <v>0.43664799200775917</v>
      </c>
      <c r="M172" s="134">
        <v>0.43664799200775917</v>
      </c>
      <c r="N172" s="134">
        <v>0.43664799200775917</v>
      </c>
      <c r="O172" s="134">
        <v>0.43664799200775917</v>
      </c>
      <c r="P172" s="134">
        <v>0.43664799200775917</v>
      </c>
      <c r="Q172" s="134">
        <v>0.43664799200775917</v>
      </c>
      <c r="R172" s="134">
        <v>0.43664799200775917</v>
      </c>
      <c r="S172" s="134">
        <v>0.43664799200775917</v>
      </c>
      <c r="T172" s="134">
        <v>0.43664799200775917</v>
      </c>
      <c r="U172" s="134">
        <v>0.43664799200775917</v>
      </c>
      <c r="V172" s="134">
        <v>0.43664799200775917</v>
      </c>
      <c r="W172" s="134">
        <v>0.43664799200775917</v>
      </c>
      <c r="X172" s="134">
        <v>0.43664799200775917</v>
      </c>
      <c r="Y172" s="134">
        <v>0.43664799200775917</v>
      </c>
      <c r="Z172" s="134">
        <v>0.43664799200775917</v>
      </c>
      <c r="AA172" s="134">
        <v>0.43664799200775917</v>
      </c>
      <c r="AB172" s="134">
        <v>0.43664799200775917</v>
      </c>
      <c r="AC172" s="134">
        <v>0.43664799200775917</v>
      </c>
      <c r="AD172" s="134">
        <v>0.43664799200775917</v>
      </c>
      <c r="AE172" s="134">
        <v>0.43664799200775917</v>
      </c>
      <c r="AF172" s="134">
        <v>0.43664799200775917</v>
      </c>
      <c r="AG172" s="134">
        <v>0.43664799200775917</v>
      </c>
      <c r="AH172" s="134">
        <v>0.43664799200775917</v>
      </c>
      <c r="AI172" s="134">
        <v>0.43664799200775917</v>
      </c>
      <c r="AJ172" s="134">
        <v>0.43664799200775917</v>
      </c>
      <c r="AK172" s="134">
        <v>0.43664799200775917</v>
      </c>
      <c r="AL172" s="134">
        <v>0.43664799200775917</v>
      </c>
      <c r="AM172" s="134">
        <v>0.43664799200775917</v>
      </c>
      <c r="AN172" s="134">
        <v>0.43664799200775917</v>
      </c>
      <c r="AO172" s="134">
        <v>0.43664799200775917</v>
      </c>
      <c r="AP172" s="134">
        <v>0.43664799200775917</v>
      </c>
      <c r="AQ172" s="134">
        <v>0.43664799200775917</v>
      </c>
      <c r="AR172" s="134">
        <v>0.43664799200775917</v>
      </c>
      <c r="AS172" s="134">
        <v>0.43664799200775917</v>
      </c>
      <c r="AT172" s="134">
        <v>0.43664799200775917</v>
      </c>
      <c r="AU172" s="134">
        <v>0.43664799200775917</v>
      </c>
      <c r="AV172" s="134">
        <v>0.43664799200775917</v>
      </c>
      <c r="AW172" s="134">
        <v>0.43664799200775917</v>
      </c>
      <c r="AX172" s="134">
        <v>0.43664799200775917</v>
      </c>
      <c r="AY172" s="134">
        <v>0.43664799200775917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1404.5228886488917</v>
      </c>
      <c r="E175" s="124">
        <f t="shared" si="1"/>
        <v>1342.0028214829113</v>
      </c>
      <c r="F175" s="124">
        <f t="shared" si="1"/>
        <v>1175.4133275002118</v>
      </c>
      <c r="G175" s="124">
        <f t="shared" si="1"/>
        <v>16.442645929521404</v>
      </c>
      <c r="H175" s="124">
        <f t="shared" si="1"/>
        <v>1049.1730744833612</v>
      </c>
      <c r="I175" s="124">
        <f t="shared" si="1"/>
        <v>1193.3461489667225</v>
      </c>
      <c r="J175" s="124">
        <f t="shared" si="1"/>
        <v>1296.5192234500837</v>
      </c>
      <c r="K175" s="124">
        <f t="shared" si="1"/>
        <v>352.33408067953042</v>
      </c>
      <c r="L175" s="124">
        <f t="shared" si="1"/>
        <v>578.31324949445207</v>
      </c>
      <c r="M175" s="124">
        <f t="shared" si="1"/>
        <v>741.29241830937372</v>
      </c>
      <c r="N175" s="124">
        <f t="shared" si="1"/>
        <v>1049.1730744833612</v>
      </c>
      <c r="O175" s="124">
        <f t="shared" si="1"/>
        <v>664.63137253174227</v>
      </c>
      <c r="P175" s="124">
        <f t="shared" si="1"/>
        <v>986.61054134666392</v>
      </c>
      <c r="Q175" s="124">
        <f t="shared" si="1"/>
        <v>1081.7836158300252</v>
      </c>
      <c r="R175" s="124">
        <f t="shared" si="1"/>
        <v>1083.9566903133864</v>
      </c>
      <c r="S175" s="124">
        <f t="shared" si="1"/>
        <v>1049.1730744833612</v>
      </c>
      <c r="T175" s="124">
        <f t="shared" si="1"/>
        <v>888.51796700585805</v>
      </c>
      <c r="U175" s="124">
        <f t="shared" si="1"/>
        <v>839.34489252249682</v>
      </c>
      <c r="V175" s="124">
        <f t="shared" si="1"/>
        <v>839.34489252249682</v>
      </c>
      <c r="W175" s="124">
        <f t="shared" si="1"/>
        <v>839.34489252249682</v>
      </c>
      <c r="X175" s="124">
        <f t="shared" si="1"/>
        <v>1049.1730744833612</v>
      </c>
      <c r="Y175" s="124">
        <f t="shared" si="1"/>
        <v>1060.3461489667225</v>
      </c>
      <c r="Z175" s="124">
        <f t="shared" si="1"/>
        <v>1049.1730744833612</v>
      </c>
      <c r="AA175" s="124">
        <f t="shared" si="1"/>
        <v>1049.1730744833612</v>
      </c>
      <c r="AB175" s="124">
        <f t="shared" si="1"/>
        <v>1049.1730744833612</v>
      </c>
      <c r="AC175" s="124">
        <f t="shared" si="1"/>
        <v>1096.3461489667225</v>
      </c>
      <c r="AD175" s="124">
        <f t="shared" si="1"/>
        <v>1049.1730744833612</v>
      </c>
      <c r="AE175" s="124">
        <f t="shared" si="1"/>
        <v>1049.1730744833612</v>
      </c>
      <c r="AF175" s="124">
        <f t="shared" si="1"/>
        <v>1049.1730744833612</v>
      </c>
      <c r="AG175" s="124">
        <f t="shared" si="1"/>
        <v>1135.3461489667225</v>
      </c>
      <c r="AH175" s="124">
        <f t="shared" si="1"/>
        <v>1250.5192234500837</v>
      </c>
      <c r="AI175" s="124">
        <f t="shared" si="1"/>
        <v>1189.6922979334449</v>
      </c>
      <c r="AJ175" s="124">
        <f t="shared" si="1"/>
        <v>1289.8653724168062</v>
      </c>
      <c r="AK175" s="124">
        <f t="shared" si="1"/>
        <v>1215.0384469001674</v>
      </c>
      <c r="AL175" s="124">
        <f t="shared" si="1"/>
        <v>1231.2115213835286</v>
      </c>
      <c r="AM175" s="124">
        <f t="shared" si="1"/>
        <v>1200.3845958668899</v>
      </c>
      <c r="AN175" s="124">
        <f t="shared" si="1"/>
        <v>1558.3858523111157</v>
      </c>
      <c r="AO175" s="124">
        <f t="shared" si="1"/>
        <v>1477.3871087553416</v>
      </c>
      <c r="AP175" s="124">
        <f t="shared" si="1"/>
        <v>1448.3883651995675</v>
      </c>
      <c r="AQ175" s="124">
        <f t="shared" si="1"/>
        <v>1608.3896216437934</v>
      </c>
      <c r="AR175" s="124">
        <f t="shared" si="1"/>
        <v>1339.5626961271546</v>
      </c>
      <c r="AS175" s="124">
        <f t="shared" si="1"/>
        <v>1470.7357706105158</v>
      </c>
      <c r="AT175" s="124">
        <f t="shared" si="1"/>
        <v>1539.9088450938771</v>
      </c>
      <c r="AU175" s="124">
        <f t="shared" si="1"/>
        <v>1601.0819195772383</v>
      </c>
      <c r="AV175" s="124">
        <f t="shared" si="1"/>
        <v>1587.2549940605995</v>
      </c>
      <c r="AW175" s="124">
        <f t="shared" si="1"/>
        <v>1721.4280685439608</v>
      </c>
      <c r="AX175" s="124">
        <f t="shared" si="1"/>
        <v>1549.601143027322</v>
      </c>
      <c r="AY175" s="124">
        <f t="shared" si="1"/>
        <v>1573.7742175106832</v>
      </c>
    </row>
    <row r="176" spans="1:52">
      <c r="A176" s="125"/>
      <c r="B176" s="136" t="s">
        <v>299</v>
      </c>
      <c r="C176" s="125" t="s">
        <v>293</v>
      </c>
      <c r="D176" s="125">
        <v>1022</v>
      </c>
      <c r="E176" s="125">
        <v>1108</v>
      </c>
      <c r="F176" s="125">
        <v>1029</v>
      </c>
      <c r="G176" s="125">
        <v>16.442645929521404</v>
      </c>
      <c r="H176" s="125">
        <v>905</v>
      </c>
      <c r="I176" s="125">
        <v>946</v>
      </c>
      <c r="J176" s="125">
        <v>1084</v>
      </c>
      <c r="K176" s="125">
        <v>352.33408067953042</v>
      </c>
      <c r="L176" s="125">
        <v>578.31324949445207</v>
      </c>
      <c r="M176" s="125">
        <v>741.29241830937372</v>
      </c>
      <c r="N176" s="125">
        <v>1049.1730744833612</v>
      </c>
      <c r="O176" s="125">
        <v>664.63137253174227</v>
      </c>
      <c r="P176" s="125">
        <v>954</v>
      </c>
      <c r="Q176" s="125">
        <v>1047</v>
      </c>
      <c r="R176" s="125">
        <v>1083.9566903133864</v>
      </c>
      <c r="S176" s="125">
        <v>1000</v>
      </c>
      <c r="T176" s="125">
        <v>888.51796700585805</v>
      </c>
      <c r="U176" s="125">
        <v>839.34489252249682</v>
      </c>
      <c r="V176" s="125">
        <v>839.34489252249682</v>
      </c>
      <c r="W176" s="125">
        <v>839.34489252249682</v>
      </c>
      <c r="X176" s="125">
        <v>1038</v>
      </c>
      <c r="Y176" s="125">
        <v>1060.3461489667225</v>
      </c>
      <c r="Z176" s="125">
        <v>1049.1730744833612</v>
      </c>
      <c r="AA176" s="125">
        <v>1049.1730744833612</v>
      </c>
      <c r="AB176" s="125">
        <v>1002</v>
      </c>
      <c r="AC176" s="125">
        <v>1096.3461489667225</v>
      </c>
      <c r="AD176" s="125">
        <v>1049.1730744833612</v>
      </c>
      <c r="AE176" s="125">
        <v>1049.1730744833612</v>
      </c>
      <c r="AF176" s="125">
        <v>963</v>
      </c>
      <c r="AG176" s="125">
        <v>934</v>
      </c>
      <c r="AH176" s="125">
        <v>1110</v>
      </c>
      <c r="AI176" s="125">
        <v>949</v>
      </c>
      <c r="AJ176" s="125">
        <v>1124</v>
      </c>
      <c r="AK176" s="125">
        <v>1033</v>
      </c>
      <c r="AL176" s="125">
        <v>1080</v>
      </c>
      <c r="AM176" s="125">
        <v>901</v>
      </c>
      <c r="AN176" s="125">
        <v>1340</v>
      </c>
      <c r="AO176" s="125">
        <v>1288</v>
      </c>
      <c r="AP176" s="125">
        <v>1099</v>
      </c>
      <c r="AQ176" s="125">
        <v>1318</v>
      </c>
      <c r="AR176" s="125">
        <v>918</v>
      </c>
      <c r="AS176" s="125">
        <v>980</v>
      </c>
      <c r="AT176" s="125">
        <v>988</v>
      </c>
      <c r="AU176" s="125">
        <v>1063</v>
      </c>
      <c r="AV176" s="125">
        <v>915</v>
      </c>
      <c r="AW176" s="125">
        <v>1221</v>
      </c>
      <c r="AX176" s="125">
        <v>1025</v>
      </c>
      <c r="AY176" s="125">
        <v>1322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1054.1236347891852</v>
      </c>
      <c r="E177" s="124">
        <f t="shared" si="2"/>
        <v>1174.3617438134961</v>
      </c>
      <c r="F177" s="124">
        <f t="shared" si="2"/>
        <v>1307.8975838483407</v>
      </c>
      <c r="G177" s="124">
        <f t="shared" si="2"/>
        <v>1835.3583448206327</v>
      </c>
      <c r="H177" s="124">
        <f t="shared" si="2"/>
        <v>1119.3583448206325</v>
      </c>
      <c r="I177" s="124">
        <f t="shared" si="2"/>
        <v>1085.0887253067785</v>
      </c>
      <c r="J177" s="124">
        <f t="shared" si="2"/>
        <v>1023.8191057929243</v>
      </c>
      <c r="K177" s="124">
        <f t="shared" si="2"/>
        <v>1606.2798667652162</v>
      </c>
      <c r="L177" s="124">
        <f t="shared" si="2"/>
        <v>1512.0102472513622</v>
      </c>
      <c r="M177" s="124">
        <f t="shared" si="2"/>
        <v>1511.740627737508</v>
      </c>
      <c r="N177" s="124">
        <f t="shared" si="2"/>
        <v>830.74062773750802</v>
      </c>
      <c r="O177" s="124">
        <f t="shared" si="2"/>
        <v>1289.2013887097999</v>
      </c>
      <c r="P177" s="124">
        <f t="shared" si="2"/>
        <v>1139.9317691959459</v>
      </c>
      <c r="Q177" s="124">
        <f t="shared" si="2"/>
        <v>1101.6621496820917</v>
      </c>
      <c r="R177" s="124">
        <f t="shared" si="2"/>
        <v>1091.3925301682375</v>
      </c>
      <c r="S177" s="124">
        <f t="shared" si="2"/>
        <v>549.57904546668647</v>
      </c>
      <c r="T177" s="124">
        <f t="shared" si="2"/>
        <v>1025.2742456738429</v>
      </c>
      <c r="U177" s="124">
        <f t="shared" si="2"/>
        <v>866.0046261599889</v>
      </c>
      <c r="V177" s="124">
        <f t="shared" si="2"/>
        <v>585.19265680782451</v>
      </c>
      <c r="W177" s="124">
        <f t="shared" si="2"/>
        <v>486.1880306478356</v>
      </c>
      <c r="X177" s="124">
        <f t="shared" si="2"/>
        <v>486.1880306478356</v>
      </c>
      <c r="Y177" s="124">
        <f t="shared" si="2"/>
        <v>0</v>
      </c>
      <c r="Z177" s="124">
        <f t="shared" si="2"/>
        <v>1093.9184111339816</v>
      </c>
      <c r="AA177" s="124">
        <f t="shared" si="2"/>
        <v>368.91841113398164</v>
      </c>
      <c r="AB177" s="124">
        <f t="shared" si="2"/>
        <v>1215.4607609722918</v>
      </c>
      <c r="AC177" s="124">
        <f t="shared" si="2"/>
        <v>560.46076097229184</v>
      </c>
      <c r="AD177" s="124">
        <f t="shared" si="2"/>
        <v>1215.4607609722918</v>
      </c>
      <c r="AE177" s="124">
        <f t="shared" si="2"/>
        <v>653.46076097229184</v>
      </c>
      <c r="AF177" s="124">
        <f t="shared" si="2"/>
        <v>262.64727627074075</v>
      </c>
      <c r="AG177" s="124">
        <f t="shared" si="2"/>
        <v>1215.4607609722918</v>
      </c>
      <c r="AH177" s="124">
        <f t="shared" si="2"/>
        <v>1695.7350066461349</v>
      </c>
      <c r="AI177" s="124">
        <f t="shared" si="2"/>
        <v>1047.7350066461347</v>
      </c>
      <c r="AJ177" s="124">
        <f t="shared" si="2"/>
        <v>1551.1957676184265</v>
      </c>
      <c r="AK177" s="124">
        <f t="shared" si="2"/>
        <v>1045.1957676184265</v>
      </c>
      <c r="AL177" s="124">
        <f t="shared" si="2"/>
        <v>1554.6565285907184</v>
      </c>
      <c r="AM177" s="124">
        <f t="shared" si="2"/>
        <v>664.65652859071838</v>
      </c>
      <c r="AN177" s="124">
        <f t="shared" si="2"/>
        <v>1215.4607609722918</v>
      </c>
      <c r="AO177" s="124">
        <f t="shared" si="2"/>
        <v>1131.1911414584379</v>
      </c>
      <c r="AP177" s="124">
        <f t="shared" si="2"/>
        <v>736.37765675688661</v>
      </c>
      <c r="AQ177" s="124">
        <f t="shared" si="2"/>
        <v>542.46387178289422</v>
      </c>
      <c r="AR177" s="124">
        <f t="shared" si="2"/>
        <v>729.27273032445646</v>
      </c>
      <c r="AS177" s="124">
        <f t="shared" si="2"/>
        <v>1462.0635241624182</v>
      </c>
      <c r="AT177" s="124">
        <f t="shared" si="2"/>
        <v>1310.793904648564</v>
      </c>
      <c r="AU177" s="124">
        <f t="shared" si="2"/>
        <v>1077.52428513471</v>
      </c>
      <c r="AV177" s="124">
        <f t="shared" si="2"/>
        <v>487.52428513471</v>
      </c>
      <c r="AW177" s="124">
        <f t="shared" si="2"/>
        <v>1215.4607609722918</v>
      </c>
      <c r="AX177" s="124">
        <f t="shared" si="2"/>
        <v>431.46076097229184</v>
      </c>
      <c r="AY177" s="124">
        <f t="shared" si="2"/>
        <v>190.18651529844891</v>
      </c>
    </row>
    <row r="178" spans="1:51">
      <c r="A178" s="125"/>
      <c r="B178" s="136" t="s">
        <v>299</v>
      </c>
      <c r="C178" s="125" t="s">
        <v>293</v>
      </c>
      <c r="D178" s="125">
        <v>609</v>
      </c>
      <c r="E178" s="125">
        <v>595</v>
      </c>
      <c r="F178" s="125">
        <v>688</v>
      </c>
      <c r="G178" s="125">
        <v>716</v>
      </c>
      <c r="H178" s="125">
        <v>642</v>
      </c>
      <c r="I178" s="125">
        <v>669</v>
      </c>
      <c r="J178" s="125">
        <v>633</v>
      </c>
      <c r="K178" s="125">
        <v>702</v>
      </c>
      <c r="L178" s="125">
        <v>608</v>
      </c>
      <c r="M178" s="125">
        <v>681</v>
      </c>
      <c r="N178" s="125">
        <v>757</v>
      </c>
      <c r="O178" s="125">
        <v>757</v>
      </c>
      <c r="P178" s="125">
        <v>646</v>
      </c>
      <c r="Q178" s="125">
        <v>618</v>
      </c>
      <c r="R178" s="125">
        <v>732</v>
      </c>
      <c r="S178" s="125">
        <v>549.57904546668647</v>
      </c>
      <c r="T178" s="125">
        <v>767</v>
      </c>
      <c r="U178" s="125">
        <v>767</v>
      </c>
      <c r="V178" s="125">
        <v>585.19265680782451</v>
      </c>
      <c r="W178" s="125">
        <v>486.1880306478356</v>
      </c>
      <c r="X178" s="125">
        <v>486.1880306478356</v>
      </c>
      <c r="Y178" s="125">
        <v>0</v>
      </c>
      <c r="Z178" s="125">
        <v>725</v>
      </c>
      <c r="AA178" s="125">
        <v>368.91841113398164</v>
      </c>
      <c r="AB178" s="125">
        <v>655</v>
      </c>
      <c r="AC178" s="125">
        <v>560.46076097229184</v>
      </c>
      <c r="AD178" s="125">
        <v>562</v>
      </c>
      <c r="AE178" s="125">
        <v>581</v>
      </c>
      <c r="AF178" s="125">
        <v>262.64727627074075</v>
      </c>
      <c r="AG178" s="125">
        <v>545</v>
      </c>
      <c r="AH178" s="125">
        <v>648</v>
      </c>
      <c r="AI178" s="125">
        <v>712</v>
      </c>
      <c r="AJ178" s="125">
        <v>506</v>
      </c>
      <c r="AK178" s="125">
        <v>706</v>
      </c>
      <c r="AL178" s="125">
        <v>890</v>
      </c>
      <c r="AM178" s="125">
        <v>664.65652859071838</v>
      </c>
      <c r="AN178" s="125">
        <v>692</v>
      </c>
      <c r="AO178" s="125">
        <v>585</v>
      </c>
      <c r="AP178" s="125">
        <v>733</v>
      </c>
      <c r="AQ178" s="125">
        <v>542.46387178289422</v>
      </c>
      <c r="AR178" s="125">
        <v>670</v>
      </c>
      <c r="AS178" s="125">
        <v>759</v>
      </c>
      <c r="AT178" s="125">
        <v>841</v>
      </c>
      <c r="AU178" s="125">
        <v>590</v>
      </c>
      <c r="AV178" s="125">
        <v>487.52428513471</v>
      </c>
      <c r="AW178" s="125">
        <v>784</v>
      </c>
      <c r="AX178" s="125">
        <v>431.46076097229184</v>
      </c>
      <c r="AY178" s="125">
        <v>190.18651529844891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2047.2998226140687</v>
      </c>
      <c r="E179" s="124">
        <f t="shared" si="3"/>
        <v>1940.3513545583753</v>
      </c>
      <c r="F179" s="124">
        <f t="shared" si="3"/>
        <v>1987.8992532474467</v>
      </c>
      <c r="G179" s="124">
        <f t="shared" si="3"/>
        <v>1930.1182690745964</v>
      </c>
      <c r="H179" s="124">
        <f t="shared" si="3"/>
        <v>2159.3147743793238</v>
      </c>
      <c r="I179" s="124">
        <f t="shared" si="3"/>
        <v>1936.7868157950422</v>
      </c>
      <c r="J179" s="124">
        <f t="shared" si="3"/>
        <v>1925.3314738759482</v>
      </c>
      <c r="K179" s="124">
        <f t="shared" si="3"/>
        <v>1880.8761319568544</v>
      </c>
      <c r="L179" s="124">
        <f t="shared" si="3"/>
        <v>2099.9344544951091</v>
      </c>
      <c r="M179" s="124">
        <f t="shared" si="3"/>
        <v>2287.8306901338888</v>
      </c>
      <c r="N179" s="124">
        <f t="shared" si="3"/>
        <v>2231.6356137923794</v>
      </c>
      <c r="O179" s="124">
        <f t="shared" si="3"/>
        <v>1885.657318160059</v>
      </c>
      <c r="P179" s="124">
        <f t="shared" si="3"/>
        <v>2190.7156406983131</v>
      </c>
      <c r="Q179" s="124">
        <f t="shared" si="3"/>
        <v>2172.1575813521072</v>
      </c>
      <c r="R179" s="124">
        <f t="shared" si="3"/>
        <v>2128.4824406749194</v>
      </c>
      <c r="S179" s="124">
        <f t="shared" si="3"/>
        <v>1972.0270987558258</v>
      </c>
      <c r="T179" s="124">
        <f t="shared" si="3"/>
        <v>1649.5364976467663</v>
      </c>
      <c r="U179" s="124">
        <f t="shared" si="3"/>
        <v>1681.1477837935499</v>
      </c>
      <c r="V179" s="124">
        <f t="shared" si="3"/>
        <v>1583.4509574866718</v>
      </c>
      <c r="W179" s="124">
        <f t="shared" si="3"/>
        <v>1441.6701553702269</v>
      </c>
      <c r="X179" s="124">
        <f t="shared" si="3"/>
        <v>1216.728091939975</v>
      </c>
      <c r="Y179" s="124">
        <f t="shared" si="3"/>
        <v>984.68770223573711</v>
      </c>
      <c r="Z179" s="124">
        <f t="shared" si="3"/>
        <v>541.71869585929483</v>
      </c>
      <c r="AA179" s="124">
        <f t="shared" si="3"/>
        <v>660.27650823480735</v>
      </c>
      <c r="AB179" s="124">
        <f t="shared" si="3"/>
        <v>342.23689337996905</v>
      </c>
      <c r="AC179" s="124">
        <f t="shared" si="3"/>
        <v>725.0583225382544</v>
      </c>
      <c r="AD179" s="124">
        <f t="shared" si="3"/>
        <v>276.44272999324488</v>
      </c>
      <c r="AE179" s="124">
        <f t="shared" si="3"/>
        <v>725.0583225382544</v>
      </c>
      <c r="AF179" s="124">
        <f t="shared" si="3"/>
        <v>317.79291682798259</v>
      </c>
      <c r="AG179" s="124">
        <f t="shared" si="3"/>
        <v>113.47803001502878</v>
      </c>
      <c r="AH179" s="124">
        <f t="shared" si="3"/>
        <v>725.0583225382544</v>
      </c>
      <c r="AI179" s="124">
        <f t="shared" si="3"/>
        <v>956.2239804066013</v>
      </c>
      <c r="AJ179" s="124">
        <f t="shared" si="3"/>
        <v>734.35506775319425</v>
      </c>
      <c r="AK179" s="124">
        <f t="shared" si="3"/>
        <v>908.41339029144865</v>
      </c>
      <c r="AL179" s="124">
        <f t="shared" si="3"/>
        <v>626.42948155280214</v>
      </c>
      <c r="AM179" s="124">
        <f t="shared" si="3"/>
        <v>913.48780409105655</v>
      </c>
      <c r="AN179" s="124">
        <f t="shared" si="3"/>
        <v>427.83848520787478</v>
      </c>
      <c r="AO179" s="124">
        <f t="shared" si="3"/>
        <v>725.0583225382544</v>
      </c>
      <c r="AP179" s="124">
        <f t="shared" si="3"/>
        <v>695.09291311701736</v>
      </c>
      <c r="AQ179" s="124">
        <f t="shared" si="3"/>
        <v>227.68702233177083</v>
      </c>
      <c r="AR179" s="124">
        <f t="shared" si="3"/>
        <v>321.59813185217729</v>
      </c>
      <c r="AS179" s="124">
        <f t="shared" si="3"/>
        <v>435.04516824364822</v>
      </c>
      <c r="AT179" s="124">
        <f t="shared" si="3"/>
        <v>836.80145544322124</v>
      </c>
      <c r="AU179" s="124">
        <f t="shared" si="3"/>
        <v>870.81465483309148</v>
      </c>
      <c r="AV179" s="124">
        <f t="shared" si="3"/>
        <v>781.03631061527255</v>
      </c>
      <c r="AW179" s="124">
        <f t="shared" si="3"/>
        <v>294.93703587127067</v>
      </c>
      <c r="AX179" s="124">
        <f t="shared" si="3"/>
        <v>725.0583225382544</v>
      </c>
      <c r="AY179" s="124">
        <f t="shared" si="3"/>
        <v>295.64538170535053</v>
      </c>
    </row>
    <row r="180" spans="1:51">
      <c r="A180" s="125"/>
      <c r="B180" s="136" t="s">
        <v>299</v>
      </c>
      <c r="C180" s="125" t="s">
        <v>293</v>
      </c>
      <c r="D180" s="125">
        <v>541</v>
      </c>
      <c r="E180" s="125">
        <v>408</v>
      </c>
      <c r="F180" s="125">
        <v>507</v>
      </c>
      <c r="G180" s="125">
        <v>521</v>
      </c>
      <c r="H180" s="125">
        <v>419</v>
      </c>
      <c r="I180" s="125">
        <v>374</v>
      </c>
      <c r="J180" s="125">
        <v>407</v>
      </c>
      <c r="K180" s="125">
        <v>506</v>
      </c>
      <c r="L180" s="125">
        <v>384</v>
      </c>
      <c r="M180" s="125">
        <v>475</v>
      </c>
      <c r="N180" s="125">
        <v>361</v>
      </c>
      <c r="O180" s="125">
        <v>420</v>
      </c>
      <c r="P180" s="125">
        <v>535</v>
      </c>
      <c r="Q180" s="125">
        <v>426</v>
      </c>
      <c r="R180" s="125">
        <v>519</v>
      </c>
      <c r="S180" s="125">
        <v>435.96863112408812</v>
      </c>
      <c r="T180" s="125">
        <v>580</v>
      </c>
      <c r="U180" s="125">
        <v>507</v>
      </c>
      <c r="V180" s="125">
        <v>431.82495003460861</v>
      </c>
      <c r="W180" s="125">
        <v>514.9862113484163</v>
      </c>
      <c r="X180" s="125">
        <v>522.08453762240219</v>
      </c>
      <c r="Y180" s="125">
        <v>443</v>
      </c>
      <c r="Z180" s="125">
        <v>534</v>
      </c>
      <c r="AA180" s="125">
        <v>463.8731824712234</v>
      </c>
      <c r="AB180" s="125">
        <v>342.23689337996905</v>
      </c>
      <c r="AC180" s="125">
        <v>549.56904723505579</v>
      </c>
      <c r="AD180" s="125">
        <v>276.44272999324488</v>
      </c>
      <c r="AE180" s="125">
        <v>504</v>
      </c>
      <c r="AF180" s="125">
        <v>317.79291682798259</v>
      </c>
      <c r="AG180" s="125">
        <v>113.47803001502878</v>
      </c>
      <c r="AH180" s="125">
        <v>543</v>
      </c>
      <c r="AI180" s="125">
        <v>448</v>
      </c>
      <c r="AJ180" s="125">
        <v>551</v>
      </c>
      <c r="AK180" s="125">
        <v>487</v>
      </c>
      <c r="AL180" s="125">
        <v>438</v>
      </c>
      <c r="AM180" s="125">
        <v>640.01424307163518</v>
      </c>
      <c r="AN180" s="125">
        <v>427.83848520787478</v>
      </c>
      <c r="AO180" s="125">
        <v>509</v>
      </c>
      <c r="AP180" s="125">
        <v>594</v>
      </c>
      <c r="AQ180" s="125">
        <v>227.68702233177083</v>
      </c>
      <c r="AR180" s="125">
        <v>321.59813185217729</v>
      </c>
      <c r="AS180" s="125">
        <v>435.04516824364822</v>
      </c>
      <c r="AT180" s="125">
        <v>552</v>
      </c>
      <c r="AU180" s="125">
        <v>503</v>
      </c>
      <c r="AV180" s="125">
        <v>518.4980895667685</v>
      </c>
      <c r="AW180" s="125">
        <v>294.93703587127067</v>
      </c>
      <c r="AX180" s="125">
        <v>537.29705965124151</v>
      </c>
      <c r="AY180" s="125">
        <v>295.64538170535053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560.00212200354792</v>
      </c>
      <c r="E181" s="124">
        <f t="shared" si="4"/>
        <v>587.73618145614614</v>
      </c>
      <c r="F181" s="124">
        <f t="shared" si="4"/>
        <v>579.57081957685068</v>
      </c>
      <c r="G181" s="124">
        <f t="shared" si="4"/>
        <v>967.88423487052216</v>
      </c>
      <c r="H181" s="124">
        <f t="shared" si="4"/>
        <v>253.48317425426947</v>
      </c>
      <c r="I181" s="124">
        <f t="shared" si="4"/>
        <v>467.74579261802614</v>
      </c>
      <c r="J181" s="124">
        <f t="shared" si="4"/>
        <v>467.74579261802614</v>
      </c>
      <c r="K181" s="124">
        <f t="shared" si="4"/>
        <v>935.45159806014442</v>
      </c>
      <c r="L181" s="124">
        <f t="shared" si="4"/>
        <v>737.84581312029718</v>
      </c>
      <c r="M181" s="124">
        <f t="shared" si="4"/>
        <v>540.33134016073859</v>
      </c>
      <c r="N181" s="124">
        <f t="shared" si="4"/>
        <v>19.380616592524646</v>
      </c>
      <c r="O181" s="124">
        <f t="shared" si="4"/>
        <v>935.45159806014442</v>
      </c>
      <c r="P181" s="124">
        <f t="shared" si="4"/>
        <v>666.30010810528267</v>
      </c>
      <c r="Q181" s="124">
        <f t="shared" si="4"/>
        <v>493.26569948140275</v>
      </c>
      <c r="R181" s="124">
        <f t="shared" si="4"/>
        <v>467.74579261802614</v>
      </c>
      <c r="S181" s="124">
        <f t="shared" si="4"/>
        <v>146.40643548598808</v>
      </c>
      <c r="T181" s="124">
        <f t="shared" si="4"/>
        <v>789.08514975006426</v>
      </c>
      <c r="U181" s="124">
        <f t="shared" si="4"/>
        <v>528.07242675587463</v>
      </c>
      <c r="V181" s="124">
        <f t="shared" si="4"/>
        <v>374.20749923703471</v>
      </c>
      <c r="W181" s="124">
        <f t="shared" si="4"/>
        <v>374.20749923703471</v>
      </c>
      <c r="X181" s="124">
        <f t="shared" si="4"/>
        <v>374.20749923703471</v>
      </c>
      <c r="Y181" s="124">
        <f t="shared" si="4"/>
        <v>3.998717590790133E-2</v>
      </c>
      <c r="Z181" s="124">
        <f t="shared" si="4"/>
        <v>841.91330467915316</v>
      </c>
      <c r="AA181" s="124">
        <f t="shared" si="4"/>
        <v>188.15071786223373</v>
      </c>
      <c r="AB181" s="124">
        <f t="shared" si="4"/>
        <v>935.45159806014442</v>
      </c>
      <c r="AC181" s="124">
        <f t="shared" si="4"/>
        <v>130.24755055413297</v>
      </c>
      <c r="AD181" s="124">
        <f t="shared" si="4"/>
        <v>935.45159806014442</v>
      </c>
      <c r="AE181" s="124">
        <f t="shared" si="4"/>
        <v>124.80448538159031</v>
      </c>
      <c r="AF181" s="124">
        <f t="shared" si="4"/>
        <v>146.40643548598808</v>
      </c>
      <c r="AG181" s="124">
        <f t="shared" si="4"/>
        <v>935.45159806014442</v>
      </c>
      <c r="AH181" s="124">
        <f t="shared" si="4"/>
        <v>998.80861898253602</v>
      </c>
      <c r="AI181" s="124">
        <f t="shared" si="4"/>
        <v>291.74851243540866</v>
      </c>
      <c r="AJ181" s="124">
        <f t="shared" si="4"/>
        <v>935.45159806014442</v>
      </c>
      <c r="AK181" s="124">
        <f t="shared" si="4"/>
        <v>264.50648759825663</v>
      </c>
      <c r="AL181" s="124">
        <f t="shared" si="4"/>
        <v>935.45159806014442</v>
      </c>
      <c r="AM181" s="124">
        <f t="shared" si="4"/>
        <v>199.15765467115668</v>
      </c>
      <c r="AN181" s="124">
        <f t="shared" si="4"/>
        <v>935.45159806014442</v>
      </c>
      <c r="AO181" s="124">
        <f t="shared" si="4"/>
        <v>618.03810721633101</v>
      </c>
      <c r="AP181" s="124">
        <f t="shared" si="4"/>
        <v>163.32846350259433</v>
      </c>
      <c r="AQ181" s="124">
        <f t="shared" si="4"/>
        <v>414.91763768893748</v>
      </c>
      <c r="AR181" s="124">
        <f t="shared" si="4"/>
        <v>561.28408599901763</v>
      </c>
      <c r="AS181" s="124">
        <f t="shared" si="4"/>
        <v>1079.6197139191045</v>
      </c>
      <c r="AT181" s="124">
        <f t="shared" si="4"/>
        <v>756.05915664069846</v>
      </c>
      <c r="AU181" s="124">
        <f t="shared" si="4"/>
        <v>533.12795155744959</v>
      </c>
      <c r="AV181" s="124">
        <f t="shared" si="4"/>
        <v>41.800117534148683</v>
      </c>
      <c r="AW181" s="124">
        <f t="shared" si="4"/>
        <v>935.45159806014442</v>
      </c>
      <c r="AX181" s="124">
        <f t="shared" si="4"/>
        <v>139.18931514450665</v>
      </c>
      <c r="AY181" s="124">
        <f t="shared" si="4"/>
        <v>146.40643548598808</v>
      </c>
    </row>
    <row r="182" spans="1:51">
      <c r="A182" s="125"/>
      <c r="B182" s="136" t="s">
        <v>299</v>
      </c>
      <c r="C182" s="125" t="s">
        <v>293</v>
      </c>
      <c r="D182" s="125">
        <v>513</v>
      </c>
      <c r="E182" s="125">
        <v>553</v>
      </c>
      <c r="F182" s="125">
        <v>522</v>
      </c>
      <c r="G182" s="125">
        <v>518</v>
      </c>
      <c r="H182" s="125">
        <v>253.48317425426947</v>
      </c>
      <c r="I182" s="125">
        <v>467.74579261802614</v>
      </c>
      <c r="J182" s="125">
        <v>467.74579261802614</v>
      </c>
      <c r="K182" s="125">
        <v>456</v>
      </c>
      <c r="L182" s="125">
        <v>609</v>
      </c>
      <c r="M182" s="125">
        <v>506</v>
      </c>
      <c r="N182" s="125">
        <v>19.380616592524646</v>
      </c>
      <c r="O182" s="125">
        <v>583</v>
      </c>
      <c r="P182" s="125">
        <v>621</v>
      </c>
      <c r="Q182" s="125">
        <v>493.26569948140275</v>
      </c>
      <c r="R182" s="125">
        <v>467.74579261802614</v>
      </c>
      <c r="S182" s="125">
        <v>146.40643548598808</v>
      </c>
      <c r="T182" s="125">
        <v>682</v>
      </c>
      <c r="U182" s="125">
        <v>528.07242675587463</v>
      </c>
      <c r="V182" s="125">
        <v>374.20749923703471</v>
      </c>
      <c r="W182" s="125">
        <v>374.20749923703471</v>
      </c>
      <c r="X182" s="125">
        <v>374.20749923703471</v>
      </c>
      <c r="Y182" s="125">
        <v>3.998717590790133E-2</v>
      </c>
      <c r="Z182" s="125">
        <v>508</v>
      </c>
      <c r="AA182" s="125">
        <v>188.15071786223373</v>
      </c>
      <c r="AB182" s="125">
        <v>704.32157361543091</v>
      </c>
      <c r="AC182" s="125">
        <v>130.24755055413297</v>
      </c>
      <c r="AD182" s="125">
        <v>713.9834991882916</v>
      </c>
      <c r="AE182" s="125">
        <v>124.80448538159031</v>
      </c>
      <c r="AF182" s="125">
        <v>146.40643548598808</v>
      </c>
      <c r="AG182" s="125">
        <v>563.17375710610929</v>
      </c>
      <c r="AH182" s="125">
        <v>481</v>
      </c>
      <c r="AI182" s="125">
        <v>291.74851243540866</v>
      </c>
      <c r="AJ182" s="125">
        <v>466</v>
      </c>
      <c r="AK182" s="125">
        <v>264.50648759825663</v>
      </c>
      <c r="AL182" s="125">
        <v>582</v>
      </c>
      <c r="AM182" s="125">
        <v>199.15765467115668</v>
      </c>
      <c r="AN182" s="125">
        <v>668.66935096398277</v>
      </c>
      <c r="AO182" s="125">
        <v>588</v>
      </c>
      <c r="AP182" s="125">
        <v>163.32846350259433</v>
      </c>
      <c r="AQ182" s="125">
        <v>414.91763768893748</v>
      </c>
      <c r="AR182" s="125">
        <v>561.28408599901763</v>
      </c>
      <c r="AS182" s="125">
        <v>567.8378085874682</v>
      </c>
      <c r="AT182" s="125">
        <v>640</v>
      </c>
      <c r="AU182" s="125">
        <v>459</v>
      </c>
      <c r="AV182" s="125">
        <v>41.800117534148683</v>
      </c>
      <c r="AW182" s="125">
        <v>688.4491448967658</v>
      </c>
      <c r="AX182" s="125">
        <v>139.18931514450665</v>
      </c>
      <c r="AY182" s="125">
        <v>146.40643548598808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904.99562087267782</v>
      </c>
      <c r="D185" s="124">
        <v>666.65018583446954</v>
      </c>
      <c r="E185" s="124">
        <v>815.17025300044997</v>
      </c>
      <c r="F185" s="124">
        <v>902.7597469831494</v>
      </c>
      <c r="G185" s="124">
        <v>16.442645929521404</v>
      </c>
      <c r="H185" s="124">
        <v>905</v>
      </c>
      <c r="I185" s="124">
        <v>801.82692551663877</v>
      </c>
      <c r="J185" s="124">
        <v>836.65385103327753</v>
      </c>
      <c r="K185" s="124">
        <v>352.33408067953042</v>
      </c>
      <c r="L185" s="124">
        <v>578.31324949445207</v>
      </c>
      <c r="M185" s="124">
        <v>741.29241830937372</v>
      </c>
      <c r="N185" s="124">
        <v>1049.1730744833612</v>
      </c>
      <c r="O185" s="124">
        <v>664.63137253174227</v>
      </c>
      <c r="P185" s="124">
        <v>954</v>
      </c>
      <c r="Q185" s="124">
        <v>1014.3894586533361</v>
      </c>
      <c r="R185" s="124">
        <v>1049.1730744833612</v>
      </c>
      <c r="S185" s="124">
        <v>1000</v>
      </c>
      <c r="T185" s="124">
        <v>839.34489252249682</v>
      </c>
      <c r="U185" s="124">
        <v>839.34489252249682</v>
      </c>
      <c r="V185" s="124">
        <v>839.34489252249682</v>
      </c>
      <c r="W185" s="124">
        <v>839.34489252249682</v>
      </c>
      <c r="X185" s="124">
        <v>1038</v>
      </c>
      <c r="Y185" s="124">
        <v>1049.1730744833612</v>
      </c>
      <c r="Z185" s="124">
        <v>1049.1730744833612</v>
      </c>
      <c r="AA185" s="124">
        <v>1049.1730744833612</v>
      </c>
      <c r="AB185" s="124">
        <v>1002</v>
      </c>
      <c r="AC185" s="124">
        <v>1049.1730744833612</v>
      </c>
      <c r="AD185" s="124">
        <v>1049.1730744833612</v>
      </c>
      <c r="AE185" s="124">
        <v>1049.1730744833612</v>
      </c>
      <c r="AF185" s="124">
        <v>963</v>
      </c>
      <c r="AG185" s="124">
        <v>847.82692551663877</v>
      </c>
      <c r="AH185" s="124">
        <v>908.65385103327753</v>
      </c>
      <c r="AI185" s="124">
        <v>808.4807765499163</v>
      </c>
      <c r="AJ185" s="124">
        <v>883.30770206655507</v>
      </c>
      <c r="AK185" s="124">
        <v>867.13462758319383</v>
      </c>
      <c r="AL185" s="124">
        <v>897.9615530998326</v>
      </c>
      <c r="AM185" s="124">
        <v>749.78847861647137</v>
      </c>
      <c r="AN185" s="124">
        <v>1040.6154041331101</v>
      </c>
      <c r="AO185" s="124">
        <v>1069.6141476888843</v>
      </c>
      <c r="AP185" s="124">
        <v>909.61289124465839</v>
      </c>
      <c r="AQ185" s="124">
        <v>968.61163480043251</v>
      </c>
      <c r="AR185" s="124">
        <v>627.61037835620664</v>
      </c>
      <c r="AS185" s="124">
        <v>558.4373038728454</v>
      </c>
      <c r="AT185" s="124">
        <v>497.26422938948417</v>
      </c>
      <c r="AU185" s="124">
        <v>511.09115490612294</v>
      </c>
      <c r="AV185" s="124">
        <v>376.9180804227617</v>
      </c>
      <c r="AW185" s="124">
        <v>548.74500593940047</v>
      </c>
      <c r="AX185" s="124">
        <v>524.57193145603924</v>
      </c>
      <c r="AY185" s="124">
        <v>797.398856972678</v>
      </c>
    </row>
    <row r="186" spans="1:51">
      <c r="A186" s="109"/>
      <c r="B186" s="120">
        <v>2</v>
      </c>
      <c r="C186" s="106">
        <v>233.00437912732218</v>
      </c>
      <c r="D186" s="106">
        <v>355.34981416553046</v>
      </c>
      <c r="E186" s="106">
        <v>292.82974699955003</v>
      </c>
      <c r="F186" s="106">
        <v>126.2402530168506</v>
      </c>
      <c r="G186" s="106">
        <v>0</v>
      </c>
      <c r="H186" s="106">
        <v>0</v>
      </c>
      <c r="I186" s="106">
        <v>144.17307448336123</v>
      </c>
      <c r="J186" s="106">
        <v>247.34614896672247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32.610541346663922</v>
      </c>
      <c r="R186" s="106">
        <v>34.783615830025155</v>
      </c>
      <c r="S186" s="106">
        <v>0</v>
      </c>
      <c r="T186" s="106">
        <v>49.173074483361233</v>
      </c>
      <c r="U186" s="106">
        <v>0</v>
      </c>
      <c r="V186" s="106">
        <v>0</v>
      </c>
      <c r="W186" s="106">
        <v>0</v>
      </c>
      <c r="X186" s="106">
        <v>0</v>
      </c>
      <c r="Y186" s="106">
        <v>11.173074483361233</v>
      </c>
      <c r="Z186" s="106">
        <v>0</v>
      </c>
      <c r="AA186" s="106">
        <v>0</v>
      </c>
      <c r="AB186" s="106">
        <v>0</v>
      </c>
      <c r="AC186" s="106">
        <v>47.173074483361233</v>
      </c>
      <c r="AD186" s="106">
        <v>0</v>
      </c>
      <c r="AE186" s="106">
        <v>0</v>
      </c>
      <c r="AF186" s="106">
        <v>0</v>
      </c>
      <c r="AG186" s="106">
        <v>86.173074483361233</v>
      </c>
      <c r="AH186" s="106">
        <v>201.34614896672247</v>
      </c>
      <c r="AI186" s="106">
        <v>140.5192234500837</v>
      </c>
      <c r="AJ186" s="106">
        <v>240.69229793344493</v>
      </c>
      <c r="AK186" s="106">
        <v>165.86537241680617</v>
      </c>
      <c r="AL186" s="106">
        <v>182.0384469001674</v>
      </c>
      <c r="AM186" s="106">
        <v>151.21152138352863</v>
      </c>
      <c r="AN186" s="106">
        <v>299.38459586688987</v>
      </c>
      <c r="AO186" s="106">
        <v>218.38585231111574</v>
      </c>
      <c r="AP186" s="106">
        <v>189.38710875534161</v>
      </c>
      <c r="AQ186" s="106">
        <v>349.38836519956749</v>
      </c>
      <c r="AR186" s="106">
        <v>290.38962164379336</v>
      </c>
      <c r="AS186" s="106">
        <v>421.5626961271546</v>
      </c>
      <c r="AT186" s="106">
        <v>490.73577061051583</v>
      </c>
      <c r="AU186" s="106">
        <v>551.90884509387706</v>
      </c>
      <c r="AV186" s="106">
        <v>538.0819195772383</v>
      </c>
      <c r="AW186" s="106">
        <v>672.25499406059953</v>
      </c>
      <c r="AX186" s="106">
        <v>500.42806854396076</v>
      </c>
      <c r="AY186" s="106">
        <v>524.601143027322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402.94804528050372</v>
      </c>
      <c r="D189" s="124">
        <v>0</v>
      </c>
      <c r="E189" s="124">
        <v>149.87636521081481</v>
      </c>
      <c r="F189" s="124">
        <v>0</v>
      </c>
      <c r="G189" s="124">
        <v>96.102416151659327</v>
      </c>
      <c r="H189" s="124">
        <v>0</v>
      </c>
      <c r="I189" s="124">
        <v>191.64165517936749</v>
      </c>
      <c r="J189" s="124">
        <v>0</v>
      </c>
      <c r="K189" s="124">
        <v>0</v>
      </c>
      <c r="L189" s="124">
        <v>0</v>
      </c>
      <c r="M189" s="124">
        <v>0</v>
      </c>
      <c r="N189" s="124">
        <v>0</v>
      </c>
      <c r="O189" s="124">
        <v>75.528991776346061</v>
      </c>
      <c r="P189" s="124">
        <v>113.79861129020014</v>
      </c>
      <c r="Q189" s="124">
        <v>124.06823080405422</v>
      </c>
      <c r="R189" s="124">
        <v>248.33785031790831</v>
      </c>
      <c r="S189" s="124">
        <v>190.18651529844885</v>
      </c>
      <c r="T189" s="124">
        <v>349.45613481230293</v>
      </c>
      <c r="U189" s="124">
        <v>508.72575432615702</v>
      </c>
      <c r="V189" s="124">
        <v>486.1880306478356</v>
      </c>
      <c r="W189" s="124">
        <v>486.1880306478356</v>
      </c>
      <c r="X189" s="124">
        <v>486.1880306478356</v>
      </c>
      <c r="Y189" s="124">
        <v>0</v>
      </c>
      <c r="Z189" s="124">
        <v>725</v>
      </c>
      <c r="AA189" s="124">
        <v>0</v>
      </c>
      <c r="AB189" s="124">
        <v>47.269619513854082</v>
      </c>
      <c r="AC189" s="124">
        <v>0</v>
      </c>
      <c r="AD189" s="124">
        <v>562</v>
      </c>
      <c r="AE189" s="124">
        <v>0</v>
      </c>
      <c r="AF189" s="124">
        <v>190.18651529844891</v>
      </c>
      <c r="AG189" s="124">
        <v>0</v>
      </c>
      <c r="AH189" s="124">
        <v>0</v>
      </c>
      <c r="AI189" s="124">
        <v>0</v>
      </c>
      <c r="AJ189" s="124">
        <v>0</v>
      </c>
      <c r="AK189" s="124">
        <v>0</v>
      </c>
      <c r="AL189" s="124">
        <v>0</v>
      </c>
      <c r="AM189" s="124">
        <v>0</v>
      </c>
      <c r="AN189" s="124">
        <v>692</v>
      </c>
      <c r="AO189" s="124">
        <v>61.539239027708163</v>
      </c>
      <c r="AP189" s="124">
        <v>186.80885854156224</v>
      </c>
      <c r="AQ189" s="124">
        <v>0</v>
      </c>
      <c r="AR189" s="124">
        <v>0</v>
      </c>
      <c r="AS189" s="124">
        <v>699.72726967554354</v>
      </c>
      <c r="AT189" s="124">
        <v>137.93647583758184</v>
      </c>
      <c r="AU189" s="124">
        <v>120.20609535143592</v>
      </c>
      <c r="AV189" s="124">
        <v>0</v>
      </c>
      <c r="AW189" s="124">
        <v>176.26961951385408</v>
      </c>
      <c r="AX189" s="124">
        <v>0</v>
      </c>
      <c r="AY189" s="124">
        <v>190.18651529844891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0</v>
      </c>
      <c r="H190" s="106">
        <v>642</v>
      </c>
      <c r="I190" s="106">
        <v>0</v>
      </c>
      <c r="J190" s="106">
        <v>25.269619513854082</v>
      </c>
      <c r="K190" s="106">
        <v>311.18089420707565</v>
      </c>
      <c r="L190" s="106">
        <v>311.45051372092973</v>
      </c>
      <c r="M190" s="106">
        <v>384.72013323478382</v>
      </c>
      <c r="N190" s="106">
        <v>533.9897527486379</v>
      </c>
      <c r="O190" s="106">
        <v>607.73038048614592</v>
      </c>
      <c r="P190" s="106">
        <v>532.20138870979986</v>
      </c>
      <c r="Q190" s="106">
        <v>493.93176919594578</v>
      </c>
      <c r="R190" s="106">
        <v>483.66214968209169</v>
      </c>
      <c r="S190" s="106">
        <v>359.39253016823761</v>
      </c>
      <c r="T190" s="106">
        <v>417.54386518769707</v>
      </c>
      <c r="U190" s="106">
        <v>258.27424567384298</v>
      </c>
      <c r="V190" s="106">
        <v>99.004626159988902</v>
      </c>
      <c r="W190" s="106">
        <v>0</v>
      </c>
      <c r="X190" s="106">
        <v>0</v>
      </c>
      <c r="Y190" s="106">
        <v>0</v>
      </c>
      <c r="Z190" s="106">
        <v>0</v>
      </c>
      <c r="AA190" s="106">
        <v>368.91841113398164</v>
      </c>
      <c r="AB190" s="106">
        <v>607.73038048614592</v>
      </c>
      <c r="AC190" s="106">
        <v>560.46076097229184</v>
      </c>
      <c r="AD190" s="106">
        <v>0</v>
      </c>
      <c r="AE190" s="106">
        <v>581</v>
      </c>
      <c r="AF190" s="106">
        <v>0</v>
      </c>
      <c r="AG190" s="106">
        <v>0</v>
      </c>
      <c r="AH190" s="106">
        <v>167.72575432615707</v>
      </c>
      <c r="AI190" s="106">
        <v>271.99537384001115</v>
      </c>
      <c r="AJ190" s="106">
        <v>170.26499335386524</v>
      </c>
      <c r="AK190" s="106">
        <v>268.53461286771932</v>
      </c>
      <c r="AL190" s="106">
        <v>550.80423238157346</v>
      </c>
      <c r="AM190" s="106">
        <v>607.73038048614592</v>
      </c>
      <c r="AN190" s="106">
        <v>0</v>
      </c>
      <c r="AO190" s="106">
        <v>523.46076097229184</v>
      </c>
      <c r="AP190" s="106">
        <v>546.19114145843776</v>
      </c>
      <c r="AQ190" s="106">
        <v>542.46387178289422</v>
      </c>
      <c r="AR190" s="106">
        <v>670</v>
      </c>
      <c r="AS190" s="106">
        <v>0</v>
      </c>
      <c r="AT190" s="106">
        <v>703.06352416241816</v>
      </c>
      <c r="AU190" s="106">
        <v>469.79390464856408</v>
      </c>
      <c r="AV190" s="106">
        <v>487.52428513471</v>
      </c>
      <c r="AW190" s="106">
        <v>607.73038048614592</v>
      </c>
      <c r="AX190" s="106">
        <v>431.46076097229184</v>
      </c>
      <c r="AY190" s="106">
        <v>0</v>
      </c>
    </row>
    <row r="191" spans="1:51">
      <c r="A191" s="109"/>
      <c r="B191" s="120">
        <v>3</v>
      </c>
      <c r="C191" s="106">
        <v>189.05195471949628</v>
      </c>
      <c r="D191" s="106">
        <v>609</v>
      </c>
      <c r="E191" s="106">
        <v>325.58779475434073</v>
      </c>
      <c r="F191" s="106">
        <v>688</v>
      </c>
      <c r="G191" s="106">
        <v>579.36174381349622</v>
      </c>
      <c r="H191" s="106">
        <v>0</v>
      </c>
      <c r="I191" s="106">
        <v>477.35834482063251</v>
      </c>
      <c r="J191" s="106">
        <v>607.73038048614592</v>
      </c>
      <c r="K191" s="106">
        <v>390.81910579292435</v>
      </c>
      <c r="L191" s="106">
        <v>296.54948627907027</v>
      </c>
      <c r="M191" s="106">
        <v>296.27986676521618</v>
      </c>
      <c r="N191" s="106">
        <v>223.0102472513621</v>
      </c>
      <c r="O191" s="106">
        <v>73.740627737508021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72.460760972291837</v>
      </c>
      <c r="AG191" s="106">
        <v>545</v>
      </c>
      <c r="AH191" s="106">
        <v>417.54386518769701</v>
      </c>
      <c r="AI191" s="106">
        <v>440.00462615998885</v>
      </c>
      <c r="AJ191" s="106">
        <v>335.73500664613476</v>
      </c>
      <c r="AK191" s="106">
        <v>437.46538713228068</v>
      </c>
      <c r="AL191" s="106">
        <v>339.1957676184266</v>
      </c>
      <c r="AM191" s="106">
        <v>56.926148104572462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59.272730324456461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119.53584003484445</v>
      </c>
      <c r="F192" s="106">
        <v>0</v>
      </c>
      <c r="G192" s="106">
        <v>40.535840034844455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62.730380486145918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0</v>
      </c>
      <c r="D197" s="106">
        <v>0</v>
      </c>
      <c r="E197" s="106">
        <v>0</v>
      </c>
      <c r="F197" s="106">
        <v>0</v>
      </c>
      <c r="G197" s="106">
        <v>0</v>
      </c>
      <c r="H197" s="106">
        <v>0</v>
      </c>
      <c r="I197" s="106">
        <v>0</v>
      </c>
      <c r="J197" s="106">
        <v>0</v>
      </c>
      <c r="K197" s="106">
        <v>0</v>
      </c>
      <c r="L197" s="106">
        <v>0</v>
      </c>
      <c r="M197" s="106">
        <v>0</v>
      </c>
      <c r="N197" s="106">
        <v>0</v>
      </c>
      <c r="O197" s="106">
        <v>0</v>
      </c>
      <c r="P197" s="106">
        <v>0</v>
      </c>
      <c r="Q197" s="106">
        <v>0</v>
      </c>
      <c r="R197" s="106">
        <v>0</v>
      </c>
      <c r="S197" s="106">
        <v>0</v>
      </c>
      <c r="T197" s="106">
        <v>0</v>
      </c>
      <c r="U197" s="106">
        <v>0</v>
      </c>
      <c r="V197" s="106">
        <v>0</v>
      </c>
      <c r="W197" s="106">
        <v>0</v>
      </c>
      <c r="X197" s="106">
        <v>0</v>
      </c>
      <c r="Y197" s="106">
        <v>0</v>
      </c>
      <c r="Z197" s="106">
        <v>0</v>
      </c>
      <c r="AA197" s="106">
        <v>456.15448661192858</v>
      </c>
      <c r="AB197" s="106">
        <v>145.8335676163851</v>
      </c>
      <c r="AC197" s="106">
        <v>549.56904723505579</v>
      </c>
      <c r="AD197" s="106">
        <v>100.95345469004626</v>
      </c>
      <c r="AE197" s="106">
        <v>504</v>
      </c>
      <c r="AF197" s="106">
        <v>96.734594289728193</v>
      </c>
      <c r="AG197" s="106">
        <v>113.47803001502876</v>
      </c>
      <c r="AH197" s="106">
        <v>543</v>
      </c>
      <c r="AI197" s="106">
        <v>265.9416774617456</v>
      </c>
      <c r="AJ197" s="106">
        <v>42.776019593398701</v>
      </c>
      <c r="AK197" s="106">
        <v>303.64493224680575</v>
      </c>
      <c r="AL197" s="106">
        <v>16.58660970855135</v>
      </c>
      <c r="AM197" s="106">
        <v>451.58476151883303</v>
      </c>
      <c r="AN197" s="106">
        <v>154.36492418845341</v>
      </c>
      <c r="AO197" s="106">
        <v>509</v>
      </c>
      <c r="AP197" s="106">
        <v>377.9416774617456</v>
      </c>
      <c r="AQ197" s="106">
        <v>126.59410921475346</v>
      </c>
      <c r="AR197" s="106">
        <v>321.59813185217729</v>
      </c>
      <c r="AS197" s="106">
        <v>435.04516824364822</v>
      </c>
      <c r="AT197" s="106">
        <v>552</v>
      </c>
      <c r="AU197" s="106">
        <v>218.19854455677876</v>
      </c>
      <c r="AV197" s="106">
        <v>150.68343473367702</v>
      </c>
      <c r="AW197" s="106">
        <v>32.39881482276661</v>
      </c>
      <c r="AX197" s="106">
        <v>537.29705965124151</v>
      </c>
      <c r="AY197" s="106">
        <v>107.88411881833764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38.400593600591264</v>
      </c>
      <c r="Z198" s="106">
        <v>282.35644568242714</v>
      </c>
      <c r="AA198" s="106">
        <v>3.0993623557806944E-2</v>
      </c>
      <c r="AB198" s="106">
        <v>196.40332576358395</v>
      </c>
      <c r="AC198" s="106">
        <v>2.8421709430404007E-14</v>
      </c>
      <c r="AD198" s="106">
        <v>175.48927530319861</v>
      </c>
      <c r="AE198" s="106">
        <v>0</v>
      </c>
      <c r="AF198" s="106">
        <v>221.0583225382544</v>
      </c>
      <c r="AG198" s="106">
        <v>1.4210854715202004E-14</v>
      </c>
      <c r="AH198" s="106">
        <v>0</v>
      </c>
      <c r="AI198" s="106">
        <v>182.0583225382544</v>
      </c>
      <c r="AJ198" s="106">
        <v>508.2239804066013</v>
      </c>
      <c r="AK198" s="106">
        <v>183.35506775319425</v>
      </c>
      <c r="AL198" s="106">
        <v>421.41339029144865</v>
      </c>
      <c r="AM198" s="106">
        <v>188.42948155280217</v>
      </c>
      <c r="AN198" s="106">
        <v>273.47356101942137</v>
      </c>
      <c r="AO198" s="106">
        <v>2.8421709430404007E-14</v>
      </c>
      <c r="AP198" s="106">
        <v>216.0583225382544</v>
      </c>
      <c r="AQ198" s="106">
        <v>101.09291311701736</v>
      </c>
      <c r="AR198" s="106">
        <v>0</v>
      </c>
      <c r="AS198" s="106">
        <v>0</v>
      </c>
      <c r="AT198" s="106">
        <v>0</v>
      </c>
      <c r="AU198" s="106">
        <v>284.80145544322124</v>
      </c>
      <c r="AV198" s="106">
        <v>367.81465483309148</v>
      </c>
      <c r="AW198" s="106">
        <v>262.53822104850406</v>
      </c>
      <c r="AX198" s="106">
        <v>0</v>
      </c>
      <c r="AY198" s="106">
        <v>187.76126288701289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14.342681839941015</v>
      </c>
      <c r="S199" s="106">
        <v>0</v>
      </c>
      <c r="T199" s="106">
        <v>0</v>
      </c>
      <c r="U199" s="106">
        <v>0</v>
      </c>
      <c r="V199" s="106">
        <v>0</v>
      </c>
      <c r="W199" s="106">
        <v>384.27466373625856</v>
      </c>
      <c r="X199" s="106">
        <v>294.74791521187723</v>
      </c>
      <c r="Y199" s="106">
        <v>290.04414791816413</v>
      </c>
      <c r="Z199" s="106">
        <v>251.64355431757286</v>
      </c>
      <c r="AA199" s="106">
        <v>7.6877022357369924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55.967052306958294</v>
      </c>
      <c r="D200" s="106">
        <v>0</v>
      </c>
      <c r="E200" s="106">
        <v>0</v>
      </c>
      <c r="F200" s="106">
        <v>0</v>
      </c>
      <c r="G200" s="106">
        <v>360.42781607558129</v>
      </c>
      <c r="H200" s="106">
        <v>348.70017738593123</v>
      </c>
      <c r="I200" s="106">
        <v>288.64864544162469</v>
      </c>
      <c r="J200" s="106">
        <v>240.10074675255345</v>
      </c>
      <c r="K200" s="106">
        <v>296.88173092540353</v>
      </c>
      <c r="L200" s="106">
        <v>0</v>
      </c>
      <c r="M200" s="106">
        <v>209.21318420495774</v>
      </c>
      <c r="N200" s="106">
        <v>207.66852612405157</v>
      </c>
      <c r="O200" s="106">
        <v>265.12386804314542</v>
      </c>
      <c r="P200" s="106">
        <v>75.06554550489102</v>
      </c>
      <c r="Q200" s="106">
        <v>0</v>
      </c>
      <c r="R200" s="106">
        <v>15.021704367679654</v>
      </c>
      <c r="S200" s="106">
        <v>435.96863112408812</v>
      </c>
      <c r="T200" s="106">
        <v>305.25299042577478</v>
      </c>
      <c r="U200" s="106">
        <v>295.81104977198083</v>
      </c>
      <c r="V200" s="106">
        <v>345.31114048377719</v>
      </c>
      <c r="W200" s="106">
        <v>113.47803001502876</v>
      </c>
      <c r="X200" s="106">
        <v>227.33662241052497</v>
      </c>
      <c r="Y200" s="106">
        <v>114.55525848124461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392.03294769304171</v>
      </c>
      <c r="D201" s="106">
        <v>541</v>
      </c>
      <c r="E201" s="106">
        <v>336.38518513095801</v>
      </c>
      <c r="F201" s="106">
        <v>319.32180349538419</v>
      </c>
      <c r="G201" s="106">
        <v>3.1276817257320962E-2</v>
      </c>
      <c r="H201" s="106">
        <v>70.299822614068773</v>
      </c>
      <c r="I201" s="106">
        <v>85.351354558375306</v>
      </c>
      <c r="J201" s="106">
        <v>166.89925324744655</v>
      </c>
      <c r="K201" s="106">
        <v>209.11826907459647</v>
      </c>
      <c r="L201" s="106">
        <v>384</v>
      </c>
      <c r="M201" s="106">
        <v>196.47204141571845</v>
      </c>
      <c r="N201" s="106">
        <v>153.33147387594843</v>
      </c>
      <c r="O201" s="106">
        <v>154.87613195685461</v>
      </c>
      <c r="P201" s="106">
        <v>459.93445449510898</v>
      </c>
      <c r="Q201" s="106">
        <v>426</v>
      </c>
      <c r="R201" s="106">
        <v>418.80492365849091</v>
      </c>
      <c r="S201" s="106">
        <v>0</v>
      </c>
      <c r="T201" s="106">
        <v>274.74700957422522</v>
      </c>
      <c r="U201" s="106">
        <v>211.18895022801917</v>
      </c>
      <c r="V201" s="106">
        <v>86.513809550831411</v>
      </c>
      <c r="W201" s="106">
        <v>17.23351759712898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71.614814869041993</v>
      </c>
      <c r="F202" s="106">
        <v>187.67819650461581</v>
      </c>
      <c r="G202" s="106">
        <v>160.54090710716139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69.314774379323808</v>
      </c>
      <c r="N202" s="106">
        <v>0</v>
      </c>
      <c r="O202" s="106">
        <v>0</v>
      </c>
      <c r="P202" s="106">
        <v>0</v>
      </c>
      <c r="Q202" s="106">
        <v>0</v>
      </c>
      <c r="R202" s="106">
        <v>70.830690133888424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563.32721666684881</v>
      </c>
      <c r="D209" s="124">
        <v>0</v>
      </c>
      <c r="E209" s="124">
        <v>526.5212601894051</v>
      </c>
      <c r="F209" s="124">
        <v>0</v>
      </c>
      <c r="G209" s="124">
        <v>485.5673631896222</v>
      </c>
      <c r="H209" s="124">
        <v>3.9987175907896244E-2</v>
      </c>
      <c r="I209" s="124">
        <v>467.74579261802614</v>
      </c>
      <c r="J209" s="124">
        <v>3.9987175907867822E-2</v>
      </c>
      <c r="K209" s="124">
        <v>0</v>
      </c>
      <c r="L209" s="124">
        <v>338.89997949772891</v>
      </c>
      <c r="M209" s="124">
        <v>433.41445245728755</v>
      </c>
      <c r="N209" s="124">
        <v>3.9987175907899797E-2</v>
      </c>
      <c r="O209" s="124">
        <v>115.29419455788172</v>
      </c>
      <c r="P209" s="124">
        <v>422.44568451274347</v>
      </c>
      <c r="Q209" s="124">
        <v>467.74579261802614</v>
      </c>
      <c r="R209" s="124">
        <v>467.74579261802614</v>
      </c>
      <c r="S209" s="124">
        <v>146.40643548598808</v>
      </c>
      <c r="T209" s="124">
        <v>360.66064286796194</v>
      </c>
      <c r="U209" s="124">
        <v>467.74579261802614</v>
      </c>
      <c r="V209" s="124">
        <v>374.20749923703471</v>
      </c>
      <c r="W209" s="124">
        <v>374.20749923703471</v>
      </c>
      <c r="X209" s="124">
        <v>374.20749923703471</v>
      </c>
      <c r="Y209" s="124">
        <v>3.998717590790133E-2</v>
      </c>
      <c r="Z209" s="124">
        <v>508</v>
      </c>
      <c r="AA209" s="124">
        <v>3.9987175907896244E-2</v>
      </c>
      <c r="AB209" s="124">
        <v>236.61576817331263</v>
      </c>
      <c r="AC209" s="124">
        <v>3.9987175907896244E-2</v>
      </c>
      <c r="AD209" s="124">
        <v>713.9834991882916</v>
      </c>
      <c r="AE209" s="124">
        <v>3.9987175907896244E-2</v>
      </c>
      <c r="AF209" s="124">
        <v>146.40643548598808</v>
      </c>
      <c r="AG209" s="124">
        <v>95.467951663991016</v>
      </c>
      <c r="AH209" s="124">
        <v>0</v>
      </c>
      <c r="AI209" s="124">
        <v>3.9987175907867822E-2</v>
      </c>
      <c r="AJ209" s="124">
        <v>0</v>
      </c>
      <c r="AK209" s="124">
        <v>3.998717590790133E-2</v>
      </c>
      <c r="AL209" s="124">
        <v>114.29419455788172</v>
      </c>
      <c r="AM209" s="124">
        <v>3.9987175907896244E-2</v>
      </c>
      <c r="AN209" s="124">
        <v>668.66935096398277</v>
      </c>
      <c r="AO209" s="124">
        <v>437.70768540169513</v>
      </c>
      <c r="AP209" s="124">
        <v>146.40643548598803</v>
      </c>
      <c r="AQ209" s="124">
        <v>3.9987175907867822E-2</v>
      </c>
      <c r="AR209" s="124">
        <v>3.9987175907867822E-2</v>
      </c>
      <c r="AS209" s="124">
        <v>567.8378085874682</v>
      </c>
      <c r="AT209" s="124">
        <v>351.6866359773278</v>
      </c>
      <c r="AU209" s="124">
        <v>393.61784106057655</v>
      </c>
      <c r="AV209" s="124">
        <v>3.9987175907896244E-2</v>
      </c>
      <c r="AW209" s="124">
        <v>220.74333945464753</v>
      </c>
      <c r="AX209" s="124">
        <v>3.9987175907896244E-2</v>
      </c>
      <c r="AY209" s="124">
        <v>146.40643548598808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2.2526855841655171E-2</v>
      </c>
      <c r="F210" s="110">
        <v>0</v>
      </c>
      <c r="G210" s="110">
        <v>2.2526855841655171E-2</v>
      </c>
      <c r="H210" s="110">
        <v>253.44318707836158</v>
      </c>
      <c r="I210" s="110">
        <v>2.8653261836702506E-15</v>
      </c>
      <c r="J210" s="110">
        <v>0</v>
      </c>
      <c r="K210" s="110">
        <v>456</v>
      </c>
      <c r="L210" s="110">
        <v>263.50553150128729</v>
      </c>
      <c r="M210" s="110">
        <v>72.585547542712462</v>
      </c>
      <c r="N210" s="110">
        <v>19.340629416616746</v>
      </c>
      <c r="O210" s="110">
        <v>467.70580544211828</v>
      </c>
      <c r="P210" s="110">
        <v>198.55431548725653</v>
      </c>
      <c r="Q210" s="110">
        <v>25.51990686337658</v>
      </c>
      <c r="R210" s="110">
        <v>0</v>
      </c>
      <c r="S210" s="110">
        <v>0</v>
      </c>
      <c r="T210" s="110">
        <v>321.33935713203806</v>
      </c>
      <c r="U210" s="110">
        <v>60.326634137848473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188.11073068632584</v>
      </c>
      <c r="AB210" s="110">
        <v>467.70580544211828</v>
      </c>
      <c r="AC210" s="110">
        <v>130.20756337822507</v>
      </c>
      <c r="AD210" s="110">
        <v>2.8653261836702506E-15</v>
      </c>
      <c r="AE210" s="110">
        <v>124.76449820568241</v>
      </c>
      <c r="AF210" s="110">
        <v>2.8653261836702506E-15</v>
      </c>
      <c r="AG210" s="110">
        <v>0</v>
      </c>
      <c r="AH210" s="110">
        <v>159.66064286796194</v>
      </c>
      <c r="AI210" s="110">
        <v>263.50553150128729</v>
      </c>
      <c r="AJ210" s="110">
        <v>466</v>
      </c>
      <c r="AK210" s="110">
        <v>263.50553150128729</v>
      </c>
      <c r="AL210" s="110">
        <v>467.70580544211828</v>
      </c>
      <c r="AM210" s="110">
        <v>199.11766749524878</v>
      </c>
      <c r="AN210" s="110">
        <v>2.8653261836702506E-15</v>
      </c>
      <c r="AO210" s="110">
        <v>150.29231459830484</v>
      </c>
      <c r="AP210" s="110">
        <v>16.922028016606298</v>
      </c>
      <c r="AQ210" s="110">
        <v>414.87765051302961</v>
      </c>
      <c r="AR210" s="110">
        <v>561.24409882310977</v>
      </c>
      <c r="AS210" s="110">
        <v>1.8876753261860356E-14</v>
      </c>
      <c r="AT210" s="110">
        <v>288.3133640226722</v>
      </c>
      <c r="AU210" s="110">
        <v>65.382158939423419</v>
      </c>
      <c r="AV210" s="110">
        <v>41.760130358240787</v>
      </c>
      <c r="AW210" s="110">
        <v>467.70580544211828</v>
      </c>
      <c r="AX210" s="110">
        <v>139.14932796859875</v>
      </c>
      <c r="AY210" s="110">
        <v>2.8653261836702506E-15</v>
      </c>
    </row>
    <row r="211" spans="1:51">
      <c r="A211" s="109"/>
      <c r="B211" s="119">
        <v>3</v>
      </c>
      <c r="C211" s="106">
        <v>0</v>
      </c>
      <c r="D211" s="110">
        <v>513</v>
      </c>
      <c r="E211" s="110">
        <v>0</v>
      </c>
      <c r="F211" s="110">
        <v>522</v>
      </c>
      <c r="G211" s="110">
        <v>11.024065071712968</v>
      </c>
      <c r="H211" s="110">
        <v>0</v>
      </c>
      <c r="I211" s="110">
        <v>0</v>
      </c>
      <c r="J211" s="110">
        <v>467.70580544211828</v>
      </c>
      <c r="K211" s="110">
        <v>0</v>
      </c>
      <c r="L211" s="110">
        <v>6.5944890009838311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467.70580544211828</v>
      </c>
      <c r="AH211" s="110">
        <v>321.33935713203806</v>
      </c>
      <c r="AI211" s="110">
        <v>28.202993758213498</v>
      </c>
      <c r="AJ211" s="110">
        <v>0</v>
      </c>
      <c r="AK211" s="110">
        <v>0.96096892106142295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26.456212954753308</v>
      </c>
      <c r="F212" s="110">
        <v>0</v>
      </c>
      <c r="G212" s="110">
        <v>21.386044882823143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282133.49576379923</v>
      </c>
      <c r="E259" s="124">
        <f t="shared" ref="E259:AX259" si="5">F$14*$B$259</f>
        <v>296106.13414789631</v>
      </c>
      <c r="F259" s="124">
        <f t="shared" si="5"/>
        <v>291992.36028764746</v>
      </c>
      <c r="G259" s="124">
        <f t="shared" si="5"/>
        <v>487627.7284480728</v>
      </c>
      <c r="H259" s="124">
        <f t="shared" si="5"/>
        <v>127706.82692021699</v>
      </c>
      <c r="I259" s="124">
        <f t="shared" si="5"/>
        <v>235654.02775258903</v>
      </c>
      <c r="J259" s="124">
        <f t="shared" si="5"/>
        <v>235654.02775258903</v>
      </c>
      <c r="K259" s="124">
        <f t="shared" si="5"/>
        <v>471287.90964986535</v>
      </c>
      <c r="L259" s="124">
        <f t="shared" si="5"/>
        <v>371732.55316520663</v>
      </c>
      <c r="M259" s="124">
        <f t="shared" si="5"/>
        <v>272223.20037801907</v>
      </c>
      <c r="N259" s="124">
        <f t="shared" si="5"/>
        <v>9764.1078389917748</v>
      </c>
      <c r="O259" s="124">
        <f t="shared" si="5"/>
        <v>471287.90964986535</v>
      </c>
      <c r="P259" s="124">
        <f t="shared" si="5"/>
        <v>335687.26142496604</v>
      </c>
      <c r="Q259" s="124">
        <f t="shared" si="5"/>
        <v>248511.15855982795</v>
      </c>
      <c r="R259" s="124">
        <f t="shared" si="5"/>
        <v>235654.02775258903</v>
      </c>
      <c r="S259" s="124">
        <f t="shared" si="5"/>
        <v>73760.719509768693</v>
      </c>
      <c r="T259" s="124">
        <f t="shared" si="5"/>
        <v>397547.33599540929</v>
      </c>
      <c r="U259" s="124">
        <f t="shared" si="5"/>
        <v>266047.06290052918</v>
      </c>
      <c r="V259" s="124">
        <f t="shared" si="5"/>
        <v>188528.69614680667</v>
      </c>
      <c r="W259" s="124">
        <f t="shared" si="5"/>
        <v>188528.69614680667</v>
      </c>
      <c r="X259" s="124">
        <f t="shared" si="5"/>
        <v>188528.69614680667</v>
      </c>
      <c r="Y259" s="124">
        <f t="shared" si="5"/>
        <v>20.145855312574515</v>
      </c>
      <c r="Z259" s="124">
        <f t="shared" si="5"/>
        <v>424162.57804408314</v>
      </c>
      <c r="AA259" s="124">
        <f t="shared" si="5"/>
        <v>94791.818950650326</v>
      </c>
      <c r="AB259" s="124">
        <f t="shared" si="5"/>
        <v>471287.90964986535</v>
      </c>
      <c r="AC259" s="124">
        <f t="shared" si="5"/>
        <v>65619.745548530074</v>
      </c>
      <c r="AD259" s="124">
        <f t="shared" si="5"/>
        <v>471287.90964986535</v>
      </c>
      <c r="AE259" s="124">
        <f t="shared" si="5"/>
        <v>62877.486288323336</v>
      </c>
      <c r="AF259" s="124">
        <f t="shared" si="5"/>
        <v>73760.719509768693</v>
      </c>
      <c r="AG259" s="124">
        <f t="shared" si="5"/>
        <v>471287.90964986535</v>
      </c>
      <c r="AH259" s="124">
        <f t="shared" si="5"/>
        <v>503207.67761442548</v>
      </c>
      <c r="AI259" s="124">
        <f t="shared" si="5"/>
        <v>146985.20677528542</v>
      </c>
      <c r="AJ259" s="124">
        <f t="shared" si="5"/>
        <v>471287.90964986535</v>
      </c>
      <c r="AK259" s="124">
        <f t="shared" si="5"/>
        <v>133260.4593198798</v>
      </c>
      <c r="AL259" s="124">
        <f t="shared" si="5"/>
        <v>471287.90964986535</v>
      </c>
      <c r="AM259" s="124">
        <f t="shared" si="5"/>
        <v>100337.20072249474</v>
      </c>
      <c r="AN259" s="124">
        <f t="shared" si="5"/>
        <v>471287.90964986535</v>
      </c>
      <c r="AO259" s="124">
        <f t="shared" si="5"/>
        <v>311372.48387619591</v>
      </c>
      <c r="AP259" s="124">
        <f t="shared" si="5"/>
        <v>82286.170989589751</v>
      </c>
      <c r="AQ259" s="124">
        <f t="shared" si="5"/>
        <v>209038.78570391523</v>
      </c>
      <c r="AR259" s="124">
        <f t="shared" si="5"/>
        <v>282779.35935837135</v>
      </c>
      <c r="AS259" s="124">
        <f t="shared" si="5"/>
        <v>543920.94603809377</v>
      </c>
      <c r="AT259" s="124">
        <f t="shared" si="5"/>
        <v>380908.57960341568</v>
      </c>
      <c r="AU259" s="124">
        <f t="shared" si="5"/>
        <v>268594.07625841768</v>
      </c>
      <c r="AV259" s="124">
        <f t="shared" si="5"/>
        <v>21059.229634798296</v>
      </c>
      <c r="AW259" s="124">
        <f t="shared" si="5"/>
        <v>471287.90964986535</v>
      </c>
      <c r="AX259" s="124">
        <f t="shared" si="5"/>
        <v>70124.677231919472</v>
      </c>
      <c r="AY259" s="124">
        <f>AZ$14*$B$259</f>
        <v>73760.719509768693</v>
      </c>
      <c r="AZ259" s="139">
        <f>SUM($D259:$AY259)</f>
        <v>12823847.370720571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142856.90808334161</v>
      </c>
      <c r="E260" s="125">
        <f t="shared" ref="E260:AY260" si="6">(E$175-E$176+E$177-E$178+E$179-E$180+E$181-E$182)*$B$260</f>
        <v>142827.12607865574</v>
      </c>
      <c r="F260" s="125">
        <f t="shared" si="6"/>
        <v>138286.85905037099</v>
      </c>
      <c r="G260" s="125">
        <f t="shared" si="6"/>
        <v>178701.65092594508</v>
      </c>
      <c r="H260" s="125">
        <f t="shared" si="6"/>
        <v>141710.77162099903</v>
      </c>
      <c r="I260" s="125">
        <f t="shared" si="6"/>
        <v>133573.3014041126</v>
      </c>
      <c r="J260" s="125">
        <f t="shared" si="6"/>
        <v>127300.18818713738</v>
      </c>
      <c r="K260" s="125">
        <f t="shared" si="6"/>
        <v>165516.45580693291</v>
      </c>
      <c r="L260" s="125">
        <f t="shared" si="6"/>
        <v>164927.43089200612</v>
      </c>
      <c r="M260" s="125">
        <f t="shared" si="6"/>
        <v>160674.1594819281</v>
      </c>
      <c r="N260" s="125">
        <f t="shared" si="6"/>
        <v>116662.57449179325</v>
      </c>
      <c r="O260" s="125">
        <f t="shared" si="6"/>
        <v>141018.6182958002</v>
      </c>
      <c r="P260" s="125">
        <f t="shared" si="6"/>
        <v>133653.48356077232</v>
      </c>
      <c r="Q260" s="125">
        <f t="shared" si="6"/>
        <v>135876.20081185343</v>
      </c>
      <c r="R260" s="125">
        <f t="shared" si="6"/>
        <v>118132.4982505894</v>
      </c>
      <c r="S260" s="125">
        <f t="shared" si="6"/>
        <v>95113.892526905925</v>
      </c>
      <c r="T260" s="125">
        <f t="shared" si="6"/>
        <v>86093.753584240418</v>
      </c>
      <c r="U260" s="125">
        <f t="shared" si="6"/>
        <v>76389.144597212333</v>
      </c>
      <c r="V260" s="125">
        <f t="shared" si="6"/>
        <v>69097.560447123804</v>
      </c>
      <c r="W260" s="125">
        <f t="shared" si="6"/>
        <v>55601.036641308645</v>
      </c>
      <c r="X260" s="125">
        <f t="shared" si="6"/>
        <v>42348.997728056042</v>
      </c>
      <c r="Y260" s="125">
        <f t="shared" si="6"/>
        <v>32501.262134144228</v>
      </c>
      <c r="Z260" s="125">
        <f t="shared" si="6"/>
        <v>42633.024700345777</v>
      </c>
      <c r="AA260" s="125">
        <f t="shared" si="6"/>
        <v>11784.19954581504</v>
      </c>
      <c r="AB260" s="125">
        <f t="shared" si="6"/>
        <v>50325.831594021991</v>
      </c>
      <c r="AC260" s="125">
        <f t="shared" si="6"/>
        <v>10529.356518191918</v>
      </c>
      <c r="AD260" s="125">
        <f t="shared" si="6"/>
        <v>52495.731590648669</v>
      </c>
      <c r="AE260" s="125">
        <f t="shared" si="6"/>
        <v>17611.145010632776</v>
      </c>
      <c r="AF260" s="125">
        <f t="shared" si="6"/>
        <v>5170.384469001674</v>
      </c>
      <c r="AG260" s="125">
        <f t="shared" si="6"/>
        <v>74645.085053582952</v>
      </c>
      <c r="AH260" s="125">
        <f t="shared" si="6"/>
        <v>113287.27029702056</v>
      </c>
      <c r="AI260" s="125">
        <f t="shared" si="6"/>
        <v>65079.077099170863</v>
      </c>
      <c r="AJ260" s="125">
        <f t="shared" si="6"/>
        <v>111832.0683509143</v>
      </c>
      <c r="AK260" s="125">
        <f t="shared" si="6"/>
        <v>56558.856288602554</v>
      </c>
      <c r="AL260" s="125">
        <f t="shared" si="6"/>
        <v>81464.947775231616</v>
      </c>
      <c r="AM260" s="125">
        <f t="shared" si="6"/>
        <v>34371.489413178679</v>
      </c>
      <c r="AN260" s="125">
        <f t="shared" si="6"/>
        <v>60517.731622774147</v>
      </c>
      <c r="AO260" s="125">
        <f t="shared" si="6"/>
        <v>58900.480798101882</v>
      </c>
      <c r="AP260" s="125">
        <f t="shared" si="6"/>
        <v>27231.536104408289</v>
      </c>
      <c r="AQ260" s="125">
        <f t="shared" si="6"/>
        <v>17423.377298627602</v>
      </c>
      <c r="AR260" s="125">
        <f t="shared" si="6"/>
        <v>28850.125587096663</v>
      </c>
      <c r="AS260" s="125">
        <f t="shared" si="6"/>
        <v>102334.87200627421</v>
      </c>
      <c r="AT260" s="125">
        <f t="shared" si="6"/>
        <v>85353.801709581632</v>
      </c>
      <c r="AU260" s="125">
        <f t="shared" si="6"/>
        <v>88052.928666149353</v>
      </c>
      <c r="AV260" s="125">
        <f t="shared" si="6"/>
        <v>56087.592906546211</v>
      </c>
      <c r="AW260" s="125">
        <f t="shared" si="6"/>
        <v>70733.476960777873</v>
      </c>
      <c r="AX260" s="125">
        <f t="shared" si="6"/>
        <v>42741.744354860086</v>
      </c>
      <c r="AY260" s="125">
        <f t="shared" si="6"/>
        <v>15106.45305064099</v>
      </c>
      <c r="AZ260" s="141">
        <f>SUM($D260:$AY260)</f>
        <v>3979986.4633734282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15</v>
      </c>
      <c r="E6" s="100">
        <v>8676</v>
      </c>
      <c r="F6" s="100">
        <v>15</v>
      </c>
      <c r="G6" s="100">
        <v>8676</v>
      </c>
      <c r="H6" s="100">
        <v>18</v>
      </c>
      <c r="I6" s="100">
        <v>10411.199999999999</v>
      </c>
      <c r="J6" s="100">
        <v>0.23463709888449866</v>
      </c>
      <c r="K6" s="100">
        <v>135.71409799479403</v>
      </c>
      <c r="L6" s="100">
        <v>17</v>
      </c>
      <c r="M6" s="100">
        <v>9832.7999999999993</v>
      </c>
      <c r="N6" s="100">
        <v>17</v>
      </c>
      <c r="O6" s="100">
        <v>9832.7999999999993</v>
      </c>
      <c r="P6" s="100">
        <v>18</v>
      </c>
      <c r="Q6" s="100">
        <v>10411.199999999999</v>
      </c>
      <c r="R6" s="100">
        <v>5.9245097641464062</v>
      </c>
      <c r="S6" s="100">
        <v>3426.736447582281</v>
      </c>
      <c r="T6" s="100">
        <v>10.057621730338298</v>
      </c>
      <c r="U6" s="100">
        <v>5817.3284088276714</v>
      </c>
      <c r="V6" s="100">
        <v>10.753108515820472</v>
      </c>
      <c r="W6" s="100">
        <v>6219.5979655505607</v>
      </c>
      <c r="X6" s="100">
        <v>23.271861171534816</v>
      </c>
      <c r="Y6" s="100">
        <v>13460.444501615737</v>
      </c>
      <c r="Z6" s="100">
        <v>14.493519027171949</v>
      </c>
      <c r="AA6" s="100">
        <v>8383.0514053162551</v>
      </c>
      <c r="AB6" s="100">
        <v>23</v>
      </c>
      <c r="AC6" s="100">
        <v>13303.199999999999</v>
      </c>
      <c r="AD6" s="100">
        <v>26</v>
      </c>
      <c r="AE6" s="100">
        <v>15038.4</v>
      </c>
      <c r="AF6" s="100">
        <v>20.35183989976154</v>
      </c>
      <c r="AG6" s="100">
        <v>11771.504198022074</v>
      </c>
      <c r="AH6" s="100">
        <v>16</v>
      </c>
      <c r="AI6" s="100">
        <v>9254.4</v>
      </c>
      <c r="AJ6" s="100">
        <v>22.190758416729722</v>
      </c>
      <c r="AK6" s="100">
        <v>12835.134668236471</v>
      </c>
      <c r="AL6" s="100">
        <v>15.274702320700579</v>
      </c>
      <c r="AM6" s="100">
        <v>8834.8878222932144</v>
      </c>
      <c r="AN6" s="100">
        <v>18.716095373571971</v>
      </c>
      <c r="AO6" s="100">
        <v>10825.389564074028</v>
      </c>
      <c r="AP6" s="100">
        <v>17.444418229884029</v>
      </c>
      <c r="AQ6" s="100">
        <v>10089.851504164923</v>
      </c>
      <c r="AR6" s="100">
        <v>27</v>
      </c>
      <c r="AS6" s="100">
        <v>15616.8</v>
      </c>
      <c r="AT6" s="100">
        <v>18.281830154598662</v>
      </c>
      <c r="AU6" s="100">
        <v>10574.210561419866</v>
      </c>
      <c r="AV6" s="100">
        <v>22.32283137198641</v>
      </c>
      <c r="AW6" s="100">
        <v>12911.525665556939</v>
      </c>
      <c r="AX6" s="100">
        <v>25.212686286034263</v>
      </c>
      <c r="AY6" s="100">
        <v>14583.017747842217</v>
      </c>
      <c r="AZ6" s="100">
        <v>20</v>
      </c>
      <c r="BA6" s="100">
        <v>11568</v>
      </c>
      <c r="BB6" s="100">
        <v>21.926922979334449</v>
      </c>
      <c r="BC6" s="100">
        <v>12682.532251247045</v>
      </c>
      <c r="BD6" s="100">
        <v>17.19955859808789</v>
      </c>
      <c r="BE6" s="100">
        <v>9948.224693134036</v>
      </c>
      <c r="BF6" s="100">
        <v>19.592401017429715</v>
      </c>
      <c r="BG6" s="100">
        <v>11332.244748481347</v>
      </c>
      <c r="BH6" s="100">
        <v>17</v>
      </c>
      <c r="BI6" s="100">
        <v>9832.7999999999993</v>
      </c>
      <c r="BJ6" s="100">
        <v>20</v>
      </c>
      <c r="BK6" s="100">
        <v>11568</v>
      </c>
      <c r="BL6" s="100">
        <v>20</v>
      </c>
      <c r="BM6" s="100">
        <v>11568</v>
      </c>
      <c r="BN6" s="100">
        <v>17</v>
      </c>
      <c r="BO6" s="100">
        <v>9832.7999999999993</v>
      </c>
      <c r="BP6" s="100">
        <v>25</v>
      </c>
      <c r="BQ6" s="100">
        <v>14460</v>
      </c>
      <c r="BR6" s="100">
        <v>28</v>
      </c>
      <c r="BS6" s="100">
        <v>16195.199999999999</v>
      </c>
      <c r="BT6" s="100">
        <v>21</v>
      </c>
      <c r="BU6" s="100">
        <v>12146.4</v>
      </c>
      <c r="BV6" s="100">
        <v>19</v>
      </c>
      <c r="BW6" s="100">
        <v>10989.6</v>
      </c>
      <c r="BX6" s="100">
        <v>21</v>
      </c>
      <c r="BY6" s="100">
        <v>12146.4</v>
      </c>
      <c r="BZ6" s="100">
        <v>30</v>
      </c>
      <c r="CA6" s="100">
        <v>17352</v>
      </c>
      <c r="CB6" s="100">
        <v>22</v>
      </c>
      <c r="CC6" s="100">
        <v>12724.8</v>
      </c>
      <c r="CD6" s="100">
        <v>31</v>
      </c>
      <c r="CE6" s="100">
        <v>17930.399999999998</v>
      </c>
      <c r="CF6" s="100">
        <v>21</v>
      </c>
      <c r="CG6" s="100">
        <v>12146.4</v>
      </c>
      <c r="CH6" s="100">
        <v>19</v>
      </c>
      <c r="CI6" s="100">
        <v>10989.6</v>
      </c>
      <c r="CJ6" s="100">
        <v>17</v>
      </c>
      <c r="CK6" s="100">
        <v>9832.7999999999993</v>
      </c>
      <c r="CL6" s="100">
        <v>21</v>
      </c>
      <c r="CM6" s="100">
        <v>12146.4</v>
      </c>
      <c r="CN6" s="100">
        <v>19</v>
      </c>
      <c r="CO6" s="100">
        <v>10989.6</v>
      </c>
      <c r="CP6" s="100">
        <v>28</v>
      </c>
      <c r="CQ6" s="100">
        <v>16195.199999999999</v>
      </c>
      <c r="CR6" s="100">
        <v>17</v>
      </c>
      <c r="CS6" s="100">
        <v>9832.7999999999993</v>
      </c>
      <c r="CT6" s="100">
        <v>21</v>
      </c>
      <c r="CU6" s="100">
        <v>12146.4</v>
      </c>
    </row>
    <row r="7" spans="1:99">
      <c r="C7" s="99" t="s">
        <v>173</v>
      </c>
      <c r="D7" s="100">
        <v>14</v>
      </c>
      <c r="E7" s="100">
        <v>11037.6</v>
      </c>
      <c r="F7" s="100">
        <v>13</v>
      </c>
      <c r="G7" s="100">
        <v>10249.199999999999</v>
      </c>
      <c r="H7" s="100">
        <v>18</v>
      </c>
      <c r="I7" s="100">
        <v>14191.199999999999</v>
      </c>
      <c r="J7" s="100">
        <v>0.25268610649099854</v>
      </c>
      <c r="K7" s="100">
        <v>199.21772635750324</v>
      </c>
      <c r="L7" s="100">
        <v>16</v>
      </c>
      <c r="M7" s="100">
        <v>12614.4</v>
      </c>
      <c r="N7" s="100">
        <v>17</v>
      </c>
      <c r="O7" s="100">
        <v>13402.8</v>
      </c>
      <c r="P7" s="100">
        <v>18</v>
      </c>
      <c r="Q7" s="100">
        <v>14191.199999999999</v>
      </c>
      <c r="R7" s="100">
        <v>5.5760091897848527</v>
      </c>
      <c r="S7" s="100">
        <v>4396.1256452263779</v>
      </c>
      <c r="T7" s="100">
        <v>10.514786354444583</v>
      </c>
      <c r="U7" s="100">
        <v>8289.8575618441082</v>
      </c>
      <c r="V7" s="100">
        <v>9.4089699513429128</v>
      </c>
      <c r="W7" s="100">
        <v>7418.031909638752</v>
      </c>
      <c r="X7" s="100">
        <v>22.302200289387528</v>
      </c>
      <c r="Y7" s="100">
        <v>17583.054708153126</v>
      </c>
      <c r="Z7" s="100">
        <v>13.975893347630095</v>
      </c>
      <c r="AA7" s="100">
        <v>11018.594315271566</v>
      </c>
      <c r="AB7" s="100">
        <v>23</v>
      </c>
      <c r="AC7" s="100">
        <v>18133.2</v>
      </c>
      <c r="AD7" s="100">
        <v>23</v>
      </c>
      <c r="AE7" s="100">
        <v>18133.2</v>
      </c>
      <c r="AF7" s="100">
        <v>18.582114691086623</v>
      </c>
      <c r="AG7" s="100">
        <v>14650.139222452694</v>
      </c>
      <c r="AH7" s="100">
        <v>16</v>
      </c>
      <c r="AI7" s="100">
        <v>12614.4</v>
      </c>
      <c r="AJ7" s="100">
        <v>20.415497743391342</v>
      </c>
      <c r="AK7" s="100">
        <v>16095.578420889733</v>
      </c>
      <c r="AL7" s="100">
        <v>15.274702320700579</v>
      </c>
      <c r="AM7" s="100">
        <v>12042.575309640335</v>
      </c>
      <c r="AN7" s="100">
        <v>15.836696085330129</v>
      </c>
      <c r="AO7" s="100">
        <v>12485.651193674274</v>
      </c>
      <c r="AP7" s="100">
        <v>18.115357392571873</v>
      </c>
      <c r="AQ7" s="100">
        <v>14282.147768303665</v>
      </c>
      <c r="AR7" s="100">
        <v>25</v>
      </c>
      <c r="AS7" s="100">
        <v>19710</v>
      </c>
      <c r="AT7" s="100">
        <v>19.943814714107635</v>
      </c>
      <c r="AU7" s="100">
        <v>15723.703520602459</v>
      </c>
      <c r="AV7" s="100">
        <v>24.803145968873789</v>
      </c>
      <c r="AW7" s="100">
        <v>19554.800281860094</v>
      </c>
      <c r="AX7" s="100">
        <v>22.772748903514817</v>
      </c>
      <c r="AY7" s="100">
        <v>17954.035235531082</v>
      </c>
      <c r="AZ7" s="100">
        <v>18</v>
      </c>
      <c r="BA7" s="100">
        <v>14191.199999999999</v>
      </c>
      <c r="BB7" s="100">
        <v>20.020234024609717</v>
      </c>
      <c r="BC7" s="100">
        <v>15783.9525050023</v>
      </c>
      <c r="BD7" s="100">
        <v>16.244027564860783</v>
      </c>
      <c r="BE7" s="100">
        <v>12806.791332136241</v>
      </c>
      <c r="BF7" s="100">
        <v>21.551641119172686</v>
      </c>
      <c r="BG7" s="100">
        <v>16991.313858355745</v>
      </c>
      <c r="BH7" s="100">
        <v>17</v>
      </c>
      <c r="BI7" s="100">
        <v>13402.8</v>
      </c>
      <c r="BJ7" s="100">
        <v>19</v>
      </c>
      <c r="BK7" s="100">
        <v>14979.6</v>
      </c>
      <c r="BL7" s="100">
        <v>18</v>
      </c>
      <c r="BM7" s="100">
        <v>14191.199999999999</v>
      </c>
      <c r="BN7" s="100">
        <v>15</v>
      </c>
      <c r="BO7" s="100">
        <v>11826</v>
      </c>
      <c r="BP7" s="100">
        <v>26</v>
      </c>
      <c r="BQ7" s="100">
        <v>20498.399999999998</v>
      </c>
      <c r="BR7" s="100">
        <v>26</v>
      </c>
      <c r="BS7" s="100">
        <v>20498.399999999998</v>
      </c>
      <c r="BT7" s="100">
        <v>22</v>
      </c>
      <c r="BU7" s="100">
        <v>17344.8</v>
      </c>
      <c r="BV7" s="100">
        <v>18</v>
      </c>
      <c r="BW7" s="100">
        <v>14191.199999999999</v>
      </c>
      <c r="BX7" s="100">
        <v>23</v>
      </c>
      <c r="BY7" s="100">
        <v>18133.2</v>
      </c>
      <c r="BZ7" s="100">
        <v>27</v>
      </c>
      <c r="CA7" s="100">
        <v>21286.799999999999</v>
      </c>
      <c r="CB7" s="100">
        <v>22</v>
      </c>
      <c r="CC7" s="100">
        <v>17344.8</v>
      </c>
      <c r="CD7" s="100">
        <v>32</v>
      </c>
      <c r="CE7" s="100">
        <v>25228.799999999999</v>
      </c>
      <c r="CF7" s="100">
        <v>19</v>
      </c>
      <c r="CG7" s="100">
        <v>14979.6</v>
      </c>
      <c r="CH7" s="100">
        <v>20</v>
      </c>
      <c r="CI7" s="100">
        <v>15768</v>
      </c>
      <c r="CJ7" s="100">
        <v>16</v>
      </c>
      <c r="CK7" s="100">
        <v>12614.4</v>
      </c>
      <c r="CL7" s="100">
        <v>19</v>
      </c>
      <c r="CM7" s="100">
        <v>14979.6</v>
      </c>
      <c r="CN7" s="100">
        <v>20</v>
      </c>
      <c r="CO7" s="100">
        <v>15768</v>
      </c>
      <c r="CP7" s="100">
        <v>25</v>
      </c>
      <c r="CQ7" s="100">
        <v>19710</v>
      </c>
      <c r="CR7" s="100">
        <v>16</v>
      </c>
      <c r="CS7" s="100">
        <v>12614.4</v>
      </c>
      <c r="CT7" s="100">
        <v>22</v>
      </c>
      <c r="CU7" s="100">
        <v>17344.8</v>
      </c>
    </row>
    <row r="8" spans="1:99">
      <c r="C8" s="99" t="s">
        <v>174</v>
      </c>
      <c r="D8" s="100">
        <v>15</v>
      </c>
      <c r="E8" s="100">
        <v>4643.9999999999991</v>
      </c>
      <c r="F8" s="100">
        <v>15</v>
      </c>
      <c r="G8" s="100">
        <v>4643.9999999999991</v>
      </c>
      <c r="H8" s="100">
        <v>21</v>
      </c>
      <c r="I8" s="100">
        <v>6501.5999999999995</v>
      </c>
      <c r="J8" s="100">
        <v>0.28878412170399831</v>
      </c>
      <c r="K8" s="100">
        <v>89.407564079557872</v>
      </c>
      <c r="L8" s="100">
        <v>16</v>
      </c>
      <c r="M8" s="100">
        <v>4953.5999999999995</v>
      </c>
      <c r="N8" s="100">
        <v>17</v>
      </c>
      <c r="O8" s="100">
        <v>5263.2</v>
      </c>
      <c r="P8" s="100">
        <v>20</v>
      </c>
      <c r="Q8" s="100">
        <v>6191.9999999999991</v>
      </c>
      <c r="R8" s="100">
        <v>6.2730103385079605</v>
      </c>
      <c r="S8" s="100">
        <v>1942.1240008020643</v>
      </c>
      <c r="T8" s="100">
        <v>10.97195097855087</v>
      </c>
      <c r="U8" s="100">
        <v>3396.916022959349</v>
      </c>
      <c r="V8" s="100">
        <v>10.081039233581691</v>
      </c>
      <c r="W8" s="100">
        <v>3121.0897467168911</v>
      </c>
      <c r="X8" s="100">
        <v>23.271861171534816</v>
      </c>
      <c r="Y8" s="100">
        <v>7204.9682187071785</v>
      </c>
      <c r="Z8" s="100">
        <v>13.975893347630095</v>
      </c>
      <c r="AA8" s="100">
        <v>4326.936580426277</v>
      </c>
      <c r="AB8" s="100">
        <v>24</v>
      </c>
      <c r="AC8" s="100">
        <v>7430.4</v>
      </c>
      <c r="AD8" s="100">
        <v>26</v>
      </c>
      <c r="AE8" s="100">
        <v>8049.5999999999995</v>
      </c>
      <c r="AF8" s="100">
        <v>23.006427712773917</v>
      </c>
      <c r="AG8" s="100">
        <v>7122.7900198748039</v>
      </c>
      <c r="AH8" s="100">
        <v>17</v>
      </c>
      <c r="AI8" s="100">
        <v>5263.2</v>
      </c>
      <c r="AJ8" s="100">
        <v>23.966019090068098</v>
      </c>
      <c r="AK8" s="100">
        <v>7419.8795102850827</v>
      </c>
      <c r="AL8" s="100">
        <v>16.802172552770639</v>
      </c>
      <c r="AM8" s="100">
        <v>5201.9526223377889</v>
      </c>
      <c r="AN8" s="100">
        <v>20.155795017692888</v>
      </c>
      <c r="AO8" s="100">
        <v>6240.2341374777179</v>
      </c>
      <c r="AP8" s="100">
        <v>17.444418229884029</v>
      </c>
      <c r="AQ8" s="100">
        <v>5400.7918839720951</v>
      </c>
      <c r="AR8" s="100">
        <v>28</v>
      </c>
      <c r="AS8" s="100">
        <v>8668.7999999999993</v>
      </c>
      <c r="AT8" s="100">
        <v>20.774806993862118</v>
      </c>
      <c r="AU8" s="100">
        <v>6431.8802452997106</v>
      </c>
      <c r="AV8" s="100">
        <v>26.456689033465377</v>
      </c>
      <c r="AW8" s="100">
        <v>8190.9909247608803</v>
      </c>
      <c r="AX8" s="100">
        <v>25.212686286034263</v>
      </c>
      <c r="AY8" s="100">
        <v>7805.8476741562072</v>
      </c>
      <c r="AZ8" s="100">
        <v>18</v>
      </c>
      <c r="BA8" s="100">
        <v>5572.7999999999993</v>
      </c>
      <c r="BB8" s="100">
        <v>22.880267456696817</v>
      </c>
      <c r="BC8" s="100">
        <v>7083.7308045933341</v>
      </c>
      <c r="BD8" s="100">
        <v>16.244027564860783</v>
      </c>
      <c r="BE8" s="100">
        <v>5029.150934080898</v>
      </c>
      <c r="BF8" s="100">
        <v>20.572021068301201</v>
      </c>
      <c r="BG8" s="100">
        <v>6369.0977227460507</v>
      </c>
      <c r="BH8" s="100">
        <v>18</v>
      </c>
      <c r="BI8" s="100">
        <v>5572.7999999999993</v>
      </c>
      <c r="BJ8" s="100">
        <v>20</v>
      </c>
      <c r="BK8" s="100">
        <v>6191.9999999999991</v>
      </c>
      <c r="BL8" s="100">
        <v>19</v>
      </c>
      <c r="BM8" s="100">
        <v>5882.4</v>
      </c>
      <c r="BN8" s="100">
        <v>17</v>
      </c>
      <c r="BO8" s="100">
        <v>5263.2</v>
      </c>
      <c r="BP8" s="100">
        <v>25</v>
      </c>
      <c r="BQ8" s="100">
        <v>7739.9999999999991</v>
      </c>
      <c r="BR8" s="100">
        <v>30</v>
      </c>
      <c r="BS8" s="100">
        <v>9287.9999999999982</v>
      </c>
      <c r="BT8" s="100">
        <v>25</v>
      </c>
      <c r="BU8" s="100">
        <v>7739.9999999999991</v>
      </c>
      <c r="BV8" s="100">
        <v>20</v>
      </c>
      <c r="BW8" s="100">
        <v>6191.9999999999991</v>
      </c>
      <c r="BX8" s="100">
        <v>23</v>
      </c>
      <c r="BY8" s="100">
        <v>7120.7999999999993</v>
      </c>
      <c r="BZ8" s="100">
        <v>31</v>
      </c>
      <c r="CA8" s="100">
        <v>9597.5999999999985</v>
      </c>
      <c r="CB8" s="100">
        <v>19</v>
      </c>
      <c r="CC8" s="100">
        <v>5882.4</v>
      </c>
      <c r="CD8" s="100">
        <v>29</v>
      </c>
      <c r="CE8" s="100">
        <v>8978.4</v>
      </c>
      <c r="CF8" s="100">
        <v>23</v>
      </c>
      <c r="CG8" s="100">
        <v>7120.7999999999993</v>
      </c>
      <c r="CH8" s="100">
        <v>20</v>
      </c>
      <c r="CI8" s="100">
        <v>6191.9999999999991</v>
      </c>
      <c r="CJ8" s="100">
        <v>17</v>
      </c>
      <c r="CK8" s="100">
        <v>5263.2</v>
      </c>
      <c r="CL8" s="100">
        <v>21</v>
      </c>
      <c r="CM8" s="100">
        <v>6501.5999999999995</v>
      </c>
      <c r="CN8" s="100">
        <v>20</v>
      </c>
      <c r="CO8" s="100">
        <v>6191.9999999999991</v>
      </c>
      <c r="CP8" s="100">
        <v>30</v>
      </c>
      <c r="CQ8" s="100">
        <v>9287.9999999999982</v>
      </c>
      <c r="CR8" s="100">
        <v>16</v>
      </c>
      <c r="CS8" s="100">
        <v>4953.5999999999995</v>
      </c>
      <c r="CT8" s="100">
        <v>22</v>
      </c>
      <c r="CU8" s="100">
        <v>6811.1999999999989</v>
      </c>
    </row>
    <row r="9" spans="1:99">
      <c r="C9" s="99" t="s">
        <v>175</v>
      </c>
      <c r="D9" s="100">
        <v>15</v>
      </c>
      <c r="E9" s="100">
        <v>10530</v>
      </c>
      <c r="F9" s="100">
        <v>16</v>
      </c>
      <c r="G9" s="100">
        <v>11232</v>
      </c>
      <c r="H9" s="100">
        <v>21</v>
      </c>
      <c r="I9" s="100">
        <v>14742</v>
      </c>
      <c r="J9" s="100">
        <v>0.2707351140974984</v>
      </c>
      <c r="K9" s="100">
        <v>190.05605009644387</v>
      </c>
      <c r="L9" s="100">
        <v>15</v>
      </c>
      <c r="M9" s="100">
        <v>10530</v>
      </c>
      <c r="N9" s="100">
        <v>15</v>
      </c>
      <c r="O9" s="100">
        <v>10530</v>
      </c>
      <c r="P9" s="100">
        <v>21</v>
      </c>
      <c r="Q9" s="100">
        <v>14742</v>
      </c>
      <c r="R9" s="100">
        <v>5.2275086154233001</v>
      </c>
      <c r="S9" s="100">
        <v>3669.7110480271567</v>
      </c>
      <c r="T9" s="100">
        <v>9.6004571062320121</v>
      </c>
      <c r="U9" s="100">
        <v>6739.5208885748725</v>
      </c>
      <c r="V9" s="100">
        <v>10.753108515820472</v>
      </c>
      <c r="W9" s="100">
        <v>7548.6821781059716</v>
      </c>
      <c r="X9" s="100">
        <v>23.271861171534816</v>
      </c>
      <c r="Y9" s="100">
        <v>16336.846542417441</v>
      </c>
      <c r="Z9" s="100">
        <v>12.423016309004527</v>
      </c>
      <c r="AA9" s="100">
        <v>8720.9574489211791</v>
      </c>
      <c r="AB9" s="100">
        <v>22</v>
      </c>
      <c r="AC9" s="100">
        <v>15444</v>
      </c>
      <c r="AD9" s="100">
        <v>25</v>
      </c>
      <c r="AE9" s="100">
        <v>17550</v>
      </c>
      <c r="AF9" s="100">
        <v>18.582114691086623</v>
      </c>
      <c r="AG9" s="100">
        <v>13044.64451314281</v>
      </c>
      <c r="AH9" s="100">
        <v>14</v>
      </c>
      <c r="AI9" s="100">
        <v>9828</v>
      </c>
      <c r="AJ9" s="100">
        <v>22.190758416729722</v>
      </c>
      <c r="AK9" s="100">
        <v>15577.912408544265</v>
      </c>
      <c r="AL9" s="100">
        <v>16.802172552770639</v>
      </c>
      <c r="AM9" s="100">
        <v>11795.125132044988</v>
      </c>
      <c r="AN9" s="100">
        <v>17.99624555151151</v>
      </c>
      <c r="AO9" s="100">
        <v>12633.36437716108</v>
      </c>
      <c r="AP9" s="100">
        <v>18.786296555259721</v>
      </c>
      <c r="AQ9" s="100">
        <v>13187.980181792323</v>
      </c>
      <c r="AR9" s="100">
        <v>24</v>
      </c>
      <c r="AS9" s="100">
        <v>16848</v>
      </c>
      <c r="AT9" s="100">
        <v>18.281830154598662</v>
      </c>
      <c r="AU9" s="100">
        <v>12833.844768528261</v>
      </c>
      <c r="AV9" s="100">
        <v>23.976374436577995</v>
      </c>
      <c r="AW9" s="100">
        <v>16831.414854477753</v>
      </c>
      <c r="AX9" s="100">
        <v>21.959436442675003</v>
      </c>
      <c r="AY9" s="100">
        <v>15415.524382757852</v>
      </c>
      <c r="AZ9" s="100">
        <v>18</v>
      </c>
      <c r="BA9" s="100">
        <v>12636</v>
      </c>
      <c r="BB9" s="100">
        <v>20.973578501972082</v>
      </c>
      <c r="BC9" s="100">
        <v>14723.452108384401</v>
      </c>
      <c r="BD9" s="100">
        <v>15.28849653163368</v>
      </c>
      <c r="BE9" s="100">
        <v>10732.524565206842</v>
      </c>
      <c r="BF9" s="100">
        <v>20.572021068301201</v>
      </c>
      <c r="BG9" s="100">
        <v>14441.558789947443</v>
      </c>
      <c r="BH9" s="100">
        <v>15</v>
      </c>
      <c r="BI9" s="100">
        <v>10530</v>
      </c>
      <c r="BJ9" s="100">
        <v>19</v>
      </c>
      <c r="BK9" s="100">
        <v>13338</v>
      </c>
      <c r="BL9" s="100">
        <v>17</v>
      </c>
      <c r="BM9" s="100">
        <v>11934</v>
      </c>
      <c r="BN9" s="100">
        <v>15</v>
      </c>
      <c r="BO9" s="100">
        <v>10530</v>
      </c>
      <c r="BP9" s="100">
        <v>24</v>
      </c>
      <c r="BQ9" s="100">
        <v>16848</v>
      </c>
      <c r="BR9" s="100">
        <v>28</v>
      </c>
      <c r="BS9" s="100">
        <v>19656</v>
      </c>
      <c r="BT9" s="100">
        <v>22</v>
      </c>
      <c r="BU9" s="100">
        <v>15444</v>
      </c>
      <c r="BV9" s="100">
        <v>19</v>
      </c>
      <c r="BW9" s="100">
        <v>13338</v>
      </c>
      <c r="BX9" s="100">
        <v>21</v>
      </c>
      <c r="BY9" s="100">
        <v>14742</v>
      </c>
      <c r="BZ9" s="100">
        <v>28</v>
      </c>
      <c r="CA9" s="100">
        <v>19656</v>
      </c>
      <c r="CB9" s="100">
        <v>19</v>
      </c>
      <c r="CC9" s="100">
        <v>13338</v>
      </c>
      <c r="CD9" s="100">
        <v>28</v>
      </c>
      <c r="CE9" s="100">
        <v>19656</v>
      </c>
      <c r="CF9" s="100">
        <v>22</v>
      </c>
      <c r="CG9" s="100">
        <v>15444</v>
      </c>
      <c r="CH9" s="100">
        <v>22</v>
      </c>
      <c r="CI9" s="100">
        <v>15444</v>
      </c>
      <c r="CJ9" s="100">
        <v>18</v>
      </c>
      <c r="CK9" s="100">
        <v>12636</v>
      </c>
      <c r="CL9" s="100">
        <v>18</v>
      </c>
      <c r="CM9" s="100">
        <v>12636</v>
      </c>
      <c r="CN9" s="100">
        <v>20</v>
      </c>
      <c r="CO9" s="100">
        <v>14040</v>
      </c>
      <c r="CP9" s="100">
        <v>25</v>
      </c>
      <c r="CQ9" s="100">
        <v>17550</v>
      </c>
      <c r="CR9" s="100">
        <v>15</v>
      </c>
      <c r="CS9" s="100">
        <v>10530</v>
      </c>
      <c r="CT9" s="100">
        <v>21</v>
      </c>
      <c r="CU9" s="100">
        <v>14742</v>
      </c>
    </row>
    <row r="10" spans="1:99">
      <c r="C10" s="99" t="s">
        <v>176</v>
      </c>
      <c r="D10" s="100">
        <v>17</v>
      </c>
      <c r="E10" s="100">
        <v>9261.5999999999985</v>
      </c>
      <c r="F10" s="100">
        <v>14</v>
      </c>
      <c r="G10" s="100">
        <v>7627.1999999999989</v>
      </c>
      <c r="H10" s="100">
        <v>21</v>
      </c>
      <c r="I10" s="100">
        <v>11440.8</v>
      </c>
      <c r="J10" s="100">
        <v>0.2707351140974984</v>
      </c>
      <c r="K10" s="100">
        <v>147.49649016031711</v>
      </c>
      <c r="L10" s="100">
        <v>15</v>
      </c>
      <c r="M10" s="100">
        <v>8171.9999999999991</v>
      </c>
      <c r="N10" s="100">
        <v>17</v>
      </c>
      <c r="O10" s="100">
        <v>9261.5999999999985</v>
      </c>
      <c r="P10" s="100">
        <v>20</v>
      </c>
      <c r="Q10" s="100">
        <v>10896</v>
      </c>
      <c r="R10" s="100">
        <v>5.2275086154233001</v>
      </c>
      <c r="S10" s="100">
        <v>2847.9466936826138</v>
      </c>
      <c r="T10" s="100">
        <v>10.97195097855087</v>
      </c>
      <c r="U10" s="100">
        <v>5977.518893114514</v>
      </c>
      <c r="V10" s="100">
        <v>10.753108515820472</v>
      </c>
      <c r="W10" s="100">
        <v>5858.2935194189922</v>
      </c>
      <c r="X10" s="100">
        <v>27.150504700123953</v>
      </c>
      <c r="Y10" s="100">
        <v>14791.594960627528</v>
      </c>
      <c r="Z10" s="100">
        <v>14.493519027171949</v>
      </c>
      <c r="AA10" s="100">
        <v>7896.0691660032771</v>
      </c>
      <c r="AB10" s="100">
        <v>23</v>
      </c>
      <c r="AC10" s="100">
        <v>12530.4</v>
      </c>
      <c r="AD10" s="100">
        <v>25</v>
      </c>
      <c r="AE10" s="100">
        <v>13619.999999999998</v>
      </c>
      <c r="AF10" s="100">
        <v>21.236702504098997</v>
      </c>
      <c r="AG10" s="100">
        <v>11569.755524233133</v>
      </c>
      <c r="AH10" s="100">
        <v>17</v>
      </c>
      <c r="AI10" s="100">
        <v>9261.5999999999985</v>
      </c>
      <c r="AJ10" s="100">
        <v>24.853649426737288</v>
      </c>
      <c r="AK10" s="100">
        <v>13540.268207686473</v>
      </c>
      <c r="AL10" s="100">
        <v>16.038437436735606</v>
      </c>
      <c r="AM10" s="100">
        <v>8737.7407155335568</v>
      </c>
      <c r="AN10" s="100">
        <v>20.155795017692888</v>
      </c>
      <c r="AO10" s="100">
        <v>10980.877125639085</v>
      </c>
      <c r="AP10" s="100">
        <v>17.444418229884029</v>
      </c>
      <c r="AQ10" s="100">
        <v>9503.7190516408173</v>
      </c>
      <c r="AR10" s="100">
        <v>29</v>
      </c>
      <c r="AS10" s="100">
        <v>15799.199999999999</v>
      </c>
      <c r="AT10" s="100">
        <v>19.943814714107635</v>
      </c>
      <c r="AU10" s="100">
        <v>10865.390256245839</v>
      </c>
      <c r="AV10" s="100">
        <v>26.456689033465377</v>
      </c>
      <c r="AW10" s="100">
        <v>14413.604185431936</v>
      </c>
      <c r="AX10" s="100">
        <v>24.399373825194449</v>
      </c>
      <c r="AY10" s="100">
        <v>13292.778859965934</v>
      </c>
      <c r="AZ10" s="100">
        <v>20</v>
      </c>
      <c r="BA10" s="100">
        <v>10896</v>
      </c>
      <c r="BB10" s="100">
        <v>21.926922979334449</v>
      </c>
      <c r="BC10" s="100">
        <v>11945.787639141407</v>
      </c>
      <c r="BD10" s="100">
        <v>18.155089631314993</v>
      </c>
      <c r="BE10" s="100">
        <v>9890.892831140407</v>
      </c>
      <c r="BF10" s="100">
        <v>21.551641119172686</v>
      </c>
      <c r="BG10" s="100">
        <v>11741.334081725279</v>
      </c>
      <c r="BH10" s="100">
        <v>16</v>
      </c>
      <c r="BI10" s="100">
        <v>8716.7999999999993</v>
      </c>
      <c r="BJ10" s="100">
        <v>18</v>
      </c>
      <c r="BK10" s="100">
        <v>9806.4</v>
      </c>
      <c r="BL10" s="100">
        <v>20</v>
      </c>
      <c r="BM10" s="100">
        <v>10896</v>
      </c>
      <c r="BN10" s="100">
        <v>16</v>
      </c>
      <c r="BO10" s="100">
        <v>8716.7999999999993</v>
      </c>
      <c r="BP10" s="100">
        <v>23</v>
      </c>
      <c r="BQ10" s="100">
        <v>12530.4</v>
      </c>
      <c r="BR10" s="100">
        <v>25</v>
      </c>
      <c r="BS10" s="100">
        <v>13619.999999999998</v>
      </c>
      <c r="BT10" s="100">
        <v>23</v>
      </c>
      <c r="BU10" s="100">
        <v>12530.4</v>
      </c>
      <c r="BV10" s="100">
        <v>21</v>
      </c>
      <c r="BW10" s="100">
        <v>11440.8</v>
      </c>
      <c r="BX10" s="100">
        <v>23</v>
      </c>
      <c r="BY10" s="100">
        <v>12530.4</v>
      </c>
      <c r="BZ10" s="100">
        <v>30</v>
      </c>
      <c r="CA10" s="100">
        <v>16343.999999999998</v>
      </c>
      <c r="CB10" s="100">
        <v>22</v>
      </c>
      <c r="CC10" s="100">
        <v>11985.599999999999</v>
      </c>
      <c r="CD10" s="100">
        <v>32</v>
      </c>
      <c r="CE10" s="100">
        <v>17433.599999999999</v>
      </c>
      <c r="CF10" s="100">
        <v>22</v>
      </c>
      <c r="CG10" s="100">
        <v>11985.599999999999</v>
      </c>
      <c r="CH10" s="100">
        <v>20</v>
      </c>
      <c r="CI10" s="100">
        <v>10896</v>
      </c>
      <c r="CJ10" s="100">
        <v>19</v>
      </c>
      <c r="CK10" s="100">
        <v>10351.199999999999</v>
      </c>
      <c r="CL10" s="100">
        <v>19</v>
      </c>
      <c r="CM10" s="100">
        <v>10351.199999999999</v>
      </c>
      <c r="CN10" s="100">
        <v>21</v>
      </c>
      <c r="CO10" s="100">
        <v>11440.8</v>
      </c>
      <c r="CP10" s="100">
        <v>28</v>
      </c>
      <c r="CQ10" s="100">
        <v>15254.399999999998</v>
      </c>
      <c r="CR10" s="100">
        <v>17</v>
      </c>
      <c r="CS10" s="100">
        <v>9261.5999999999985</v>
      </c>
      <c r="CT10" s="100">
        <v>18</v>
      </c>
      <c r="CU10" s="100">
        <v>9806.4</v>
      </c>
    </row>
    <row r="11" spans="1:99">
      <c r="C11" s="99" t="s">
        <v>177</v>
      </c>
      <c r="D11" s="100">
        <v>15</v>
      </c>
      <c r="E11" s="100">
        <v>7991.9999999999991</v>
      </c>
      <c r="F11" s="100">
        <v>13</v>
      </c>
      <c r="G11" s="100">
        <v>6926.4</v>
      </c>
      <c r="H11" s="100">
        <v>18</v>
      </c>
      <c r="I11" s="100">
        <v>9590.4</v>
      </c>
      <c r="J11" s="100">
        <v>0.2707351140974984</v>
      </c>
      <c r="K11" s="100">
        <v>144.24766879114713</v>
      </c>
      <c r="L11" s="100">
        <v>16</v>
      </c>
      <c r="M11" s="100">
        <v>8524.7999999999993</v>
      </c>
      <c r="N11" s="100">
        <v>16</v>
      </c>
      <c r="O11" s="100">
        <v>8524.7999999999993</v>
      </c>
      <c r="P11" s="100">
        <v>21</v>
      </c>
      <c r="Q11" s="100">
        <v>11188.8</v>
      </c>
      <c r="R11" s="100">
        <v>5.2275086154233001</v>
      </c>
      <c r="S11" s="100">
        <v>2785.2165902975339</v>
      </c>
      <c r="T11" s="100">
        <v>10.514786354444583</v>
      </c>
      <c r="U11" s="100">
        <v>5602.2781696480733</v>
      </c>
      <c r="V11" s="100">
        <v>10.753108515820472</v>
      </c>
      <c r="W11" s="100">
        <v>5729.2562172291473</v>
      </c>
      <c r="X11" s="100">
        <v>24.2415220536821</v>
      </c>
      <c r="Y11" s="100">
        <v>12915.882950201822</v>
      </c>
      <c r="Z11" s="100">
        <v>12.423016309004527</v>
      </c>
      <c r="AA11" s="100">
        <v>6618.9830894376119</v>
      </c>
      <c r="AB11" s="100">
        <v>24</v>
      </c>
      <c r="AC11" s="100">
        <v>12787.199999999999</v>
      </c>
      <c r="AD11" s="100">
        <v>28</v>
      </c>
      <c r="AE11" s="100">
        <v>14918.399999999998</v>
      </c>
      <c r="AF11" s="100">
        <v>19.466977295424083</v>
      </c>
      <c r="AG11" s="100">
        <v>10372.00550300195</v>
      </c>
      <c r="AH11" s="100">
        <v>14</v>
      </c>
      <c r="AI11" s="100">
        <v>7459.1999999999989</v>
      </c>
      <c r="AJ11" s="100">
        <v>21.303128080060532</v>
      </c>
      <c r="AK11" s="100">
        <v>11350.30664105625</v>
      </c>
      <c r="AL11" s="100">
        <v>17.565907668805668</v>
      </c>
      <c r="AM11" s="100">
        <v>9359.1156059396599</v>
      </c>
      <c r="AN11" s="100">
        <v>18.716095373571971</v>
      </c>
      <c r="AO11" s="100">
        <v>9971.935615039145</v>
      </c>
      <c r="AP11" s="100">
        <v>18.115357392571873</v>
      </c>
      <c r="AQ11" s="100">
        <v>9651.8624187622936</v>
      </c>
      <c r="AR11" s="100">
        <v>27</v>
      </c>
      <c r="AS11" s="100">
        <v>14385.599999999999</v>
      </c>
      <c r="AT11" s="100">
        <v>19.112822434353149</v>
      </c>
      <c r="AU11" s="100">
        <v>10183.311793023357</v>
      </c>
      <c r="AV11" s="100">
        <v>23.149602904282204</v>
      </c>
      <c r="AW11" s="100">
        <v>12334.108427401557</v>
      </c>
      <c r="AX11" s="100">
        <v>25.212686286034263</v>
      </c>
      <c r="AY11" s="100">
        <v>13433.319253199053</v>
      </c>
      <c r="AZ11" s="100">
        <v>21</v>
      </c>
      <c r="BA11" s="100">
        <v>11188.8</v>
      </c>
      <c r="BB11" s="100">
        <v>20.020234024609717</v>
      </c>
      <c r="BC11" s="100">
        <v>10666.780688312056</v>
      </c>
      <c r="BD11" s="100">
        <v>18.155089631314993</v>
      </c>
      <c r="BE11" s="100">
        <v>9673.031755564627</v>
      </c>
      <c r="BF11" s="100">
        <v>22.531261170044171</v>
      </c>
      <c r="BG11" s="100">
        <v>12004.655951399534</v>
      </c>
      <c r="BH11" s="100">
        <v>16</v>
      </c>
      <c r="BI11" s="100">
        <v>8524.7999999999993</v>
      </c>
      <c r="BJ11" s="100">
        <v>18</v>
      </c>
      <c r="BK11" s="100">
        <v>9590.4</v>
      </c>
      <c r="BL11" s="100">
        <v>20</v>
      </c>
      <c r="BM11" s="100">
        <v>10656</v>
      </c>
      <c r="BN11" s="100">
        <v>15</v>
      </c>
      <c r="BO11" s="100">
        <v>7991.9999999999991</v>
      </c>
      <c r="BP11" s="100">
        <v>27</v>
      </c>
      <c r="BQ11" s="100">
        <v>14385.599999999999</v>
      </c>
      <c r="BR11" s="100">
        <v>28</v>
      </c>
      <c r="BS11" s="100">
        <v>14918.399999999998</v>
      </c>
      <c r="BT11" s="100">
        <v>23</v>
      </c>
      <c r="BU11" s="100">
        <v>12254.4</v>
      </c>
      <c r="BV11" s="100">
        <v>18</v>
      </c>
      <c r="BW11" s="100">
        <v>9590.4</v>
      </c>
      <c r="BX11" s="100">
        <v>19</v>
      </c>
      <c r="BY11" s="100">
        <v>10123.199999999999</v>
      </c>
      <c r="BZ11" s="100">
        <v>31</v>
      </c>
      <c r="CA11" s="100">
        <v>16516.8</v>
      </c>
      <c r="CB11" s="100">
        <v>19</v>
      </c>
      <c r="CC11" s="100">
        <v>10123.199999999999</v>
      </c>
      <c r="CD11" s="100">
        <v>33</v>
      </c>
      <c r="CE11" s="100">
        <v>17582.399999999998</v>
      </c>
      <c r="CF11" s="100">
        <v>21</v>
      </c>
      <c r="CG11" s="100">
        <v>11188.8</v>
      </c>
      <c r="CH11" s="100">
        <v>20</v>
      </c>
      <c r="CI11" s="100">
        <v>10656</v>
      </c>
      <c r="CJ11" s="100">
        <v>17</v>
      </c>
      <c r="CK11" s="100">
        <v>9057.5999999999985</v>
      </c>
      <c r="CL11" s="100">
        <v>18</v>
      </c>
      <c r="CM11" s="100">
        <v>9590.4</v>
      </c>
      <c r="CN11" s="100">
        <v>21</v>
      </c>
      <c r="CO11" s="100">
        <v>11188.8</v>
      </c>
      <c r="CP11" s="100">
        <v>29</v>
      </c>
      <c r="CQ11" s="100">
        <v>15451.199999999999</v>
      </c>
      <c r="CR11" s="100">
        <v>17</v>
      </c>
      <c r="CS11" s="100">
        <v>9057.5999999999985</v>
      </c>
      <c r="CT11" s="100">
        <v>22</v>
      </c>
      <c r="CU11" s="100">
        <v>11721.599999999999</v>
      </c>
    </row>
    <row r="12" spans="1:99">
      <c r="C12" s="99" t="s">
        <v>178</v>
      </c>
      <c r="D12" s="100">
        <v>16</v>
      </c>
      <c r="E12" s="100">
        <v>9004.7999999999993</v>
      </c>
      <c r="F12" s="100">
        <v>15</v>
      </c>
      <c r="G12" s="100">
        <v>8442</v>
      </c>
      <c r="H12" s="100">
        <v>18</v>
      </c>
      <c r="I12" s="100">
        <v>10130.4</v>
      </c>
      <c r="J12" s="100">
        <v>0.2707351140974984</v>
      </c>
      <c r="K12" s="100">
        <v>152.36972221407208</v>
      </c>
      <c r="L12" s="100">
        <v>17</v>
      </c>
      <c r="M12" s="100">
        <v>9567.5999999999985</v>
      </c>
      <c r="N12" s="100">
        <v>17</v>
      </c>
      <c r="O12" s="100">
        <v>9567.5999999999985</v>
      </c>
      <c r="P12" s="100">
        <v>22</v>
      </c>
      <c r="Q12" s="100">
        <v>12381.599999999999</v>
      </c>
      <c r="R12" s="100">
        <v>5.9245097641464062</v>
      </c>
      <c r="S12" s="100">
        <v>3334.3140952615972</v>
      </c>
      <c r="T12" s="100">
        <v>11.429115602657156</v>
      </c>
      <c r="U12" s="100">
        <v>6432.3062611754467</v>
      </c>
      <c r="V12" s="100">
        <v>8.7369006691041324</v>
      </c>
      <c r="W12" s="100">
        <v>4917.1276965718052</v>
      </c>
      <c r="X12" s="100">
        <v>24.2415220536821</v>
      </c>
      <c r="Y12" s="100">
        <v>13643.128611812284</v>
      </c>
      <c r="Z12" s="100">
        <v>13.975893347630095</v>
      </c>
      <c r="AA12" s="100">
        <v>7865.6327760462163</v>
      </c>
      <c r="AB12" s="100">
        <v>23</v>
      </c>
      <c r="AC12" s="100">
        <v>12944.4</v>
      </c>
      <c r="AD12" s="100">
        <v>24</v>
      </c>
      <c r="AE12" s="100">
        <v>13507.199999999999</v>
      </c>
      <c r="AF12" s="100">
        <v>21.236702504098997</v>
      </c>
      <c r="AG12" s="100">
        <v>11952.016169306915</v>
      </c>
      <c r="AH12" s="100">
        <v>15</v>
      </c>
      <c r="AI12" s="100">
        <v>8442</v>
      </c>
      <c r="AJ12" s="100">
        <v>23.966019090068098</v>
      </c>
      <c r="AK12" s="100">
        <v>13488.075543890325</v>
      </c>
      <c r="AL12" s="100">
        <v>16.802172552770639</v>
      </c>
      <c r="AM12" s="100">
        <v>9456.2627126993139</v>
      </c>
      <c r="AN12" s="100">
        <v>16.556545907390589</v>
      </c>
      <c r="AO12" s="100">
        <v>9318.0240366794224</v>
      </c>
      <c r="AP12" s="100">
        <v>18.115357392571873</v>
      </c>
      <c r="AQ12" s="100">
        <v>10195.323140539449</v>
      </c>
      <c r="AR12" s="100">
        <v>27</v>
      </c>
      <c r="AS12" s="100">
        <v>15195.599999999999</v>
      </c>
      <c r="AT12" s="100">
        <v>19.112822434353149</v>
      </c>
      <c r="AU12" s="100">
        <v>10756.696466053951</v>
      </c>
      <c r="AV12" s="100">
        <v>23.976374436577995</v>
      </c>
      <c r="AW12" s="100">
        <v>13493.903532906095</v>
      </c>
      <c r="AX12" s="100">
        <v>22.772748903514817</v>
      </c>
      <c r="AY12" s="100">
        <v>12816.503082898138</v>
      </c>
      <c r="AZ12" s="100">
        <v>17</v>
      </c>
      <c r="BA12" s="100">
        <v>9567.5999999999985</v>
      </c>
      <c r="BB12" s="100">
        <v>20.020234024609717</v>
      </c>
      <c r="BC12" s="100">
        <v>11267.387709050348</v>
      </c>
      <c r="BD12" s="100">
        <v>17.19955859808789</v>
      </c>
      <c r="BE12" s="100">
        <v>9679.9115790038632</v>
      </c>
      <c r="BF12" s="100">
        <v>21.551641119172686</v>
      </c>
      <c r="BG12" s="100">
        <v>12129.263621870386</v>
      </c>
      <c r="BH12" s="100">
        <v>17</v>
      </c>
      <c r="BI12" s="100">
        <v>9567.5999999999985</v>
      </c>
      <c r="BJ12" s="100">
        <v>20</v>
      </c>
      <c r="BK12" s="100">
        <v>11256</v>
      </c>
      <c r="BL12" s="100">
        <v>18</v>
      </c>
      <c r="BM12" s="100">
        <v>10130.4</v>
      </c>
      <c r="BN12" s="100">
        <v>15</v>
      </c>
      <c r="BO12" s="100">
        <v>8442</v>
      </c>
      <c r="BP12" s="100">
        <v>25</v>
      </c>
      <c r="BQ12" s="100">
        <v>14069.999999999998</v>
      </c>
      <c r="BR12" s="100">
        <v>27</v>
      </c>
      <c r="BS12" s="100">
        <v>15195.599999999999</v>
      </c>
      <c r="BT12" s="100">
        <v>22</v>
      </c>
      <c r="BU12" s="100">
        <v>12381.599999999999</v>
      </c>
      <c r="BV12" s="100">
        <v>18</v>
      </c>
      <c r="BW12" s="100">
        <v>10130.4</v>
      </c>
      <c r="BX12" s="100">
        <v>21</v>
      </c>
      <c r="BY12" s="100">
        <v>11818.8</v>
      </c>
      <c r="BZ12" s="100">
        <v>26</v>
      </c>
      <c r="CA12" s="100">
        <v>14632.8</v>
      </c>
      <c r="CB12" s="100">
        <v>18</v>
      </c>
      <c r="CC12" s="100">
        <v>10130.4</v>
      </c>
      <c r="CD12" s="100">
        <v>32</v>
      </c>
      <c r="CE12" s="100">
        <v>18009.599999999999</v>
      </c>
      <c r="CF12" s="100">
        <v>19</v>
      </c>
      <c r="CG12" s="100">
        <v>10693.199999999999</v>
      </c>
      <c r="CH12" s="100">
        <v>19</v>
      </c>
      <c r="CI12" s="100">
        <v>10693.199999999999</v>
      </c>
      <c r="CJ12" s="100">
        <v>16</v>
      </c>
      <c r="CK12" s="100">
        <v>9004.7999999999993</v>
      </c>
      <c r="CL12" s="100">
        <v>21</v>
      </c>
      <c r="CM12" s="100">
        <v>11818.8</v>
      </c>
      <c r="CN12" s="100">
        <v>20</v>
      </c>
      <c r="CO12" s="100">
        <v>11256</v>
      </c>
      <c r="CP12" s="100">
        <v>31</v>
      </c>
      <c r="CQ12" s="100">
        <v>17446.8</v>
      </c>
      <c r="CR12" s="100">
        <v>18</v>
      </c>
      <c r="CS12" s="100">
        <v>10130.4</v>
      </c>
      <c r="CT12" s="100">
        <v>19</v>
      </c>
      <c r="CU12" s="100">
        <v>10693.199999999999</v>
      </c>
    </row>
    <row r="13" spans="1:99">
      <c r="C13" s="99" t="s">
        <v>179</v>
      </c>
      <c r="D13" s="100">
        <v>18</v>
      </c>
      <c r="E13" s="100">
        <v>1533.6000000000001</v>
      </c>
      <c r="F13" s="100">
        <v>17</v>
      </c>
      <c r="G13" s="100">
        <v>1448.4</v>
      </c>
      <c r="H13" s="100">
        <v>22</v>
      </c>
      <c r="I13" s="100">
        <v>1874.4</v>
      </c>
      <c r="J13" s="100">
        <v>0.2707351140974984</v>
      </c>
      <c r="K13" s="100">
        <v>23.066631721106866</v>
      </c>
      <c r="L13" s="100">
        <v>16</v>
      </c>
      <c r="M13" s="100">
        <v>1363.2</v>
      </c>
      <c r="N13" s="100">
        <v>18</v>
      </c>
      <c r="O13" s="100">
        <v>1533.6000000000001</v>
      </c>
      <c r="P13" s="100">
        <v>21</v>
      </c>
      <c r="Q13" s="100">
        <v>1789.2</v>
      </c>
      <c r="R13" s="100">
        <v>5.9245097641464062</v>
      </c>
      <c r="S13" s="100">
        <v>504.76823190527381</v>
      </c>
      <c r="T13" s="100">
        <v>10.514786354444583</v>
      </c>
      <c r="U13" s="100">
        <v>895.85979739867855</v>
      </c>
      <c r="V13" s="100">
        <v>10.081039233581691</v>
      </c>
      <c r="W13" s="100">
        <v>858.90454270116015</v>
      </c>
      <c r="X13" s="100">
        <v>28.120165582271234</v>
      </c>
      <c r="Y13" s="100">
        <v>2395.8381076095093</v>
      </c>
      <c r="Z13" s="100">
        <v>13.975893347630095</v>
      </c>
      <c r="AA13" s="100">
        <v>1190.746113218084</v>
      </c>
      <c r="AB13" s="100">
        <v>25</v>
      </c>
      <c r="AC13" s="100">
        <v>2130</v>
      </c>
      <c r="AD13" s="100">
        <v>29</v>
      </c>
      <c r="AE13" s="100">
        <v>2470.8000000000002</v>
      </c>
      <c r="AF13" s="100">
        <v>23.891290317111373</v>
      </c>
      <c r="AG13" s="100">
        <v>2035.5379350178891</v>
      </c>
      <c r="AH13" s="100">
        <v>18</v>
      </c>
      <c r="AI13" s="100">
        <v>1533.6000000000001</v>
      </c>
      <c r="AJ13" s="100">
        <v>22.190758416729722</v>
      </c>
      <c r="AK13" s="100">
        <v>1890.6526171053724</v>
      </c>
      <c r="AL13" s="100">
        <v>17.565907668805668</v>
      </c>
      <c r="AM13" s="100">
        <v>1496.6153333822429</v>
      </c>
      <c r="AN13" s="100">
        <v>20.875644839753352</v>
      </c>
      <c r="AO13" s="100">
        <v>1778.6049403469856</v>
      </c>
      <c r="AP13" s="100">
        <v>21.470053206011109</v>
      </c>
      <c r="AQ13" s="100">
        <v>1829.2485331521466</v>
      </c>
      <c r="AR13" s="100">
        <v>27</v>
      </c>
      <c r="AS13" s="100">
        <v>2300.4</v>
      </c>
      <c r="AT13" s="100">
        <v>19.112822434353149</v>
      </c>
      <c r="AU13" s="100">
        <v>1628.4124714068882</v>
      </c>
      <c r="AV13" s="100">
        <v>23.976374436577995</v>
      </c>
      <c r="AW13" s="100">
        <v>2042.7871019964452</v>
      </c>
      <c r="AX13" s="100">
        <v>23.586061364354631</v>
      </c>
      <c r="AY13" s="100">
        <v>2009.5324282430147</v>
      </c>
      <c r="AZ13" s="100">
        <v>22</v>
      </c>
      <c r="BA13" s="100">
        <v>1874.4</v>
      </c>
      <c r="BB13" s="100">
        <v>21.926922979334449</v>
      </c>
      <c r="BC13" s="100">
        <v>1868.1738378392952</v>
      </c>
      <c r="BD13" s="100">
        <v>18.155089631314993</v>
      </c>
      <c r="BE13" s="100">
        <v>1546.8136365880375</v>
      </c>
      <c r="BF13" s="100">
        <v>21.551641119172686</v>
      </c>
      <c r="BG13" s="100">
        <v>1836.199823353513</v>
      </c>
      <c r="BH13" s="100">
        <v>17</v>
      </c>
      <c r="BI13" s="100">
        <v>1448.4</v>
      </c>
      <c r="BJ13" s="100">
        <v>20</v>
      </c>
      <c r="BK13" s="100">
        <v>1704</v>
      </c>
      <c r="BL13" s="100">
        <v>21</v>
      </c>
      <c r="BM13" s="100">
        <v>1789.2</v>
      </c>
      <c r="BN13" s="100">
        <v>17</v>
      </c>
      <c r="BO13" s="100">
        <v>1448.4</v>
      </c>
      <c r="BP13" s="100">
        <v>28</v>
      </c>
      <c r="BQ13" s="100">
        <v>2385.6</v>
      </c>
      <c r="BR13" s="100">
        <v>29</v>
      </c>
      <c r="BS13" s="100">
        <v>2470.8000000000002</v>
      </c>
      <c r="BT13" s="100">
        <v>27</v>
      </c>
      <c r="BU13" s="100">
        <v>2300.4</v>
      </c>
      <c r="BV13" s="100">
        <v>20</v>
      </c>
      <c r="BW13" s="100">
        <v>1704</v>
      </c>
      <c r="BX13" s="100">
        <v>24</v>
      </c>
      <c r="BY13" s="100">
        <v>2044.8000000000002</v>
      </c>
      <c r="BZ13" s="100">
        <v>31</v>
      </c>
      <c r="CA13" s="100">
        <v>2641.2000000000003</v>
      </c>
      <c r="CB13" s="100">
        <v>20</v>
      </c>
      <c r="CC13" s="100">
        <v>1704</v>
      </c>
      <c r="CD13" s="100">
        <v>34</v>
      </c>
      <c r="CE13" s="100">
        <v>2896.8</v>
      </c>
      <c r="CF13" s="100">
        <v>20</v>
      </c>
      <c r="CG13" s="100">
        <v>1704</v>
      </c>
      <c r="CH13" s="100">
        <v>20</v>
      </c>
      <c r="CI13" s="100">
        <v>1704</v>
      </c>
      <c r="CJ13" s="100">
        <v>18</v>
      </c>
      <c r="CK13" s="100">
        <v>1533.6000000000001</v>
      </c>
      <c r="CL13" s="100">
        <v>23</v>
      </c>
      <c r="CM13" s="100">
        <v>1959.6000000000001</v>
      </c>
      <c r="CN13" s="100">
        <v>19</v>
      </c>
      <c r="CO13" s="100">
        <v>1618.8</v>
      </c>
      <c r="CP13" s="100">
        <v>30</v>
      </c>
      <c r="CQ13" s="100">
        <v>2556</v>
      </c>
      <c r="CR13" s="100">
        <v>18</v>
      </c>
      <c r="CS13" s="100">
        <v>1533.6000000000001</v>
      </c>
      <c r="CT13" s="100">
        <v>21</v>
      </c>
      <c r="CU13" s="100">
        <v>1789.2</v>
      </c>
    </row>
    <row r="14" spans="1:99">
      <c r="C14" s="99" t="s">
        <v>180</v>
      </c>
      <c r="D14" s="100">
        <v>17</v>
      </c>
      <c r="E14" s="100">
        <v>8302.7999999999993</v>
      </c>
      <c r="F14" s="100">
        <v>15</v>
      </c>
      <c r="G14" s="100">
        <v>7326</v>
      </c>
      <c r="H14" s="100">
        <v>19</v>
      </c>
      <c r="I14" s="100">
        <v>9279.6</v>
      </c>
      <c r="J14" s="100">
        <v>0.25268610649099854</v>
      </c>
      <c r="K14" s="100">
        <v>123.41189441020369</v>
      </c>
      <c r="L14" s="100">
        <v>14</v>
      </c>
      <c r="M14" s="100">
        <v>6837.5999999999995</v>
      </c>
      <c r="N14" s="100">
        <v>17</v>
      </c>
      <c r="O14" s="100">
        <v>8302.7999999999993</v>
      </c>
      <c r="P14" s="100">
        <v>19</v>
      </c>
      <c r="Q14" s="100">
        <v>9279.6</v>
      </c>
      <c r="R14" s="100">
        <v>5.5760091897848527</v>
      </c>
      <c r="S14" s="100">
        <v>2723.322888290922</v>
      </c>
      <c r="T14" s="100">
        <v>10.514786354444583</v>
      </c>
      <c r="U14" s="100">
        <v>5135.4216555107341</v>
      </c>
      <c r="V14" s="100">
        <v>9.4089699513429128</v>
      </c>
      <c r="W14" s="100">
        <v>4595.3409242358784</v>
      </c>
      <c r="X14" s="100">
        <v>26.180843817976665</v>
      </c>
      <c r="Y14" s="100">
        <v>12786.724120699802</v>
      </c>
      <c r="Z14" s="100">
        <v>14.493519027171949</v>
      </c>
      <c r="AA14" s="100">
        <v>7078.6346928707799</v>
      </c>
      <c r="AB14" s="100">
        <v>24</v>
      </c>
      <c r="AC14" s="100">
        <v>11721.599999999999</v>
      </c>
      <c r="AD14" s="100">
        <v>28</v>
      </c>
      <c r="AE14" s="100">
        <v>13675.199999999999</v>
      </c>
      <c r="AF14" s="100">
        <v>20.35183989976154</v>
      </c>
      <c r="AG14" s="100">
        <v>9939.8386070435354</v>
      </c>
      <c r="AH14" s="100">
        <v>15</v>
      </c>
      <c r="AI14" s="100">
        <v>7326</v>
      </c>
      <c r="AJ14" s="100">
        <v>21.303128080060532</v>
      </c>
      <c r="AK14" s="100">
        <v>10404.447754301564</v>
      </c>
      <c r="AL14" s="100">
        <v>15.274702320700579</v>
      </c>
      <c r="AM14" s="100">
        <v>7460.1646134301618</v>
      </c>
      <c r="AN14" s="100">
        <v>20.155795017692888</v>
      </c>
      <c r="AO14" s="100">
        <v>9844.0902866412071</v>
      </c>
      <c r="AP14" s="100">
        <v>19.457235717947569</v>
      </c>
      <c r="AQ14" s="100">
        <v>9502.9139246455925</v>
      </c>
      <c r="AR14" s="100">
        <v>29</v>
      </c>
      <c r="AS14" s="100">
        <v>14163.599999999999</v>
      </c>
      <c r="AT14" s="100">
        <v>18.281830154598662</v>
      </c>
      <c r="AU14" s="100">
        <v>8928.845847505987</v>
      </c>
      <c r="AV14" s="100">
        <v>23.976374436577995</v>
      </c>
      <c r="AW14" s="100">
        <v>11710.061274824691</v>
      </c>
      <c r="AX14" s="100">
        <v>21.146123981835188</v>
      </c>
      <c r="AY14" s="100">
        <v>10327.766952728305</v>
      </c>
      <c r="AZ14" s="100">
        <v>19</v>
      </c>
      <c r="BA14" s="100">
        <v>9279.6</v>
      </c>
      <c r="BB14" s="100">
        <v>19.066889547247346</v>
      </c>
      <c r="BC14" s="100">
        <v>9312.2688548756032</v>
      </c>
      <c r="BD14" s="100">
        <v>16.244027564860783</v>
      </c>
      <c r="BE14" s="100">
        <v>7933.5830626780062</v>
      </c>
      <c r="BF14" s="100">
        <v>19.592401017429715</v>
      </c>
      <c r="BG14" s="100">
        <v>9568.9286569126725</v>
      </c>
      <c r="BH14" s="100">
        <v>17</v>
      </c>
      <c r="BI14" s="100">
        <v>8302.7999999999993</v>
      </c>
      <c r="BJ14" s="100">
        <v>18</v>
      </c>
      <c r="BK14" s="100">
        <v>8791.1999999999989</v>
      </c>
      <c r="BL14" s="100">
        <v>17</v>
      </c>
      <c r="BM14" s="100">
        <v>8302.7999999999993</v>
      </c>
      <c r="BN14" s="100">
        <v>17</v>
      </c>
      <c r="BO14" s="100">
        <v>8302.7999999999993</v>
      </c>
      <c r="BP14" s="100">
        <v>24</v>
      </c>
      <c r="BQ14" s="100">
        <v>11721.599999999999</v>
      </c>
      <c r="BR14" s="100">
        <v>26</v>
      </c>
      <c r="BS14" s="100">
        <v>12698.4</v>
      </c>
      <c r="BT14" s="100">
        <v>22</v>
      </c>
      <c r="BU14" s="100">
        <v>10744.8</v>
      </c>
      <c r="BV14" s="100">
        <v>21</v>
      </c>
      <c r="BW14" s="100">
        <v>10256.4</v>
      </c>
      <c r="BX14" s="100">
        <v>23</v>
      </c>
      <c r="BY14" s="100">
        <v>11233.199999999999</v>
      </c>
      <c r="BZ14" s="100">
        <v>31</v>
      </c>
      <c r="CA14" s="100">
        <v>15140.4</v>
      </c>
      <c r="CB14" s="100">
        <v>22</v>
      </c>
      <c r="CC14" s="100">
        <v>10744.8</v>
      </c>
      <c r="CD14" s="100">
        <v>31</v>
      </c>
      <c r="CE14" s="100">
        <v>15140.4</v>
      </c>
      <c r="CF14" s="100">
        <v>22</v>
      </c>
      <c r="CG14" s="100">
        <v>10744.8</v>
      </c>
      <c r="CH14" s="100">
        <v>20</v>
      </c>
      <c r="CI14" s="100">
        <v>9768</v>
      </c>
      <c r="CJ14" s="100">
        <v>17</v>
      </c>
      <c r="CK14" s="100">
        <v>8302.7999999999993</v>
      </c>
      <c r="CL14" s="100">
        <v>21</v>
      </c>
      <c r="CM14" s="100">
        <v>10256.4</v>
      </c>
      <c r="CN14" s="100">
        <v>19</v>
      </c>
      <c r="CO14" s="100">
        <v>9279.6</v>
      </c>
      <c r="CP14" s="100">
        <v>32</v>
      </c>
      <c r="CQ14" s="100">
        <v>15628.8</v>
      </c>
      <c r="CR14" s="100">
        <v>17</v>
      </c>
      <c r="CS14" s="100">
        <v>8302.7999999999993</v>
      </c>
      <c r="CT14" s="100">
        <v>19</v>
      </c>
      <c r="CU14" s="100">
        <v>9279.6</v>
      </c>
    </row>
    <row r="15" spans="1:99">
      <c r="C15" s="99" t="s">
        <v>181</v>
      </c>
      <c r="D15" s="100">
        <v>16</v>
      </c>
      <c r="E15" s="100">
        <v>12211.199999999999</v>
      </c>
      <c r="F15" s="100">
        <v>14</v>
      </c>
      <c r="G15" s="100">
        <v>10684.8</v>
      </c>
      <c r="H15" s="100">
        <v>20</v>
      </c>
      <c r="I15" s="100">
        <v>15263.999999999998</v>
      </c>
      <c r="J15" s="100">
        <v>0.25268610649099854</v>
      </c>
      <c r="K15" s="100">
        <v>192.85003647393006</v>
      </c>
      <c r="L15" s="100">
        <v>14</v>
      </c>
      <c r="M15" s="100">
        <v>10684.8</v>
      </c>
      <c r="N15" s="100">
        <v>17</v>
      </c>
      <c r="O15" s="100">
        <v>12974.4</v>
      </c>
      <c r="P15" s="100">
        <v>19</v>
      </c>
      <c r="Q15" s="100">
        <v>14500.8</v>
      </c>
      <c r="R15" s="100">
        <v>4.8790080410617467</v>
      </c>
      <c r="S15" s="100">
        <v>3723.6589369383246</v>
      </c>
      <c r="T15" s="100">
        <v>9.6004571062320121</v>
      </c>
      <c r="U15" s="100">
        <v>7327.068863476271</v>
      </c>
      <c r="V15" s="100">
        <v>9.4089699513429128</v>
      </c>
      <c r="W15" s="100">
        <v>7180.9258668649109</v>
      </c>
      <c r="X15" s="100">
        <v>23.271861171534816</v>
      </c>
      <c r="Y15" s="100">
        <v>17761.084446115368</v>
      </c>
      <c r="Z15" s="100">
        <v>12.423016309004527</v>
      </c>
      <c r="AA15" s="100">
        <v>9481.2460470322549</v>
      </c>
      <c r="AB15" s="100">
        <v>21</v>
      </c>
      <c r="AC15" s="100">
        <v>16027.199999999999</v>
      </c>
      <c r="AD15" s="100">
        <v>28</v>
      </c>
      <c r="AE15" s="100">
        <v>21369.599999999999</v>
      </c>
      <c r="AF15" s="100">
        <v>21.236702504098997</v>
      </c>
      <c r="AG15" s="100">
        <v>16207.851351128353</v>
      </c>
      <c r="AH15" s="100">
        <v>14</v>
      </c>
      <c r="AI15" s="100">
        <v>10684.8</v>
      </c>
      <c r="AJ15" s="100">
        <v>23.966019090068098</v>
      </c>
      <c r="AK15" s="100">
        <v>18290.865769539971</v>
      </c>
      <c r="AL15" s="100">
        <v>17.565907668805668</v>
      </c>
      <c r="AM15" s="100">
        <v>13406.300732832484</v>
      </c>
      <c r="AN15" s="100">
        <v>16.556545907390589</v>
      </c>
      <c r="AO15" s="100">
        <v>12635.955836520496</v>
      </c>
      <c r="AP15" s="100">
        <v>18.115357392571873</v>
      </c>
      <c r="AQ15" s="100">
        <v>13825.640762010853</v>
      </c>
      <c r="AR15" s="100">
        <v>27</v>
      </c>
      <c r="AS15" s="100">
        <v>20606.399999999998</v>
      </c>
      <c r="AT15" s="100">
        <v>19.112822434353149</v>
      </c>
      <c r="AU15" s="100">
        <v>14586.906081898322</v>
      </c>
      <c r="AV15" s="100">
        <v>23.149602904282204</v>
      </c>
      <c r="AW15" s="100">
        <v>17667.776936548176</v>
      </c>
      <c r="AX15" s="100">
        <v>21.146123981835188</v>
      </c>
      <c r="AY15" s="100">
        <v>16138.721822936614</v>
      </c>
      <c r="AZ15" s="100">
        <v>19</v>
      </c>
      <c r="BA15" s="100">
        <v>14500.8</v>
      </c>
      <c r="BB15" s="100">
        <v>19.066889547247346</v>
      </c>
      <c r="BC15" s="100">
        <v>14551.850102459173</v>
      </c>
      <c r="BD15" s="100">
        <v>17.19955859808789</v>
      </c>
      <c r="BE15" s="100">
        <v>13126.703122060677</v>
      </c>
      <c r="BF15" s="100">
        <v>19.592401017429715</v>
      </c>
      <c r="BG15" s="100">
        <v>14952.920456502357</v>
      </c>
      <c r="BH15" s="100">
        <v>16</v>
      </c>
      <c r="BI15" s="100">
        <v>12211.199999999999</v>
      </c>
      <c r="BJ15" s="100">
        <v>18</v>
      </c>
      <c r="BK15" s="100">
        <v>13737.599999999999</v>
      </c>
      <c r="BL15" s="100">
        <v>17</v>
      </c>
      <c r="BM15" s="100">
        <v>12974.4</v>
      </c>
      <c r="BN15" s="100">
        <v>16</v>
      </c>
      <c r="BO15" s="100">
        <v>12211.199999999999</v>
      </c>
      <c r="BP15" s="100">
        <v>26</v>
      </c>
      <c r="BQ15" s="100">
        <v>19843.199999999997</v>
      </c>
      <c r="BR15" s="100">
        <v>24</v>
      </c>
      <c r="BS15" s="100">
        <v>18316.8</v>
      </c>
      <c r="BT15" s="100">
        <v>22</v>
      </c>
      <c r="BU15" s="100">
        <v>16790.399999999998</v>
      </c>
      <c r="BV15" s="100">
        <v>20</v>
      </c>
      <c r="BW15" s="100">
        <v>15263.999999999998</v>
      </c>
      <c r="BX15" s="100">
        <v>22</v>
      </c>
      <c r="BY15" s="100">
        <v>16790.399999999998</v>
      </c>
      <c r="BZ15" s="100">
        <v>27</v>
      </c>
      <c r="CA15" s="100">
        <v>20606.399999999998</v>
      </c>
      <c r="CB15" s="100">
        <v>21</v>
      </c>
      <c r="CC15" s="100">
        <v>16027.199999999999</v>
      </c>
      <c r="CD15" s="100">
        <v>31</v>
      </c>
      <c r="CE15" s="100">
        <v>23659.199999999997</v>
      </c>
      <c r="CF15" s="100">
        <v>21</v>
      </c>
      <c r="CG15" s="100">
        <v>16027.199999999999</v>
      </c>
      <c r="CH15" s="100">
        <v>22</v>
      </c>
      <c r="CI15" s="100">
        <v>16790.399999999998</v>
      </c>
      <c r="CJ15" s="100">
        <v>16</v>
      </c>
      <c r="CK15" s="100">
        <v>12211.199999999999</v>
      </c>
      <c r="CL15" s="100">
        <v>20</v>
      </c>
      <c r="CM15" s="100">
        <v>15263.999999999998</v>
      </c>
      <c r="CN15" s="100">
        <v>19</v>
      </c>
      <c r="CO15" s="100">
        <v>14500.8</v>
      </c>
      <c r="CP15" s="100">
        <v>31</v>
      </c>
      <c r="CQ15" s="100">
        <v>23659.199999999997</v>
      </c>
      <c r="CR15" s="100">
        <v>16</v>
      </c>
      <c r="CS15" s="100">
        <v>12211.199999999999</v>
      </c>
      <c r="CT15" s="100">
        <v>20</v>
      </c>
      <c r="CU15" s="100">
        <v>15263.999999999998</v>
      </c>
    </row>
    <row r="16" spans="1:99">
      <c r="C16" s="99" t="s">
        <v>182</v>
      </c>
      <c r="D16" s="100">
        <v>16</v>
      </c>
      <c r="E16" s="100">
        <v>5452.8</v>
      </c>
      <c r="F16" s="100">
        <v>15</v>
      </c>
      <c r="G16" s="100">
        <v>5112</v>
      </c>
      <c r="H16" s="100">
        <v>20</v>
      </c>
      <c r="I16" s="100">
        <v>6816</v>
      </c>
      <c r="J16" s="100">
        <v>0.23463709888449866</v>
      </c>
      <c r="K16" s="100">
        <v>79.964323299837147</v>
      </c>
      <c r="L16" s="100">
        <v>16</v>
      </c>
      <c r="M16" s="100">
        <v>5452.8</v>
      </c>
      <c r="N16" s="100">
        <v>18</v>
      </c>
      <c r="O16" s="100">
        <v>6134.4000000000005</v>
      </c>
      <c r="P16" s="100">
        <v>21</v>
      </c>
      <c r="Q16" s="100">
        <v>7156.8</v>
      </c>
      <c r="R16" s="100">
        <v>5.5760091897848527</v>
      </c>
      <c r="S16" s="100">
        <v>1900.3039318786778</v>
      </c>
      <c r="T16" s="100">
        <v>10.97195097855087</v>
      </c>
      <c r="U16" s="100">
        <v>3739.2408934901368</v>
      </c>
      <c r="V16" s="100">
        <v>9.4089699513429128</v>
      </c>
      <c r="W16" s="100">
        <v>3206.576959417665</v>
      </c>
      <c r="X16" s="100">
        <v>27.150504700123953</v>
      </c>
      <c r="Y16" s="100">
        <v>9252.8920018022436</v>
      </c>
      <c r="Z16" s="100">
        <v>12.940641988546384</v>
      </c>
      <c r="AA16" s="100">
        <v>4410.1707896966082</v>
      </c>
      <c r="AB16" s="100">
        <v>24</v>
      </c>
      <c r="AC16" s="100">
        <v>8179.2000000000007</v>
      </c>
      <c r="AD16" s="100">
        <v>30</v>
      </c>
      <c r="AE16" s="100">
        <v>10224</v>
      </c>
      <c r="AF16" s="100">
        <v>21.236702504098997</v>
      </c>
      <c r="AG16" s="100">
        <v>7237.4682133969382</v>
      </c>
      <c r="AH16" s="100">
        <v>17</v>
      </c>
      <c r="AI16" s="100">
        <v>5793.6</v>
      </c>
      <c r="AJ16" s="100">
        <v>25.741279763406478</v>
      </c>
      <c r="AK16" s="100">
        <v>8772.6281433689273</v>
      </c>
      <c r="AL16" s="100">
        <v>16.802172552770639</v>
      </c>
      <c r="AM16" s="100">
        <v>5726.1804059842343</v>
      </c>
      <c r="AN16" s="100">
        <v>18.716095373571971</v>
      </c>
      <c r="AO16" s="100">
        <v>6378.4453033133277</v>
      </c>
      <c r="AP16" s="100">
        <v>18.115357392571873</v>
      </c>
      <c r="AQ16" s="100">
        <v>6173.7137993884944</v>
      </c>
      <c r="AR16" s="100">
        <v>26</v>
      </c>
      <c r="AS16" s="100">
        <v>8860.8000000000011</v>
      </c>
      <c r="AT16" s="100">
        <v>18.281830154598662</v>
      </c>
      <c r="AU16" s="100">
        <v>6230.4477166872239</v>
      </c>
      <c r="AV16" s="100">
        <v>22.32283137198641</v>
      </c>
      <c r="AW16" s="100">
        <v>7607.6209315729693</v>
      </c>
      <c r="AX16" s="100">
        <v>23.586061364354631</v>
      </c>
      <c r="AY16" s="100">
        <v>8038.1297129720588</v>
      </c>
      <c r="AZ16" s="100">
        <v>19</v>
      </c>
      <c r="BA16" s="100">
        <v>6475.2</v>
      </c>
      <c r="BB16" s="100">
        <v>22.880267456696817</v>
      </c>
      <c r="BC16" s="100">
        <v>7797.5951492422755</v>
      </c>
      <c r="BD16" s="100">
        <v>18.155089631314993</v>
      </c>
      <c r="BE16" s="100">
        <v>6187.2545463521501</v>
      </c>
      <c r="BF16" s="100">
        <v>20.572021068301201</v>
      </c>
      <c r="BG16" s="100">
        <v>7010.9447800770495</v>
      </c>
      <c r="BH16" s="100">
        <v>18</v>
      </c>
      <c r="BI16" s="100">
        <v>6134.4000000000005</v>
      </c>
      <c r="BJ16" s="100">
        <v>18</v>
      </c>
      <c r="BK16" s="100">
        <v>6134.4000000000005</v>
      </c>
      <c r="BL16" s="100">
        <v>20</v>
      </c>
      <c r="BM16" s="100">
        <v>6816</v>
      </c>
      <c r="BN16" s="100">
        <v>15</v>
      </c>
      <c r="BO16" s="100">
        <v>5112</v>
      </c>
      <c r="BP16" s="100">
        <v>26</v>
      </c>
      <c r="BQ16" s="100">
        <v>8860.8000000000011</v>
      </c>
      <c r="BR16" s="100">
        <v>30</v>
      </c>
      <c r="BS16" s="100">
        <v>10224</v>
      </c>
      <c r="BT16" s="100">
        <v>23</v>
      </c>
      <c r="BU16" s="100">
        <v>7838.4000000000005</v>
      </c>
      <c r="BV16" s="100">
        <v>21</v>
      </c>
      <c r="BW16" s="100">
        <v>7156.8</v>
      </c>
      <c r="BX16" s="100">
        <v>21</v>
      </c>
      <c r="BY16" s="100">
        <v>7156.8</v>
      </c>
      <c r="BZ16" s="100">
        <v>29</v>
      </c>
      <c r="CA16" s="100">
        <v>9883.2000000000007</v>
      </c>
      <c r="CB16" s="100">
        <v>20</v>
      </c>
      <c r="CC16" s="100">
        <v>6816</v>
      </c>
      <c r="CD16" s="100">
        <v>29</v>
      </c>
      <c r="CE16" s="100">
        <v>9883.2000000000007</v>
      </c>
      <c r="CF16" s="100">
        <v>22</v>
      </c>
      <c r="CG16" s="100">
        <v>7497.6</v>
      </c>
      <c r="CH16" s="100">
        <v>22</v>
      </c>
      <c r="CI16" s="100">
        <v>7497.6</v>
      </c>
      <c r="CJ16" s="100">
        <v>18</v>
      </c>
      <c r="CK16" s="100">
        <v>6134.4000000000005</v>
      </c>
      <c r="CL16" s="100">
        <v>22</v>
      </c>
      <c r="CM16" s="100">
        <v>7497.6</v>
      </c>
      <c r="CN16" s="100">
        <v>20</v>
      </c>
      <c r="CO16" s="100">
        <v>6816</v>
      </c>
      <c r="CP16" s="100">
        <v>31</v>
      </c>
      <c r="CQ16" s="100">
        <v>10564.800000000001</v>
      </c>
      <c r="CR16" s="100">
        <v>16</v>
      </c>
      <c r="CS16" s="100">
        <v>5452.8</v>
      </c>
      <c r="CT16" s="100">
        <v>22</v>
      </c>
      <c r="CU16" s="100">
        <v>7497.6</v>
      </c>
    </row>
    <row r="17" spans="2:99">
      <c r="C17" s="99" t="s">
        <v>183</v>
      </c>
      <c r="D17" s="100">
        <v>16</v>
      </c>
      <c r="E17" s="100">
        <v>6758.4</v>
      </c>
      <c r="F17" s="100">
        <v>15</v>
      </c>
      <c r="G17" s="100">
        <v>6336</v>
      </c>
      <c r="H17" s="100">
        <v>20</v>
      </c>
      <c r="I17" s="100">
        <v>8448</v>
      </c>
      <c r="J17" s="100">
        <v>0.23463709888449866</v>
      </c>
      <c r="K17" s="100">
        <v>99.110710568812223</v>
      </c>
      <c r="L17" s="100">
        <v>15</v>
      </c>
      <c r="M17" s="100">
        <v>6336</v>
      </c>
      <c r="N17" s="100">
        <v>15</v>
      </c>
      <c r="O17" s="100">
        <v>6336</v>
      </c>
      <c r="P17" s="100">
        <v>19</v>
      </c>
      <c r="Q17" s="100">
        <v>8025.5999999999995</v>
      </c>
      <c r="R17" s="100">
        <v>5.2275086154233001</v>
      </c>
      <c r="S17" s="100">
        <v>2208.0996391548019</v>
      </c>
      <c r="T17" s="100">
        <v>9.6004571062320121</v>
      </c>
      <c r="U17" s="100">
        <v>4055.2330816724016</v>
      </c>
      <c r="V17" s="100">
        <v>10.081039233581691</v>
      </c>
      <c r="W17" s="100">
        <v>4258.2309722649061</v>
      </c>
      <c r="X17" s="100">
        <v>23.271861171534816</v>
      </c>
      <c r="Y17" s="100">
        <v>9830.034158856306</v>
      </c>
      <c r="Z17" s="100">
        <v>12.940641988546384</v>
      </c>
      <c r="AA17" s="100">
        <v>5466.1271759619922</v>
      </c>
      <c r="AB17" s="100">
        <v>25</v>
      </c>
      <c r="AC17" s="100">
        <v>10560</v>
      </c>
      <c r="AD17" s="100">
        <v>29</v>
      </c>
      <c r="AE17" s="100">
        <v>12249.599999999999</v>
      </c>
      <c r="AF17" s="100">
        <v>18.582114691086623</v>
      </c>
      <c r="AG17" s="100">
        <v>7849.0852455149889</v>
      </c>
      <c r="AH17" s="100">
        <v>17</v>
      </c>
      <c r="AI17" s="100">
        <v>7180.7999999999993</v>
      </c>
      <c r="AJ17" s="100">
        <v>22.190758416729722</v>
      </c>
      <c r="AK17" s="100">
        <v>9373.3763552266337</v>
      </c>
      <c r="AL17" s="100">
        <v>15.274702320700579</v>
      </c>
      <c r="AM17" s="100">
        <v>6452.0342602639239</v>
      </c>
      <c r="AN17" s="100">
        <v>20.155795017692888</v>
      </c>
      <c r="AO17" s="100">
        <v>8513.8078154734758</v>
      </c>
      <c r="AP17" s="100">
        <v>20.128174880635417</v>
      </c>
      <c r="AQ17" s="100">
        <v>8502.1410695803988</v>
      </c>
      <c r="AR17" s="100">
        <v>30</v>
      </c>
      <c r="AS17" s="100">
        <v>12672</v>
      </c>
      <c r="AT17" s="100">
        <v>20.774806993862118</v>
      </c>
      <c r="AU17" s="100">
        <v>8775.2784742073582</v>
      </c>
      <c r="AV17" s="100">
        <v>23.149602904282204</v>
      </c>
      <c r="AW17" s="100">
        <v>9778.3922667688021</v>
      </c>
      <c r="AX17" s="100">
        <v>24.399373825194449</v>
      </c>
      <c r="AY17" s="100">
        <v>10306.295503762134</v>
      </c>
      <c r="AZ17" s="100">
        <v>21</v>
      </c>
      <c r="BA17" s="100">
        <v>8870.4</v>
      </c>
      <c r="BB17" s="100">
        <v>20.973578501972082</v>
      </c>
      <c r="BC17" s="100">
        <v>8859.2395592330067</v>
      </c>
      <c r="BD17" s="100">
        <v>16.244027564860783</v>
      </c>
      <c r="BE17" s="100">
        <v>6861.4772433971948</v>
      </c>
      <c r="BF17" s="100">
        <v>19.592401017429715</v>
      </c>
      <c r="BG17" s="100">
        <v>8275.8301897623114</v>
      </c>
      <c r="BH17" s="100">
        <v>18</v>
      </c>
      <c r="BI17" s="100">
        <v>7603.2</v>
      </c>
      <c r="BJ17" s="100">
        <v>20</v>
      </c>
      <c r="BK17" s="100">
        <v>8448</v>
      </c>
      <c r="BL17" s="100">
        <v>20</v>
      </c>
      <c r="BM17" s="100">
        <v>8448</v>
      </c>
      <c r="BN17" s="100">
        <v>16</v>
      </c>
      <c r="BO17" s="100">
        <v>6758.4</v>
      </c>
      <c r="BP17" s="100">
        <v>26</v>
      </c>
      <c r="BQ17" s="100">
        <v>10982.4</v>
      </c>
      <c r="BR17" s="100">
        <v>29</v>
      </c>
      <c r="BS17" s="100">
        <v>12249.599999999999</v>
      </c>
      <c r="BT17" s="100">
        <v>21</v>
      </c>
      <c r="BU17" s="100">
        <v>8870.4</v>
      </c>
      <c r="BV17" s="100">
        <v>19</v>
      </c>
      <c r="BW17" s="100">
        <v>8025.5999999999995</v>
      </c>
      <c r="BX17" s="100">
        <v>20</v>
      </c>
      <c r="BY17" s="100">
        <v>8448</v>
      </c>
      <c r="BZ17" s="100">
        <v>27</v>
      </c>
      <c r="CA17" s="100">
        <v>11404.8</v>
      </c>
      <c r="CB17" s="100">
        <v>22</v>
      </c>
      <c r="CC17" s="100">
        <v>9292.7999999999993</v>
      </c>
      <c r="CD17" s="100">
        <v>31</v>
      </c>
      <c r="CE17" s="100">
        <v>13094.4</v>
      </c>
      <c r="CF17" s="100">
        <v>21</v>
      </c>
      <c r="CG17" s="100">
        <v>8870.4</v>
      </c>
      <c r="CH17" s="100">
        <v>20</v>
      </c>
      <c r="CI17" s="100">
        <v>8448</v>
      </c>
      <c r="CJ17" s="100">
        <v>16</v>
      </c>
      <c r="CK17" s="100">
        <v>6758.4</v>
      </c>
      <c r="CL17" s="100">
        <v>21</v>
      </c>
      <c r="CM17" s="100">
        <v>8870.4</v>
      </c>
      <c r="CN17" s="100">
        <v>18</v>
      </c>
      <c r="CO17" s="100">
        <v>7603.2</v>
      </c>
      <c r="CP17" s="100">
        <v>29</v>
      </c>
      <c r="CQ17" s="100">
        <v>12249.599999999999</v>
      </c>
      <c r="CR17" s="100">
        <v>17</v>
      </c>
      <c r="CS17" s="100">
        <v>7180.7999999999993</v>
      </c>
      <c r="CT17" s="100">
        <v>20</v>
      </c>
      <c r="CU17" s="100">
        <v>8448</v>
      </c>
    </row>
    <row r="18" spans="2:99">
      <c r="C18" s="99" t="s">
        <v>184</v>
      </c>
      <c r="D18" s="100">
        <v>16</v>
      </c>
      <c r="E18" s="100">
        <v>10444.799999999999</v>
      </c>
      <c r="F18" s="100">
        <v>16</v>
      </c>
      <c r="G18" s="100">
        <v>10444.799999999999</v>
      </c>
      <c r="H18" s="100">
        <v>21</v>
      </c>
      <c r="I18" s="100">
        <v>13708.8</v>
      </c>
      <c r="J18" s="100">
        <v>0.25268610649099854</v>
      </c>
      <c r="K18" s="100">
        <v>164.95349031732383</v>
      </c>
      <c r="L18" s="100">
        <v>14</v>
      </c>
      <c r="M18" s="100">
        <v>9139.1999999999989</v>
      </c>
      <c r="N18" s="100">
        <v>17</v>
      </c>
      <c r="O18" s="100">
        <v>11097.599999999999</v>
      </c>
      <c r="P18" s="100">
        <v>19</v>
      </c>
      <c r="Q18" s="100">
        <v>12403.199999999999</v>
      </c>
      <c r="R18" s="100">
        <v>4.8790080410617467</v>
      </c>
      <c r="S18" s="100">
        <v>3185.0164492051081</v>
      </c>
      <c r="T18" s="100">
        <v>10.97195097855087</v>
      </c>
      <c r="U18" s="100">
        <v>7162.4895987980071</v>
      </c>
      <c r="V18" s="100">
        <v>9.4089699513429128</v>
      </c>
      <c r="W18" s="100">
        <v>6142.1755842366529</v>
      </c>
      <c r="X18" s="100">
        <v>26.180843817976665</v>
      </c>
      <c r="Y18" s="100">
        <v>17090.854844375164</v>
      </c>
      <c r="Z18" s="100">
        <v>12.423016309004527</v>
      </c>
      <c r="AA18" s="100">
        <v>8109.7450465181546</v>
      </c>
      <c r="AB18" s="100">
        <v>21</v>
      </c>
      <c r="AC18" s="100">
        <v>13708.8</v>
      </c>
      <c r="AD18" s="100">
        <v>28</v>
      </c>
      <c r="AE18" s="100">
        <v>18278.399999999998</v>
      </c>
      <c r="AF18" s="100">
        <v>19.466977295424083</v>
      </c>
      <c r="AG18" s="100">
        <v>12708.04277845284</v>
      </c>
      <c r="AH18" s="100">
        <v>15</v>
      </c>
      <c r="AI18" s="100">
        <v>9792</v>
      </c>
      <c r="AJ18" s="100">
        <v>23.078388753398912</v>
      </c>
      <c r="AK18" s="100">
        <v>15065.572178218808</v>
      </c>
      <c r="AL18" s="100">
        <v>14.510967204665551</v>
      </c>
      <c r="AM18" s="100">
        <v>9472.7593912056709</v>
      </c>
      <c r="AN18" s="100">
        <v>18.716095373571971</v>
      </c>
      <c r="AO18" s="100">
        <v>12217.867059867782</v>
      </c>
      <c r="AP18" s="100">
        <v>19.457235717947569</v>
      </c>
      <c r="AQ18" s="100">
        <v>12701.683476676171</v>
      </c>
      <c r="AR18" s="100">
        <v>25</v>
      </c>
      <c r="AS18" s="100">
        <v>16319.999999999998</v>
      </c>
      <c r="AT18" s="100">
        <v>17.450837874844179</v>
      </c>
      <c r="AU18" s="100">
        <v>11391.906964698279</v>
      </c>
      <c r="AV18" s="100">
        <v>22.32283137198641</v>
      </c>
      <c r="AW18" s="100">
        <v>14572.344319632728</v>
      </c>
      <c r="AX18" s="100">
        <v>24.399373825194449</v>
      </c>
      <c r="AY18" s="100">
        <v>15927.911233086936</v>
      </c>
      <c r="AZ18" s="100">
        <v>17</v>
      </c>
      <c r="BA18" s="100">
        <v>11097.599999999999</v>
      </c>
      <c r="BB18" s="100">
        <v>20.020234024609717</v>
      </c>
      <c r="BC18" s="100">
        <v>13069.208771265223</v>
      </c>
      <c r="BD18" s="100">
        <v>15.28849653163368</v>
      </c>
      <c r="BE18" s="100">
        <v>9980.3305358504658</v>
      </c>
      <c r="BF18" s="100">
        <v>20.572021068301201</v>
      </c>
      <c r="BG18" s="100">
        <v>13429.415353387023</v>
      </c>
      <c r="BH18" s="100">
        <v>15</v>
      </c>
      <c r="BI18" s="100">
        <v>9792</v>
      </c>
      <c r="BJ18" s="100">
        <v>18</v>
      </c>
      <c r="BK18" s="100">
        <v>11750.4</v>
      </c>
      <c r="BL18" s="100">
        <v>17</v>
      </c>
      <c r="BM18" s="100">
        <v>11097.599999999999</v>
      </c>
      <c r="BN18" s="100">
        <v>15</v>
      </c>
      <c r="BO18" s="100">
        <v>9792</v>
      </c>
      <c r="BP18" s="100">
        <v>26</v>
      </c>
      <c r="BQ18" s="100">
        <v>16972.8</v>
      </c>
      <c r="BR18" s="100">
        <v>24</v>
      </c>
      <c r="BS18" s="100">
        <v>15667.199999999999</v>
      </c>
      <c r="BT18" s="100">
        <v>21</v>
      </c>
      <c r="BU18" s="100">
        <v>13708.8</v>
      </c>
      <c r="BV18" s="100">
        <v>17</v>
      </c>
      <c r="BW18" s="100">
        <v>11097.599999999999</v>
      </c>
      <c r="BX18" s="100">
        <v>22</v>
      </c>
      <c r="BY18" s="100">
        <v>14361.599999999999</v>
      </c>
      <c r="BZ18" s="100">
        <v>25</v>
      </c>
      <c r="CA18" s="100">
        <v>16319.999999999998</v>
      </c>
      <c r="CB18" s="100">
        <v>19</v>
      </c>
      <c r="CC18" s="100">
        <v>12403.199999999999</v>
      </c>
      <c r="CD18" s="100">
        <v>29</v>
      </c>
      <c r="CE18" s="100">
        <v>18931.199999999997</v>
      </c>
      <c r="CF18" s="100">
        <v>20</v>
      </c>
      <c r="CG18" s="100">
        <v>13056</v>
      </c>
      <c r="CH18" s="100">
        <v>22</v>
      </c>
      <c r="CI18" s="100">
        <v>14361.599999999999</v>
      </c>
      <c r="CJ18" s="100">
        <v>16</v>
      </c>
      <c r="CK18" s="100">
        <v>10444.799999999999</v>
      </c>
      <c r="CL18" s="100">
        <v>18</v>
      </c>
      <c r="CM18" s="100">
        <v>11750.4</v>
      </c>
      <c r="CN18" s="100">
        <v>18</v>
      </c>
      <c r="CO18" s="100">
        <v>11750.4</v>
      </c>
      <c r="CP18" s="100">
        <v>29</v>
      </c>
      <c r="CQ18" s="100">
        <v>18931.199999999997</v>
      </c>
      <c r="CR18" s="100">
        <v>14</v>
      </c>
      <c r="CS18" s="100">
        <v>9139.1999999999989</v>
      </c>
      <c r="CT18" s="100">
        <v>19</v>
      </c>
      <c r="CU18" s="100">
        <v>12403.199999999999</v>
      </c>
    </row>
    <row r="19" spans="2:99">
      <c r="C19" s="99" t="s">
        <v>185</v>
      </c>
      <c r="D19" s="100">
        <v>15</v>
      </c>
      <c r="E19" s="100">
        <v>4950</v>
      </c>
      <c r="F19" s="100">
        <v>16</v>
      </c>
      <c r="G19" s="100">
        <v>5280</v>
      </c>
      <c r="H19" s="100">
        <v>21</v>
      </c>
      <c r="I19" s="100">
        <v>6930</v>
      </c>
      <c r="J19" s="100">
        <v>0.28878412170399831</v>
      </c>
      <c r="K19" s="100">
        <v>95.298760162319439</v>
      </c>
      <c r="L19" s="100">
        <v>16</v>
      </c>
      <c r="M19" s="100">
        <v>5280</v>
      </c>
      <c r="N19" s="100">
        <v>15</v>
      </c>
      <c r="O19" s="100">
        <v>4950</v>
      </c>
      <c r="P19" s="100">
        <v>19</v>
      </c>
      <c r="Q19" s="100">
        <v>6270</v>
      </c>
      <c r="R19" s="100">
        <v>5.9245097641464062</v>
      </c>
      <c r="S19" s="100">
        <v>1955.0882221683141</v>
      </c>
      <c r="T19" s="100">
        <v>10.97195097855087</v>
      </c>
      <c r="U19" s="100">
        <v>3620.7438229217873</v>
      </c>
      <c r="V19" s="100">
        <v>10.753108515820472</v>
      </c>
      <c r="W19" s="100">
        <v>3548.5258102207558</v>
      </c>
      <c r="X19" s="100">
        <v>23.271861171534816</v>
      </c>
      <c r="Y19" s="100">
        <v>7679.7141866064894</v>
      </c>
      <c r="Z19" s="100">
        <v>12.940641988546384</v>
      </c>
      <c r="AA19" s="100">
        <v>4270.4118562203066</v>
      </c>
      <c r="AB19" s="100">
        <v>21</v>
      </c>
      <c r="AC19" s="100">
        <v>6930</v>
      </c>
      <c r="AD19" s="100">
        <v>27</v>
      </c>
      <c r="AE19" s="100">
        <v>8910</v>
      </c>
      <c r="AF19" s="100">
        <v>20.35183989976154</v>
      </c>
      <c r="AG19" s="100">
        <v>6716.1071669213079</v>
      </c>
      <c r="AH19" s="100">
        <v>16</v>
      </c>
      <c r="AI19" s="100">
        <v>5280</v>
      </c>
      <c r="AJ19" s="100">
        <v>22.190758416729722</v>
      </c>
      <c r="AK19" s="100">
        <v>7322.9502775208084</v>
      </c>
      <c r="AL19" s="100">
        <v>15.274702320700579</v>
      </c>
      <c r="AM19" s="100">
        <v>5040.6517658311914</v>
      </c>
      <c r="AN19" s="100">
        <v>20.155795017692888</v>
      </c>
      <c r="AO19" s="100">
        <v>6651.4123558386527</v>
      </c>
      <c r="AP19" s="100">
        <v>20.128174880635417</v>
      </c>
      <c r="AQ19" s="100">
        <v>6642.2977106096878</v>
      </c>
      <c r="AR19" s="100">
        <v>30</v>
      </c>
      <c r="AS19" s="100">
        <v>9900</v>
      </c>
      <c r="AT19" s="100">
        <v>18.281830154598662</v>
      </c>
      <c r="AU19" s="100">
        <v>6033.0039510175584</v>
      </c>
      <c r="AV19" s="100">
        <v>24.803145968873789</v>
      </c>
      <c r="AW19" s="100">
        <v>8185.0381697283501</v>
      </c>
      <c r="AX19" s="100">
        <v>26.025998746874077</v>
      </c>
      <c r="AY19" s="100">
        <v>8588.579586468446</v>
      </c>
      <c r="AZ19" s="100">
        <v>18</v>
      </c>
      <c r="BA19" s="100">
        <v>5940</v>
      </c>
      <c r="BB19" s="100">
        <v>21.926922979334449</v>
      </c>
      <c r="BC19" s="100">
        <v>7235.8845831803683</v>
      </c>
      <c r="BD19" s="100">
        <v>17.19955859808789</v>
      </c>
      <c r="BE19" s="100">
        <v>5675.8543373690036</v>
      </c>
      <c r="BF19" s="100">
        <v>20.572021068301201</v>
      </c>
      <c r="BG19" s="100">
        <v>6788.7669525393958</v>
      </c>
      <c r="BH19" s="100">
        <v>15</v>
      </c>
      <c r="BI19" s="100">
        <v>4950</v>
      </c>
      <c r="BJ19" s="100">
        <v>19</v>
      </c>
      <c r="BK19" s="100">
        <v>6270</v>
      </c>
      <c r="BL19" s="100">
        <v>21</v>
      </c>
      <c r="BM19" s="100">
        <v>6930</v>
      </c>
      <c r="BN19" s="100">
        <v>16</v>
      </c>
      <c r="BO19" s="100">
        <v>5280</v>
      </c>
      <c r="BP19" s="100">
        <v>28</v>
      </c>
      <c r="BQ19" s="100">
        <v>9240</v>
      </c>
      <c r="BR19" s="100">
        <v>29</v>
      </c>
      <c r="BS19" s="100">
        <v>9570</v>
      </c>
      <c r="BT19" s="100">
        <v>23</v>
      </c>
      <c r="BU19" s="100">
        <v>7590</v>
      </c>
      <c r="BV19" s="100">
        <v>19</v>
      </c>
      <c r="BW19" s="100">
        <v>6270</v>
      </c>
      <c r="BX19" s="100">
        <v>23</v>
      </c>
      <c r="BY19" s="100">
        <v>7590</v>
      </c>
      <c r="BZ19" s="100">
        <v>27</v>
      </c>
      <c r="CA19" s="100">
        <v>8910</v>
      </c>
      <c r="CB19" s="100">
        <v>21</v>
      </c>
      <c r="CC19" s="100">
        <v>6930</v>
      </c>
      <c r="CD19" s="100">
        <v>29</v>
      </c>
      <c r="CE19" s="100">
        <v>9570</v>
      </c>
      <c r="CF19" s="100">
        <v>19</v>
      </c>
      <c r="CG19" s="100">
        <v>6270</v>
      </c>
      <c r="CH19" s="100">
        <v>22</v>
      </c>
      <c r="CI19" s="100">
        <v>7260</v>
      </c>
      <c r="CJ19" s="100">
        <v>18</v>
      </c>
      <c r="CK19" s="100">
        <v>5940</v>
      </c>
      <c r="CL19" s="100">
        <v>21</v>
      </c>
      <c r="CM19" s="100">
        <v>6930</v>
      </c>
      <c r="CN19" s="100">
        <v>21</v>
      </c>
      <c r="CO19" s="100">
        <v>6930</v>
      </c>
      <c r="CP19" s="100">
        <v>31</v>
      </c>
      <c r="CQ19" s="100">
        <v>10230</v>
      </c>
      <c r="CR19" s="100">
        <v>18</v>
      </c>
      <c r="CS19" s="100">
        <v>5940</v>
      </c>
      <c r="CT19" s="100">
        <v>21</v>
      </c>
      <c r="CU19" s="100">
        <v>6930</v>
      </c>
    </row>
    <row r="20" spans="2:99">
      <c r="B20" s="99" t="s">
        <v>127</v>
      </c>
      <c r="C20" s="99" t="s">
        <v>186</v>
      </c>
      <c r="D20" s="100">
        <v>26</v>
      </c>
      <c r="E20" s="100">
        <v>7456.8</v>
      </c>
      <c r="F20" s="100">
        <v>26</v>
      </c>
      <c r="G20" s="100">
        <v>7456.8</v>
      </c>
      <c r="H20" s="100">
        <v>26</v>
      </c>
      <c r="I20" s="100">
        <v>7456.8</v>
      </c>
      <c r="J20" s="100">
        <v>0.39707816734299772</v>
      </c>
      <c r="K20" s="100">
        <v>113.88201839397175</v>
      </c>
      <c r="L20" s="100">
        <v>18</v>
      </c>
      <c r="M20" s="100">
        <v>5162.4000000000005</v>
      </c>
      <c r="N20" s="100">
        <v>17</v>
      </c>
      <c r="O20" s="100">
        <v>4875.6000000000004</v>
      </c>
      <c r="P20" s="100">
        <v>27</v>
      </c>
      <c r="Q20" s="100">
        <v>7743.6</v>
      </c>
      <c r="R20" s="100">
        <v>9.0610149334003864</v>
      </c>
      <c r="S20" s="100">
        <v>2598.6990828992311</v>
      </c>
      <c r="T20" s="100">
        <v>12.343444850869728</v>
      </c>
      <c r="U20" s="100">
        <v>3540.0999832294383</v>
      </c>
      <c r="V20" s="100">
        <v>20.834147749402163</v>
      </c>
      <c r="W20" s="100">
        <v>5975.2335745285409</v>
      </c>
      <c r="X20" s="100">
        <v>23.271861171534816</v>
      </c>
      <c r="Y20" s="100">
        <v>6674.3697839961851</v>
      </c>
      <c r="Z20" s="100">
        <v>15.011144706713804</v>
      </c>
      <c r="AA20" s="100">
        <v>4305.1963018855195</v>
      </c>
      <c r="AB20" s="100">
        <v>16</v>
      </c>
      <c r="AC20" s="100">
        <v>4588.8</v>
      </c>
      <c r="AD20" s="100">
        <v>17</v>
      </c>
      <c r="AE20" s="100">
        <v>4875.6000000000004</v>
      </c>
      <c r="AF20" s="100">
        <v>24.776152921448833</v>
      </c>
      <c r="AG20" s="100">
        <v>7105.8006578715258</v>
      </c>
      <c r="AH20" s="100">
        <v>23</v>
      </c>
      <c r="AI20" s="100">
        <v>6596.4000000000005</v>
      </c>
      <c r="AJ20" s="100">
        <v>15.089715723376212</v>
      </c>
      <c r="AK20" s="100">
        <v>4327.730469464298</v>
      </c>
      <c r="AL20" s="100">
        <v>13.747232088630522</v>
      </c>
      <c r="AM20" s="100">
        <v>3942.7061630192338</v>
      </c>
      <c r="AN20" s="100">
        <v>17.99624555151151</v>
      </c>
      <c r="AO20" s="100">
        <v>5161.3232241735013</v>
      </c>
      <c r="AP20" s="100">
        <v>20.128174880635417</v>
      </c>
      <c r="AQ20" s="100">
        <v>5772.7605557662373</v>
      </c>
      <c r="AR20" s="100">
        <v>19</v>
      </c>
      <c r="AS20" s="100">
        <v>5449.2</v>
      </c>
      <c r="AT20" s="100">
        <v>24.929768392634543</v>
      </c>
      <c r="AU20" s="100">
        <v>7149.857575007587</v>
      </c>
      <c r="AV20" s="100">
        <v>20.669288307394822</v>
      </c>
      <c r="AW20" s="100">
        <v>5927.9518865608352</v>
      </c>
      <c r="AX20" s="100">
        <v>22.772748903514817</v>
      </c>
      <c r="AY20" s="100">
        <v>6531.2243855280494</v>
      </c>
      <c r="AZ20" s="100">
        <v>21</v>
      </c>
      <c r="BA20" s="100">
        <v>6022.8</v>
      </c>
      <c r="BB20" s="100">
        <v>23.833611934059185</v>
      </c>
      <c r="BC20" s="100">
        <v>6835.4799026881747</v>
      </c>
      <c r="BD20" s="100">
        <v>29.621462030040256</v>
      </c>
      <c r="BE20" s="100">
        <v>8495.4353102155455</v>
      </c>
      <c r="BF20" s="100">
        <v>18.61278096655823</v>
      </c>
      <c r="BG20" s="100">
        <v>5338.1455812089007</v>
      </c>
      <c r="BH20" s="100">
        <v>20</v>
      </c>
      <c r="BI20" s="100">
        <v>5736</v>
      </c>
      <c r="BJ20" s="100">
        <v>20</v>
      </c>
      <c r="BK20" s="100">
        <v>5736</v>
      </c>
      <c r="BL20" s="100">
        <v>27</v>
      </c>
      <c r="BM20" s="100">
        <v>7743.6</v>
      </c>
      <c r="BN20" s="100">
        <v>19</v>
      </c>
      <c r="BO20" s="100">
        <v>5449.2</v>
      </c>
      <c r="BP20" s="100">
        <v>20</v>
      </c>
      <c r="BQ20" s="100">
        <v>5736</v>
      </c>
      <c r="BR20" s="100">
        <v>19</v>
      </c>
      <c r="BS20" s="100">
        <v>5449.2</v>
      </c>
      <c r="BT20" s="100">
        <v>25</v>
      </c>
      <c r="BU20" s="100">
        <v>7170</v>
      </c>
      <c r="BV20" s="100">
        <v>16</v>
      </c>
      <c r="BW20" s="100">
        <v>4588.8</v>
      </c>
      <c r="BX20" s="100">
        <v>34</v>
      </c>
      <c r="BY20" s="100">
        <v>9751.2000000000007</v>
      </c>
      <c r="BZ20" s="100">
        <v>28</v>
      </c>
      <c r="CA20" s="100">
        <v>8030.4000000000005</v>
      </c>
      <c r="CB20" s="100">
        <v>19</v>
      </c>
      <c r="CC20" s="100">
        <v>5449.2</v>
      </c>
      <c r="CD20" s="100">
        <v>29</v>
      </c>
      <c r="CE20" s="100">
        <v>8317.2000000000007</v>
      </c>
      <c r="CF20" s="100">
        <v>15</v>
      </c>
      <c r="CG20" s="100">
        <v>4302</v>
      </c>
      <c r="CH20" s="100">
        <v>23</v>
      </c>
      <c r="CI20" s="100">
        <v>6596.4000000000005</v>
      </c>
      <c r="CJ20" s="100">
        <v>24</v>
      </c>
      <c r="CK20" s="100">
        <v>6883.2000000000007</v>
      </c>
      <c r="CL20" s="100">
        <v>26</v>
      </c>
      <c r="CM20" s="100">
        <v>7456.8</v>
      </c>
      <c r="CN20" s="100">
        <v>21</v>
      </c>
      <c r="CO20" s="100">
        <v>6022.8</v>
      </c>
      <c r="CP20" s="100">
        <v>24</v>
      </c>
      <c r="CQ20" s="100">
        <v>6883.2000000000007</v>
      </c>
      <c r="CR20" s="100">
        <v>18</v>
      </c>
      <c r="CS20" s="100">
        <v>5162.4000000000005</v>
      </c>
      <c r="CT20" s="100">
        <v>35</v>
      </c>
      <c r="CU20" s="100">
        <v>10038</v>
      </c>
    </row>
    <row r="21" spans="2:99">
      <c r="C21" s="99" t="s">
        <v>187</v>
      </c>
      <c r="D21" s="100">
        <v>24</v>
      </c>
      <c r="E21" s="100">
        <v>1497.6</v>
      </c>
      <c r="F21" s="100">
        <v>30</v>
      </c>
      <c r="G21" s="100">
        <v>1872</v>
      </c>
      <c r="H21" s="100">
        <v>28</v>
      </c>
      <c r="I21" s="100">
        <v>1747.2</v>
      </c>
      <c r="J21" s="100">
        <v>0.39707816734299772</v>
      </c>
      <c r="K21" s="100">
        <v>24.777677642203056</v>
      </c>
      <c r="L21" s="100">
        <v>21</v>
      </c>
      <c r="M21" s="100">
        <v>1310.3999999999999</v>
      </c>
      <c r="N21" s="100">
        <v>16</v>
      </c>
      <c r="O21" s="100">
        <v>998.4</v>
      </c>
      <c r="P21" s="100">
        <v>25</v>
      </c>
      <c r="Q21" s="100">
        <v>1560</v>
      </c>
      <c r="R21" s="100">
        <v>8.3640137846772795</v>
      </c>
      <c r="S21" s="100">
        <v>521.91446016386226</v>
      </c>
      <c r="T21" s="100">
        <v>14.172103347294874</v>
      </c>
      <c r="U21" s="100">
        <v>884.33924887120008</v>
      </c>
      <c r="V21" s="100">
        <v>21.506217031640944</v>
      </c>
      <c r="W21" s="100">
        <v>1341.9879427743949</v>
      </c>
      <c r="X21" s="100">
        <v>26.180843817976665</v>
      </c>
      <c r="Y21" s="100">
        <v>1633.6846542417438</v>
      </c>
      <c r="Z21" s="100">
        <v>13.975893347630095</v>
      </c>
      <c r="AA21" s="100">
        <v>872.09574489211786</v>
      </c>
      <c r="AB21" s="100">
        <v>16</v>
      </c>
      <c r="AC21" s="100">
        <v>998.4</v>
      </c>
      <c r="AD21" s="100">
        <v>16</v>
      </c>
      <c r="AE21" s="100">
        <v>998.4</v>
      </c>
      <c r="AF21" s="100">
        <v>26.545878130123747</v>
      </c>
      <c r="AG21" s="100">
        <v>1656.4627953197216</v>
      </c>
      <c r="AH21" s="100">
        <v>22</v>
      </c>
      <c r="AI21" s="100">
        <v>1372.8</v>
      </c>
      <c r="AJ21" s="100">
        <v>15.9773460600454</v>
      </c>
      <c r="AK21" s="100">
        <v>996.98639414683294</v>
      </c>
      <c r="AL21" s="100">
        <v>15.274702320700579</v>
      </c>
      <c r="AM21" s="100">
        <v>953.14142481171609</v>
      </c>
      <c r="AN21" s="100">
        <v>17.27639572945105</v>
      </c>
      <c r="AO21" s="100">
        <v>1078.0470935177455</v>
      </c>
      <c r="AP21" s="100">
        <v>20.128174880635417</v>
      </c>
      <c r="AQ21" s="100">
        <v>1255.9981125516499</v>
      </c>
      <c r="AR21" s="100">
        <v>21</v>
      </c>
      <c r="AS21" s="100">
        <v>1310.3999999999999</v>
      </c>
      <c r="AT21" s="100">
        <v>25.760760672389022</v>
      </c>
      <c r="AU21" s="100">
        <v>1607.471465957075</v>
      </c>
      <c r="AV21" s="100">
        <v>20.669288307394822</v>
      </c>
      <c r="AW21" s="100">
        <v>1289.7635903814369</v>
      </c>
      <c r="AX21" s="100">
        <v>25.212686286034263</v>
      </c>
      <c r="AY21" s="100">
        <v>1573.271624248538</v>
      </c>
      <c r="AZ21" s="100">
        <v>21</v>
      </c>
      <c r="BA21" s="100">
        <v>1310.3999999999999</v>
      </c>
      <c r="BB21" s="100">
        <v>25.740300888783917</v>
      </c>
      <c r="BC21" s="100">
        <v>1606.1947754601165</v>
      </c>
      <c r="BD21" s="100">
        <v>28.665930996813149</v>
      </c>
      <c r="BE21" s="100">
        <v>1788.7540942011403</v>
      </c>
      <c r="BF21" s="100">
        <v>19.592401017429715</v>
      </c>
      <c r="BG21" s="100">
        <v>1222.5658234876141</v>
      </c>
      <c r="BH21" s="100">
        <v>23</v>
      </c>
      <c r="BI21" s="100">
        <v>1435.2</v>
      </c>
      <c r="BJ21" s="100">
        <v>18</v>
      </c>
      <c r="BK21" s="100">
        <v>1123.2</v>
      </c>
      <c r="BL21" s="100">
        <v>30</v>
      </c>
      <c r="BM21" s="100">
        <v>1872</v>
      </c>
      <c r="BN21" s="100">
        <v>17</v>
      </c>
      <c r="BO21" s="100">
        <v>1060.8</v>
      </c>
      <c r="BP21" s="100">
        <v>18</v>
      </c>
      <c r="BQ21" s="100">
        <v>1123.2</v>
      </c>
      <c r="BR21" s="100">
        <v>19</v>
      </c>
      <c r="BS21" s="100">
        <v>1185.5999999999999</v>
      </c>
      <c r="BT21" s="100">
        <v>29</v>
      </c>
      <c r="BU21" s="100">
        <v>1809.6</v>
      </c>
      <c r="BV21" s="100">
        <v>17</v>
      </c>
      <c r="BW21" s="100">
        <v>1060.8</v>
      </c>
      <c r="BX21" s="100">
        <v>34</v>
      </c>
      <c r="BY21" s="100">
        <v>2121.6</v>
      </c>
      <c r="BZ21" s="100">
        <v>26</v>
      </c>
      <c r="CA21" s="100">
        <v>1622.3999999999999</v>
      </c>
      <c r="CB21" s="100">
        <v>21</v>
      </c>
      <c r="CC21" s="100">
        <v>1310.3999999999999</v>
      </c>
      <c r="CD21" s="100">
        <v>31</v>
      </c>
      <c r="CE21" s="100">
        <v>1934.3999999999999</v>
      </c>
      <c r="CF21" s="100">
        <v>18</v>
      </c>
      <c r="CG21" s="100">
        <v>1123.2</v>
      </c>
      <c r="CH21" s="100">
        <v>22</v>
      </c>
      <c r="CI21" s="100">
        <v>1372.8</v>
      </c>
      <c r="CJ21" s="100">
        <v>26</v>
      </c>
      <c r="CK21" s="100">
        <v>1622.3999999999999</v>
      </c>
      <c r="CL21" s="100">
        <v>27</v>
      </c>
      <c r="CM21" s="100">
        <v>1684.8</v>
      </c>
      <c r="CN21" s="100">
        <v>23</v>
      </c>
      <c r="CO21" s="100">
        <v>1435.2</v>
      </c>
      <c r="CP21" s="100">
        <v>23</v>
      </c>
      <c r="CQ21" s="100">
        <v>1435.2</v>
      </c>
      <c r="CR21" s="100">
        <v>20</v>
      </c>
      <c r="CS21" s="100">
        <v>1248</v>
      </c>
      <c r="CT21" s="100">
        <v>30</v>
      </c>
      <c r="CU21" s="100">
        <v>1872</v>
      </c>
    </row>
    <row r="22" spans="2:99">
      <c r="C22" s="99" t="s">
        <v>188</v>
      </c>
      <c r="D22" s="100">
        <v>24</v>
      </c>
      <c r="E22" s="100">
        <v>4492.7999999999993</v>
      </c>
      <c r="F22" s="100">
        <v>28</v>
      </c>
      <c r="G22" s="100">
        <v>5241.5999999999995</v>
      </c>
      <c r="H22" s="100">
        <v>25</v>
      </c>
      <c r="I22" s="100">
        <v>4680</v>
      </c>
      <c r="J22" s="100">
        <v>0.39707816734299772</v>
      </c>
      <c r="K22" s="100">
        <v>74.333032926609164</v>
      </c>
      <c r="L22" s="100">
        <v>19</v>
      </c>
      <c r="M22" s="100">
        <v>3556.7999999999997</v>
      </c>
      <c r="N22" s="100">
        <v>16</v>
      </c>
      <c r="O22" s="100">
        <v>2995.2</v>
      </c>
      <c r="P22" s="100">
        <v>25</v>
      </c>
      <c r="Q22" s="100">
        <v>4680</v>
      </c>
      <c r="R22" s="100">
        <v>8.3640137846772795</v>
      </c>
      <c r="S22" s="100">
        <v>1565.7433804915865</v>
      </c>
      <c r="T22" s="100">
        <v>12.800609474976014</v>
      </c>
      <c r="U22" s="100">
        <v>2396.2740937155095</v>
      </c>
      <c r="V22" s="100">
        <v>20.162078467163383</v>
      </c>
      <c r="W22" s="100">
        <v>3774.3410890529849</v>
      </c>
      <c r="X22" s="100">
        <v>24.2415220536821</v>
      </c>
      <c r="Y22" s="100">
        <v>4538.0129284492887</v>
      </c>
      <c r="Z22" s="100">
        <v>13.458267668088238</v>
      </c>
      <c r="AA22" s="100">
        <v>2519.3877074661182</v>
      </c>
      <c r="AB22" s="100">
        <v>16</v>
      </c>
      <c r="AC22" s="100">
        <v>2995.2</v>
      </c>
      <c r="AD22" s="100">
        <v>15</v>
      </c>
      <c r="AE22" s="100">
        <v>2808</v>
      </c>
      <c r="AF22" s="100">
        <v>23.891290317111373</v>
      </c>
      <c r="AG22" s="100">
        <v>4472.4495473632487</v>
      </c>
      <c r="AH22" s="100">
        <v>22</v>
      </c>
      <c r="AI22" s="100">
        <v>4118.3999999999996</v>
      </c>
      <c r="AJ22" s="100">
        <v>14.202085386707022</v>
      </c>
      <c r="AK22" s="100">
        <v>2658.6303843915543</v>
      </c>
      <c r="AL22" s="100">
        <v>14.510967204665551</v>
      </c>
      <c r="AM22" s="100">
        <v>2716.4530607133911</v>
      </c>
      <c r="AN22" s="100">
        <v>19.435945195632431</v>
      </c>
      <c r="AO22" s="100">
        <v>3638.4089406223911</v>
      </c>
      <c r="AP22" s="100">
        <v>19.457235717947569</v>
      </c>
      <c r="AQ22" s="100">
        <v>3642.3945263997848</v>
      </c>
      <c r="AR22" s="100">
        <v>21</v>
      </c>
      <c r="AS22" s="100">
        <v>3931.2</v>
      </c>
      <c r="AT22" s="100">
        <v>24.098776112880056</v>
      </c>
      <c r="AU22" s="100">
        <v>4511.2908883311466</v>
      </c>
      <c r="AV22" s="100">
        <v>19.842516775099028</v>
      </c>
      <c r="AW22" s="100">
        <v>3714.5191402985379</v>
      </c>
      <c r="AX22" s="100">
        <v>24.399373825194449</v>
      </c>
      <c r="AY22" s="100">
        <v>4567.5627800764005</v>
      </c>
      <c r="AZ22" s="100">
        <v>20</v>
      </c>
      <c r="BA22" s="100">
        <v>3744</v>
      </c>
      <c r="BB22" s="100">
        <v>23.833611934059185</v>
      </c>
      <c r="BC22" s="100">
        <v>4461.6521540558788</v>
      </c>
      <c r="BD22" s="100">
        <v>25.799337897131831</v>
      </c>
      <c r="BE22" s="100">
        <v>4829.6360543430783</v>
      </c>
      <c r="BF22" s="100">
        <v>19.592401017429715</v>
      </c>
      <c r="BG22" s="100">
        <v>3667.6974704628424</v>
      </c>
      <c r="BH22" s="100">
        <v>19</v>
      </c>
      <c r="BI22" s="100">
        <v>3556.7999999999997</v>
      </c>
      <c r="BJ22" s="100">
        <v>19</v>
      </c>
      <c r="BK22" s="100">
        <v>3556.7999999999997</v>
      </c>
      <c r="BL22" s="100">
        <v>30</v>
      </c>
      <c r="BM22" s="100">
        <v>5616</v>
      </c>
      <c r="BN22" s="100">
        <v>20</v>
      </c>
      <c r="BO22" s="100">
        <v>3744</v>
      </c>
      <c r="BP22" s="100">
        <v>20</v>
      </c>
      <c r="BQ22" s="100">
        <v>3744</v>
      </c>
      <c r="BR22" s="100">
        <v>20</v>
      </c>
      <c r="BS22" s="100">
        <v>3744</v>
      </c>
      <c r="BT22" s="100">
        <v>25</v>
      </c>
      <c r="BU22" s="100">
        <v>4680</v>
      </c>
      <c r="BV22" s="100">
        <v>16</v>
      </c>
      <c r="BW22" s="100">
        <v>2995.2</v>
      </c>
      <c r="BX22" s="100">
        <v>32</v>
      </c>
      <c r="BY22" s="100">
        <v>5990.4</v>
      </c>
      <c r="BZ22" s="100">
        <v>28</v>
      </c>
      <c r="CA22" s="100">
        <v>5241.5999999999995</v>
      </c>
      <c r="CB22" s="100">
        <v>19</v>
      </c>
      <c r="CC22" s="100">
        <v>3556.7999999999997</v>
      </c>
      <c r="CD22" s="100">
        <v>27</v>
      </c>
      <c r="CE22" s="100">
        <v>5054.3999999999996</v>
      </c>
      <c r="CF22" s="100">
        <v>16</v>
      </c>
      <c r="CG22" s="100">
        <v>2995.2</v>
      </c>
      <c r="CH22" s="100">
        <v>24</v>
      </c>
      <c r="CI22" s="100">
        <v>4492.7999999999993</v>
      </c>
      <c r="CJ22" s="100">
        <v>26</v>
      </c>
      <c r="CK22" s="100">
        <v>4867.2</v>
      </c>
      <c r="CL22" s="100">
        <v>26</v>
      </c>
      <c r="CM22" s="100">
        <v>4867.2</v>
      </c>
      <c r="CN22" s="100">
        <v>22</v>
      </c>
      <c r="CO22" s="100">
        <v>4118.3999999999996</v>
      </c>
      <c r="CP22" s="100">
        <v>22</v>
      </c>
      <c r="CQ22" s="100">
        <v>4118.3999999999996</v>
      </c>
      <c r="CR22" s="100">
        <v>18</v>
      </c>
      <c r="CS22" s="100">
        <v>3369.6</v>
      </c>
      <c r="CT22" s="100">
        <v>36</v>
      </c>
      <c r="CU22" s="100">
        <v>6739.2</v>
      </c>
    </row>
    <row r="23" spans="2:99">
      <c r="C23" s="99" t="s">
        <v>189</v>
      </c>
      <c r="D23" s="100">
        <v>25</v>
      </c>
      <c r="E23" s="100">
        <v>7350</v>
      </c>
      <c r="F23" s="100">
        <v>29</v>
      </c>
      <c r="G23" s="100">
        <v>8526</v>
      </c>
      <c r="H23" s="100">
        <v>27</v>
      </c>
      <c r="I23" s="100">
        <v>7938</v>
      </c>
      <c r="J23" s="100">
        <v>0.41512717494949763</v>
      </c>
      <c r="K23" s="100">
        <v>122.04738943515231</v>
      </c>
      <c r="L23" s="100">
        <v>20</v>
      </c>
      <c r="M23" s="100">
        <v>5880</v>
      </c>
      <c r="N23" s="100">
        <v>17</v>
      </c>
      <c r="O23" s="100">
        <v>4998</v>
      </c>
      <c r="P23" s="100">
        <v>27</v>
      </c>
      <c r="Q23" s="100">
        <v>7938</v>
      </c>
      <c r="R23" s="100">
        <v>8.0155132103157261</v>
      </c>
      <c r="S23" s="100">
        <v>2356.5608838328235</v>
      </c>
      <c r="T23" s="100">
        <v>12.800609474976014</v>
      </c>
      <c r="U23" s="100">
        <v>3763.379185642948</v>
      </c>
      <c r="V23" s="100">
        <v>17.473801338208265</v>
      </c>
      <c r="W23" s="100">
        <v>5137.2975934332298</v>
      </c>
      <c r="X23" s="100">
        <v>23.271861171534816</v>
      </c>
      <c r="Y23" s="100">
        <v>6841.9271844312361</v>
      </c>
      <c r="Z23" s="100">
        <v>14.493519027171949</v>
      </c>
      <c r="AA23" s="100">
        <v>4261.0945939885532</v>
      </c>
      <c r="AB23" s="100">
        <v>14</v>
      </c>
      <c r="AC23" s="100">
        <v>4116</v>
      </c>
      <c r="AD23" s="100">
        <v>17</v>
      </c>
      <c r="AE23" s="100">
        <v>4998</v>
      </c>
      <c r="AF23" s="100">
        <v>23.891290317111373</v>
      </c>
      <c r="AG23" s="100">
        <v>7024.0393532307435</v>
      </c>
      <c r="AH23" s="100">
        <v>23</v>
      </c>
      <c r="AI23" s="100">
        <v>6762</v>
      </c>
      <c r="AJ23" s="100">
        <v>15.9773460600454</v>
      </c>
      <c r="AK23" s="100">
        <v>4697.339741653348</v>
      </c>
      <c r="AL23" s="100">
        <v>13.747232088630522</v>
      </c>
      <c r="AM23" s="100">
        <v>4041.6862340573734</v>
      </c>
      <c r="AN23" s="100">
        <v>17.99624555151151</v>
      </c>
      <c r="AO23" s="100">
        <v>5290.8961921443843</v>
      </c>
      <c r="AP23" s="100">
        <v>18.786296555259721</v>
      </c>
      <c r="AQ23" s="100">
        <v>5523.1711872463584</v>
      </c>
      <c r="AR23" s="100">
        <v>18</v>
      </c>
      <c r="AS23" s="100">
        <v>5292</v>
      </c>
      <c r="AT23" s="100">
        <v>26.591752952143509</v>
      </c>
      <c r="AU23" s="100">
        <v>7817.9753679301912</v>
      </c>
      <c r="AV23" s="100">
        <v>20.669288307394822</v>
      </c>
      <c r="AW23" s="100">
        <v>6076.770762374078</v>
      </c>
      <c r="AX23" s="100">
        <v>26.839311207713891</v>
      </c>
      <c r="AY23" s="100">
        <v>7890.7574950678836</v>
      </c>
      <c r="AZ23" s="100">
        <v>21</v>
      </c>
      <c r="BA23" s="100">
        <v>6174</v>
      </c>
      <c r="BB23" s="100">
        <v>23.833611934059185</v>
      </c>
      <c r="BC23" s="100">
        <v>7007.0819086134006</v>
      </c>
      <c r="BD23" s="100">
        <v>27.710399963586045</v>
      </c>
      <c r="BE23" s="100">
        <v>8146.8575892942972</v>
      </c>
      <c r="BF23" s="100">
        <v>19.592401017429715</v>
      </c>
      <c r="BG23" s="100">
        <v>5760.1658991243366</v>
      </c>
      <c r="BH23" s="100">
        <v>20</v>
      </c>
      <c r="BI23" s="100">
        <v>5880</v>
      </c>
      <c r="BJ23" s="100">
        <v>18</v>
      </c>
      <c r="BK23" s="100">
        <v>5292</v>
      </c>
      <c r="BL23" s="100">
        <v>27</v>
      </c>
      <c r="BM23" s="100">
        <v>7938</v>
      </c>
      <c r="BN23" s="100">
        <v>17</v>
      </c>
      <c r="BO23" s="100">
        <v>4998</v>
      </c>
      <c r="BP23" s="100">
        <v>20</v>
      </c>
      <c r="BQ23" s="100">
        <v>5880</v>
      </c>
      <c r="BR23" s="100">
        <v>19</v>
      </c>
      <c r="BS23" s="100">
        <v>5586</v>
      </c>
      <c r="BT23" s="100">
        <v>28</v>
      </c>
      <c r="BU23" s="100">
        <v>8232</v>
      </c>
      <c r="BV23" s="100">
        <v>17</v>
      </c>
      <c r="BW23" s="100">
        <v>4998</v>
      </c>
      <c r="BX23" s="100">
        <v>32</v>
      </c>
      <c r="BY23" s="100">
        <v>9408</v>
      </c>
      <c r="BZ23" s="100">
        <v>30</v>
      </c>
      <c r="CA23" s="100">
        <v>8820</v>
      </c>
      <c r="CB23" s="100">
        <v>17</v>
      </c>
      <c r="CC23" s="100">
        <v>4998</v>
      </c>
      <c r="CD23" s="100">
        <v>29</v>
      </c>
      <c r="CE23" s="100">
        <v>8526</v>
      </c>
      <c r="CF23" s="100">
        <v>17</v>
      </c>
      <c r="CG23" s="100">
        <v>4998</v>
      </c>
      <c r="CH23" s="100">
        <v>20</v>
      </c>
      <c r="CI23" s="100">
        <v>5880</v>
      </c>
      <c r="CJ23" s="100">
        <v>23</v>
      </c>
      <c r="CK23" s="100">
        <v>6762</v>
      </c>
      <c r="CL23" s="100">
        <v>25</v>
      </c>
      <c r="CM23" s="100">
        <v>7350</v>
      </c>
      <c r="CN23" s="100">
        <v>19</v>
      </c>
      <c r="CO23" s="100">
        <v>5586</v>
      </c>
      <c r="CP23" s="100">
        <v>23</v>
      </c>
      <c r="CQ23" s="100">
        <v>6762</v>
      </c>
      <c r="CR23" s="100">
        <v>18</v>
      </c>
      <c r="CS23" s="100">
        <v>5292</v>
      </c>
      <c r="CT23" s="100">
        <v>30</v>
      </c>
      <c r="CU23" s="100">
        <v>8820</v>
      </c>
    </row>
    <row r="24" spans="2:99">
      <c r="C24" s="99" t="s">
        <v>190</v>
      </c>
      <c r="D24" s="100">
        <v>27</v>
      </c>
      <c r="E24" s="100">
        <v>9914.4</v>
      </c>
      <c r="F24" s="100">
        <v>28</v>
      </c>
      <c r="G24" s="100">
        <v>10281.6</v>
      </c>
      <c r="H24" s="100">
        <v>28</v>
      </c>
      <c r="I24" s="100">
        <v>10281.6</v>
      </c>
      <c r="J24" s="100">
        <v>0.43317618255599749</v>
      </c>
      <c r="K24" s="100">
        <v>159.06229423456227</v>
      </c>
      <c r="L24" s="100">
        <v>19</v>
      </c>
      <c r="M24" s="100">
        <v>6976.8</v>
      </c>
      <c r="N24" s="100">
        <v>15</v>
      </c>
      <c r="O24" s="100">
        <v>5508</v>
      </c>
      <c r="P24" s="100">
        <v>23</v>
      </c>
      <c r="Q24" s="100">
        <v>8445.6</v>
      </c>
      <c r="R24" s="100">
        <v>8.0155132103157261</v>
      </c>
      <c r="S24" s="100">
        <v>2943.2964508279347</v>
      </c>
      <c r="T24" s="100">
        <v>12.343444850869728</v>
      </c>
      <c r="U24" s="100">
        <v>4532.5129492393644</v>
      </c>
      <c r="V24" s="100">
        <v>20.162078467163383</v>
      </c>
      <c r="W24" s="100">
        <v>7403.5152131423938</v>
      </c>
      <c r="X24" s="100">
        <v>23.271861171534816</v>
      </c>
      <c r="Y24" s="100">
        <v>8545.4274221875839</v>
      </c>
      <c r="Z24" s="100">
        <v>15.011144706713804</v>
      </c>
      <c r="AA24" s="100">
        <v>5512.0923363053089</v>
      </c>
      <c r="AB24" s="100">
        <v>16</v>
      </c>
      <c r="AC24" s="100">
        <v>5875.2</v>
      </c>
      <c r="AD24" s="100">
        <v>16</v>
      </c>
      <c r="AE24" s="100">
        <v>5875.2</v>
      </c>
      <c r="AF24" s="100">
        <v>23.891290317111373</v>
      </c>
      <c r="AG24" s="100">
        <v>8772.8818044432956</v>
      </c>
      <c r="AH24" s="100">
        <v>21</v>
      </c>
      <c r="AI24" s="100">
        <v>7711.2</v>
      </c>
      <c r="AJ24" s="100">
        <v>15.9773460600454</v>
      </c>
      <c r="AK24" s="100">
        <v>5866.8814732486708</v>
      </c>
      <c r="AL24" s="100">
        <v>13.747232088630522</v>
      </c>
      <c r="AM24" s="100">
        <v>5047.9836229451275</v>
      </c>
      <c r="AN24" s="100">
        <v>19.435945195632431</v>
      </c>
      <c r="AO24" s="100">
        <v>7136.8790758362284</v>
      </c>
      <c r="AP24" s="100">
        <v>20.128174880635417</v>
      </c>
      <c r="AQ24" s="100">
        <v>7391.0658161693245</v>
      </c>
      <c r="AR24" s="100">
        <v>19</v>
      </c>
      <c r="AS24" s="100">
        <v>6976.8</v>
      </c>
      <c r="AT24" s="100">
        <v>27.422745231897995</v>
      </c>
      <c r="AU24" s="100">
        <v>10069.632049152944</v>
      </c>
      <c r="AV24" s="100">
        <v>22.32283137198641</v>
      </c>
      <c r="AW24" s="100">
        <v>8196.9436797934104</v>
      </c>
      <c r="AX24" s="100">
        <v>24.399373825194449</v>
      </c>
      <c r="AY24" s="100">
        <v>8959.4500686114006</v>
      </c>
      <c r="AZ24" s="100">
        <v>21</v>
      </c>
      <c r="BA24" s="100">
        <v>7711.2</v>
      </c>
      <c r="BB24" s="100">
        <v>27.646989843508653</v>
      </c>
      <c r="BC24" s="100">
        <v>10151.974670536378</v>
      </c>
      <c r="BD24" s="100">
        <v>25.799337897131831</v>
      </c>
      <c r="BE24" s="100">
        <v>9473.5168758268082</v>
      </c>
      <c r="BF24" s="100">
        <v>19.592401017429715</v>
      </c>
      <c r="BG24" s="100">
        <v>7194.3296536001908</v>
      </c>
      <c r="BH24" s="100">
        <v>22</v>
      </c>
      <c r="BI24" s="100">
        <v>8078.4</v>
      </c>
      <c r="BJ24" s="100">
        <v>19</v>
      </c>
      <c r="BK24" s="100">
        <v>6976.8</v>
      </c>
      <c r="BL24" s="100">
        <v>25</v>
      </c>
      <c r="BM24" s="100">
        <v>9180</v>
      </c>
      <c r="BN24" s="100">
        <v>17</v>
      </c>
      <c r="BO24" s="100">
        <v>6242.4</v>
      </c>
      <c r="BP24" s="100">
        <v>17</v>
      </c>
      <c r="BQ24" s="100">
        <v>6242.4</v>
      </c>
      <c r="BR24" s="100">
        <v>19</v>
      </c>
      <c r="BS24" s="100">
        <v>6976.8</v>
      </c>
      <c r="BT24" s="100">
        <v>25</v>
      </c>
      <c r="BU24" s="100">
        <v>9180</v>
      </c>
      <c r="BV24" s="100">
        <v>17</v>
      </c>
      <c r="BW24" s="100">
        <v>6242.4</v>
      </c>
      <c r="BX24" s="100">
        <v>29</v>
      </c>
      <c r="BY24" s="100">
        <v>10648.8</v>
      </c>
      <c r="BZ24" s="100">
        <v>30</v>
      </c>
      <c r="CA24" s="100">
        <v>11016</v>
      </c>
      <c r="CB24" s="100">
        <v>17</v>
      </c>
      <c r="CC24" s="100">
        <v>6242.4</v>
      </c>
      <c r="CD24" s="100">
        <v>26</v>
      </c>
      <c r="CE24" s="100">
        <v>9547.1999999999989</v>
      </c>
      <c r="CF24" s="100">
        <v>17</v>
      </c>
      <c r="CG24" s="100">
        <v>6242.4</v>
      </c>
      <c r="CH24" s="100">
        <v>22</v>
      </c>
      <c r="CI24" s="100">
        <v>8078.4</v>
      </c>
      <c r="CJ24" s="100">
        <v>22</v>
      </c>
      <c r="CK24" s="100">
        <v>8078.4</v>
      </c>
      <c r="CL24" s="100">
        <v>27</v>
      </c>
      <c r="CM24" s="100">
        <v>9914.4</v>
      </c>
      <c r="CN24" s="100">
        <v>19</v>
      </c>
      <c r="CO24" s="100">
        <v>6976.8</v>
      </c>
      <c r="CP24" s="100">
        <v>22</v>
      </c>
      <c r="CQ24" s="100">
        <v>8078.4</v>
      </c>
      <c r="CR24" s="100">
        <v>18</v>
      </c>
      <c r="CS24" s="100">
        <v>6609.5999999999995</v>
      </c>
      <c r="CT24" s="100">
        <v>32</v>
      </c>
      <c r="CU24" s="100">
        <v>11750.4</v>
      </c>
    </row>
    <row r="25" spans="2:99">
      <c r="C25" s="99" t="s">
        <v>191</v>
      </c>
      <c r="D25" s="100">
        <v>25</v>
      </c>
      <c r="E25" s="100">
        <v>13260</v>
      </c>
      <c r="F25" s="100">
        <v>26</v>
      </c>
      <c r="G25" s="100">
        <v>13790.4</v>
      </c>
      <c r="H25" s="100">
        <v>25</v>
      </c>
      <c r="I25" s="100">
        <v>13260</v>
      </c>
      <c r="J25" s="100">
        <v>0.39707816734299772</v>
      </c>
      <c r="K25" s="100">
        <v>210.61025995872598</v>
      </c>
      <c r="L25" s="100">
        <v>17</v>
      </c>
      <c r="M25" s="100">
        <v>9016.7999999999993</v>
      </c>
      <c r="N25" s="100">
        <v>16</v>
      </c>
      <c r="O25" s="100">
        <v>8486.4</v>
      </c>
      <c r="P25" s="100">
        <v>23</v>
      </c>
      <c r="Q25" s="100">
        <v>12199.199999999999</v>
      </c>
      <c r="R25" s="100">
        <v>8.0155132103157261</v>
      </c>
      <c r="S25" s="100">
        <v>4251.4282067514605</v>
      </c>
      <c r="T25" s="100">
        <v>12.800609474976014</v>
      </c>
      <c r="U25" s="100">
        <v>6789.4432655272776</v>
      </c>
      <c r="V25" s="100">
        <v>20.162078467163383</v>
      </c>
      <c r="W25" s="100">
        <v>10693.966418983458</v>
      </c>
      <c r="X25" s="100">
        <v>26.180843817976665</v>
      </c>
      <c r="Y25" s="100">
        <v>13886.319561054823</v>
      </c>
      <c r="Z25" s="100">
        <v>13.458267668088238</v>
      </c>
      <c r="AA25" s="100">
        <v>7138.2651711540011</v>
      </c>
      <c r="AB25" s="100">
        <v>14</v>
      </c>
      <c r="AC25" s="100">
        <v>7425.5999999999995</v>
      </c>
      <c r="AD25" s="100">
        <v>15</v>
      </c>
      <c r="AE25" s="100">
        <v>7956</v>
      </c>
      <c r="AF25" s="100">
        <v>22.121565108436457</v>
      </c>
      <c r="AG25" s="100">
        <v>11733.278133514696</v>
      </c>
      <c r="AH25" s="100">
        <v>22</v>
      </c>
      <c r="AI25" s="100">
        <v>11668.8</v>
      </c>
      <c r="AJ25" s="100">
        <v>15.089715723376212</v>
      </c>
      <c r="AK25" s="100">
        <v>8003.5852196787428</v>
      </c>
      <c r="AL25" s="100">
        <v>14.510967204665551</v>
      </c>
      <c r="AM25" s="100">
        <v>7696.6170053546084</v>
      </c>
      <c r="AN25" s="100">
        <v>17.99624555151151</v>
      </c>
      <c r="AO25" s="100">
        <v>9545.2086405217051</v>
      </c>
      <c r="AP25" s="100">
        <v>20.128174880635417</v>
      </c>
      <c r="AQ25" s="100">
        <v>10675.983956689024</v>
      </c>
      <c r="AR25" s="100">
        <v>18</v>
      </c>
      <c r="AS25" s="100">
        <v>9547.1999999999989</v>
      </c>
      <c r="AT25" s="100">
        <v>22.436791553371087</v>
      </c>
      <c r="AU25" s="100">
        <v>11900.474239908024</v>
      </c>
      <c r="AV25" s="100">
        <v>20.669288307394822</v>
      </c>
      <c r="AW25" s="100">
        <v>10962.990518242214</v>
      </c>
      <c r="AX25" s="100">
        <v>25.212686286034263</v>
      </c>
      <c r="AY25" s="100">
        <v>13372.808806112573</v>
      </c>
      <c r="AZ25" s="100">
        <v>20</v>
      </c>
      <c r="BA25" s="100">
        <v>10608</v>
      </c>
      <c r="BB25" s="100">
        <v>22.880267456696817</v>
      </c>
      <c r="BC25" s="100">
        <v>12135.693859031991</v>
      </c>
      <c r="BD25" s="100">
        <v>26.754868930358942</v>
      </c>
      <c r="BE25" s="100">
        <v>14190.782480662383</v>
      </c>
      <c r="BF25" s="100">
        <v>18.61278096655823</v>
      </c>
      <c r="BG25" s="100">
        <v>9872.219024662485</v>
      </c>
      <c r="BH25" s="100">
        <v>20</v>
      </c>
      <c r="BI25" s="100">
        <v>10608</v>
      </c>
      <c r="BJ25" s="100">
        <v>19</v>
      </c>
      <c r="BK25" s="100">
        <v>10077.6</v>
      </c>
      <c r="BL25" s="100">
        <v>26</v>
      </c>
      <c r="BM25" s="100">
        <v>13790.4</v>
      </c>
      <c r="BN25" s="100">
        <v>17</v>
      </c>
      <c r="BO25" s="100">
        <v>9016.7999999999993</v>
      </c>
      <c r="BP25" s="100">
        <v>16</v>
      </c>
      <c r="BQ25" s="100">
        <v>8486.4</v>
      </c>
      <c r="BR25" s="100">
        <v>18</v>
      </c>
      <c r="BS25" s="100">
        <v>9547.1999999999989</v>
      </c>
      <c r="BT25" s="100">
        <v>26</v>
      </c>
      <c r="BU25" s="100">
        <v>13790.4</v>
      </c>
      <c r="BV25" s="100">
        <v>16</v>
      </c>
      <c r="BW25" s="100">
        <v>8486.4</v>
      </c>
      <c r="BX25" s="100">
        <v>34</v>
      </c>
      <c r="BY25" s="100">
        <v>18033.599999999999</v>
      </c>
      <c r="BZ25" s="100">
        <v>26</v>
      </c>
      <c r="CA25" s="100">
        <v>13790.4</v>
      </c>
      <c r="CB25" s="100">
        <v>17</v>
      </c>
      <c r="CC25" s="100">
        <v>9016.7999999999993</v>
      </c>
      <c r="CD25" s="100">
        <v>26</v>
      </c>
      <c r="CE25" s="100">
        <v>13790.4</v>
      </c>
      <c r="CF25" s="100">
        <v>15</v>
      </c>
      <c r="CG25" s="100">
        <v>7956</v>
      </c>
      <c r="CH25" s="100">
        <v>23</v>
      </c>
      <c r="CI25" s="100">
        <v>12199.199999999999</v>
      </c>
      <c r="CJ25" s="100">
        <v>21</v>
      </c>
      <c r="CK25" s="100">
        <v>11138.4</v>
      </c>
      <c r="CL25" s="100">
        <v>28</v>
      </c>
      <c r="CM25" s="100">
        <v>14851.199999999999</v>
      </c>
      <c r="CN25" s="100">
        <v>19</v>
      </c>
      <c r="CO25" s="100">
        <v>10077.6</v>
      </c>
      <c r="CP25" s="100">
        <v>23</v>
      </c>
      <c r="CQ25" s="100">
        <v>12199.199999999999</v>
      </c>
      <c r="CR25" s="100">
        <v>18</v>
      </c>
      <c r="CS25" s="100">
        <v>9547.1999999999989</v>
      </c>
      <c r="CT25" s="100">
        <v>34</v>
      </c>
      <c r="CU25" s="100">
        <v>18033.599999999999</v>
      </c>
    </row>
    <row r="26" spans="2:99">
      <c r="C26" s="99" t="s">
        <v>192</v>
      </c>
      <c r="D26" s="100">
        <v>24</v>
      </c>
      <c r="E26" s="100">
        <v>11664</v>
      </c>
      <c r="F26" s="100">
        <v>29</v>
      </c>
      <c r="G26" s="100">
        <v>14094</v>
      </c>
      <c r="H26" s="100">
        <v>26</v>
      </c>
      <c r="I26" s="100">
        <v>12636</v>
      </c>
      <c r="J26" s="100">
        <v>0.43317618255599749</v>
      </c>
      <c r="K26" s="100">
        <v>210.52362472221478</v>
      </c>
      <c r="L26" s="100">
        <v>17</v>
      </c>
      <c r="M26" s="100">
        <v>8262</v>
      </c>
      <c r="N26" s="100">
        <v>16</v>
      </c>
      <c r="O26" s="100">
        <v>7776</v>
      </c>
      <c r="P26" s="100">
        <v>27</v>
      </c>
      <c r="Q26" s="100">
        <v>13122</v>
      </c>
      <c r="R26" s="100">
        <v>8.0155132103157261</v>
      </c>
      <c r="S26" s="100">
        <v>3895.539420213443</v>
      </c>
      <c r="T26" s="100">
        <v>13.714938723188586</v>
      </c>
      <c r="U26" s="100">
        <v>6665.4602194696527</v>
      </c>
      <c r="V26" s="100">
        <v>18.145870620447045</v>
      </c>
      <c r="W26" s="100">
        <v>8818.8931215372631</v>
      </c>
      <c r="X26" s="100">
        <v>25.211182935829381</v>
      </c>
      <c r="Y26" s="100">
        <v>12252.634906813078</v>
      </c>
      <c r="Z26" s="100">
        <v>15.011144706713804</v>
      </c>
      <c r="AA26" s="100">
        <v>7295.4163274629091</v>
      </c>
      <c r="AB26" s="100">
        <v>15</v>
      </c>
      <c r="AC26" s="100">
        <v>7290</v>
      </c>
      <c r="AD26" s="100">
        <v>15</v>
      </c>
      <c r="AE26" s="100">
        <v>7290</v>
      </c>
      <c r="AF26" s="100">
        <v>23.891290317111373</v>
      </c>
      <c r="AG26" s="100">
        <v>11611.167094116128</v>
      </c>
      <c r="AH26" s="100">
        <v>22</v>
      </c>
      <c r="AI26" s="100">
        <v>10692</v>
      </c>
      <c r="AJ26" s="100">
        <v>14.202085386707022</v>
      </c>
      <c r="AK26" s="100">
        <v>6902.2134979396133</v>
      </c>
      <c r="AL26" s="100">
        <v>15.274702320700579</v>
      </c>
      <c r="AM26" s="100">
        <v>7423.505327860481</v>
      </c>
      <c r="AN26" s="100">
        <v>17.99624555151151</v>
      </c>
      <c r="AO26" s="100">
        <v>8746.1753380345945</v>
      </c>
      <c r="AP26" s="100">
        <v>20.128174880635417</v>
      </c>
      <c r="AQ26" s="100">
        <v>9782.292991988812</v>
      </c>
      <c r="AR26" s="100">
        <v>20</v>
      </c>
      <c r="AS26" s="100">
        <v>9720</v>
      </c>
      <c r="AT26" s="100">
        <v>25.760760672389022</v>
      </c>
      <c r="AU26" s="100">
        <v>12519.729686781066</v>
      </c>
      <c r="AV26" s="100">
        <v>21.496059839690613</v>
      </c>
      <c r="AW26" s="100">
        <v>10447.085082089638</v>
      </c>
      <c r="AX26" s="100">
        <v>26.025998746874077</v>
      </c>
      <c r="AY26" s="100">
        <v>12648.635390980802</v>
      </c>
      <c r="AZ26" s="100">
        <v>18</v>
      </c>
      <c r="BA26" s="100">
        <v>8748</v>
      </c>
      <c r="BB26" s="100">
        <v>24.786956411421553</v>
      </c>
      <c r="BC26" s="100">
        <v>12046.460815950875</v>
      </c>
      <c r="BD26" s="100">
        <v>28.665930996813149</v>
      </c>
      <c r="BE26" s="100">
        <v>13931.64246445119</v>
      </c>
      <c r="BF26" s="100">
        <v>18.61278096655823</v>
      </c>
      <c r="BG26" s="100">
        <v>9045.8115497472991</v>
      </c>
      <c r="BH26" s="100">
        <v>21</v>
      </c>
      <c r="BI26" s="100">
        <v>10206</v>
      </c>
      <c r="BJ26" s="100">
        <v>19</v>
      </c>
      <c r="BK26" s="100">
        <v>9234</v>
      </c>
      <c r="BL26" s="100">
        <v>25</v>
      </c>
      <c r="BM26" s="100">
        <v>12150</v>
      </c>
      <c r="BN26" s="100">
        <v>20</v>
      </c>
      <c r="BO26" s="100">
        <v>9720</v>
      </c>
      <c r="BP26" s="100">
        <v>17</v>
      </c>
      <c r="BQ26" s="100">
        <v>8262</v>
      </c>
      <c r="BR26" s="100">
        <v>19</v>
      </c>
      <c r="BS26" s="100">
        <v>9234</v>
      </c>
      <c r="BT26" s="100">
        <v>27</v>
      </c>
      <c r="BU26" s="100">
        <v>13122</v>
      </c>
      <c r="BV26" s="100">
        <v>16</v>
      </c>
      <c r="BW26" s="100">
        <v>7776</v>
      </c>
      <c r="BX26" s="100">
        <v>31</v>
      </c>
      <c r="BY26" s="100">
        <v>15066</v>
      </c>
      <c r="BZ26" s="100">
        <v>25</v>
      </c>
      <c r="CA26" s="100">
        <v>12150</v>
      </c>
      <c r="CB26" s="100">
        <v>18</v>
      </c>
      <c r="CC26" s="100">
        <v>8748</v>
      </c>
      <c r="CD26" s="100">
        <v>28</v>
      </c>
      <c r="CE26" s="100">
        <v>13608</v>
      </c>
      <c r="CF26" s="100">
        <v>16</v>
      </c>
      <c r="CG26" s="100">
        <v>7776</v>
      </c>
      <c r="CH26" s="100">
        <v>21</v>
      </c>
      <c r="CI26" s="100">
        <v>10206</v>
      </c>
      <c r="CJ26" s="100">
        <v>21</v>
      </c>
      <c r="CK26" s="100">
        <v>10206</v>
      </c>
      <c r="CL26" s="100">
        <v>26</v>
      </c>
      <c r="CM26" s="100">
        <v>12636</v>
      </c>
      <c r="CN26" s="100">
        <v>21</v>
      </c>
      <c r="CO26" s="100">
        <v>10206</v>
      </c>
      <c r="CP26" s="100">
        <v>24</v>
      </c>
      <c r="CQ26" s="100">
        <v>11664</v>
      </c>
      <c r="CR26" s="100">
        <v>19</v>
      </c>
      <c r="CS26" s="100">
        <v>9234</v>
      </c>
      <c r="CT26" s="100">
        <v>31</v>
      </c>
      <c r="CU26" s="100">
        <v>15066</v>
      </c>
    </row>
    <row r="27" spans="2:99">
      <c r="C27" s="99" t="s">
        <v>193</v>
      </c>
      <c r="D27" s="100">
        <v>28</v>
      </c>
      <c r="E27" s="100">
        <v>11961.6</v>
      </c>
      <c r="F27" s="100">
        <v>28</v>
      </c>
      <c r="G27" s="100">
        <v>11961.6</v>
      </c>
      <c r="H27" s="100">
        <v>26</v>
      </c>
      <c r="I27" s="100">
        <v>11107.199999999999</v>
      </c>
      <c r="J27" s="100">
        <v>0.37902915973649781</v>
      </c>
      <c r="K27" s="100">
        <v>161.92125703943185</v>
      </c>
      <c r="L27" s="100">
        <v>20</v>
      </c>
      <c r="M27" s="100">
        <v>8544</v>
      </c>
      <c r="N27" s="100">
        <v>18</v>
      </c>
      <c r="O27" s="100">
        <v>7689.5999999999995</v>
      </c>
      <c r="P27" s="100">
        <v>28</v>
      </c>
      <c r="Q27" s="100">
        <v>11961.6</v>
      </c>
      <c r="R27" s="100">
        <v>8.0155132103157261</v>
      </c>
      <c r="S27" s="100">
        <v>3424.2272434468782</v>
      </c>
      <c r="T27" s="100">
        <v>12.800609474976014</v>
      </c>
      <c r="U27" s="100">
        <v>5468.420367709753</v>
      </c>
      <c r="V27" s="100">
        <v>19.490009184924602</v>
      </c>
      <c r="W27" s="100">
        <v>8326.1319237997905</v>
      </c>
      <c r="X27" s="100">
        <v>22.302200289387528</v>
      </c>
      <c r="Y27" s="100">
        <v>9527.499963626351</v>
      </c>
      <c r="Z27" s="100">
        <v>14.493519027171949</v>
      </c>
      <c r="AA27" s="100">
        <v>6191.6313284078569</v>
      </c>
      <c r="AB27" s="100">
        <v>15</v>
      </c>
      <c r="AC27" s="100">
        <v>6408</v>
      </c>
      <c r="AD27" s="100">
        <v>15</v>
      </c>
      <c r="AE27" s="100">
        <v>6408</v>
      </c>
      <c r="AF27" s="100">
        <v>26.545878130123747</v>
      </c>
      <c r="AG27" s="100">
        <v>11340.399137188864</v>
      </c>
      <c r="AH27" s="100">
        <v>22</v>
      </c>
      <c r="AI27" s="100">
        <v>9398.4</v>
      </c>
      <c r="AJ27" s="100">
        <v>15.089715723376212</v>
      </c>
      <c r="AK27" s="100">
        <v>6446.3265570263175</v>
      </c>
      <c r="AL27" s="100">
        <v>14.510967204665551</v>
      </c>
      <c r="AM27" s="100">
        <v>6199.085189833123</v>
      </c>
      <c r="AN27" s="100">
        <v>17.27639572945105</v>
      </c>
      <c r="AO27" s="100">
        <v>7380.4762556214882</v>
      </c>
      <c r="AP27" s="100">
        <v>20.799114043323261</v>
      </c>
      <c r="AQ27" s="100">
        <v>8885.3815193076971</v>
      </c>
      <c r="AR27" s="100">
        <v>19</v>
      </c>
      <c r="AS27" s="100">
        <v>8116.8</v>
      </c>
      <c r="AT27" s="100">
        <v>24.929768392634543</v>
      </c>
      <c r="AU27" s="100">
        <v>10649.997057333476</v>
      </c>
      <c r="AV27" s="100">
        <v>22.32283137198641</v>
      </c>
      <c r="AW27" s="100">
        <v>9536.3135621125948</v>
      </c>
      <c r="AX27" s="100">
        <v>21.959436442675003</v>
      </c>
      <c r="AY27" s="100">
        <v>9381.07124831076</v>
      </c>
      <c r="AZ27" s="100">
        <v>19</v>
      </c>
      <c r="BA27" s="100">
        <v>8116.8</v>
      </c>
      <c r="BB27" s="100">
        <v>27.646989843508653</v>
      </c>
      <c r="BC27" s="100">
        <v>11810.794061146897</v>
      </c>
      <c r="BD27" s="100">
        <v>30.576993063267359</v>
      </c>
      <c r="BE27" s="100">
        <v>13062.491436627815</v>
      </c>
      <c r="BF27" s="100">
        <v>17.633160915686744</v>
      </c>
      <c r="BG27" s="100">
        <v>7532.886343181377</v>
      </c>
      <c r="BH27" s="100">
        <v>20</v>
      </c>
      <c r="BI27" s="100">
        <v>8544</v>
      </c>
      <c r="BJ27" s="100">
        <v>20</v>
      </c>
      <c r="BK27" s="100">
        <v>8544</v>
      </c>
      <c r="BL27" s="100">
        <v>27</v>
      </c>
      <c r="BM27" s="100">
        <v>11534.4</v>
      </c>
      <c r="BN27" s="100">
        <v>20</v>
      </c>
      <c r="BO27" s="100">
        <v>8544</v>
      </c>
      <c r="BP27" s="100">
        <v>19</v>
      </c>
      <c r="BQ27" s="100">
        <v>8116.8</v>
      </c>
      <c r="BR27" s="100">
        <v>19</v>
      </c>
      <c r="BS27" s="100">
        <v>8116.8</v>
      </c>
      <c r="BT27" s="100">
        <v>25</v>
      </c>
      <c r="BU27" s="100">
        <v>10680</v>
      </c>
      <c r="BV27" s="100">
        <v>16</v>
      </c>
      <c r="BW27" s="100">
        <v>6835.2</v>
      </c>
      <c r="BX27" s="100">
        <v>29</v>
      </c>
      <c r="BY27" s="100">
        <v>12388.8</v>
      </c>
      <c r="BZ27" s="100">
        <v>26</v>
      </c>
      <c r="CA27" s="100">
        <v>11107.199999999999</v>
      </c>
      <c r="CB27" s="100">
        <v>19</v>
      </c>
      <c r="CC27" s="100">
        <v>8116.8</v>
      </c>
      <c r="CD27" s="100">
        <v>29</v>
      </c>
      <c r="CE27" s="100">
        <v>12388.8</v>
      </c>
      <c r="CF27" s="100">
        <v>16</v>
      </c>
      <c r="CG27" s="100">
        <v>6835.2</v>
      </c>
      <c r="CH27" s="100">
        <v>23</v>
      </c>
      <c r="CI27" s="100">
        <v>9825.6</v>
      </c>
      <c r="CJ27" s="100">
        <v>21</v>
      </c>
      <c r="CK27" s="100">
        <v>8971.1999999999989</v>
      </c>
      <c r="CL27" s="100">
        <v>25</v>
      </c>
      <c r="CM27" s="100">
        <v>10680</v>
      </c>
      <c r="CN27" s="100">
        <v>22</v>
      </c>
      <c r="CO27" s="100">
        <v>9398.4</v>
      </c>
      <c r="CP27" s="100">
        <v>24</v>
      </c>
      <c r="CQ27" s="100">
        <v>10252.799999999999</v>
      </c>
      <c r="CR27" s="100">
        <v>18</v>
      </c>
      <c r="CS27" s="100">
        <v>7689.5999999999995</v>
      </c>
      <c r="CT27" s="100">
        <v>33</v>
      </c>
      <c r="CU27" s="100">
        <v>14097.6</v>
      </c>
    </row>
    <row r="28" spans="2:99">
      <c r="C28" s="99" t="s">
        <v>194</v>
      </c>
      <c r="D28" s="100">
        <v>26</v>
      </c>
      <c r="E28" s="100">
        <v>19188</v>
      </c>
      <c r="F28" s="100">
        <v>28</v>
      </c>
      <c r="G28" s="100">
        <v>20664</v>
      </c>
      <c r="H28" s="100">
        <v>24</v>
      </c>
      <c r="I28" s="100">
        <v>17712</v>
      </c>
      <c r="J28" s="100">
        <v>0.36098015212999796</v>
      </c>
      <c r="K28" s="100">
        <v>266.4033522719385</v>
      </c>
      <c r="L28" s="100">
        <v>18</v>
      </c>
      <c r="M28" s="100">
        <v>13284</v>
      </c>
      <c r="N28" s="100">
        <v>16</v>
      </c>
      <c r="O28" s="100">
        <v>11808</v>
      </c>
      <c r="P28" s="100">
        <v>25</v>
      </c>
      <c r="Q28" s="100">
        <v>18450</v>
      </c>
      <c r="R28" s="100">
        <v>7.3185120615926191</v>
      </c>
      <c r="S28" s="100">
        <v>5401.0619014553531</v>
      </c>
      <c r="T28" s="100">
        <v>11.429115602657156</v>
      </c>
      <c r="U28" s="100">
        <v>8434.6873147609804</v>
      </c>
      <c r="V28" s="100">
        <v>18.145870620447045</v>
      </c>
      <c r="W28" s="100">
        <v>13391.652517889919</v>
      </c>
      <c r="X28" s="100">
        <v>23.271861171534816</v>
      </c>
      <c r="Y28" s="100">
        <v>17174.633544592692</v>
      </c>
      <c r="Z28" s="100">
        <v>14.493519027171949</v>
      </c>
      <c r="AA28" s="100">
        <v>10696.217042052898</v>
      </c>
      <c r="AB28" s="100">
        <v>14</v>
      </c>
      <c r="AC28" s="100">
        <v>10332</v>
      </c>
      <c r="AD28" s="100">
        <v>15</v>
      </c>
      <c r="AE28" s="100">
        <v>11070</v>
      </c>
      <c r="AF28" s="100">
        <v>23.006427712773917</v>
      </c>
      <c r="AG28" s="100">
        <v>16978.743652027151</v>
      </c>
      <c r="AH28" s="100">
        <v>20</v>
      </c>
      <c r="AI28" s="100">
        <v>14760</v>
      </c>
      <c r="AJ28" s="100">
        <v>15.9773460600454</v>
      </c>
      <c r="AK28" s="100">
        <v>11791.281392313505</v>
      </c>
      <c r="AL28" s="100">
        <v>13.747232088630522</v>
      </c>
      <c r="AM28" s="100">
        <v>10145.457281409324</v>
      </c>
      <c r="AN28" s="100">
        <v>15.11684626326967</v>
      </c>
      <c r="AO28" s="100">
        <v>11156.232542293017</v>
      </c>
      <c r="AP28" s="100">
        <v>18.115357392571873</v>
      </c>
      <c r="AQ28" s="100">
        <v>13369.133755718043</v>
      </c>
      <c r="AR28" s="100">
        <v>21</v>
      </c>
      <c r="AS28" s="100">
        <v>15498</v>
      </c>
      <c r="AT28" s="100">
        <v>22.436791553371087</v>
      </c>
      <c r="AU28" s="100">
        <v>16558.352166387864</v>
      </c>
      <c r="AV28" s="100">
        <v>22.32283137198641</v>
      </c>
      <c r="AW28" s="100">
        <v>16474.249552525969</v>
      </c>
      <c r="AX28" s="100">
        <v>25.212686286034263</v>
      </c>
      <c r="AY28" s="100">
        <v>18606.962479093287</v>
      </c>
      <c r="AZ28" s="100">
        <v>20</v>
      </c>
      <c r="BA28" s="100">
        <v>14760</v>
      </c>
      <c r="BB28" s="100">
        <v>26.693645366146285</v>
      </c>
      <c r="BC28" s="100">
        <v>19699.910280215958</v>
      </c>
      <c r="BD28" s="100">
        <v>27.710399963586045</v>
      </c>
      <c r="BE28" s="100">
        <v>20450.275173126502</v>
      </c>
      <c r="BF28" s="100">
        <v>19.592401017429715</v>
      </c>
      <c r="BG28" s="100">
        <v>14459.191950863129</v>
      </c>
      <c r="BH28" s="100">
        <v>20</v>
      </c>
      <c r="BI28" s="100">
        <v>14760</v>
      </c>
      <c r="BJ28" s="100">
        <v>18</v>
      </c>
      <c r="BK28" s="100">
        <v>13284</v>
      </c>
      <c r="BL28" s="100">
        <v>27</v>
      </c>
      <c r="BM28" s="100">
        <v>19926</v>
      </c>
      <c r="BN28" s="100">
        <v>18</v>
      </c>
      <c r="BO28" s="100">
        <v>13284</v>
      </c>
      <c r="BP28" s="100">
        <v>17</v>
      </c>
      <c r="BQ28" s="100">
        <v>12546</v>
      </c>
      <c r="BR28" s="100">
        <v>18</v>
      </c>
      <c r="BS28" s="100">
        <v>13284</v>
      </c>
      <c r="BT28" s="100">
        <v>23</v>
      </c>
      <c r="BU28" s="100">
        <v>16974</v>
      </c>
      <c r="BV28" s="100">
        <v>17</v>
      </c>
      <c r="BW28" s="100">
        <v>12546</v>
      </c>
      <c r="BX28" s="100">
        <v>30</v>
      </c>
      <c r="BY28" s="100">
        <v>22140</v>
      </c>
      <c r="BZ28" s="100">
        <v>29</v>
      </c>
      <c r="CA28" s="100">
        <v>21402</v>
      </c>
      <c r="CB28" s="100">
        <v>17</v>
      </c>
      <c r="CC28" s="100">
        <v>12546</v>
      </c>
      <c r="CD28" s="100">
        <v>25</v>
      </c>
      <c r="CE28" s="100">
        <v>18450</v>
      </c>
      <c r="CF28" s="100">
        <v>15</v>
      </c>
      <c r="CG28" s="100">
        <v>11070</v>
      </c>
      <c r="CH28" s="100">
        <v>22</v>
      </c>
      <c r="CI28" s="100">
        <v>16236</v>
      </c>
      <c r="CJ28" s="100">
        <v>24</v>
      </c>
      <c r="CK28" s="100">
        <v>17712</v>
      </c>
      <c r="CL28" s="100">
        <v>24</v>
      </c>
      <c r="CM28" s="100">
        <v>17712</v>
      </c>
      <c r="CN28" s="100">
        <v>19</v>
      </c>
      <c r="CO28" s="100">
        <v>14022</v>
      </c>
      <c r="CP28" s="100">
        <v>24</v>
      </c>
      <c r="CQ28" s="100">
        <v>17712</v>
      </c>
      <c r="CR28" s="100">
        <v>17</v>
      </c>
      <c r="CS28" s="100">
        <v>12546</v>
      </c>
      <c r="CT28" s="100">
        <v>31</v>
      </c>
      <c r="CU28" s="100">
        <v>22878</v>
      </c>
    </row>
    <row r="29" spans="2:99">
      <c r="C29" s="99" t="s">
        <v>195</v>
      </c>
      <c r="D29" s="100">
        <v>25</v>
      </c>
      <c r="E29" s="100">
        <v>8460</v>
      </c>
      <c r="F29" s="100">
        <v>27</v>
      </c>
      <c r="G29" s="100">
        <v>9136.7999999999993</v>
      </c>
      <c r="H29" s="100">
        <v>24</v>
      </c>
      <c r="I29" s="100">
        <v>8121.5999999999995</v>
      </c>
      <c r="J29" s="100">
        <v>0.37902915973649781</v>
      </c>
      <c r="K29" s="100">
        <v>128.26346765483086</v>
      </c>
      <c r="L29" s="100">
        <v>19</v>
      </c>
      <c r="M29" s="100">
        <v>6429.5999999999995</v>
      </c>
      <c r="N29" s="100">
        <v>15</v>
      </c>
      <c r="O29" s="100">
        <v>5076</v>
      </c>
      <c r="P29" s="100">
        <v>27</v>
      </c>
      <c r="Q29" s="100">
        <v>9136.7999999999993</v>
      </c>
      <c r="R29" s="100">
        <v>8.712514359038833</v>
      </c>
      <c r="S29" s="100">
        <v>2948.3148590987407</v>
      </c>
      <c r="T29" s="100">
        <v>11.886280226763441</v>
      </c>
      <c r="U29" s="100">
        <v>4022.3172287367483</v>
      </c>
      <c r="V29" s="100">
        <v>20.162078467163383</v>
      </c>
      <c r="W29" s="100">
        <v>6822.847353288088</v>
      </c>
      <c r="X29" s="100">
        <v>23.271861171534816</v>
      </c>
      <c r="Y29" s="100">
        <v>7875.1978204473808</v>
      </c>
      <c r="Z29" s="100">
        <v>15.011144706713804</v>
      </c>
      <c r="AA29" s="100">
        <v>5079.7713687519508</v>
      </c>
      <c r="AB29" s="100">
        <v>15</v>
      </c>
      <c r="AC29" s="100">
        <v>5076</v>
      </c>
      <c r="AD29" s="100">
        <v>15</v>
      </c>
      <c r="AE29" s="100">
        <v>5076</v>
      </c>
      <c r="AF29" s="100">
        <v>25.66101552578629</v>
      </c>
      <c r="AG29" s="100">
        <v>8683.6876539260793</v>
      </c>
      <c r="AH29" s="100">
        <v>21</v>
      </c>
      <c r="AI29" s="100">
        <v>7106.4</v>
      </c>
      <c r="AJ29" s="100">
        <v>15.9773460600454</v>
      </c>
      <c r="AK29" s="100">
        <v>5406.7339067193634</v>
      </c>
      <c r="AL29" s="100">
        <v>13.747232088630522</v>
      </c>
      <c r="AM29" s="100">
        <v>4652.0633387925682</v>
      </c>
      <c r="AN29" s="100">
        <v>17.27639572945105</v>
      </c>
      <c r="AO29" s="100">
        <v>5846.332314846235</v>
      </c>
      <c r="AP29" s="100">
        <v>19.457235717947569</v>
      </c>
      <c r="AQ29" s="100">
        <v>6584.3285669534571</v>
      </c>
      <c r="AR29" s="100">
        <v>20</v>
      </c>
      <c r="AS29" s="100">
        <v>6768</v>
      </c>
      <c r="AT29" s="100">
        <v>24.098776112880056</v>
      </c>
      <c r="AU29" s="100">
        <v>8155.0258365986101</v>
      </c>
      <c r="AV29" s="100">
        <v>19.842516775099028</v>
      </c>
      <c r="AW29" s="100">
        <v>6714.7076766935106</v>
      </c>
      <c r="AX29" s="100">
        <v>23.586061364354631</v>
      </c>
      <c r="AY29" s="100">
        <v>7981.5231656976066</v>
      </c>
      <c r="AZ29" s="100">
        <v>21</v>
      </c>
      <c r="BA29" s="100">
        <v>7106.4</v>
      </c>
      <c r="BB29" s="100">
        <v>23.833611934059185</v>
      </c>
      <c r="BC29" s="100">
        <v>8065.2942784856277</v>
      </c>
      <c r="BD29" s="100">
        <v>29.621462030040256</v>
      </c>
      <c r="BE29" s="100">
        <v>10023.902750965623</v>
      </c>
      <c r="BF29" s="100">
        <v>18.61278096655823</v>
      </c>
      <c r="BG29" s="100">
        <v>6298.5650790833042</v>
      </c>
      <c r="BH29" s="100">
        <v>22</v>
      </c>
      <c r="BI29" s="100">
        <v>7444.7999999999993</v>
      </c>
      <c r="BJ29" s="100">
        <v>19</v>
      </c>
      <c r="BK29" s="100">
        <v>6429.5999999999995</v>
      </c>
      <c r="BL29" s="100">
        <v>26</v>
      </c>
      <c r="BM29" s="100">
        <v>8798.4</v>
      </c>
      <c r="BN29" s="100">
        <v>19</v>
      </c>
      <c r="BO29" s="100">
        <v>6429.5999999999995</v>
      </c>
      <c r="BP29" s="100">
        <v>18</v>
      </c>
      <c r="BQ29" s="100">
        <v>6091.2</v>
      </c>
      <c r="BR29" s="100">
        <v>16</v>
      </c>
      <c r="BS29" s="100">
        <v>5414.4</v>
      </c>
      <c r="BT29" s="100">
        <v>25</v>
      </c>
      <c r="BU29" s="100">
        <v>8460</v>
      </c>
      <c r="BV29" s="100">
        <v>16</v>
      </c>
      <c r="BW29" s="100">
        <v>5414.4</v>
      </c>
      <c r="BX29" s="100">
        <v>33</v>
      </c>
      <c r="BY29" s="100">
        <v>11167.199999999999</v>
      </c>
      <c r="BZ29" s="100">
        <v>27</v>
      </c>
      <c r="CA29" s="100">
        <v>9136.7999999999993</v>
      </c>
      <c r="CB29" s="100">
        <v>18</v>
      </c>
      <c r="CC29" s="100">
        <v>6091.2</v>
      </c>
      <c r="CD29" s="100">
        <v>27</v>
      </c>
      <c r="CE29" s="100">
        <v>9136.7999999999993</v>
      </c>
      <c r="CF29" s="100">
        <v>16</v>
      </c>
      <c r="CG29" s="100">
        <v>5414.4</v>
      </c>
      <c r="CH29" s="100">
        <v>22</v>
      </c>
      <c r="CI29" s="100">
        <v>7444.7999999999993</v>
      </c>
      <c r="CJ29" s="100">
        <v>22</v>
      </c>
      <c r="CK29" s="100">
        <v>7444.7999999999993</v>
      </c>
      <c r="CL29" s="100">
        <v>28</v>
      </c>
      <c r="CM29" s="100">
        <v>9475.1999999999989</v>
      </c>
      <c r="CN29" s="100">
        <v>20</v>
      </c>
      <c r="CO29" s="100">
        <v>6768</v>
      </c>
      <c r="CP29" s="100">
        <v>22</v>
      </c>
      <c r="CQ29" s="100">
        <v>7444.7999999999993</v>
      </c>
      <c r="CR29" s="100">
        <v>21</v>
      </c>
      <c r="CS29" s="100">
        <v>7106.4</v>
      </c>
      <c r="CT29" s="100">
        <v>34</v>
      </c>
      <c r="CU29" s="100">
        <v>11505.599999999999</v>
      </c>
    </row>
    <row r="30" spans="2:99">
      <c r="C30" s="99" t="s">
        <v>196</v>
      </c>
      <c r="D30" s="100">
        <v>28</v>
      </c>
      <c r="E30" s="100">
        <v>3897.5999999999995</v>
      </c>
      <c r="F30" s="100">
        <v>26</v>
      </c>
      <c r="G30" s="100">
        <v>3619.2</v>
      </c>
      <c r="H30" s="100">
        <v>24</v>
      </c>
      <c r="I30" s="100">
        <v>3340.7999999999997</v>
      </c>
      <c r="J30" s="100">
        <v>0.39707816734299772</v>
      </c>
      <c r="K30" s="100">
        <v>55.27328089414528</v>
      </c>
      <c r="L30" s="100">
        <v>19</v>
      </c>
      <c r="M30" s="100">
        <v>2644.7999999999997</v>
      </c>
      <c r="N30" s="100">
        <v>18</v>
      </c>
      <c r="O30" s="100">
        <v>2505.6</v>
      </c>
      <c r="P30" s="100">
        <v>28</v>
      </c>
      <c r="Q30" s="100">
        <v>3897.5999999999995</v>
      </c>
      <c r="R30" s="100">
        <v>8.712514359038833</v>
      </c>
      <c r="S30" s="100">
        <v>1212.7819987782054</v>
      </c>
      <c r="T30" s="100">
        <v>12.343444850869728</v>
      </c>
      <c r="U30" s="100">
        <v>1718.2075232410659</v>
      </c>
      <c r="V30" s="100">
        <v>19.490009184924602</v>
      </c>
      <c r="W30" s="100">
        <v>2713.0092785415045</v>
      </c>
      <c r="X30" s="100">
        <v>23.271861171534816</v>
      </c>
      <c r="Y30" s="100">
        <v>3239.443075077646</v>
      </c>
      <c r="Z30" s="100">
        <v>16.046396065797516</v>
      </c>
      <c r="AA30" s="100">
        <v>2233.6583323590139</v>
      </c>
      <c r="AB30" s="100">
        <v>15</v>
      </c>
      <c r="AC30" s="100">
        <v>2088</v>
      </c>
      <c r="AD30" s="100">
        <v>18</v>
      </c>
      <c r="AE30" s="100">
        <v>2505.6</v>
      </c>
      <c r="AF30" s="100">
        <v>27.430740734461207</v>
      </c>
      <c r="AG30" s="100">
        <v>3818.3591102369996</v>
      </c>
      <c r="AH30" s="100">
        <v>24</v>
      </c>
      <c r="AI30" s="100">
        <v>3340.7999999999997</v>
      </c>
      <c r="AJ30" s="100">
        <v>15.089715723376212</v>
      </c>
      <c r="AK30" s="100">
        <v>2100.4884286939687</v>
      </c>
      <c r="AL30" s="100">
        <v>13.747232088630522</v>
      </c>
      <c r="AM30" s="100">
        <v>1913.6147067373686</v>
      </c>
      <c r="AN30" s="100">
        <v>16.556545907390589</v>
      </c>
      <c r="AO30" s="100">
        <v>2304.6711903087698</v>
      </c>
      <c r="AP30" s="100">
        <v>20.128174880635417</v>
      </c>
      <c r="AQ30" s="100">
        <v>2801.8419433844497</v>
      </c>
      <c r="AR30" s="100">
        <v>21</v>
      </c>
      <c r="AS30" s="100">
        <v>2923.2</v>
      </c>
      <c r="AT30" s="100">
        <v>24.929768392634543</v>
      </c>
      <c r="AU30" s="100">
        <v>3470.2237602547279</v>
      </c>
      <c r="AV30" s="100">
        <v>23.149602904282204</v>
      </c>
      <c r="AW30" s="100">
        <v>3222.4247242760825</v>
      </c>
      <c r="AX30" s="100">
        <v>24.399373825194449</v>
      </c>
      <c r="AY30" s="100">
        <v>3396.3928364670669</v>
      </c>
      <c r="AZ30" s="100">
        <v>22</v>
      </c>
      <c r="BA30" s="100">
        <v>3062.3999999999996</v>
      </c>
      <c r="BB30" s="100">
        <v>25.740300888783917</v>
      </c>
      <c r="BC30" s="100">
        <v>3583.049883718721</v>
      </c>
      <c r="BD30" s="100">
        <v>30.576993063267359</v>
      </c>
      <c r="BE30" s="100">
        <v>4256.3174344068157</v>
      </c>
      <c r="BF30" s="100">
        <v>19.592401017429715</v>
      </c>
      <c r="BG30" s="100">
        <v>2727.2622216262162</v>
      </c>
      <c r="BH30" s="100">
        <v>19</v>
      </c>
      <c r="BI30" s="100">
        <v>2644.7999999999997</v>
      </c>
      <c r="BJ30" s="100">
        <v>21</v>
      </c>
      <c r="BK30" s="100">
        <v>2923.2</v>
      </c>
      <c r="BL30" s="100">
        <v>27</v>
      </c>
      <c r="BM30" s="100">
        <v>3758.3999999999996</v>
      </c>
      <c r="BN30" s="100">
        <v>18</v>
      </c>
      <c r="BO30" s="100">
        <v>2505.6</v>
      </c>
      <c r="BP30" s="100">
        <v>20</v>
      </c>
      <c r="BQ30" s="100">
        <v>2784</v>
      </c>
      <c r="BR30" s="100">
        <v>19</v>
      </c>
      <c r="BS30" s="100">
        <v>2644.7999999999997</v>
      </c>
      <c r="BT30" s="100">
        <v>25</v>
      </c>
      <c r="BU30" s="100">
        <v>3479.9999999999995</v>
      </c>
      <c r="BV30" s="100">
        <v>16</v>
      </c>
      <c r="BW30" s="100">
        <v>2227.1999999999998</v>
      </c>
      <c r="BX30" s="100">
        <v>32</v>
      </c>
      <c r="BY30" s="100">
        <v>4454.3999999999996</v>
      </c>
      <c r="BZ30" s="100">
        <v>27</v>
      </c>
      <c r="CA30" s="100">
        <v>3758.3999999999996</v>
      </c>
      <c r="CB30" s="100">
        <v>18</v>
      </c>
      <c r="CC30" s="100">
        <v>2505.6</v>
      </c>
      <c r="CD30" s="100">
        <v>29</v>
      </c>
      <c r="CE30" s="100">
        <v>4036.7999999999997</v>
      </c>
      <c r="CF30" s="100">
        <v>17</v>
      </c>
      <c r="CG30" s="100">
        <v>2366.3999999999996</v>
      </c>
      <c r="CH30" s="100">
        <v>23</v>
      </c>
      <c r="CI30" s="100">
        <v>3201.6</v>
      </c>
      <c r="CJ30" s="100">
        <v>24</v>
      </c>
      <c r="CK30" s="100">
        <v>3340.7999999999997</v>
      </c>
      <c r="CL30" s="100">
        <v>28</v>
      </c>
      <c r="CM30" s="100">
        <v>3897.5999999999995</v>
      </c>
      <c r="CN30" s="100">
        <v>22</v>
      </c>
      <c r="CO30" s="100">
        <v>3062.3999999999996</v>
      </c>
      <c r="CP30" s="100">
        <v>22</v>
      </c>
      <c r="CQ30" s="100">
        <v>3062.3999999999996</v>
      </c>
      <c r="CR30" s="100">
        <v>20</v>
      </c>
      <c r="CS30" s="100">
        <v>2784</v>
      </c>
      <c r="CT30" s="100">
        <v>31</v>
      </c>
      <c r="CU30" s="100">
        <v>4315.2</v>
      </c>
    </row>
    <row r="31" spans="2:99">
      <c r="C31" s="99" t="s">
        <v>197</v>
      </c>
      <c r="D31" s="100">
        <v>27</v>
      </c>
      <c r="E31" s="100">
        <v>9201.6</v>
      </c>
      <c r="F31" s="100">
        <v>29</v>
      </c>
      <c r="G31" s="100">
        <v>9883.2000000000007</v>
      </c>
      <c r="H31" s="100">
        <v>26</v>
      </c>
      <c r="I31" s="100">
        <v>8860.8000000000011</v>
      </c>
      <c r="J31" s="100">
        <v>0.36098015212999796</v>
      </c>
      <c r="K31" s="100">
        <v>123.0220358459033</v>
      </c>
      <c r="L31" s="100">
        <v>19</v>
      </c>
      <c r="M31" s="100">
        <v>6475.2</v>
      </c>
      <c r="N31" s="100">
        <v>17</v>
      </c>
      <c r="O31" s="100">
        <v>5793.6</v>
      </c>
      <c r="P31" s="100">
        <v>24</v>
      </c>
      <c r="Q31" s="100">
        <v>8179.2000000000007</v>
      </c>
      <c r="R31" s="100">
        <v>8.712514359038833</v>
      </c>
      <c r="S31" s="100">
        <v>2969.2248935604343</v>
      </c>
      <c r="T31" s="100">
        <v>12.800609474976014</v>
      </c>
      <c r="U31" s="100">
        <v>4362.4477090718256</v>
      </c>
      <c r="V31" s="100">
        <v>20.834147749402163</v>
      </c>
      <c r="W31" s="100">
        <v>7100.2775529962573</v>
      </c>
      <c r="X31" s="100">
        <v>24.2415220536821</v>
      </c>
      <c r="Y31" s="100">
        <v>8261.5107158948595</v>
      </c>
      <c r="Z31" s="100">
        <v>14.493519027171949</v>
      </c>
      <c r="AA31" s="100">
        <v>4939.3912844602</v>
      </c>
      <c r="AB31" s="100">
        <v>15</v>
      </c>
      <c r="AC31" s="100">
        <v>5112</v>
      </c>
      <c r="AD31" s="100">
        <v>15</v>
      </c>
      <c r="AE31" s="100">
        <v>5112</v>
      </c>
      <c r="AF31" s="100">
        <v>23.006427712773917</v>
      </c>
      <c r="AG31" s="100">
        <v>7840.5905645133507</v>
      </c>
      <c r="AH31" s="100">
        <v>20</v>
      </c>
      <c r="AI31" s="100">
        <v>6816</v>
      </c>
      <c r="AJ31" s="100">
        <v>15.089715723376212</v>
      </c>
      <c r="AK31" s="100">
        <v>5142.5751185266136</v>
      </c>
      <c r="AL31" s="100">
        <v>13.747232088630522</v>
      </c>
      <c r="AM31" s="100">
        <v>4685.0566958052823</v>
      </c>
      <c r="AN31" s="100">
        <v>17.99624555151151</v>
      </c>
      <c r="AO31" s="100">
        <v>6133.1204839551228</v>
      </c>
      <c r="AP31" s="100">
        <v>17.444418229884029</v>
      </c>
      <c r="AQ31" s="100">
        <v>5945.0577327444771</v>
      </c>
      <c r="AR31" s="100">
        <v>19</v>
      </c>
      <c r="AS31" s="100">
        <v>6475.2</v>
      </c>
      <c r="AT31" s="100">
        <v>24.929768392634543</v>
      </c>
      <c r="AU31" s="100">
        <v>8496.0650682098531</v>
      </c>
      <c r="AV31" s="100">
        <v>21.496059839690613</v>
      </c>
      <c r="AW31" s="100">
        <v>7325.8571933665608</v>
      </c>
      <c r="AX31" s="100">
        <v>26.025998746874077</v>
      </c>
      <c r="AY31" s="100">
        <v>8869.6603729346862</v>
      </c>
      <c r="AZ31" s="100">
        <v>20</v>
      </c>
      <c r="BA31" s="100">
        <v>6816</v>
      </c>
      <c r="BB31" s="100">
        <v>26.693645366146285</v>
      </c>
      <c r="BC31" s="100">
        <v>9097.1943407826548</v>
      </c>
      <c r="BD31" s="100">
        <v>29.621462030040256</v>
      </c>
      <c r="BE31" s="100">
        <v>10094.99425983772</v>
      </c>
      <c r="BF31" s="100">
        <v>21.551641119172686</v>
      </c>
      <c r="BG31" s="100">
        <v>7344.799293414052</v>
      </c>
      <c r="BH31" s="100">
        <v>19</v>
      </c>
      <c r="BI31" s="100">
        <v>6475.2</v>
      </c>
      <c r="BJ31" s="100">
        <v>18</v>
      </c>
      <c r="BK31" s="100">
        <v>6134.4000000000005</v>
      </c>
      <c r="BL31" s="100">
        <v>30</v>
      </c>
      <c r="BM31" s="100">
        <v>10224</v>
      </c>
      <c r="BN31" s="100">
        <v>19</v>
      </c>
      <c r="BO31" s="100">
        <v>6475.2</v>
      </c>
      <c r="BP31" s="100">
        <v>16</v>
      </c>
      <c r="BQ31" s="100">
        <v>5452.8</v>
      </c>
      <c r="BR31" s="100">
        <v>19</v>
      </c>
      <c r="BS31" s="100">
        <v>6475.2</v>
      </c>
      <c r="BT31" s="100">
        <v>26</v>
      </c>
      <c r="BU31" s="100">
        <v>8860.8000000000011</v>
      </c>
      <c r="BV31" s="100">
        <v>17</v>
      </c>
      <c r="BW31" s="100">
        <v>5793.6</v>
      </c>
      <c r="BX31" s="100">
        <v>31</v>
      </c>
      <c r="BY31" s="100">
        <v>10564.800000000001</v>
      </c>
      <c r="BZ31" s="100">
        <v>27</v>
      </c>
      <c r="CA31" s="100">
        <v>9201.6</v>
      </c>
      <c r="CB31" s="100">
        <v>20</v>
      </c>
      <c r="CC31" s="100">
        <v>6816</v>
      </c>
      <c r="CD31" s="100">
        <v>27</v>
      </c>
      <c r="CE31" s="100">
        <v>9201.6</v>
      </c>
      <c r="CF31" s="100">
        <v>15</v>
      </c>
      <c r="CG31" s="100">
        <v>5112</v>
      </c>
      <c r="CH31" s="100">
        <v>23</v>
      </c>
      <c r="CI31" s="100">
        <v>7838.4000000000005</v>
      </c>
      <c r="CJ31" s="100">
        <v>22</v>
      </c>
      <c r="CK31" s="100">
        <v>7497.6</v>
      </c>
      <c r="CL31" s="100">
        <v>24</v>
      </c>
      <c r="CM31" s="100">
        <v>8179.2000000000007</v>
      </c>
      <c r="CN31" s="100">
        <v>22</v>
      </c>
      <c r="CO31" s="100">
        <v>7497.6</v>
      </c>
      <c r="CP31" s="100">
        <v>22</v>
      </c>
      <c r="CQ31" s="100">
        <v>7497.6</v>
      </c>
      <c r="CR31" s="100">
        <v>20</v>
      </c>
      <c r="CS31" s="100">
        <v>6816</v>
      </c>
      <c r="CT31" s="100">
        <v>33</v>
      </c>
      <c r="CU31" s="100">
        <v>11246.4</v>
      </c>
    </row>
    <row r="32" spans="2:99">
      <c r="C32" s="99" t="s">
        <v>198</v>
      </c>
      <c r="D32" s="100">
        <v>22</v>
      </c>
      <c r="E32" s="100">
        <v>18480</v>
      </c>
      <c r="F32" s="100">
        <v>27</v>
      </c>
      <c r="G32" s="100">
        <v>22680</v>
      </c>
      <c r="H32" s="100">
        <v>23</v>
      </c>
      <c r="I32" s="100">
        <v>19320</v>
      </c>
      <c r="J32" s="100">
        <v>0.36098015212999796</v>
      </c>
      <c r="K32" s="100">
        <v>303.22332778919827</v>
      </c>
      <c r="L32" s="100">
        <v>16</v>
      </c>
      <c r="M32" s="100">
        <v>13440</v>
      </c>
      <c r="N32" s="100">
        <v>16</v>
      </c>
      <c r="O32" s="100">
        <v>13440</v>
      </c>
      <c r="P32" s="100">
        <v>24</v>
      </c>
      <c r="Q32" s="100">
        <v>20160</v>
      </c>
      <c r="R32" s="100">
        <v>7.3185120615926191</v>
      </c>
      <c r="S32" s="100">
        <v>6147.5501317378003</v>
      </c>
      <c r="T32" s="100">
        <v>12.343444850869728</v>
      </c>
      <c r="U32" s="100">
        <v>10368.493674730571</v>
      </c>
      <c r="V32" s="100">
        <v>19.490009184924602</v>
      </c>
      <c r="W32" s="100">
        <v>16371.607715336666</v>
      </c>
      <c r="X32" s="100">
        <v>24.2415220536821</v>
      </c>
      <c r="Y32" s="100">
        <v>20362.878525092965</v>
      </c>
      <c r="Z32" s="100">
        <v>13.458267668088238</v>
      </c>
      <c r="AA32" s="100">
        <v>11304.944841194119</v>
      </c>
      <c r="AB32" s="100">
        <v>13</v>
      </c>
      <c r="AC32" s="100">
        <v>10920</v>
      </c>
      <c r="AD32" s="100">
        <v>14</v>
      </c>
      <c r="AE32" s="100">
        <v>11760</v>
      </c>
      <c r="AF32" s="100">
        <v>23.006427712773917</v>
      </c>
      <c r="AG32" s="100">
        <v>19325.399278730089</v>
      </c>
      <c r="AH32" s="100">
        <v>19</v>
      </c>
      <c r="AI32" s="100">
        <v>15960</v>
      </c>
      <c r="AJ32" s="100">
        <v>15.089715723376212</v>
      </c>
      <c r="AK32" s="100">
        <v>12675.361207636019</v>
      </c>
      <c r="AL32" s="100">
        <v>14.510967204665551</v>
      </c>
      <c r="AM32" s="100">
        <v>12189.212451919064</v>
      </c>
      <c r="AN32" s="100">
        <v>18.716095373571971</v>
      </c>
      <c r="AO32" s="100">
        <v>15721.520113800456</v>
      </c>
      <c r="AP32" s="100">
        <v>18.115357392571873</v>
      </c>
      <c r="AQ32" s="100">
        <v>15216.900209760373</v>
      </c>
      <c r="AR32" s="100">
        <v>20</v>
      </c>
      <c r="AS32" s="100">
        <v>16800</v>
      </c>
      <c r="AT32" s="100">
        <v>21.605799273616601</v>
      </c>
      <c r="AU32" s="100">
        <v>18148.871389837943</v>
      </c>
      <c r="AV32" s="100">
        <v>19.842516775099028</v>
      </c>
      <c r="AW32" s="100">
        <v>16667.714091083184</v>
      </c>
      <c r="AX32" s="100">
        <v>25.212686286034263</v>
      </c>
      <c r="AY32" s="100">
        <v>21178.656480268779</v>
      </c>
      <c r="AZ32" s="100">
        <v>19</v>
      </c>
      <c r="BA32" s="100">
        <v>15960</v>
      </c>
      <c r="BB32" s="100">
        <v>22.880267456696817</v>
      </c>
      <c r="BC32" s="100">
        <v>19219.424663625327</v>
      </c>
      <c r="BD32" s="100">
        <v>23.888275830677621</v>
      </c>
      <c r="BE32" s="100">
        <v>20066.151697769201</v>
      </c>
      <c r="BF32" s="100">
        <v>20.572021068301201</v>
      </c>
      <c r="BG32" s="100">
        <v>17280.497697373008</v>
      </c>
      <c r="BH32" s="100">
        <v>20</v>
      </c>
      <c r="BI32" s="100">
        <v>16800</v>
      </c>
      <c r="BJ32" s="100">
        <v>20</v>
      </c>
      <c r="BK32" s="100">
        <v>16800</v>
      </c>
      <c r="BL32" s="100">
        <v>25</v>
      </c>
      <c r="BM32" s="100">
        <v>21000</v>
      </c>
      <c r="BN32" s="100">
        <v>19</v>
      </c>
      <c r="BO32" s="100">
        <v>15960</v>
      </c>
      <c r="BP32" s="100">
        <v>17</v>
      </c>
      <c r="BQ32" s="100">
        <v>14280</v>
      </c>
      <c r="BR32" s="100">
        <v>16</v>
      </c>
      <c r="BS32" s="100">
        <v>13440</v>
      </c>
      <c r="BT32" s="100">
        <v>26</v>
      </c>
      <c r="BU32" s="100">
        <v>21840</v>
      </c>
      <c r="BV32" s="100">
        <v>17</v>
      </c>
      <c r="BW32" s="100">
        <v>14280</v>
      </c>
      <c r="BX32" s="100">
        <v>31</v>
      </c>
      <c r="BY32" s="100">
        <v>26040</v>
      </c>
      <c r="BZ32" s="100">
        <v>27</v>
      </c>
      <c r="CA32" s="100">
        <v>22680</v>
      </c>
      <c r="CB32" s="100">
        <v>19</v>
      </c>
      <c r="CC32" s="100">
        <v>15960</v>
      </c>
      <c r="CD32" s="100">
        <v>28</v>
      </c>
      <c r="CE32" s="100">
        <v>23520</v>
      </c>
      <c r="CF32" s="100">
        <v>15</v>
      </c>
      <c r="CG32" s="100">
        <v>12600</v>
      </c>
      <c r="CH32" s="100">
        <v>22</v>
      </c>
      <c r="CI32" s="100">
        <v>18480</v>
      </c>
      <c r="CJ32" s="100">
        <v>21</v>
      </c>
      <c r="CK32" s="100">
        <v>17640</v>
      </c>
      <c r="CL32" s="100">
        <v>23</v>
      </c>
      <c r="CM32" s="100">
        <v>19320</v>
      </c>
      <c r="CN32" s="100">
        <v>19</v>
      </c>
      <c r="CO32" s="100">
        <v>15960</v>
      </c>
      <c r="CP32" s="100">
        <v>23</v>
      </c>
      <c r="CQ32" s="100">
        <v>19320</v>
      </c>
      <c r="CR32" s="100">
        <v>19</v>
      </c>
      <c r="CS32" s="100">
        <v>15960</v>
      </c>
      <c r="CT32" s="100">
        <v>33</v>
      </c>
      <c r="CU32" s="100">
        <v>27720</v>
      </c>
    </row>
    <row r="33" spans="2:99">
      <c r="C33" s="99" t="s">
        <v>199</v>
      </c>
      <c r="D33" s="100">
        <v>23</v>
      </c>
      <c r="E33" s="100">
        <v>10902</v>
      </c>
      <c r="F33" s="100">
        <v>29</v>
      </c>
      <c r="G33" s="100">
        <v>13746</v>
      </c>
      <c r="H33" s="100">
        <v>26</v>
      </c>
      <c r="I33" s="100">
        <v>12324</v>
      </c>
      <c r="J33" s="100">
        <v>0.36098015212999796</v>
      </c>
      <c r="K33" s="100">
        <v>171.10459210961903</v>
      </c>
      <c r="L33" s="100">
        <v>20</v>
      </c>
      <c r="M33" s="100">
        <v>9480</v>
      </c>
      <c r="N33" s="100">
        <v>15</v>
      </c>
      <c r="O33" s="100">
        <v>7110</v>
      </c>
      <c r="P33" s="100">
        <v>27</v>
      </c>
      <c r="Q33" s="100">
        <v>12798</v>
      </c>
      <c r="R33" s="100">
        <v>9.0610149334003864</v>
      </c>
      <c r="S33" s="100">
        <v>4294.9210784317829</v>
      </c>
      <c r="T33" s="100">
        <v>12.800609474976014</v>
      </c>
      <c r="U33" s="100">
        <v>6067.4888911386306</v>
      </c>
      <c r="V33" s="100">
        <v>19.490009184924602</v>
      </c>
      <c r="W33" s="100">
        <v>9238.2643536542619</v>
      </c>
      <c r="X33" s="100">
        <v>25.211182935829381</v>
      </c>
      <c r="Y33" s="100">
        <v>11950.100711583127</v>
      </c>
      <c r="Z33" s="100">
        <v>15.52877038625566</v>
      </c>
      <c r="AA33" s="100">
        <v>7360.6371630851827</v>
      </c>
      <c r="AB33" s="100">
        <v>14</v>
      </c>
      <c r="AC33" s="100">
        <v>6636</v>
      </c>
      <c r="AD33" s="100">
        <v>15</v>
      </c>
      <c r="AE33" s="100">
        <v>7110</v>
      </c>
      <c r="AF33" s="100">
        <v>24.776152921448833</v>
      </c>
      <c r="AG33" s="100">
        <v>11743.896484766747</v>
      </c>
      <c r="AH33" s="100">
        <v>23</v>
      </c>
      <c r="AI33" s="100">
        <v>10902</v>
      </c>
      <c r="AJ33" s="100">
        <v>14.202085386707022</v>
      </c>
      <c r="AK33" s="100">
        <v>6731.7884732991288</v>
      </c>
      <c r="AL33" s="100">
        <v>14.510967204665551</v>
      </c>
      <c r="AM33" s="100">
        <v>6878.1984550114712</v>
      </c>
      <c r="AN33" s="100">
        <v>16.556545907390589</v>
      </c>
      <c r="AO33" s="100">
        <v>7847.802760103139</v>
      </c>
      <c r="AP33" s="100">
        <v>17.444418229884029</v>
      </c>
      <c r="AQ33" s="100">
        <v>8268.6542409650301</v>
      </c>
      <c r="AR33" s="100">
        <v>19</v>
      </c>
      <c r="AS33" s="100">
        <v>9006</v>
      </c>
      <c r="AT33" s="100">
        <v>23.26778383312557</v>
      </c>
      <c r="AU33" s="100">
        <v>11028.92953690152</v>
      </c>
      <c r="AV33" s="100">
        <v>23.149602904282204</v>
      </c>
      <c r="AW33" s="100">
        <v>10972.911776629764</v>
      </c>
      <c r="AX33" s="100">
        <v>24.399373825194449</v>
      </c>
      <c r="AY33" s="100">
        <v>11565.303193142168</v>
      </c>
      <c r="AZ33" s="100">
        <v>20</v>
      </c>
      <c r="BA33" s="100">
        <v>9480</v>
      </c>
      <c r="BB33" s="100">
        <v>24.786956411421553</v>
      </c>
      <c r="BC33" s="100">
        <v>11749.017339013815</v>
      </c>
      <c r="BD33" s="100">
        <v>26.754868930358942</v>
      </c>
      <c r="BE33" s="100">
        <v>12681.807872990139</v>
      </c>
      <c r="BF33" s="100">
        <v>19.592401017429715</v>
      </c>
      <c r="BG33" s="100">
        <v>9286.7980822616846</v>
      </c>
      <c r="BH33" s="100">
        <v>19</v>
      </c>
      <c r="BI33" s="100">
        <v>9006</v>
      </c>
      <c r="BJ33" s="100">
        <v>19</v>
      </c>
      <c r="BK33" s="100">
        <v>9006</v>
      </c>
      <c r="BL33" s="100">
        <v>25</v>
      </c>
      <c r="BM33" s="100">
        <v>11850</v>
      </c>
      <c r="BN33" s="100">
        <v>18</v>
      </c>
      <c r="BO33" s="100">
        <v>8532</v>
      </c>
      <c r="BP33" s="100">
        <v>18</v>
      </c>
      <c r="BQ33" s="100">
        <v>8532</v>
      </c>
      <c r="BR33" s="100">
        <v>18</v>
      </c>
      <c r="BS33" s="100">
        <v>8532</v>
      </c>
      <c r="BT33" s="100">
        <v>28</v>
      </c>
      <c r="BU33" s="100">
        <v>13272</v>
      </c>
      <c r="BV33" s="100">
        <v>17</v>
      </c>
      <c r="BW33" s="100">
        <v>8058</v>
      </c>
      <c r="BX33" s="100">
        <v>31</v>
      </c>
      <c r="BY33" s="100">
        <v>14694</v>
      </c>
      <c r="BZ33" s="100">
        <v>29</v>
      </c>
      <c r="CA33" s="100">
        <v>13746</v>
      </c>
      <c r="CB33" s="100">
        <v>19</v>
      </c>
      <c r="CC33" s="100">
        <v>9006</v>
      </c>
      <c r="CD33" s="100">
        <v>28</v>
      </c>
      <c r="CE33" s="100">
        <v>13272</v>
      </c>
      <c r="CF33" s="100">
        <v>18</v>
      </c>
      <c r="CG33" s="100">
        <v>8532</v>
      </c>
      <c r="CH33" s="100">
        <v>23</v>
      </c>
      <c r="CI33" s="100">
        <v>10902</v>
      </c>
      <c r="CJ33" s="100">
        <v>22</v>
      </c>
      <c r="CK33" s="100">
        <v>10428</v>
      </c>
      <c r="CL33" s="100">
        <v>24</v>
      </c>
      <c r="CM33" s="100">
        <v>11376</v>
      </c>
      <c r="CN33" s="100">
        <v>20</v>
      </c>
      <c r="CO33" s="100">
        <v>9480</v>
      </c>
      <c r="CP33" s="100">
        <v>21</v>
      </c>
      <c r="CQ33" s="100">
        <v>9954</v>
      </c>
      <c r="CR33" s="100">
        <v>17</v>
      </c>
      <c r="CS33" s="100">
        <v>8058</v>
      </c>
      <c r="CT33" s="100">
        <v>30</v>
      </c>
      <c r="CU33" s="100">
        <v>14220</v>
      </c>
    </row>
    <row r="34" spans="2:99">
      <c r="C34" s="99" t="s">
        <v>200</v>
      </c>
      <c r="D34" s="100">
        <v>23</v>
      </c>
      <c r="E34" s="100">
        <v>12613.199999999999</v>
      </c>
      <c r="F34" s="100">
        <v>25</v>
      </c>
      <c r="G34" s="100">
        <v>13710</v>
      </c>
      <c r="H34" s="100">
        <v>28</v>
      </c>
      <c r="I34" s="100">
        <v>15355.199999999999</v>
      </c>
      <c r="J34" s="100">
        <v>0.36098015212999796</v>
      </c>
      <c r="K34" s="100">
        <v>197.96151542809088</v>
      </c>
      <c r="L34" s="100">
        <v>18</v>
      </c>
      <c r="M34" s="100">
        <v>9871.1999999999989</v>
      </c>
      <c r="N34" s="100">
        <v>16</v>
      </c>
      <c r="O34" s="100">
        <v>8774.4</v>
      </c>
      <c r="P34" s="100">
        <v>26</v>
      </c>
      <c r="Q34" s="100">
        <v>14258.4</v>
      </c>
      <c r="R34" s="100">
        <v>8.3640137846772795</v>
      </c>
      <c r="S34" s="100">
        <v>4586.8251595170195</v>
      </c>
      <c r="T34" s="100">
        <v>12.343444850869728</v>
      </c>
      <c r="U34" s="100">
        <v>6769.1451562169586</v>
      </c>
      <c r="V34" s="100">
        <v>20.162078467163383</v>
      </c>
      <c r="W34" s="100">
        <v>11056.883831392399</v>
      </c>
      <c r="X34" s="100">
        <v>22.302200289387528</v>
      </c>
      <c r="Y34" s="100">
        <v>12230.526638700119</v>
      </c>
      <c r="Z34" s="100">
        <v>15.52877038625566</v>
      </c>
      <c r="AA34" s="100">
        <v>8515.977679822603</v>
      </c>
      <c r="AB34" s="100">
        <v>13</v>
      </c>
      <c r="AC34" s="100">
        <v>7129.2</v>
      </c>
      <c r="AD34" s="100">
        <v>16</v>
      </c>
      <c r="AE34" s="100">
        <v>8774.4</v>
      </c>
      <c r="AF34" s="100">
        <v>23.891290317111373</v>
      </c>
      <c r="AG34" s="100">
        <v>13101.983609903877</v>
      </c>
      <c r="AH34" s="100">
        <v>23</v>
      </c>
      <c r="AI34" s="100">
        <v>12613.199999999999</v>
      </c>
      <c r="AJ34" s="100">
        <v>14.202085386707022</v>
      </c>
      <c r="AK34" s="100">
        <v>7788.4236260701309</v>
      </c>
      <c r="AL34" s="100">
        <v>13.747232088630522</v>
      </c>
      <c r="AM34" s="100">
        <v>7538.9820774049776</v>
      </c>
      <c r="AN34" s="100">
        <v>17.27639572945105</v>
      </c>
      <c r="AO34" s="100">
        <v>9474.3754180309552</v>
      </c>
      <c r="AP34" s="100">
        <v>17.444418229884029</v>
      </c>
      <c r="AQ34" s="100">
        <v>9566.5189572684012</v>
      </c>
      <c r="AR34" s="100">
        <v>18</v>
      </c>
      <c r="AS34" s="100">
        <v>9871.1999999999989</v>
      </c>
      <c r="AT34" s="100">
        <v>26.591752952143509</v>
      </c>
      <c r="AU34" s="100">
        <v>14582.9173189555</v>
      </c>
      <c r="AV34" s="100">
        <v>19.842516775099028</v>
      </c>
      <c r="AW34" s="100">
        <v>10881.636199464307</v>
      </c>
      <c r="AX34" s="100">
        <v>25.212686286034263</v>
      </c>
      <c r="AY34" s="100">
        <v>13826.637159261189</v>
      </c>
      <c r="AZ34" s="100">
        <v>19</v>
      </c>
      <c r="BA34" s="100">
        <v>10419.6</v>
      </c>
      <c r="BB34" s="100">
        <v>23.833611934059185</v>
      </c>
      <c r="BC34" s="100">
        <v>13070.352784638057</v>
      </c>
      <c r="BD34" s="100">
        <v>29.621462030040256</v>
      </c>
      <c r="BE34" s="100">
        <v>16244.409777274075</v>
      </c>
      <c r="BF34" s="100">
        <v>17.633160915686744</v>
      </c>
      <c r="BG34" s="100">
        <v>9670.02544616261</v>
      </c>
      <c r="BH34" s="100">
        <v>20</v>
      </c>
      <c r="BI34" s="100">
        <v>10968</v>
      </c>
      <c r="BJ34" s="100">
        <v>18</v>
      </c>
      <c r="BK34" s="100">
        <v>9871.1999999999989</v>
      </c>
      <c r="BL34" s="100">
        <v>26</v>
      </c>
      <c r="BM34" s="100">
        <v>14258.4</v>
      </c>
      <c r="BN34" s="100">
        <v>17</v>
      </c>
      <c r="BO34" s="100">
        <v>9322.7999999999993</v>
      </c>
      <c r="BP34" s="100">
        <v>17</v>
      </c>
      <c r="BQ34" s="100">
        <v>9322.7999999999993</v>
      </c>
      <c r="BR34" s="100">
        <v>17</v>
      </c>
      <c r="BS34" s="100">
        <v>9322.7999999999993</v>
      </c>
      <c r="BT34" s="100">
        <v>24</v>
      </c>
      <c r="BU34" s="100">
        <v>13161.599999999999</v>
      </c>
      <c r="BV34" s="100">
        <v>15</v>
      </c>
      <c r="BW34" s="100">
        <v>8226</v>
      </c>
      <c r="BX34" s="100">
        <v>33</v>
      </c>
      <c r="BY34" s="100">
        <v>18097.2</v>
      </c>
      <c r="BZ34" s="100">
        <v>28</v>
      </c>
      <c r="CA34" s="100">
        <v>15355.199999999999</v>
      </c>
      <c r="CB34" s="100">
        <v>18</v>
      </c>
      <c r="CC34" s="100">
        <v>9871.1999999999989</v>
      </c>
      <c r="CD34" s="100">
        <v>28</v>
      </c>
      <c r="CE34" s="100">
        <v>15355.199999999999</v>
      </c>
      <c r="CF34" s="100">
        <v>16</v>
      </c>
      <c r="CG34" s="100">
        <v>8774.4</v>
      </c>
      <c r="CH34" s="100">
        <v>21</v>
      </c>
      <c r="CI34" s="100">
        <v>11516.4</v>
      </c>
      <c r="CJ34" s="100">
        <v>24</v>
      </c>
      <c r="CK34" s="100">
        <v>13161.599999999999</v>
      </c>
      <c r="CL34" s="100">
        <v>25</v>
      </c>
      <c r="CM34" s="100">
        <v>13710</v>
      </c>
      <c r="CN34" s="100">
        <v>22</v>
      </c>
      <c r="CO34" s="100">
        <v>12064.8</v>
      </c>
      <c r="CP34" s="100">
        <v>22</v>
      </c>
      <c r="CQ34" s="100">
        <v>12064.8</v>
      </c>
      <c r="CR34" s="100">
        <v>20</v>
      </c>
      <c r="CS34" s="100">
        <v>10968</v>
      </c>
      <c r="CT34" s="100">
        <v>32</v>
      </c>
      <c r="CU34" s="100">
        <v>17548.8</v>
      </c>
    </row>
    <row r="35" spans="2:99">
      <c r="C35" s="99" t="s">
        <v>201</v>
      </c>
      <c r="D35" s="100">
        <v>24</v>
      </c>
      <c r="E35" s="100">
        <v>12067.199999999997</v>
      </c>
      <c r="F35" s="100">
        <v>29</v>
      </c>
      <c r="G35" s="100">
        <v>14581.199999999997</v>
      </c>
      <c r="H35" s="100">
        <v>26</v>
      </c>
      <c r="I35" s="100">
        <v>13072.799999999997</v>
      </c>
      <c r="J35" s="100">
        <v>0.43317618255599749</v>
      </c>
      <c r="K35" s="100">
        <v>217.80098458915549</v>
      </c>
      <c r="L35" s="100">
        <v>19</v>
      </c>
      <c r="M35" s="100">
        <v>9553.1999999999989</v>
      </c>
      <c r="N35" s="100">
        <v>17</v>
      </c>
      <c r="O35" s="100">
        <v>8547.5999999999985</v>
      </c>
      <c r="P35" s="100">
        <v>26</v>
      </c>
      <c r="Q35" s="100">
        <v>13072.799999999997</v>
      </c>
      <c r="R35" s="100">
        <v>8.0155132103157261</v>
      </c>
      <c r="S35" s="100">
        <v>4030.2000421467465</v>
      </c>
      <c r="T35" s="100">
        <v>11.429115602657156</v>
      </c>
      <c r="U35" s="100">
        <v>5746.5593250160164</v>
      </c>
      <c r="V35" s="100">
        <v>17.473801338208265</v>
      </c>
      <c r="W35" s="100">
        <v>8785.8273128511137</v>
      </c>
      <c r="X35" s="100">
        <v>23.271861171534816</v>
      </c>
      <c r="Y35" s="100">
        <v>11701.091797047704</v>
      </c>
      <c r="Z35" s="100">
        <v>13.975893347630095</v>
      </c>
      <c r="AA35" s="100">
        <v>7027.0791751884099</v>
      </c>
      <c r="AB35" s="100">
        <v>16</v>
      </c>
      <c r="AC35" s="100">
        <v>8044.7999999999984</v>
      </c>
      <c r="AD35" s="100">
        <v>16</v>
      </c>
      <c r="AE35" s="100">
        <v>8044.7999999999984</v>
      </c>
      <c r="AF35" s="100">
        <v>24.776152921448833</v>
      </c>
      <c r="AG35" s="100">
        <v>12457.449688904471</v>
      </c>
      <c r="AH35" s="100">
        <v>23</v>
      </c>
      <c r="AI35" s="100">
        <v>11564.399999999998</v>
      </c>
      <c r="AJ35" s="100">
        <v>15.089715723376212</v>
      </c>
      <c r="AK35" s="100">
        <v>7587.1090657135583</v>
      </c>
      <c r="AL35" s="100">
        <v>14.510967204665551</v>
      </c>
      <c r="AM35" s="100">
        <v>7296.1143105058372</v>
      </c>
      <c r="AN35" s="100">
        <v>15.836696085330129</v>
      </c>
      <c r="AO35" s="100">
        <v>7962.6907917039871</v>
      </c>
      <c r="AP35" s="100">
        <v>19.457235717947569</v>
      </c>
      <c r="AQ35" s="100">
        <v>9783.098118984035</v>
      </c>
      <c r="AR35" s="100">
        <v>19</v>
      </c>
      <c r="AS35" s="100">
        <v>9553.1999999999989</v>
      </c>
      <c r="AT35" s="100">
        <v>24.929768392634543</v>
      </c>
      <c r="AU35" s="100">
        <v>12534.687547816646</v>
      </c>
      <c r="AV35" s="100">
        <v>22.32283137198641</v>
      </c>
      <c r="AW35" s="100">
        <v>11223.919613834765</v>
      </c>
      <c r="AX35" s="100">
        <v>23.586061364354631</v>
      </c>
      <c r="AY35" s="100">
        <v>11859.071653997506</v>
      </c>
      <c r="AZ35" s="100">
        <v>21</v>
      </c>
      <c r="BA35" s="100">
        <v>10558.799999999997</v>
      </c>
      <c r="BB35" s="100">
        <v>24.786956411421553</v>
      </c>
      <c r="BC35" s="100">
        <v>12462.881683662754</v>
      </c>
      <c r="BD35" s="100">
        <v>29.621462030040256</v>
      </c>
      <c r="BE35" s="100">
        <v>14893.671108704237</v>
      </c>
      <c r="BF35" s="100">
        <v>21.551641119172686</v>
      </c>
      <c r="BG35" s="100">
        <v>10836.165154720024</v>
      </c>
      <c r="BH35" s="100">
        <v>22</v>
      </c>
      <c r="BI35" s="100">
        <v>11061.599999999999</v>
      </c>
      <c r="BJ35" s="100">
        <v>21</v>
      </c>
      <c r="BK35" s="100">
        <v>10558.799999999997</v>
      </c>
      <c r="BL35" s="100">
        <v>29</v>
      </c>
      <c r="BM35" s="100">
        <v>14581.199999999997</v>
      </c>
      <c r="BN35" s="100">
        <v>18</v>
      </c>
      <c r="BO35" s="100">
        <v>9050.3999999999978</v>
      </c>
      <c r="BP35" s="100">
        <v>16</v>
      </c>
      <c r="BQ35" s="100">
        <v>8044.7999999999984</v>
      </c>
      <c r="BR35" s="100">
        <v>16</v>
      </c>
      <c r="BS35" s="100">
        <v>8044.7999999999984</v>
      </c>
      <c r="BT35" s="100">
        <v>25</v>
      </c>
      <c r="BU35" s="100">
        <v>12569.999999999998</v>
      </c>
      <c r="BV35" s="100">
        <v>15</v>
      </c>
      <c r="BW35" s="100">
        <v>7541.9999999999982</v>
      </c>
      <c r="BX35" s="100">
        <v>29</v>
      </c>
      <c r="BY35" s="100">
        <v>14581.199999999997</v>
      </c>
      <c r="BZ35" s="100">
        <v>28</v>
      </c>
      <c r="CA35" s="100">
        <v>14078.399999999998</v>
      </c>
      <c r="CB35" s="100">
        <v>18</v>
      </c>
      <c r="CC35" s="100">
        <v>9050.3999999999978</v>
      </c>
      <c r="CD35" s="100">
        <v>30</v>
      </c>
      <c r="CE35" s="100">
        <v>15083.999999999996</v>
      </c>
      <c r="CF35" s="100">
        <v>17</v>
      </c>
      <c r="CG35" s="100">
        <v>8547.5999999999985</v>
      </c>
      <c r="CH35" s="100">
        <v>22</v>
      </c>
      <c r="CI35" s="100">
        <v>11061.599999999999</v>
      </c>
      <c r="CJ35" s="100">
        <v>22</v>
      </c>
      <c r="CK35" s="100">
        <v>11061.599999999999</v>
      </c>
      <c r="CL35" s="100">
        <v>28</v>
      </c>
      <c r="CM35" s="100">
        <v>14078.399999999998</v>
      </c>
      <c r="CN35" s="100">
        <v>18</v>
      </c>
      <c r="CO35" s="100">
        <v>9050.3999999999978</v>
      </c>
      <c r="CP35" s="100">
        <v>23</v>
      </c>
      <c r="CQ35" s="100">
        <v>11564.399999999998</v>
      </c>
      <c r="CR35" s="100">
        <v>21</v>
      </c>
      <c r="CS35" s="100">
        <v>10558.799999999997</v>
      </c>
      <c r="CT35" s="100">
        <v>33</v>
      </c>
      <c r="CU35" s="100">
        <v>16592.399999999998</v>
      </c>
    </row>
    <row r="36" spans="2:99">
      <c r="C36" s="99" t="s">
        <v>202</v>
      </c>
      <c r="D36" s="100">
        <v>27</v>
      </c>
      <c r="E36" s="100">
        <v>20541.599999999999</v>
      </c>
      <c r="F36" s="100">
        <v>28</v>
      </c>
      <c r="G36" s="100">
        <v>21302.399999999998</v>
      </c>
      <c r="H36" s="100">
        <v>27</v>
      </c>
      <c r="I36" s="100">
        <v>20541.599999999999</v>
      </c>
      <c r="J36" s="100">
        <v>0.41512717494949763</v>
      </c>
      <c r="K36" s="100">
        <v>315.82875470157779</v>
      </c>
      <c r="L36" s="100">
        <v>17</v>
      </c>
      <c r="M36" s="100">
        <v>12933.599999999999</v>
      </c>
      <c r="N36" s="100">
        <v>16</v>
      </c>
      <c r="O36" s="100">
        <v>12172.8</v>
      </c>
      <c r="P36" s="100">
        <v>22</v>
      </c>
      <c r="Q36" s="100">
        <v>16737.599999999999</v>
      </c>
      <c r="R36" s="100">
        <v>7.3185120615926191</v>
      </c>
      <c r="S36" s="100">
        <v>5567.9239764596641</v>
      </c>
      <c r="T36" s="100">
        <v>12.343444850869728</v>
      </c>
      <c r="U36" s="100">
        <v>9390.8928425416889</v>
      </c>
      <c r="V36" s="100">
        <v>19.490009184924602</v>
      </c>
      <c r="W36" s="100">
        <v>14827.998987890636</v>
      </c>
      <c r="X36" s="100">
        <v>23.271861171534816</v>
      </c>
      <c r="Y36" s="100">
        <v>17705.231979303688</v>
      </c>
      <c r="Z36" s="100">
        <v>13.458267668088238</v>
      </c>
      <c r="AA36" s="100">
        <v>10239.050041881532</v>
      </c>
      <c r="AB36" s="100">
        <v>15</v>
      </c>
      <c r="AC36" s="100">
        <v>11412</v>
      </c>
      <c r="AD36" s="100">
        <v>16</v>
      </c>
      <c r="AE36" s="100">
        <v>12172.8</v>
      </c>
      <c r="AF36" s="100">
        <v>21.236702504098997</v>
      </c>
      <c r="AG36" s="100">
        <v>16156.883265118515</v>
      </c>
      <c r="AH36" s="100">
        <v>20</v>
      </c>
      <c r="AI36" s="100">
        <v>15216</v>
      </c>
      <c r="AJ36" s="100">
        <v>14.202085386707022</v>
      </c>
      <c r="AK36" s="100">
        <v>10804.946562206702</v>
      </c>
      <c r="AL36" s="100">
        <v>12.219761856560464</v>
      </c>
      <c r="AM36" s="100">
        <v>9296.7948204711993</v>
      </c>
      <c r="AN36" s="100">
        <v>18.716095373571971</v>
      </c>
      <c r="AO36" s="100">
        <v>14239.205360213555</v>
      </c>
      <c r="AP36" s="100">
        <v>18.115357392571873</v>
      </c>
      <c r="AQ36" s="100">
        <v>13782.16390426868</v>
      </c>
      <c r="AR36" s="100">
        <v>20</v>
      </c>
      <c r="AS36" s="100">
        <v>15216</v>
      </c>
      <c r="AT36" s="100">
        <v>22.436791553371087</v>
      </c>
      <c r="AU36" s="100">
        <v>17069.911013804722</v>
      </c>
      <c r="AV36" s="100">
        <v>18.188973710507444</v>
      </c>
      <c r="AW36" s="100">
        <v>13838.171198954062</v>
      </c>
      <c r="AX36" s="100">
        <v>22.772748903514817</v>
      </c>
      <c r="AY36" s="100">
        <v>17325.50736579407</v>
      </c>
      <c r="AZ36" s="100">
        <v>17</v>
      </c>
      <c r="BA36" s="100">
        <v>12933.599999999999</v>
      </c>
      <c r="BB36" s="100">
        <v>25.740300888783917</v>
      </c>
      <c r="BC36" s="100">
        <v>19583.220916186801</v>
      </c>
      <c r="BD36" s="100">
        <v>27.710399963586045</v>
      </c>
      <c r="BE36" s="100">
        <v>21082.072292296263</v>
      </c>
      <c r="BF36" s="100">
        <v>17.633160915686744</v>
      </c>
      <c r="BG36" s="100">
        <v>13415.308824654474</v>
      </c>
      <c r="BH36" s="100">
        <v>19</v>
      </c>
      <c r="BI36" s="100">
        <v>14455.199999999999</v>
      </c>
      <c r="BJ36" s="100">
        <v>17</v>
      </c>
      <c r="BK36" s="100">
        <v>12933.599999999999</v>
      </c>
      <c r="BL36" s="100">
        <v>28</v>
      </c>
      <c r="BM36" s="100">
        <v>21302.399999999998</v>
      </c>
      <c r="BN36" s="100">
        <v>18</v>
      </c>
      <c r="BO36" s="100">
        <v>13694.4</v>
      </c>
      <c r="BP36" s="100">
        <v>19</v>
      </c>
      <c r="BQ36" s="100">
        <v>14455.199999999999</v>
      </c>
      <c r="BR36" s="100">
        <v>16</v>
      </c>
      <c r="BS36" s="100">
        <v>12172.8</v>
      </c>
      <c r="BT36" s="100">
        <v>23</v>
      </c>
      <c r="BU36" s="100">
        <v>17498.399999999998</v>
      </c>
      <c r="BV36" s="100">
        <v>15</v>
      </c>
      <c r="BW36" s="100">
        <v>11412</v>
      </c>
      <c r="BX36" s="100">
        <v>28</v>
      </c>
      <c r="BY36" s="100">
        <v>21302.399999999998</v>
      </c>
      <c r="BZ36" s="100">
        <v>28</v>
      </c>
      <c r="CA36" s="100">
        <v>21302.399999999998</v>
      </c>
      <c r="CB36" s="100">
        <v>19</v>
      </c>
      <c r="CC36" s="100">
        <v>14455.199999999999</v>
      </c>
      <c r="CD36" s="100">
        <v>27</v>
      </c>
      <c r="CE36" s="100">
        <v>20541.599999999999</v>
      </c>
      <c r="CF36" s="100">
        <v>17</v>
      </c>
      <c r="CG36" s="100">
        <v>12933.599999999999</v>
      </c>
      <c r="CH36" s="100">
        <v>23</v>
      </c>
      <c r="CI36" s="100">
        <v>17498.399999999998</v>
      </c>
      <c r="CJ36" s="100">
        <v>24</v>
      </c>
      <c r="CK36" s="100">
        <v>18259.199999999997</v>
      </c>
      <c r="CL36" s="100">
        <v>25</v>
      </c>
      <c r="CM36" s="100">
        <v>19020</v>
      </c>
      <c r="CN36" s="100">
        <v>20</v>
      </c>
      <c r="CO36" s="100">
        <v>15216</v>
      </c>
      <c r="CP36" s="100">
        <v>20</v>
      </c>
      <c r="CQ36" s="100">
        <v>15216</v>
      </c>
      <c r="CR36" s="100">
        <v>20</v>
      </c>
      <c r="CS36" s="100">
        <v>15216</v>
      </c>
      <c r="CT36" s="100">
        <v>30</v>
      </c>
      <c r="CU36" s="100">
        <v>22824</v>
      </c>
    </row>
    <row r="37" spans="2:99">
      <c r="B37" s="99" t="s">
        <v>128</v>
      </c>
      <c r="C37" s="99" t="s">
        <v>203</v>
      </c>
      <c r="D37" s="100">
        <v>12</v>
      </c>
      <c r="E37" s="100">
        <v>10324.799999999999</v>
      </c>
      <c r="F37" s="100">
        <v>11</v>
      </c>
      <c r="G37" s="100">
        <v>9464.4</v>
      </c>
      <c r="H37" s="100">
        <v>10</v>
      </c>
      <c r="I37" s="100">
        <v>8604</v>
      </c>
      <c r="J37" s="100">
        <v>0.21658809127799875</v>
      </c>
      <c r="K37" s="100">
        <v>186.35239373559011</v>
      </c>
      <c r="L37" s="100">
        <v>16</v>
      </c>
      <c r="M37" s="100">
        <v>13766.4</v>
      </c>
      <c r="N37" s="100">
        <v>15</v>
      </c>
      <c r="O37" s="100">
        <v>12906</v>
      </c>
      <c r="P37" s="100">
        <v>16</v>
      </c>
      <c r="Q37" s="100">
        <v>13766.4</v>
      </c>
      <c r="R37" s="100">
        <v>6.2730103385079605</v>
      </c>
      <c r="S37" s="100">
        <v>5397.2980952522494</v>
      </c>
      <c r="T37" s="100">
        <v>8.6861278580194377</v>
      </c>
      <c r="U37" s="100">
        <v>7473.5444090399242</v>
      </c>
      <c r="V37" s="100">
        <v>7.3927621046265735</v>
      </c>
      <c r="W37" s="100">
        <v>6360.7325148207037</v>
      </c>
      <c r="X37" s="100">
        <v>8.7269479393255551</v>
      </c>
      <c r="Y37" s="100">
        <v>7508.666006995707</v>
      </c>
      <c r="Z37" s="100">
        <v>7.76438519312783</v>
      </c>
      <c r="AA37" s="100">
        <v>6680.4770201671845</v>
      </c>
      <c r="AB37" s="100">
        <v>11</v>
      </c>
      <c r="AC37" s="100">
        <v>9464.4</v>
      </c>
      <c r="AD37" s="100">
        <v>13</v>
      </c>
      <c r="AE37" s="100">
        <v>11185.199999999999</v>
      </c>
      <c r="AF37" s="100">
        <v>16.812389482411707</v>
      </c>
      <c r="AG37" s="100">
        <v>14465.379910667032</v>
      </c>
      <c r="AH37" s="100">
        <v>17</v>
      </c>
      <c r="AI37" s="100">
        <v>14626.8</v>
      </c>
      <c r="AJ37" s="100">
        <v>8.8763033666918894</v>
      </c>
      <c r="AK37" s="100">
        <v>7637.1714167017017</v>
      </c>
      <c r="AL37" s="100">
        <v>12.219761856560464</v>
      </c>
      <c r="AM37" s="100">
        <v>10513.883101384623</v>
      </c>
      <c r="AN37" s="100">
        <v>12.957296797088286</v>
      </c>
      <c r="AO37" s="100">
        <v>11148.45816421476</v>
      </c>
      <c r="AP37" s="100">
        <v>6.7093916268784719</v>
      </c>
      <c r="AQ37" s="100">
        <v>5772.7605557662373</v>
      </c>
      <c r="AR37" s="100">
        <v>12</v>
      </c>
      <c r="AS37" s="100">
        <v>10324.799999999999</v>
      </c>
      <c r="AT37" s="100">
        <v>12.464884196317271</v>
      </c>
      <c r="AU37" s="100">
        <v>10724.786362511381</v>
      </c>
      <c r="AV37" s="100">
        <v>14.055116049028481</v>
      </c>
      <c r="AW37" s="100">
        <v>12093.021848584105</v>
      </c>
      <c r="AX37" s="100">
        <v>9.7597495300777783</v>
      </c>
      <c r="AY37" s="100">
        <v>8397.2884956789203</v>
      </c>
      <c r="AZ37" s="100">
        <v>16</v>
      </c>
      <c r="BA37" s="100">
        <v>13766.4</v>
      </c>
      <c r="BB37" s="100">
        <v>14.30016716043551</v>
      </c>
      <c r="BC37" s="100">
        <v>12303.863824838712</v>
      </c>
      <c r="BD37" s="100">
        <v>9.5553103322710502</v>
      </c>
      <c r="BE37" s="100">
        <v>8221.389009886012</v>
      </c>
      <c r="BF37" s="100">
        <v>11.755440610457828</v>
      </c>
      <c r="BG37" s="100">
        <v>10114.381101237916</v>
      </c>
      <c r="BH37" s="100">
        <v>11</v>
      </c>
      <c r="BI37" s="100">
        <v>9464.4</v>
      </c>
      <c r="BJ37" s="100">
        <v>10</v>
      </c>
      <c r="BK37" s="100">
        <v>8604</v>
      </c>
      <c r="BL37" s="100">
        <v>14</v>
      </c>
      <c r="BM37" s="100">
        <v>12045.6</v>
      </c>
      <c r="BN37" s="100">
        <v>18</v>
      </c>
      <c r="BO37" s="100">
        <v>15487.199999999999</v>
      </c>
      <c r="BP37" s="100">
        <v>17</v>
      </c>
      <c r="BQ37" s="100">
        <v>14626.8</v>
      </c>
      <c r="BR37" s="100">
        <v>16</v>
      </c>
      <c r="BS37" s="100">
        <v>13766.4</v>
      </c>
      <c r="BT37" s="100">
        <v>13</v>
      </c>
      <c r="BU37" s="100">
        <v>11185.199999999999</v>
      </c>
      <c r="BV37" s="100">
        <v>17</v>
      </c>
      <c r="BW37" s="100">
        <v>14626.8</v>
      </c>
      <c r="BX37" s="100">
        <v>15</v>
      </c>
      <c r="BY37" s="100">
        <v>12906</v>
      </c>
      <c r="BZ37" s="100">
        <v>14</v>
      </c>
      <c r="CA37" s="100">
        <v>12045.6</v>
      </c>
      <c r="CB37" s="100">
        <v>18</v>
      </c>
      <c r="CC37" s="100">
        <v>15487.199999999999</v>
      </c>
      <c r="CD37" s="100">
        <v>16</v>
      </c>
      <c r="CE37" s="100">
        <v>13766.4</v>
      </c>
      <c r="CF37" s="100">
        <v>10</v>
      </c>
      <c r="CG37" s="100">
        <v>8604</v>
      </c>
      <c r="CH37" s="100">
        <v>11</v>
      </c>
      <c r="CI37" s="100">
        <v>9464.4</v>
      </c>
      <c r="CJ37" s="100">
        <v>12</v>
      </c>
      <c r="CK37" s="100">
        <v>10324.799999999999</v>
      </c>
      <c r="CL37" s="100">
        <v>11</v>
      </c>
      <c r="CM37" s="100">
        <v>9464.4</v>
      </c>
      <c r="CN37" s="100">
        <v>10</v>
      </c>
      <c r="CO37" s="100">
        <v>8604</v>
      </c>
      <c r="CP37" s="100">
        <v>13</v>
      </c>
      <c r="CQ37" s="100">
        <v>11185.199999999999</v>
      </c>
      <c r="CR37" s="100">
        <v>19</v>
      </c>
      <c r="CS37" s="100">
        <v>16347.6</v>
      </c>
      <c r="CT37" s="100">
        <v>19</v>
      </c>
      <c r="CU37" s="100">
        <v>16347.6</v>
      </c>
    </row>
    <row r="38" spans="2:99">
      <c r="C38" s="99" t="s">
        <v>204</v>
      </c>
      <c r="D38" s="100">
        <v>12</v>
      </c>
      <c r="E38" s="100">
        <v>14904</v>
      </c>
      <c r="F38" s="100">
        <v>10</v>
      </c>
      <c r="G38" s="100">
        <v>12420</v>
      </c>
      <c r="H38" s="100">
        <v>10</v>
      </c>
      <c r="I38" s="100">
        <v>12420</v>
      </c>
      <c r="J38" s="100">
        <v>0.25268610649099854</v>
      </c>
      <c r="K38" s="100">
        <v>313.83614426182021</v>
      </c>
      <c r="L38" s="100">
        <v>14</v>
      </c>
      <c r="M38" s="100">
        <v>17388</v>
      </c>
      <c r="N38" s="100">
        <v>14</v>
      </c>
      <c r="O38" s="100">
        <v>17388</v>
      </c>
      <c r="P38" s="100">
        <v>17</v>
      </c>
      <c r="Q38" s="100">
        <v>21114</v>
      </c>
      <c r="R38" s="100">
        <v>5.9245097641464062</v>
      </c>
      <c r="S38" s="100">
        <v>7358.2411270698367</v>
      </c>
      <c r="T38" s="100">
        <v>8.2289632339131522</v>
      </c>
      <c r="U38" s="100">
        <v>10220.372336520135</v>
      </c>
      <c r="V38" s="100">
        <v>7.3927621046265735</v>
      </c>
      <c r="W38" s="100">
        <v>9181.8105339462036</v>
      </c>
      <c r="X38" s="100">
        <v>8.7269479393255551</v>
      </c>
      <c r="Y38" s="100">
        <v>10838.869340642339</v>
      </c>
      <c r="Z38" s="100">
        <v>7.76438519312783</v>
      </c>
      <c r="AA38" s="100">
        <v>9643.3664098647641</v>
      </c>
      <c r="AB38" s="100">
        <v>9</v>
      </c>
      <c r="AC38" s="100">
        <v>11178</v>
      </c>
      <c r="AD38" s="100">
        <v>12</v>
      </c>
      <c r="AE38" s="100">
        <v>14904</v>
      </c>
      <c r="AF38" s="100">
        <v>15.04266427373679</v>
      </c>
      <c r="AG38" s="100">
        <v>18682.989027981093</v>
      </c>
      <c r="AH38" s="100">
        <v>17</v>
      </c>
      <c r="AI38" s="100">
        <v>21114</v>
      </c>
      <c r="AJ38" s="100">
        <v>8.8763033666918894</v>
      </c>
      <c r="AK38" s="100">
        <v>11024.368781431327</v>
      </c>
      <c r="AL38" s="100">
        <v>12.219761856560464</v>
      </c>
      <c r="AM38" s="100">
        <v>15176.944225848096</v>
      </c>
      <c r="AN38" s="100">
        <v>12.237446975027828</v>
      </c>
      <c r="AO38" s="100">
        <v>15198.909142984561</v>
      </c>
      <c r="AP38" s="100">
        <v>6.7093916268784719</v>
      </c>
      <c r="AQ38" s="100">
        <v>8333.0644005830618</v>
      </c>
      <c r="AR38" s="100">
        <v>13</v>
      </c>
      <c r="AS38" s="100">
        <v>16146</v>
      </c>
      <c r="AT38" s="100">
        <v>14.126868755826241</v>
      </c>
      <c r="AU38" s="100">
        <v>17545.57099473619</v>
      </c>
      <c r="AV38" s="100">
        <v>12.401572984436894</v>
      </c>
      <c r="AW38" s="100">
        <v>15402.753646670622</v>
      </c>
      <c r="AX38" s="100">
        <v>9.7597495300777783</v>
      </c>
      <c r="AY38" s="100">
        <v>12121.608916356601</v>
      </c>
      <c r="AZ38" s="100">
        <v>16</v>
      </c>
      <c r="BA38" s="100">
        <v>19872</v>
      </c>
      <c r="BB38" s="100">
        <v>13.346822683073142</v>
      </c>
      <c r="BC38" s="100">
        <v>16576.753772376844</v>
      </c>
      <c r="BD38" s="100">
        <v>10.510841365498154</v>
      </c>
      <c r="BE38" s="100">
        <v>13054.464975948707</v>
      </c>
      <c r="BF38" s="100">
        <v>10.775820559586343</v>
      </c>
      <c r="BG38" s="100">
        <v>13383.569135006239</v>
      </c>
      <c r="BH38" s="100">
        <v>11</v>
      </c>
      <c r="BI38" s="100">
        <v>13662</v>
      </c>
      <c r="BJ38" s="100">
        <v>9</v>
      </c>
      <c r="BK38" s="100">
        <v>11178</v>
      </c>
      <c r="BL38" s="100">
        <v>14</v>
      </c>
      <c r="BM38" s="100">
        <v>17388</v>
      </c>
      <c r="BN38" s="100">
        <v>17</v>
      </c>
      <c r="BO38" s="100">
        <v>21114</v>
      </c>
      <c r="BP38" s="100">
        <v>16</v>
      </c>
      <c r="BQ38" s="100">
        <v>19872</v>
      </c>
      <c r="BR38" s="100">
        <v>15</v>
      </c>
      <c r="BS38" s="100">
        <v>18630</v>
      </c>
      <c r="BT38" s="100">
        <v>11</v>
      </c>
      <c r="BU38" s="100">
        <v>13662</v>
      </c>
      <c r="BV38" s="100">
        <v>16</v>
      </c>
      <c r="BW38" s="100">
        <v>19872</v>
      </c>
      <c r="BX38" s="100">
        <v>16</v>
      </c>
      <c r="BY38" s="100">
        <v>19872</v>
      </c>
      <c r="BZ38" s="100">
        <v>15</v>
      </c>
      <c r="CA38" s="100">
        <v>18630</v>
      </c>
      <c r="CB38" s="100">
        <v>18</v>
      </c>
      <c r="CC38" s="100">
        <v>22356</v>
      </c>
      <c r="CD38" s="100">
        <v>16</v>
      </c>
      <c r="CE38" s="100">
        <v>19872</v>
      </c>
      <c r="CF38" s="100">
        <v>11</v>
      </c>
      <c r="CG38" s="100">
        <v>13662</v>
      </c>
      <c r="CH38" s="100">
        <v>11</v>
      </c>
      <c r="CI38" s="100">
        <v>13662</v>
      </c>
      <c r="CJ38" s="100">
        <v>11</v>
      </c>
      <c r="CK38" s="100">
        <v>13662</v>
      </c>
      <c r="CL38" s="100">
        <v>11</v>
      </c>
      <c r="CM38" s="100">
        <v>13662</v>
      </c>
      <c r="CN38" s="100">
        <v>10</v>
      </c>
      <c r="CO38" s="100">
        <v>12420</v>
      </c>
      <c r="CP38" s="100">
        <v>13</v>
      </c>
      <c r="CQ38" s="100">
        <v>16146</v>
      </c>
      <c r="CR38" s="100">
        <v>17</v>
      </c>
      <c r="CS38" s="100">
        <v>21114</v>
      </c>
      <c r="CT38" s="100">
        <v>19</v>
      </c>
      <c r="CU38" s="100">
        <v>23598</v>
      </c>
    </row>
    <row r="39" spans="2:99">
      <c r="C39" s="99" t="s">
        <v>205</v>
      </c>
      <c r="D39" s="100">
        <v>11</v>
      </c>
      <c r="E39" s="100">
        <v>15655.2</v>
      </c>
      <c r="F39" s="100">
        <v>10</v>
      </c>
      <c r="G39" s="100">
        <v>14232</v>
      </c>
      <c r="H39" s="100">
        <v>9</v>
      </c>
      <c r="I39" s="100">
        <v>12808.800000000001</v>
      </c>
      <c r="J39" s="100">
        <v>0.23463709888449866</v>
      </c>
      <c r="K39" s="100">
        <v>333.93551913241851</v>
      </c>
      <c r="L39" s="100">
        <v>13</v>
      </c>
      <c r="M39" s="100">
        <v>18501.600000000002</v>
      </c>
      <c r="N39" s="100">
        <v>14</v>
      </c>
      <c r="O39" s="100">
        <v>19924.8</v>
      </c>
      <c r="P39" s="100">
        <v>16</v>
      </c>
      <c r="Q39" s="100">
        <v>22771.200000000001</v>
      </c>
      <c r="R39" s="100">
        <v>5.5760091897848527</v>
      </c>
      <c r="S39" s="100">
        <v>7935.7762789018025</v>
      </c>
      <c r="T39" s="100">
        <v>7.7717986098068659</v>
      </c>
      <c r="U39" s="100">
        <v>11060.823781477131</v>
      </c>
      <c r="V39" s="100">
        <v>7.3927621046265735</v>
      </c>
      <c r="W39" s="100">
        <v>10521.37902730454</v>
      </c>
      <c r="X39" s="100">
        <v>7.7572870571782717</v>
      </c>
      <c r="Y39" s="100">
        <v>11040.170939776117</v>
      </c>
      <c r="Z39" s="100">
        <v>8.2820108726696855</v>
      </c>
      <c r="AA39" s="100">
        <v>11786.957873983496</v>
      </c>
      <c r="AB39" s="100">
        <v>10</v>
      </c>
      <c r="AC39" s="100">
        <v>14232</v>
      </c>
      <c r="AD39" s="100">
        <v>13</v>
      </c>
      <c r="AE39" s="100">
        <v>18501.600000000002</v>
      </c>
      <c r="AF39" s="100">
        <v>13.272939065061873</v>
      </c>
      <c r="AG39" s="100">
        <v>18890.04687739606</v>
      </c>
      <c r="AH39" s="100">
        <v>15</v>
      </c>
      <c r="AI39" s="100">
        <v>21348</v>
      </c>
      <c r="AJ39" s="100">
        <v>7.9886730300227002</v>
      </c>
      <c r="AK39" s="100">
        <v>11369.479456328307</v>
      </c>
      <c r="AL39" s="100">
        <v>12.219761856560464</v>
      </c>
      <c r="AM39" s="100">
        <v>17391.165074256853</v>
      </c>
      <c r="AN39" s="100">
        <v>13.677146619148747</v>
      </c>
      <c r="AO39" s="100">
        <v>19465.315068372496</v>
      </c>
      <c r="AP39" s="100">
        <v>6.038452464190625</v>
      </c>
      <c r="AQ39" s="100">
        <v>8593.9255470360986</v>
      </c>
      <c r="AR39" s="100">
        <v>11</v>
      </c>
      <c r="AS39" s="100">
        <v>15655.2</v>
      </c>
      <c r="AT39" s="100">
        <v>13.295876476071754</v>
      </c>
      <c r="AU39" s="100">
        <v>18922.69140074532</v>
      </c>
      <c r="AV39" s="100">
        <v>13.228344516732689</v>
      </c>
      <c r="AW39" s="100">
        <v>18826.579916213963</v>
      </c>
      <c r="AX39" s="100">
        <v>8.9464370692379642</v>
      </c>
      <c r="AY39" s="100">
        <v>12732.569236939471</v>
      </c>
      <c r="AZ39" s="100">
        <v>14</v>
      </c>
      <c r="BA39" s="100">
        <v>19924.8</v>
      </c>
      <c r="BB39" s="100">
        <v>13.346822683073142</v>
      </c>
      <c r="BC39" s="100">
        <v>18995.198042549699</v>
      </c>
      <c r="BD39" s="100">
        <v>8.599779299043945</v>
      </c>
      <c r="BE39" s="100">
        <v>12239.205898399343</v>
      </c>
      <c r="BF39" s="100">
        <v>9.7962005087148576</v>
      </c>
      <c r="BG39" s="100">
        <v>13941.952564002986</v>
      </c>
      <c r="BH39" s="100">
        <v>10</v>
      </c>
      <c r="BI39" s="100">
        <v>14232</v>
      </c>
      <c r="BJ39" s="100">
        <v>9</v>
      </c>
      <c r="BK39" s="100">
        <v>12808.800000000001</v>
      </c>
      <c r="BL39" s="100">
        <v>12</v>
      </c>
      <c r="BM39" s="100">
        <v>17078.400000000001</v>
      </c>
      <c r="BN39" s="100">
        <v>20</v>
      </c>
      <c r="BO39" s="100">
        <v>28464</v>
      </c>
      <c r="BP39" s="100">
        <v>18</v>
      </c>
      <c r="BQ39" s="100">
        <v>25617.600000000002</v>
      </c>
      <c r="BR39" s="100">
        <v>15</v>
      </c>
      <c r="BS39" s="100">
        <v>21348</v>
      </c>
      <c r="BT39" s="100">
        <v>12</v>
      </c>
      <c r="BU39" s="100">
        <v>17078.400000000001</v>
      </c>
      <c r="BV39" s="100">
        <v>16</v>
      </c>
      <c r="BW39" s="100">
        <v>22771.200000000001</v>
      </c>
      <c r="BX39" s="100">
        <v>17</v>
      </c>
      <c r="BY39" s="100">
        <v>24194.400000000001</v>
      </c>
      <c r="BZ39" s="100">
        <v>13</v>
      </c>
      <c r="CA39" s="100">
        <v>18501.600000000002</v>
      </c>
      <c r="CB39" s="100">
        <v>17</v>
      </c>
      <c r="CC39" s="100">
        <v>24194.400000000001</v>
      </c>
      <c r="CD39" s="100">
        <v>15</v>
      </c>
      <c r="CE39" s="100">
        <v>21348</v>
      </c>
      <c r="CF39" s="100">
        <v>9</v>
      </c>
      <c r="CG39" s="100">
        <v>12808.800000000001</v>
      </c>
      <c r="CH39" s="100">
        <v>10</v>
      </c>
      <c r="CI39" s="100">
        <v>14232</v>
      </c>
      <c r="CJ39" s="100">
        <v>11</v>
      </c>
      <c r="CK39" s="100">
        <v>15655.2</v>
      </c>
      <c r="CL39" s="100">
        <v>13</v>
      </c>
      <c r="CM39" s="100">
        <v>18501.600000000002</v>
      </c>
      <c r="CN39" s="100">
        <v>10</v>
      </c>
      <c r="CO39" s="100">
        <v>14232</v>
      </c>
      <c r="CP39" s="100">
        <v>12</v>
      </c>
      <c r="CQ39" s="100">
        <v>17078.400000000001</v>
      </c>
      <c r="CR39" s="100">
        <v>16</v>
      </c>
      <c r="CS39" s="100">
        <v>22771.200000000001</v>
      </c>
      <c r="CT39" s="100">
        <v>19</v>
      </c>
      <c r="CU39" s="100">
        <v>27040.799999999999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12</v>
      </c>
      <c r="G40" s="100">
        <v>8697.5999999999985</v>
      </c>
      <c r="H40" s="100">
        <v>10</v>
      </c>
      <c r="I40" s="100">
        <v>7248</v>
      </c>
      <c r="J40" s="100">
        <v>0.21658809127799875</v>
      </c>
      <c r="K40" s="100">
        <v>156.98304855829349</v>
      </c>
      <c r="L40" s="100">
        <v>14</v>
      </c>
      <c r="M40" s="100">
        <v>10147.199999999999</v>
      </c>
      <c r="N40" s="100">
        <v>14</v>
      </c>
      <c r="O40" s="100">
        <v>10147.199999999999</v>
      </c>
      <c r="P40" s="100">
        <v>18</v>
      </c>
      <c r="Q40" s="100">
        <v>13046.4</v>
      </c>
      <c r="R40" s="100">
        <v>5.9245097641464062</v>
      </c>
      <c r="S40" s="100">
        <v>4294.0846770533153</v>
      </c>
      <c r="T40" s="100">
        <v>9.1432924821257231</v>
      </c>
      <c r="U40" s="100">
        <v>6627.058391044724</v>
      </c>
      <c r="V40" s="100">
        <v>7.3927621046265735</v>
      </c>
      <c r="W40" s="100">
        <v>5358.27397343334</v>
      </c>
      <c r="X40" s="100">
        <v>8.7269479393255551</v>
      </c>
      <c r="Y40" s="100">
        <v>6325.291866423162</v>
      </c>
      <c r="Z40" s="100">
        <v>8.2820108726696855</v>
      </c>
      <c r="AA40" s="100">
        <v>6002.8014805109879</v>
      </c>
      <c r="AB40" s="100">
        <v>10</v>
      </c>
      <c r="AC40" s="100">
        <v>7248</v>
      </c>
      <c r="AD40" s="100">
        <v>12</v>
      </c>
      <c r="AE40" s="100">
        <v>8697.5999999999985</v>
      </c>
      <c r="AF40" s="100">
        <v>16.812389482411707</v>
      </c>
      <c r="AG40" s="100">
        <v>12185.619896852004</v>
      </c>
      <c r="AH40" s="100">
        <v>16</v>
      </c>
      <c r="AI40" s="100">
        <v>11596.8</v>
      </c>
      <c r="AJ40" s="100">
        <v>9.7639337033610776</v>
      </c>
      <c r="AK40" s="100">
        <v>7076.8991481961084</v>
      </c>
      <c r="AL40" s="100">
        <v>12.983496972595491</v>
      </c>
      <c r="AM40" s="100">
        <v>9410.4386057372121</v>
      </c>
      <c r="AN40" s="100">
        <v>14.396996441209209</v>
      </c>
      <c r="AO40" s="100">
        <v>10434.943020588435</v>
      </c>
      <c r="AP40" s="100">
        <v>7.3803307895663188</v>
      </c>
      <c r="AQ40" s="100">
        <v>5349.2637562776672</v>
      </c>
      <c r="AR40" s="100">
        <v>12</v>
      </c>
      <c r="AS40" s="100">
        <v>8697.5999999999985</v>
      </c>
      <c r="AT40" s="100">
        <v>13.295876476071754</v>
      </c>
      <c r="AU40" s="100">
        <v>9636.8512698568065</v>
      </c>
      <c r="AV40" s="100">
        <v>14.055116049028481</v>
      </c>
      <c r="AW40" s="100">
        <v>10187.148112335843</v>
      </c>
      <c r="AX40" s="100">
        <v>10.573061990917594</v>
      </c>
      <c r="AY40" s="100">
        <v>7663.3553310170719</v>
      </c>
      <c r="AZ40" s="100">
        <v>16</v>
      </c>
      <c r="BA40" s="100">
        <v>11596.8</v>
      </c>
      <c r="BB40" s="100">
        <v>15.253511637797878</v>
      </c>
      <c r="BC40" s="100">
        <v>11055.745235075901</v>
      </c>
      <c r="BD40" s="100">
        <v>10.510841365498154</v>
      </c>
      <c r="BE40" s="100">
        <v>7618.2578217130613</v>
      </c>
      <c r="BF40" s="100">
        <v>11.755440610457828</v>
      </c>
      <c r="BG40" s="100">
        <v>8520.3433544598338</v>
      </c>
      <c r="BH40" s="100">
        <v>12</v>
      </c>
      <c r="BI40" s="100">
        <v>8697.5999999999985</v>
      </c>
      <c r="BJ40" s="100">
        <v>9</v>
      </c>
      <c r="BK40" s="100">
        <v>6523.2</v>
      </c>
      <c r="BL40" s="100">
        <v>14</v>
      </c>
      <c r="BM40" s="100">
        <v>10147.199999999999</v>
      </c>
      <c r="BN40" s="100">
        <v>20</v>
      </c>
      <c r="BO40" s="100">
        <v>14496</v>
      </c>
      <c r="BP40" s="100">
        <v>16</v>
      </c>
      <c r="BQ40" s="100">
        <v>11596.8</v>
      </c>
      <c r="BR40" s="100">
        <v>16</v>
      </c>
      <c r="BS40" s="100">
        <v>11596.8</v>
      </c>
      <c r="BT40" s="100">
        <v>12</v>
      </c>
      <c r="BU40" s="100">
        <v>8697.5999999999985</v>
      </c>
      <c r="BV40" s="100">
        <v>16</v>
      </c>
      <c r="BW40" s="100">
        <v>11596.8</v>
      </c>
      <c r="BX40" s="100">
        <v>18</v>
      </c>
      <c r="BY40" s="100">
        <v>13046.4</v>
      </c>
      <c r="BZ40" s="100">
        <v>14</v>
      </c>
      <c r="CA40" s="100">
        <v>10147.199999999999</v>
      </c>
      <c r="CB40" s="100">
        <v>20</v>
      </c>
      <c r="CC40" s="100">
        <v>14496</v>
      </c>
      <c r="CD40" s="100">
        <v>18</v>
      </c>
      <c r="CE40" s="100">
        <v>13046.4</v>
      </c>
      <c r="CF40" s="100">
        <v>10</v>
      </c>
      <c r="CG40" s="100">
        <v>7248</v>
      </c>
      <c r="CH40" s="100">
        <v>11</v>
      </c>
      <c r="CI40" s="100">
        <v>7972.7999999999993</v>
      </c>
      <c r="CJ40" s="100">
        <v>12</v>
      </c>
      <c r="CK40" s="100">
        <v>8697.5999999999985</v>
      </c>
      <c r="CL40" s="100">
        <v>13</v>
      </c>
      <c r="CM40" s="100">
        <v>9422.4</v>
      </c>
      <c r="CN40" s="100">
        <v>12</v>
      </c>
      <c r="CO40" s="100">
        <v>8697.5999999999985</v>
      </c>
      <c r="CP40" s="100">
        <v>13</v>
      </c>
      <c r="CQ40" s="100">
        <v>9422.4</v>
      </c>
      <c r="CR40" s="100">
        <v>20</v>
      </c>
      <c r="CS40" s="100">
        <v>14496</v>
      </c>
      <c r="CT40" s="100">
        <v>17</v>
      </c>
      <c r="CU40" s="100">
        <v>12321.599999999999</v>
      </c>
    </row>
    <row r="41" spans="2:99">
      <c r="C41" s="99" t="s">
        <v>207</v>
      </c>
      <c r="D41" s="100">
        <v>12</v>
      </c>
      <c r="E41" s="100">
        <v>7920</v>
      </c>
      <c r="F41" s="100">
        <v>12</v>
      </c>
      <c r="G41" s="100">
        <v>7920</v>
      </c>
      <c r="H41" s="100">
        <v>11</v>
      </c>
      <c r="I41" s="100">
        <v>7260</v>
      </c>
      <c r="J41" s="100">
        <v>0.21658809127799875</v>
      </c>
      <c r="K41" s="100">
        <v>142.94814024347917</v>
      </c>
      <c r="L41" s="100">
        <v>16</v>
      </c>
      <c r="M41" s="100">
        <v>10560</v>
      </c>
      <c r="N41" s="100">
        <v>15</v>
      </c>
      <c r="O41" s="100">
        <v>9900</v>
      </c>
      <c r="P41" s="100">
        <v>17</v>
      </c>
      <c r="Q41" s="100">
        <v>11220</v>
      </c>
      <c r="R41" s="100">
        <v>5.9245097641464062</v>
      </c>
      <c r="S41" s="100">
        <v>3910.1764443366283</v>
      </c>
      <c r="T41" s="100">
        <v>9.1432924821257231</v>
      </c>
      <c r="U41" s="100">
        <v>6034.5730382029769</v>
      </c>
      <c r="V41" s="100">
        <v>8.0648313868653538</v>
      </c>
      <c r="W41" s="100">
        <v>5322.788715331134</v>
      </c>
      <c r="X41" s="100">
        <v>8.7269479393255551</v>
      </c>
      <c r="Y41" s="100">
        <v>5759.7856399548664</v>
      </c>
      <c r="Z41" s="100">
        <v>8.7996365522115401</v>
      </c>
      <c r="AA41" s="100">
        <v>5807.7601244596162</v>
      </c>
      <c r="AB41" s="100">
        <v>11</v>
      </c>
      <c r="AC41" s="100">
        <v>7260</v>
      </c>
      <c r="AD41" s="100">
        <v>12</v>
      </c>
      <c r="AE41" s="100">
        <v>7920</v>
      </c>
      <c r="AF41" s="100">
        <v>16.812389482411707</v>
      </c>
      <c r="AG41" s="100">
        <v>11096.177058391726</v>
      </c>
      <c r="AH41" s="100">
        <v>17</v>
      </c>
      <c r="AI41" s="100">
        <v>11220</v>
      </c>
      <c r="AJ41" s="100">
        <v>8.8763033666918894</v>
      </c>
      <c r="AK41" s="100">
        <v>5858.3602220166467</v>
      </c>
      <c r="AL41" s="100">
        <v>11.456026740525434</v>
      </c>
      <c r="AM41" s="100">
        <v>7560.9776487467871</v>
      </c>
      <c r="AN41" s="100">
        <v>14.396996441209209</v>
      </c>
      <c r="AO41" s="100">
        <v>9502.017651198079</v>
      </c>
      <c r="AP41" s="100">
        <v>7.3803307895663188</v>
      </c>
      <c r="AQ41" s="100">
        <v>4871.0183211137701</v>
      </c>
      <c r="AR41" s="100">
        <v>13</v>
      </c>
      <c r="AS41" s="100">
        <v>8580</v>
      </c>
      <c r="AT41" s="100">
        <v>14.957861035580725</v>
      </c>
      <c r="AU41" s="100">
        <v>9872.1882834832795</v>
      </c>
      <c r="AV41" s="100">
        <v>14.055116049028481</v>
      </c>
      <c r="AW41" s="100">
        <v>9276.376592358798</v>
      </c>
      <c r="AX41" s="100">
        <v>10.573061990917594</v>
      </c>
      <c r="AY41" s="100">
        <v>6978.220914005612</v>
      </c>
      <c r="AZ41" s="100">
        <v>14</v>
      </c>
      <c r="BA41" s="100">
        <v>9240</v>
      </c>
      <c r="BB41" s="100">
        <v>14.30016716043551</v>
      </c>
      <c r="BC41" s="100">
        <v>9438.1103258874373</v>
      </c>
      <c r="BD41" s="100">
        <v>10.510841365498154</v>
      </c>
      <c r="BE41" s="100">
        <v>6937.1553012287814</v>
      </c>
      <c r="BF41" s="100">
        <v>11.755440610457828</v>
      </c>
      <c r="BG41" s="100">
        <v>7758.5908029021666</v>
      </c>
      <c r="BH41" s="100">
        <v>12</v>
      </c>
      <c r="BI41" s="100">
        <v>7920</v>
      </c>
      <c r="BJ41" s="100">
        <v>10</v>
      </c>
      <c r="BK41" s="100">
        <v>6600</v>
      </c>
      <c r="BL41" s="100">
        <v>14</v>
      </c>
      <c r="BM41" s="100">
        <v>9240</v>
      </c>
      <c r="BN41" s="100">
        <v>21</v>
      </c>
      <c r="BO41" s="100">
        <v>13860</v>
      </c>
      <c r="BP41" s="100">
        <v>16</v>
      </c>
      <c r="BQ41" s="100">
        <v>10560</v>
      </c>
      <c r="BR41" s="100">
        <v>17</v>
      </c>
      <c r="BS41" s="100">
        <v>11220</v>
      </c>
      <c r="BT41" s="100">
        <v>12</v>
      </c>
      <c r="BU41" s="100">
        <v>7920</v>
      </c>
      <c r="BV41" s="100">
        <v>17</v>
      </c>
      <c r="BW41" s="100">
        <v>11220</v>
      </c>
      <c r="BX41" s="100">
        <v>17</v>
      </c>
      <c r="BY41" s="100">
        <v>11220</v>
      </c>
      <c r="BZ41" s="100">
        <v>15</v>
      </c>
      <c r="CA41" s="100">
        <v>9900</v>
      </c>
      <c r="CB41" s="100">
        <v>21</v>
      </c>
      <c r="CC41" s="100">
        <v>13860</v>
      </c>
      <c r="CD41" s="100">
        <v>19</v>
      </c>
      <c r="CE41" s="100">
        <v>12540</v>
      </c>
      <c r="CF41" s="100">
        <v>10</v>
      </c>
      <c r="CG41" s="100">
        <v>6600</v>
      </c>
      <c r="CH41" s="100">
        <v>11</v>
      </c>
      <c r="CI41" s="100">
        <v>7260</v>
      </c>
      <c r="CJ41" s="100">
        <v>12</v>
      </c>
      <c r="CK41" s="100">
        <v>7920</v>
      </c>
      <c r="CL41" s="100">
        <v>14</v>
      </c>
      <c r="CM41" s="100">
        <v>9240</v>
      </c>
      <c r="CN41" s="100">
        <v>11</v>
      </c>
      <c r="CO41" s="100">
        <v>7260</v>
      </c>
      <c r="CP41" s="100">
        <v>12</v>
      </c>
      <c r="CQ41" s="100">
        <v>7920</v>
      </c>
      <c r="CR41" s="100">
        <v>20</v>
      </c>
      <c r="CS41" s="100">
        <v>13200</v>
      </c>
      <c r="CT41" s="100">
        <v>19</v>
      </c>
      <c r="CU41" s="100">
        <v>12540</v>
      </c>
    </row>
    <row r="42" spans="2:99">
      <c r="C42" s="99" t="s">
        <v>208</v>
      </c>
      <c r="D42" s="100">
        <v>11</v>
      </c>
      <c r="E42" s="100">
        <v>9306</v>
      </c>
      <c r="F42" s="100">
        <v>12</v>
      </c>
      <c r="G42" s="100">
        <v>10152</v>
      </c>
      <c r="H42" s="100">
        <v>10</v>
      </c>
      <c r="I42" s="100">
        <v>8460</v>
      </c>
      <c r="J42" s="100">
        <v>0.23463709888449866</v>
      </c>
      <c r="K42" s="100">
        <v>198.50298565628586</v>
      </c>
      <c r="L42" s="100">
        <v>16</v>
      </c>
      <c r="M42" s="100">
        <v>13536</v>
      </c>
      <c r="N42" s="100">
        <v>15</v>
      </c>
      <c r="O42" s="100">
        <v>12690</v>
      </c>
      <c r="P42" s="100">
        <v>16</v>
      </c>
      <c r="Q42" s="100">
        <v>13536</v>
      </c>
      <c r="R42" s="100">
        <v>6.621510912869514</v>
      </c>
      <c r="S42" s="100">
        <v>5601.7982322876087</v>
      </c>
      <c r="T42" s="100">
        <v>8.6861278580194377</v>
      </c>
      <c r="U42" s="100">
        <v>7348.4641678844446</v>
      </c>
      <c r="V42" s="100">
        <v>7.3927621046265735</v>
      </c>
      <c r="W42" s="100">
        <v>6254.2767405140812</v>
      </c>
      <c r="X42" s="100">
        <v>9.6966088214728394</v>
      </c>
      <c r="Y42" s="100">
        <v>8203.3310629660227</v>
      </c>
      <c r="Z42" s="100">
        <v>9.3172622317533964</v>
      </c>
      <c r="AA42" s="100">
        <v>7882.4038480633735</v>
      </c>
      <c r="AB42" s="100">
        <v>11</v>
      </c>
      <c r="AC42" s="100">
        <v>9306</v>
      </c>
      <c r="AD42" s="100">
        <v>13</v>
      </c>
      <c r="AE42" s="100">
        <v>10998</v>
      </c>
      <c r="AF42" s="100">
        <v>14.157801669399333</v>
      </c>
      <c r="AG42" s="100">
        <v>11977.500212311836</v>
      </c>
      <c r="AH42" s="100">
        <v>16</v>
      </c>
      <c r="AI42" s="100">
        <v>13536</v>
      </c>
      <c r="AJ42" s="100">
        <v>8.8763033666918894</v>
      </c>
      <c r="AK42" s="100">
        <v>7509.3526482213383</v>
      </c>
      <c r="AL42" s="100">
        <v>11.456026740525434</v>
      </c>
      <c r="AM42" s="100">
        <v>9691.7986224845172</v>
      </c>
      <c r="AN42" s="100">
        <v>12.237446975027828</v>
      </c>
      <c r="AO42" s="100">
        <v>10352.880140873542</v>
      </c>
      <c r="AP42" s="100">
        <v>6.7093916268784719</v>
      </c>
      <c r="AQ42" s="100">
        <v>5676.145316339187</v>
      </c>
      <c r="AR42" s="100">
        <v>13</v>
      </c>
      <c r="AS42" s="100">
        <v>10998</v>
      </c>
      <c r="AT42" s="100">
        <v>14.957861035580725</v>
      </c>
      <c r="AU42" s="100">
        <v>12654.350436101293</v>
      </c>
      <c r="AV42" s="100">
        <v>14.055116049028481</v>
      </c>
      <c r="AW42" s="100">
        <v>11890.628177478095</v>
      </c>
      <c r="AX42" s="100">
        <v>9.7597495300777783</v>
      </c>
      <c r="AY42" s="100">
        <v>8256.7481024458011</v>
      </c>
      <c r="AZ42" s="100">
        <v>16</v>
      </c>
      <c r="BA42" s="100">
        <v>13536</v>
      </c>
      <c r="BB42" s="100">
        <v>15.253511637797878</v>
      </c>
      <c r="BC42" s="100">
        <v>12904.470845577005</v>
      </c>
      <c r="BD42" s="100">
        <v>10.510841365498154</v>
      </c>
      <c r="BE42" s="100">
        <v>8892.1717952114377</v>
      </c>
      <c r="BF42" s="100">
        <v>11.755440610457828</v>
      </c>
      <c r="BG42" s="100">
        <v>9945.1027564473225</v>
      </c>
      <c r="BH42" s="100">
        <v>10</v>
      </c>
      <c r="BI42" s="100">
        <v>8460</v>
      </c>
      <c r="BJ42" s="100">
        <v>10</v>
      </c>
      <c r="BK42" s="100">
        <v>8460</v>
      </c>
      <c r="BL42" s="100">
        <v>14</v>
      </c>
      <c r="BM42" s="100">
        <v>11844</v>
      </c>
      <c r="BN42" s="100">
        <v>21</v>
      </c>
      <c r="BO42" s="100">
        <v>17766</v>
      </c>
      <c r="BP42" s="100">
        <v>18</v>
      </c>
      <c r="BQ42" s="100">
        <v>15228</v>
      </c>
      <c r="BR42" s="100">
        <v>15</v>
      </c>
      <c r="BS42" s="100">
        <v>12690</v>
      </c>
      <c r="BT42" s="100">
        <v>11</v>
      </c>
      <c r="BU42" s="100">
        <v>9306</v>
      </c>
      <c r="BV42" s="100">
        <v>15</v>
      </c>
      <c r="BW42" s="100">
        <v>12690</v>
      </c>
      <c r="BX42" s="100">
        <v>18</v>
      </c>
      <c r="BY42" s="100">
        <v>15228</v>
      </c>
      <c r="BZ42" s="100">
        <v>14</v>
      </c>
      <c r="CA42" s="100">
        <v>11844</v>
      </c>
      <c r="CB42" s="100">
        <v>20</v>
      </c>
      <c r="CC42" s="100">
        <v>16920</v>
      </c>
      <c r="CD42" s="100">
        <v>17</v>
      </c>
      <c r="CE42" s="100">
        <v>14382</v>
      </c>
      <c r="CF42" s="100">
        <v>11</v>
      </c>
      <c r="CG42" s="100">
        <v>9306</v>
      </c>
      <c r="CH42" s="100">
        <v>12</v>
      </c>
      <c r="CI42" s="100">
        <v>10152</v>
      </c>
      <c r="CJ42" s="100">
        <v>12</v>
      </c>
      <c r="CK42" s="100">
        <v>10152</v>
      </c>
      <c r="CL42" s="100">
        <v>11</v>
      </c>
      <c r="CM42" s="100">
        <v>9306</v>
      </c>
      <c r="CN42" s="100">
        <v>11</v>
      </c>
      <c r="CO42" s="100">
        <v>9306</v>
      </c>
      <c r="CP42" s="100">
        <v>12</v>
      </c>
      <c r="CQ42" s="100">
        <v>10152</v>
      </c>
      <c r="CR42" s="100">
        <v>19</v>
      </c>
      <c r="CS42" s="100">
        <v>16074</v>
      </c>
      <c r="CT42" s="100">
        <v>19</v>
      </c>
      <c r="CU42" s="100">
        <v>16074</v>
      </c>
    </row>
    <row r="43" spans="2:99">
      <c r="C43" s="99" t="s">
        <v>209</v>
      </c>
      <c r="D43" s="100">
        <v>11</v>
      </c>
      <c r="E43" s="100">
        <v>11246.4</v>
      </c>
      <c r="F43" s="100">
        <v>11</v>
      </c>
      <c r="G43" s="100">
        <v>11246.4</v>
      </c>
      <c r="H43" s="100">
        <v>11</v>
      </c>
      <c r="I43" s="100">
        <v>11246.4</v>
      </c>
      <c r="J43" s="100">
        <v>0.23463709888449866</v>
      </c>
      <c r="K43" s="100">
        <v>239.89296989951143</v>
      </c>
      <c r="L43" s="100">
        <v>14</v>
      </c>
      <c r="M43" s="100">
        <v>14313.6</v>
      </c>
      <c r="N43" s="100">
        <v>13</v>
      </c>
      <c r="O43" s="100">
        <v>13291.199999999999</v>
      </c>
      <c r="P43" s="100">
        <v>15</v>
      </c>
      <c r="Q43" s="100">
        <v>15336</v>
      </c>
      <c r="R43" s="100">
        <v>5.9245097641464062</v>
      </c>
      <c r="S43" s="100">
        <v>6057.2187828632859</v>
      </c>
      <c r="T43" s="100">
        <v>8.6861278580194377</v>
      </c>
      <c r="U43" s="100">
        <v>8880.6971220390733</v>
      </c>
      <c r="V43" s="100">
        <v>8.0648313868653538</v>
      </c>
      <c r="W43" s="100">
        <v>8245.4836099311378</v>
      </c>
      <c r="X43" s="100">
        <v>9.6966088214728394</v>
      </c>
      <c r="Y43" s="100">
        <v>9913.8128590738306</v>
      </c>
      <c r="Z43" s="100">
        <v>7.76438519312783</v>
      </c>
      <c r="AA43" s="100">
        <v>7938.3074214538929</v>
      </c>
      <c r="AB43" s="100">
        <v>11</v>
      </c>
      <c r="AC43" s="100">
        <v>11246.4</v>
      </c>
      <c r="AD43" s="100">
        <v>12</v>
      </c>
      <c r="AE43" s="100">
        <v>12268.8</v>
      </c>
      <c r="AF43" s="100">
        <v>14.157801669399333</v>
      </c>
      <c r="AG43" s="100">
        <v>14474.936426793878</v>
      </c>
      <c r="AH43" s="100">
        <v>17</v>
      </c>
      <c r="AI43" s="100">
        <v>17380.8</v>
      </c>
      <c r="AJ43" s="100">
        <v>8.8763033666918894</v>
      </c>
      <c r="AK43" s="100">
        <v>9075.1325621057877</v>
      </c>
      <c r="AL43" s="100">
        <v>12.983496972595491</v>
      </c>
      <c r="AM43" s="100">
        <v>13274.327304781629</v>
      </c>
      <c r="AN43" s="100">
        <v>13.677146619148747</v>
      </c>
      <c r="AO43" s="100">
        <v>13983.514703417679</v>
      </c>
      <c r="AP43" s="100">
        <v>6.038452464190625</v>
      </c>
      <c r="AQ43" s="100">
        <v>6173.7137993884944</v>
      </c>
      <c r="AR43" s="100">
        <v>12</v>
      </c>
      <c r="AS43" s="100">
        <v>12268.8</v>
      </c>
      <c r="AT43" s="100">
        <v>13.295876476071754</v>
      </c>
      <c r="AU43" s="100">
        <v>13593.704109135761</v>
      </c>
      <c r="AV43" s="100">
        <v>14.055116049028481</v>
      </c>
      <c r="AW43" s="100">
        <v>14369.950648526719</v>
      </c>
      <c r="AX43" s="100">
        <v>9.7597495300777783</v>
      </c>
      <c r="AY43" s="100">
        <v>9978.3679195515197</v>
      </c>
      <c r="AZ43" s="100">
        <v>16</v>
      </c>
      <c r="BA43" s="100">
        <v>16358.4</v>
      </c>
      <c r="BB43" s="100">
        <v>13.346822683073142</v>
      </c>
      <c r="BC43" s="100">
        <v>13645.79151117398</v>
      </c>
      <c r="BD43" s="100">
        <v>10.510841365498154</v>
      </c>
      <c r="BE43" s="100">
        <v>10746.284212085313</v>
      </c>
      <c r="BF43" s="100">
        <v>12.735060661329316</v>
      </c>
      <c r="BG43" s="100">
        <v>13020.326020143091</v>
      </c>
      <c r="BH43" s="100">
        <v>10</v>
      </c>
      <c r="BI43" s="100">
        <v>10224</v>
      </c>
      <c r="BJ43" s="100">
        <v>10</v>
      </c>
      <c r="BK43" s="100">
        <v>10224</v>
      </c>
      <c r="BL43" s="100">
        <v>15</v>
      </c>
      <c r="BM43" s="100">
        <v>15336</v>
      </c>
      <c r="BN43" s="100">
        <v>20</v>
      </c>
      <c r="BO43" s="100">
        <v>20448</v>
      </c>
      <c r="BP43" s="100">
        <v>16</v>
      </c>
      <c r="BQ43" s="100">
        <v>16358.4</v>
      </c>
      <c r="BR43" s="100">
        <v>15</v>
      </c>
      <c r="BS43" s="100">
        <v>15336</v>
      </c>
      <c r="BT43" s="100">
        <v>12</v>
      </c>
      <c r="BU43" s="100">
        <v>12268.8</v>
      </c>
      <c r="BV43" s="100">
        <v>15</v>
      </c>
      <c r="BW43" s="100">
        <v>15336</v>
      </c>
      <c r="BX43" s="100">
        <v>17</v>
      </c>
      <c r="BY43" s="100">
        <v>17380.8</v>
      </c>
      <c r="BZ43" s="100">
        <v>14</v>
      </c>
      <c r="CA43" s="100">
        <v>14313.6</v>
      </c>
      <c r="CB43" s="100">
        <v>18</v>
      </c>
      <c r="CC43" s="100">
        <v>18403.2</v>
      </c>
      <c r="CD43" s="100">
        <v>18</v>
      </c>
      <c r="CE43" s="100">
        <v>18403.2</v>
      </c>
      <c r="CF43" s="100">
        <v>11</v>
      </c>
      <c r="CG43" s="100">
        <v>11246.4</v>
      </c>
      <c r="CH43" s="100">
        <v>11</v>
      </c>
      <c r="CI43" s="100">
        <v>11246.4</v>
      </c>
      <c r="CJ43" s="100">
        <v>11</v>
      </c>
      <c r="CK43" s="100">
        <v>11246.4</v>
      </c>
      <c r="CL43" s="100">
        <v>14</v>
      </c>
      <c r="CM43" s="100">
        <v>14313.6</v>
      </c>
      <c r="CN43" s="100">
        <v>10</v>
      </c>
      <c r="CO43" s="100">
        <v>10224</v>
      </c>
      <c r="CP43" s="100">
        <v>12</v>
      </c>
      <c r="CQ43" s="100">
        <v>12268.8</v>
      </c>
      <c r="CR43" s="100">
        <v>17</v>
      </c>
      <c r="CS43" s="100">
        <v>17380.8</v>
      </c>
      <c r="CT43" s="100">
        <v>17</v>
      </c>
      <c r="CU43" s="100">
        <v>17380.8</v>
      </c>
    </row>
    <row r="44" spans="2:99">
      <c r="C44" s="99" t="s">
        <v>210</v>
      </c>
      <c r="D44" s="100">
        <v>11</v>
      </c>
      <c r="E44" s="100">
        <v>11246.4</v>
      </c>
      <c r="F44" s="100">
        <v>12</v>
      </c>
      <c r="G44" s="100">
        <v>12268.8</v>
      </c>
      <c r="H44" s="100">
        <v>10</v>
      </c>
      <c r="I44" s="100">
        <v>10224</v>
      </c>
      <c r="J44" s="100">
        <v>0.23463709888449866</v>
      </c>
      <c r="K44" s="100">
        <v>239.89296989951143</v>
      </c>
      <c r="L44" s="100">
        <v>15</v>
      </c>
      <c r="M44" s="100">
        <v>15336</v>
      </c>
      <c r="N44" s="100">
        <v>13</v>
      </c>
      <c r="O44" s="100">
        <v>13291.199999999999</v>
      </c>
      <c r="P44" s="100">
        <v>16</v>
      </c>
      <c r="Q44" s="100">
        <v>16358.4</v>
      </c>
      <c r="R44" s="100">
        <v>6.621510912869514</v>
      </c>
      <c r="S44" s="100">
        <v>6769.8327573177912</v>
      </c>
      <c r="T44" s="100">
        <v>8.2289632339131522</v>
      </c>
      <c r="U44" s="100">
        <v>8413.2920103528068</v>
      </c>
      <c r="V44" s="100">
        <v>7.3927621046265735</v>
      </c>
      <c r="W44" s="100">
        <v>7558.3599757702086</v>
      </c>
      <c r="X44" s="100">
        <v>9.6966088214728394</v>
      </c>
      <c r="Y44" s="100">
        <v>9913.8128590738306</v>
      </c>
      <c r="Z44" s="100">
        <v>9.3172622317533964</v>
      </c>
      <c r="AA44" s="100">
        <v>9525.9689057446722</v>
      </c>
      <c r="AB44" s="100">
        <v>10</v>
      </c>
      <c r="AC44" s="100">
        <v>10224</v>
      </c>
      <c r="AD44" s="100">
        <v>12</v>
      </c>
      <c r="AE44" s="100">
        <v>12268.8</v>
      </c>
      <c r="AF44" s="100">
        <v>14.157801669399333</v>
      </c>
      <c r="AG44" s="100">
        <v>14474.936426793878</v>
      </c>
      <c r="AH44" s="100">
        <v>16</v>
      </c>
      <c r="AI44" s="100">
        <v>16358.4</v>
      </c>
      <c r="AJ44" s="100">
        <v>8.8763033666918894</v>
      </c>
      <c r="AK44" s="100">
        <v>9075.1325621057877</v>
      </c>
      <c r="AL44" s="100">
        <v>12.983496972595491</v>
      </c>
      <c r="AM44" s="100">
        <v>13274.327304781629</v>
      </c>
      <c r="AN44" s="100">
        <v>12.957296797088286</v>
      </c>
      <c r="AO44" s="100">
        <v>13247.540245343063</v>
      </c>
      <c r="AP44" s="100">
        <v>6.7093916268784719</v>
      </c>
      <c r="AQ44" s="100">
        <v>6859.6819993205499</v>
      </c>
      <c r="AR44" s="100">
        <v>13</v>
      </c>
      <c r="AS44" s="100">
        <v>13291.199999999999</v>
      </c>
      <c r="AT44" s="100">
        <v>14.957861035580725</v>
      </c>
      <c r="AU44" s="100">
        <v>15292.917122777733</v>
      </c>
      <c r="AV44" s="100">
        <v>14.055116049028481</v>
      </c>
      <c r="AW44" s="100">
        <v>14369.950648526719</v>
      </c>
      <c r="AX44" s="100">
        <v>9.7597495300777783</v>
      </c>
      <c r="AY44" s="100">
        <v>9978.3679195515197</v>
      </c>
      <c r="AZ44" s="100">
        <v>15</v>
      </c>
      <c r="BA44" s="100">
        <v>15336</v>
      </c>
      <c r="BB44" s="100">
        <v>12.393478205710776</v>
      </c>
      <c r="BC44" s="100">
        <v>12671.092117518698</v>
      </c>
      <c r="BD44" s="100">
        <v>9.5553103322710502</v>
      </c>
      <c r="BE44" s="100">
        <v>9769.349283713922</v>
      </c>
      <c r="BF44" s="100">
        <v>11.755440610457828</v>
      </c>
      <c r="BG44" s="100">
        <v>12018.762480132084</v>
      </c>
      <c r="BH44" s="100">
        <v>10</v>
      </c>
      <c r="BI44" s="100">
        <v>10224</v>
      </c>
      <c r="BJ44" s="100">
        <v>9</v>
      </c>
      <c r="BK44" s="100">
        <v>9201.6</v>
      </c>
      <c r="BL44" s="100">
        <v>14</v>
      </c>
      <c r="BM44" s="100">
        <v>14313.6</v>
      </c>
      <c r="BN44" s="100">
        <v>18</v>
      </c>
      <c r="BO44" s="100">
        <v>18403.2</v>
      </c>
      <c r="BP44" s="100">
        <v>16</v>
      </c>
      <c r="BQ44" s="100">
        <v>16358.4</v>
      </c>
      <c r="BR44" s="100">
        <v>14</v>
      </c>
      <c r="BS44" s="100">
        <v>14313.6</v>
      </c>
      <c r="BT44" s="100">
        <v>12</v>
      </c>
      <c r="BU44" s="100">
        <v>12268.8</v>
      </c>
      <c r="BV44" s="100">
        <v>15</v>
      </c>
      <c r="BW44" s="100">
        <v>15336</v>
      </c>
      <c r="BX44" s="100">
        <v>17</v>
      </c>
      <c r="BY44" s="100">
        <v>17380.8</v>
      </c>
      <c r="BZ44" s="100">
        <v>13</v>
      </c>
      <c r="CA44" s="100">
        <v>13291.199999999999</v>
      </c>
      <c r="CB44" s="100">
        <v>20</v>
      </c>
      <c r="CC44" s="100">
        <v>20448</v>
      </c>
      <c r="CD44" s="100">
        <v>17</v>
      </c>
      <c r="CE44" s="100">
        <v>17380.8</v>
      </c>
      <c r="CF44" s="100">
        <v>10</v>
      </c>
      <c r="CG44" s="100">
        <v>10224</v>
      </c>
      <c r="CH44" s="100">
        <v>11</v>
      </c>
      <c r="CI44" s="100">
        <v>11246.4</v>
      </c>
      <c r="CJ44" s="100">
        <v>11</v>
      </c>
      <c r="CK44" s="100">
        <v>11246.4</v>
      </c>
      <c r="CL44" s="100">
        <v>13</v>
      </c>
      <c r="CM44" s="100">
        <v>13291.199999999999</v>
      </c>
      <c r="CN44" s="100">
        <v>10</v>
      </c>
      <c r="CO44" s="100">
        <v>10224</v>
      </c>
      <c r="CP44" s="100">
        <v>12</v>
      </c>
      <c r="CQ44" s="100">
        <v>12268.8</v>
      </c>
      <c r="CR44" s="100">
        <v>17</v>
      </c>
      <c r="CS44" s="100">
        <v>17380.8</v>
      </c>
      <c r="CT44" s="100">
        <v>16</v>
      </c>
      <c r="CU44" s="100">
        <v>16358.4</v>
      </c>
    </row>
    <row r="45" spans="2:99">
      <c r="C45" s="99" t="s">
        <v>211</v>
      </c>
      <c r="D45" s="100">
        <v>10</v>
      </c>
      <c r="E45" s="100">
        <v>12492</v>
      </c>
      <c r="F45" s="100">
        <v>11</v>
      </c>
      <c r="G45" s="100">
        <v>13741.2</v>
      </c>
      <c r="H45" s="100">
        <v>11</v>
      </c>
      <c r="I45" s="100">
        <v>13741.2</v>
      </c>
      <c r="J45" s="100">
        <v>0.23463709888449866</v>
      </c>
      <c r="K45" s="100">
        <v>293.10866392651576</v>
      </c>
      <c r="L45" s="100">
        <v>15</v>
      </c>
      <c r="M45" s="100">
        <v>18738</v>
      </c>
      <c r="N45" s="100">
        <v>14</v>
      </c>
      <c r="O45" s="100">
        <v>17488.8</v>
      </c>
      <c r="P45" s="100">
        <v>16</v>
      </c>
      <c r="Q45" s="100">
        <v>19987.2</v>
      </c>
      <c r="R45" s="100">
        <v>5.9245097641464062</v>
      </c>
      <c r="S45" s="100">
        <v>7400.8975973716906</v>
      </c>
      <c r="T45" s="100">
        <v>7.7717986098068659</v>
      </c>
      <c r="U45" s="100">
        <v>9708.5308233707365</v>
      </c>
      <c r="V45" s="100">
        <v>8.0648313868653538</v>
      </c>
      <c r="W45" s="100">
        <v>10074.587368472201</v>
      </c>
      <c r="X45" s="100">
        <v>8.7269479393255551</v>
      </c>
      <c r="Y45" s="100">
        <v>10901.703365805484</v>
      </c>
      <c r="Z45" s="100">
        <v>8.2820108726696855</v>
      </c>
      <c r="AA45" s="100">
        <v>10345.887982138971</v>
      </c>
      <c r="AB45" s="100">
        <v>10</v>
      </c>
      <c r="AC45" s="100">
        <v>12492</v>
      </c>
      <c r="AD45" s="100">
        <v>12</v>
      </c>
      <c r="AE45" s="100">
        <v>14990.400000000001</v>
      </c>
      <c r="AF45" s="100">
        <v>13.272939065061873</v>
      </c>
      <c r="AG45" s="100">
        <v>16580.555480075294</v>
      </c>
      <c r="AH45" s="100">
        <v>15</v>
      </c>
      <c r="AI45" s="100">
        <v>18738</v>
      </c>
      <c r="AJ45" s="100">
        <v>8.8763033666918894</v>
      </c>
      <c r="AK45" s="100">
        <v>11088.278165671509</v>
      </c>
      <c r="AL45" s="100">
        <v>11.456026740525434</v>
      </c>
      <c r="AM45" s="100">
        <v>14310.868604264373</v>
      </c>
      <c r="AN45" s="100">
        <v>13.677146619148747</v>
      </c>
      <c r="AO45" s="100">
        <v>17085.491556640616</v>
      </c>
      <c r="AP45" s="100">
        <v>6.7093916268784719</v>
      </c>
      <c r="AQ45" s="100">
        <v>8381.3720202965869</v>
      </c>
      <c r="AR45" s="100">
        <v>13</v>
      </c>
      <c r="AS45" s="100">
        <v>16239.6</v>
      </c>
      <c r="AT45" s="100">
        <v>12.464884196317271</v>
      </c>
      <c r="AU45" s="100">
        <v>15571.133338039535</v>
      </c>
      <c r="AV45" s="100">
        <v>12.401572984436894</v>
      </c>
      <c r="AW45" s="100">
        <v>15492.044972158568</v>
      </c>
      <c r="AX45" s="100">
        <v>9.7597495300777783</v>
      </c>
      <c r="AY45" s="100">
        <v>12191.879112973162</v>
      </c>
      <c r="AZ45" s="100">
        <v>14</v>
      </c>
      <c r="BA45" s="100">
        <v>17488.8</v>
      </c>
      <c r="BB45" s="100">
        <v>12.393478205710776</v>
      </c>
      <c r="BC45" s="100">
        <v>15481.932974573903</v>
      </c>
      <c r="BD45" s="100">
        <v>8.599779299043945</v>
      </c>
      <c r="BE45" s="100">
        <v>10742.844300365696</v>
      </c>
      <c r="BF45" s="100">
        <v>11.755440610457828</v>
      </c>
      <c r="BG45" s="100">
        <v>14684.89641058392</v>
      </c>
      <c r="BH45" s="100">
        <v>10</v>
      </c>
      <c r="BI45" s="100">
        <v>12492</v>
      </c>
      <c r="BJ45" s="100">
        <v>10</v>
      </c>
      <c r="BK45" s="100">
        <v>12492</v>
      </c>
      <c r="BL45" s="100">
        <v>13</v>
      </c>
      <c r="BM45" s="100">
        <v>16239.6</v>
      </c>
      <c r="BN45" s="100">
        <v>17</v>
      </c>
      <c r="BO45" s="100">
        <v>21236.400000000001</v>
      </c>
      <c r="BP45" s="100">
        <v>15</v>
      </c>
      <c r="BQ45" s="100">
        <v>18738</v>
      </c>
      <c r="BR45" s="100">
        <v>14</v>
      </c>
      <c r="BS45" s="100">
        <v>17488.8</v>
      </c>
      <c r="BT45" s="100">
        <v>12</v>
      </c>
      <c r="BU45" s="100">
        <v>14990.400000000001</v>
      </c>
      <c r="BV45" s="100">
        <v>15</v>
      </c>
      <c r="BW45" s="100">
        <v>18738</v>
      </c>
      <c r="BX45" s="100">
        <v>15</v>
      </c>
      <c r="BY45" s="100">
        <v>18738</v>
      </c>
      <c r="BZ45" s="100">
        <v>14</v>
      </c>
      <c r="CA45" s="100">
        <v>17488.8</v>
      </c>
      <c r="CB45" s="100">
        <v>18</v>
      </c>
      <c r="CC45" s="100">
        <v>22485.600000000002</v>
      </c>
      <c r="CD45" s="100">
        <v>17</v>
      </c>
      <c r="CE45" s="100">
        <v>21236.400000000001</v>
      </c>
      <c r="CF45" s="100">
        <v>10</v>
      </c>
      <c r="CG45" s="100">
        <v>12492</v>
      </c>
      <c r="CH45" s="100">
        <v>11</v>
      </c>
      <c r="CI45" s="100">
        <v>13741.2</v>
      </c>
      <c r="CJ45" s="100">
        <v>11</v>
      </c>
      <c r="CK45" s="100">
        <v>13741.2</v>
      </c>
      <c r="CL45" s="100">
        <v>11</v>
      </c>
      <c r="CM45" s="100">
        <v>13741.2</v>
      </c>
      <c r="CN45" s="100">
        <v>10</v>
      </c>
      <c r="CO45" s="100">
        <v>12492</v>
      </c>
      <c r="CP45" s="100">
        <v>12</v>
      </c>
      <c r="CQ45" s="100">
        <v>14990.400000000001</v>
      </c>
      <c r="CR45" s="100">
        <v>19</v>
      </c>
      <c r="CS45" s="100">
        <v>23734.799999999999</v>
      </c>
      <c r="CT45" s="100">
        <v>19</v>
      </c>
      <c r="CU45" s="100">
        <v>23734.799999999999</v>
      </c>
    </row>
    <row r="46" spans="2:99">
      <c r="C46" s="99" t="s">
        <v>212</v>
      </c>
      <c r="D46" s="100">
        <v>10</v>
      </c>
      <c r="E46" s="100">
        <v>12120</v>
      </c>
      <c r="F46" s="100">
        <v>10</v>
      </c>
      <c r="G46" s="100">
        <v>12120</v>
      </c>
      <c r="H46" s="100">
        <v>10</v>
      </c>
      <c r="I46" s="100">
        <v>12120</v>
      </c>
      <c r="J46" s="100">
        <v>0.21658809127799875</v>
      </c>
      <c r="K46" s="100">
        <v>262.50476662893448</v>
      </c>
      <c r="L46" s="100">
        <v>13</v>
      </c>
      <c r="M46" s="100">
        <v>15756</v>
      </c>
      <c r="N46" s="100">
        <v>12</v>
      </c>
      <c r="O46" s="100">
        <v>14544</v>
      </c>
      <c r="P46" s="100">
        <v>15</v>
      </c>
      <c r="Q46" s="100">
        <v>18180</v>
      </c>
      <c r="R46" s="100">
        <v>5.5760091897848527</v>
      </c>
      <c r="S46" s="100">
        <v>6758.1231380192412</v>
      </c>
      <c r="T46" s="100">
        <v>7.7717986098068659</v>
      </c>
      <c r="U46" s="100">
        <v>9419.4199150859222</v>
      </c>
      <c r="V46" s="100">
        <v>8.0648313868653538</v>
      </c>
      <c r="W46" s="100">
        <v>9774.5756408808084</v>
      </c>
      <c r="X46" s="100">
        <v>9.6966088214728394</v>
      </c>
      <c r="Y46" s="100">
        <v>11752.289891625082</v>
      </c>
      <c r="Z46" s="100">
        <v>7.76438519312783</v>
      </c>
      <c r="AA46" s="100">
        <v>9410.4348540709307</v>
      </c>
      <c r="AB46" s="100">
        <v>10</v>
      </c>
      <c r="AC46" s="100">
        <v>12120</v>
      </c>
      <c r="AD46" s="100">
        <v>12</v>
      </c>
      <c r="AE46" s="100">
        <v>14544</v>
      </c>
      <c r="AF46" s="100">
        <v>15.04266427373679</v>
      </c>
      <c r="AG46" s="100">
        <v>18231.709099768988</v>
      </c>
      <c r="AH46" s="100">
        <v>16</v>
      </c>
      <c r="AI46" s="100">
        <v>19392</v>
      </c>
      <c r="AJ46" s="100">
        <v>9.7639337033610776</v>
      </c>
      <c r="AK46" s="100">
        <v>11833.887648473627</v>
      </c>
      <c r="AL46" s="100">
        <v>12.219761856560464</v>
      </c>
      <c r="AM46" s="100">
        <v>14810.351370151282</v>
      </c>
      <c r="AN46" s="100">
        <v>13.677146619148747</v>
      </c>
      <c r="AO46" s="100">
        <v>16576.701702408282</v>
      </c>
      <c r="AP46" s="100">
        <v>6.038452464190625</v>
      </c>
      <c r="AQ46" s="100">
        <v>7318.6043865990378</v>
      </c>
      <c r="AR46" s="100">
        <v>11</v>
      </c>
      <c r="AS46" s="100">
        <v>13332</v>
      </c>
      <c r="AT46" s="100">
        <v>14.126868755826241</v>
      </c>
      <c r="AU46" s="100">
        <v>17121.764932061404</v>
      </c>
      <c r="AV46" s="100">
        <v>14.055116049028481</v>
      </c>
      <c r="AW46" s="100">
        <v>17034.80065142252</v>
      </c>
      <c r="AX46" s="100">
        <v>9.7597495300777783</v>
      </c>
      <c r="AY46" s="100">
        <v>11828.816430454268</v>
      </c>
      <c r="AZ46" s="100">
        <v>16</v>
      </c>
      <c r="BA46" s="100">
        <v>19392</v>
      </c>
      <c r="BB46" s="100">
        <v>13.346822683073142</v>
      </c>
      <c r="BC46" s="100">
        <v>16176.349091884649</v>
      </c>
      <c r="BD46" s="100">
        <v>9.5553103322710502</v>
      </c>
      <c r="BE46" s="100">
        <v>11581.036122712512</v>
      </c>
      <c r="BF46" s="100">
        <v>10.775820559586343</v>
      </c>
      <c r="BG46" s="100">
        <v>13060.294518218649</v>
      </c>
      <c r="BH46" s="100">
        <v>11</v>
      </c>
      <c r="BI46" s="100">
        <v>13332</v>
      </c>
      <c r="BJ46" s="100">
        <v>10</v>
      </c>
      <c r="BK46" s="100">
        <v>12120</v>
      </c>
      <c r="BL46" s="100">
        <v>15</v>
      </c>
      <c r="BM46" s="100">
        <v>18180</v>
      </c>
      <c r="BN46" s="100">
        <v>19</v>
      </c>
      <c r="BO46" s="100">
        <v>23028</v>
      </c>
      <c r="BP46" s="100">
        <v>18</v>
      </c>
      <c r="BQ46" s="100">
        <v>21816</v>
      </c>
      <c r="BR46" s="100">
        <v>13</v>
      </c>
      <c r="BS46" s="100">
        <v>15756</v>
      </c>
      <c r="BT46" s="100">
        <v>11</v>
      </c>
      <c r="BU46" s="100">
        <v>13332</v>
      </c>
      <c r="BV46" s="100">
        <v>14</v>
      </c>
      <c r="BW46" s="100">
        <v>16968</v>
      </c>
      <c r="BX46" s="100">
        <v>15</v>
      </c>
      <c r="BY46" s="100">
        <v>18180</v>
      </c>
      <c r="BZ46" s="100">
        <v>13</v>
      </c>
      <c r="CA46" s="100">
        <v>15756</v>
      </c>
      <c r="CB46" s="100">
        <v>17</v>
      </c>
      <c r="CC46" s="100">
        <v>20604</v>
      </c>
      <c r="CD46" s="100">
        <v>18</v>
      </c>
      <c r="CE46" s="100">
        <v>21816</v>
      </c>
      <c r="CF46" s="100">
        <v>9</v>
      </c>
      <c r="CG46" s="100">
        <v>10908</v>
      </c>
      <c r="CH46" s="100">
        <v>11</v>
      </c>
      <c r="CI46" s="100">
        <v>13332</v>
      </c>
      <c r="CJ46" s="100">
        <v>11</v>
      </c>
      <c r="CK46" s="100">
        <v>13332</v>
      </c>
      <c r="CL46" s="100">
        <v>12</v>
      </c>
      <c r="CM46" s="100">
        <v>14544</v>
      </c>
      <c r="CN46" s="100">
        <v>9</v>
      </c>
      <c r="CO46" s="100">
        <v>10908</v>
      </c>
      <c r="CP46" s="100">
        <v>11</v>
      </c>
      <c r="CQ46" s="100">
        <v>13332</v>
      </c>
      <c r="CR46" s="100">
        <v>16</v>
      </c>
      <c r="CS46" s="100">
        <v>19392</v>
      </c>
      <c r="CT46" s="100">
        <v>18</v>
      </c>
      <c r="CU46" s="100">
        <v>21816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11</v>
      </c>
      <c r="G47" s="100">
        <v>16803.599999999999</v>
      </c>
      <c r="H47" s="100">
        <v>9</v>
      </c>
      <c r="I47" s="100">
        <v>13748.4</v>
      </c>
      <c r="J47" s="100">
        <v>0.23463709888449866</v>
      </c>
      <c r="K47" s="100">
        <v>358.43163225596015</v>
      </c>
      <c r="L47" s="100">
        <v>14</v>
      </c>
      <c r="M47" s="100">
        <v>21386.399999999998</v>
      </c>
      <c r="N47" s="100">
        <v>14</v>
      </c>
      <c r="O47" s="100">
        <v>21386.399999999998</v>
      </c>
      <c r="P47" s="100">
        <v>14</v>
      </c>
      <c r="Q47" s="100">
        <v>21386.399999999998</v>
      </c>
      <c r="R47" s="100">
        <v>5.9245097641464062</v>
      </c>
      <c r="S47" s="100">
        <v>9050.2811157100496</v>
      </c>
      <c r="T47" s="100">
        <v>7.7717986098068659</v>
      </c>
      <c r="U47" s="100">
        <v>11872.199556340967</v>
      </c>
      <c r="V47" s="100">
        <v>8.0648313868653538</v>
      </c>
      <c r="W47" s="100">
        <v>12319.836426575514</v>
      </c>
      <c r="X47" s="100">
        <v>8.7269479393255551</v>
      </c>
      <c r="Y47" s="100">
        <v>13331.285672113718</v>
      </c>
      <c r="Z47" s="100">
        <v>7.2467595135859746</v>
      </c>
      <c r="AA47" s="100">
        <v>11070.149832953934</v>
      </c>
      <c r="AB47" s="100">
        <v>9</v>
      </c>
      <c r="AC47" s="100">
        <v>13748.4</v>
      </c>
      <c r="AD47" s="100">
        <v>12</v>
      </c>
      <c r="AE47" s="100">
        <v>18331.199999999997</v>
      </c>
      <c r="AF47" s="100">
        <v>15.04266427373679</v>
      </c>
      <c r="AG47" s="100">
        <v>22979.17394456032</v>
      </c>
      <c r="AH47" s="100">
        <v>17</v>
      </c>
      <c r="AI47" s="100">
        <v>25969.199999999997</v>
      </c>
      <c r="AJ47" s="100">
        <v>8.8763033666918894</v>
      </c>
      <c r="AK47" s="100">
        <v>13559.44102295853</v>
      </c>
      <c r="AL47" s="100">
        <v>11.456026740525434</v>
      </c>
      <c r="AM47" s="100">
        <v>17500.226448826652</v>
      </c>
      <c r="AN47" s="100">
        <v>12.957296797088286</v>
      </c>
      <c r="AO47" s="100">
        <v>19793.566587232064</v>
      </c>
      <c r="AP47" s="100">
        <v>6.038452464190625</v>
      </c>
      <c r="AQ47" s="100">
        <v>9224.3399842975978</v>
      </c>
      <c r="AR47" s="100">
        <v>13</v>
      </c>
      <c r="AS47" s="100">
        <v>19858.8</v>
      </c>
      <c r="AT47" s="100">
        <v>12.464884196317271</v>
      </c>
      <c r="AU47" s="100">
        <v>19041.357098294262</v>
      </c>
      <c r="AV47" s="100">
        <v>13.228344516732689</v>
      </c>
      <c r="AW47" s="100">
        <v>20207.619083760856</v>
      </c>
      <c r="AX47" s="100">
        <v>8.1331246083981483</v>
      </c>
      <c r="AY47" s="100">
        <v>12424.161151789011</v>
      </c>
      <c r="AZ47" s="100">
        <v>15</v>
      </c>
      <c r="BA47" s="100">
        <v>22914</v>
      </c>
      <c r="BB47" s="100">
        <v>13.346822683073142</v>
      </c>
      <c r="BC47" s="100">
        <v>20388.606330662533</v>
      </c>
      <c r="BD47" s="100">
        <v>8.599779299043945</v>
      </c>
      <c r="BE47" s="100">
        <v>13137.02285721953</v>
      </c>
      <c r="BF47" s="100">
        <v>10.775820559586343</v>
      </c>
      <c r="BG47" s="100">
        <v>16461.143486824098</v>
      </c>
      <c r="BH47" s="100">
        <v>10</v>
      </c>
      <c r="BI47" s="100">
        <v>15276</v>
      </c>
      <c r="BJ47" s="100">
        <v>8</v>
      </c>
      <c r="BK47" s="100">
        <v>12220.8</v>
      </c>
      <c r="BL47" s="100">
        <v>12</v>
      </c>
      <c r="BM47" s="100">
        <v>18331.199999999997</v>
      </c>
      <c r="BN47" s="100">
        <v>20</v>
      </c>
      <c r="BO47" s="100">
        <v>30552</v>
      </c>
      <c r="BP47" s="100">
        <v>17</v>
      </c>
      <c r="BQ47" s="100">
        <v>25969.199999999997</v>
      </c>
      <c r="BR47" s="100">
        <v>16</v>
      </c>
      <c r="BS47" s="100">
        <v>24441.599999999999</v>
      </c>
      <c r="BT47" s="100">
        <v>11</v>
      </c>
      <c r="BU47" s="100">
        <v>16803.599999999999</v>
      </c>
      <c r="BV47" s="100">
        <v>15</v>
      </c>
      <c r="BW47" s="100">
        <v>22914</v>
      </c>
      <c r="BX47" s="100">
        <v>14</v>
      </c>
      <c r="BY47" s="100">
        <v>21386.399999999998</v>
      </c>
      <c r="BZ47" s="100">
        <v>12</v>
      </c>
      <c r="CA47" s="100">
        <v>18331.199999999997</v>
      </c>
      <c r="CB47" s="100">
        <v>18</v>
      </c>
      <c r="CC47" s="100">
        <v>27496.799999999999</v>
      </c>
      <c r="CD47" s="100">
        <v>15</v>
      </c>
      <c r="CE47" s="100">
        <v>22914</v>
      </c>
      <c r="CF47" s="100">
        <v>10</v>
      </c>
      <c r="CG47" s="100">
        <v>15276</v>
      </c>
      <c r="CH47" s="100">
        <v>10</v>
      </c>
      <c r="CI47" s="100">
        <v>15276</v>
      </c>
      <c r="CJ47" s="100">
        <v>11</v>
      </c>
      <c r="CK47" s="100">
        <v>16803.599999999999</v>
      </c>
      <c r="CL47" s="100">
        <v>11</v>
      </c>
      <c r="CM47" s="100">
        <v>16803.599999999999</v>
      </c>
      <c r="CN47" s="100">
        <v>11</v>
      </c>
      <c r="CO47" s="100">
        <v>16803.599999999999</v>
      </c>
      <c r="CP47" s="100">
        <v>11</v>
      </c>
      <c r="CQ47" s="100">
        <v>16803.599999999999</v>
      </c>
      <c r="CR47" s="100">
        <v>17</v>
      </c>
      <c r="CS47" s="100">
        <v>25969.199999999997</v>
      </c>
      <c r="CT47" s="100">
        <v>18</v>
      </c>
      <c r="CU47" s="100">
        <v>27496.799999999999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12</v>
      </c>
      <c r="G48" s="100">
        <v>10411.200000000001</v>
      </c>
      <c r="H48" s="100">
        <v>10</v>
      </c>
      <c r="I48" s="100">
        <v>8676</v>
      </c>
      <c r="J48" s="100">
        <v>0.21658809127799875</v>
      </c>
      <c r="K48" s="100">
        <v>187.91182799279173</v>
      </c>
      <c r="L48" s="100">
        <v>14</v>
      </c>
      <c r="M48" s="100">
        <v>12146.4</v>
      </c>
      <c r="N48" s="100">
        <v>15</v>
      </c>
      <c r="O48" s="100">
        <v>13014</v>
      </c>
      <c r="P48" s="100">
        <v>17</v>
      </c>
      <c r="Q48" s="100">
        <v>14749.2</v>
      </c>
      <c r="R48" s="100">
        <v>6.2730103385079605</v>
      </c>
      <c r="S48" s="100">
        <v>5442.463769689507</v>
      </c>
      <c r="T48" s="100">
        <v>8.2289632339131522</v>
      </c>
      <c r="U48" s="100">
        <v>7139.4485017430507</v>
      </c>
      <c r="V48" s="100">
        <v>8.0648313868653538</v>
      </c>
      <c r="W48" s="100">
        <v>6997.0477112443814</v>
      </c>
      <c r="X48" s="100">
        <v>8.7269479393255551</v>
      </c>
      <c r="Y48" s="100">
        <v>7571.5000321588523</v>
      </c>
      <c r="Z48" s="100">
        <v>8.2820108726696855</v>
      </c>
      <c r="AA48" s="100">
        <v>7185.4726331282191</v>
      </c>
      <c r="AB48" s="100">
        <v>10</v>
      </c>
      <c r="AC48" s="100">
        <v>8676</v>
      </c>
      <c r="AD48" s="100">
        <v>14</v>
      </c>
      <c r="AE48" s="100">
        <v>12146.4</v>
      </c>
      <c r="AF48" s="100">
        <v>14.157801669399333</v>
      </c>
      <c r="AG48" s="100">
        <v>12283.308728370863</v>
      </c>
      <c r="AH48" s="100">
        <v>16</v>
      </c>
      <c r="AI48" s="100">
        <v>13881.6</v>
      </c>
      <c r="AJ48" s="100">
        <v>9.7639337033610776</v>
      </c>
      <c r="AK48" s="100">
        <v>8471.1888810360706</v>
      </c>
      <c r="AL48" s="100">
        <v>11.456026740525434</v>
      </c>
      <c r="AM48" s="100">
        <v>9939.2488000798676</v>
      </c>
      <c r="AN48" s="100">
        <v>12.957296797088286</v>
      </c>
      <c r="AO48" s="100">
        <v>11241.750701153798</v>
      </c>
      <c r="AP48" s="100">
        <v>6.038452464190625</v>
      </c>
      <c r="AQ48" s="100">
        <v>5238.9613579317866</v>
      </c>
      <c r="AR48" s="100">
        <v>12</v>
      </c>
      <c r="AS48" s="100">
        <v>10411.200000000001</v>
      </c>
      <c r="AT48" s="100">
        <v>13.295876476071754</v>
      </c>
      <c r="AU48" s="100">
        <v>11535.502430639854</v>
      </c>
      <c r="AV48" s="100">
        <v>13.228344516732689</v>
      </c>
      <c r="AW48" s="100">
        <v>11476.911702717282</v>
      </c>
      <c r="AX48" s="100">
        <v>9.7597495300777783</v>
      </c>
      <c r="AY48" s="100">
        <v>8467.5586922954808</v>
      </c>
      <c r="AZ48" s="100">
        <v>16</v>
      </c>
      <c r="BA48" s="100">
        <v>13881.6</v>
      </c>
      <c r="BB48" s="100">
        <v>15.253511637797878</v>
      </c>
      <c r="BC48" s="100">
        <v>13233.946696953439</v>
      </c>
      <c r="BD48" s="100">
        <v>10.510841365498154</v>
      </c>
      <c r="BE48" s="100">
        <v>9119.2059687061992</v>
      </c>
      <c r="BF48" s="100">
        <v>10.775820559586343</v>
      </c>
      <c r="BG48" s="100">
        <v>9349.1019174971116</v>
      </c>
      <c r="BH48" s="100">
        <v>11</v>
      </c>
      <c r="BI48" s="100">
        <v>9543.6</v>
      </c>
      <c r="BJ48" s="100">
        <v>10</v>
      </c>
      <c r="BK48" s="100">
        <v>8676</v>
      </c>
      <c r="BL48" s="100">
        <v>14</v>
      </c>
      <c r="BM48" s="100">
        <v>12146.4</v>
      </c>
      <c r="BN48" s="100">
        <v>19</v>
      </c>
      <c r="BO48" s="100">
        <v>16484.400000000001</v>
      </c>
      <c r="BP48" s="100">
        <v>17</v>
      </c>
      <c r="BQ48" s="100">
        <v>14749.2</v>
      </c>
      <c r="BR48" s="100">
        <v>14</v>
      </c>
      <c r="BS48" s="100">
        <v>12146.4</v>
      </c>
      <c r="BT48" s="100">
        <v>13</v>
      </c>
      <c r="BU48" s="100">
        <v>11278.800000000001</v>
      </c>
      <c r="BV48" s="100">
        <v>16</v>
      </c>
      <c r="BW48" s="100">
        <v>13881.6</v>
      </c>
      <c r="BX48" s="100">
        <v>15</v>
      </c>
      <c r="BY48" s="100">
        <v>13014</v>
      </c>
      <c r="BZ48" s="100">
        <v>15</v>
      </c>
      <c r="CA48" s="100">
        <v>13014</v>
      </c>
      <c r="CB48" s="100">
        <v>19</v>
      </c>
      <c r="CC48" s="100">
        <v>16484.400000000001</v>
      </c>
      <c r="CD48" s="100">
        <v>17</v>
      </c>
      <c r="CE48" s="100">
        <v>14749.2</v>
      </c>
      <c r="CF48" s="100">
        <v>11</v>
      </c>
      <c r="CG48" s="100">
        <v>9543.6</v>
      </c>
      <c r="CH48" s="100">
        <v>10</v>
      </c>
      <c r="CI48" s="100">
        <v>8676</v>
      </c>
      <c r="CJ48" s="100">
        <v>11</v>
      </c>
      <c r="CK48" s="100">
        <v>9543.6</v>
      </c>
      <c r="CL48" s="100">
        <v>14</v>
      </c>
      <c r="CM48" s="100">
        <v>12146.4</v>
      </c>
      <c r="CN48" s="100">
        <v>11</v>
      </c>
      <c r="CO48" s="100">
        <v>9543.6</v>
      </c>
      <c r="CP48" s="100">
        <v>12</v>
      </c>
      <c r="CQ48" s="100">
        <v>10411.200000000001</v>
      </c>
      <c r="CR48" s="100">
        <v>17</v>
      </c>
      <c r="CS48" s="100">
        <v>14749.2</v>
      </c>
      <c r="CT48" s="100">
        <v>17</v>
      </c>
      <c r="CU48" s="100">
        <v>14749.2</v>
      </c>
    </row>
    <row r="49" spans="2:99">
      <c r="B49" s="99" t="s">
        <v>129</v>
      </c>
      <c r="C49" s="99" t="s">
        <v>215</v>
      </c>
      <c r="D49" s="100">
        <v>12</v>
      </c>
      <c r="E49" s="100">
        <v>11822.4</v>
      </c>
      <c r="F49" s="100">
        <v>17</v>
      </c>
      <c r="G49" s="100">
        <v>16748.399999999998</v>
      </c>
      <c r="H49" s="100">
        <v>10</v>
      </c>
      <c r="I49" s="100">
        <v>9852</v>
      </c>
      <c r="J49" s="100">
        <v>9</v>
      </c>
      <c r="K49" s="100">
        <v>8866.7999999999993</v>
      </c>
      <c r="L49" s="100">
        <v>11</v>
      </c>
      <c r="M49" s="100">
        <v>10837.199999999999</v>
      </c>
      <c r="N49" s="100">
        <v>15</v>
      </c>
      <c r="O49" s="100">
        <v>14777.999999999998</v>
      </c>
      <c r="P49" s="100">
        <v>11</v>
      </c>
      <c r="Q49" s="100">
        <v>10837.199999999999</v>
      </c>
      <c r="R49" s="100">
        <v>10</v>
      </c>
      <c r="S49" s="100">
        <v>9852</v>
      </c>
      <c r="T49" s="100">
        <v>13</v>
      </c>
      <c r="U49" s="100">
        <v>12807.599999999999</v>
      </c>
      <c r="V49" s="100">
        <v>15</v>
      </c>
      <c r="W49" s="100">
        <v>14777.999999999998</v>
      </c>
      <c r="X49" s="100">
        <v>10</v>
      </c>
      <c r="Y49" s="100">
        <v>9852</v>
      </c>
      <c r="Z49" s="100">
        <v>14</v>
      </c>
      <c r="AA49" s="100">
        <v>13792.8</v>
      </c>
      <c r="AB49" s="100">
        <v>14</v>
      </c>
      <c r="AC49" s="100">
        <v>13792.8</v>
      </c>
      <c r="AD49" s="100">
        <v>14</v>
      </c>
      <c r="AE49" s="100">
        <v>13792.8</v>
      </c>
      <c r="AF49" s="100">
        <v>13</v>
      </c>
      <c r="AG49" s="100">
        <v>12807.599999999999</v>
      </c>
      <c r="AH49" s="100">
        <v>11</v>
      </c>
      <c r="AI49" s="100">
        <v>10837.199999999999</v>
      </c>
      <c r="AJ49" s="100">
        <v>13</v>
      </c>
      <c r="AK49" s="100">
        <v>12807.599999999999</v>
      </c>
      <c r="AL49" s="100">
        <v>16</v>
      </c>
      <c r="AM49" s="100">
        <v>15763.199999999999</v>
      </c>
      <c r="AN49" s="100">
        <v>9</v>
      </c>
      <c r="AO49" s="100">
        <v>8866.7999999999993</v>
      </c>
      <c r="AP49" s="100">
        <v>15</v>
      </c>
      <c r="AQ49" s="100">
        <v>14777.999999999998</v>
      </c>
      <c r="AR49" s="100">
        <v>9</v>
      </c>
      <c r="AS49" s="100">
        <v>8866.7999999999993</v>
      </c>
      <c r="AT49" s="100">
        <v>13</v>
      </c>
      <c r="AU49" s="100">
        <v>12807.599999999999</v>
      </c>
      <c r="AV49" s="100">
        <v>13</v>
      </c>
      <c r="AW49" s="100">
        <v>12807.599999999999</v>
      </c>
      <c r="AX49" s="100">
        <v>11</v>
      </c>
      <c r="AY49" s="100">
        <v>10837.199999999999</v>
      </c>
      <c r="AZ49" s="100">
        <v>12</v>
      </c>
      <c r="BA49" s="100">
        <v>11822.4</v>
      </c>
      <c r="BB49" s="100">
        <v>9.8612968054777248</v>
      </c>
      <c r="BC49" s="100">
        <v>9715.3496127566541</v>
      </c>
      <c r="BD49" s="100">
        <v>8.719241569769214E-21</v>
      </c>
      <c r="BE49" s="100">
        <v>8.5901967945366296E-18</v>
      </c>
      <c r="BF49" s="100">
        <v>3.569912801518415E-21</v>
      </c>
      <c r="BG49" s="100">
        <v>3.5170780920559426E-18</v>
      </c>
      <c r="BH49" s="100">
        <v>13</v>
      </c>
      <c r="BI49" s="100">
        <v>12807.599999999999</v>
      </c>
      <c r="BJ49" s="100">
        <v>14</v>
      </c>
      <c r="BK49" s="100">
        <v>13792.8</v>
      </c>
      <c r="BL49" s="100">
        <v>13</v>
      </c>
      <c r="BM49" s="100">
        <v>12807.599999999999</v>
      </c>
      <c r="BN49" s="100">
        <v>11</v>
      </c>
      <c r="BO49" s="100">
        <v>10837.199999999999</v>
      </c>
      <c r="BP49" s="100">
        <v>15</v>
      </c>
      <c r="BQ49" s="100">
        <v>14777.999999999998</v>
      </c>
      <c r="BR49" s="100">
        <v>9</v>
      </c>
      <c r="BS49" s="100">
        <v>8866.7999999999993</v>
      </c>
      <c r="BT49" s="100">
        <v>10</v>
      </c>
      <c r="BU49" s="100">
        <v>9852</v>
      </c>
      <c r="BV49" s="100">
        <v>10</v>
      </c>
      <c r="BW49" s="100">
        <v>9852</v>
      </c>
      <c r="BX49" s="100">
        <v>18</v>
      </c>
      <c r="BY49" s="100">
        <v>17733.599999999999</v>
      </c>
      <c r="BZ49" s="100">
        <v>14</v>
      </c>
      <c r="CA49" s="100">
        <v>13792.8</v>
      </c>
      <c r="CB49" s="100">
        <v>16</v>
      </c>
      <c r="CC49" s="100">
        <v>15763.199999999999</v>
      </c>
      <c r="CD49" s="100">
        <v>12</v>
      </c>
      <c r="CE49" s="100">
        <v>11822.4</v>
      </c>
      <c r="CF49" s="100">
        <v>13</v>
      </c>
      <c r="CG49" s="100">
        <v>12807.599999999999</v>
      </c>
      <c r="CH49" s="100">
        <v>11</v>
      </c>
      <c r="CI49" s="100">
        <v>10837.199999999999</v>
      </c>
      <c r="CJ49" s="100">
        <v>13</v>
      </c>
      <c r="CK49" s="100">
        <v>12807.599999999999</v>
      </c>
      <c r="CL49" s="100">
        <v>10</v>
      </c>
      <c r="CM49" s="100">
        <v>9852</v>
      </c>
      <c r="CN49" s="100">
        <v>9</v>
      </c>
      <c r="CO49" s="100">
        <v>8866.7999999999993</v>
      </c>
      <c r="CP49" s="100">
        <v>17</v>
      </c>
      <c r="CQ49" s="100">
        <v>16748.399999999998</v>
      </c>
      <c r="CR49" s="100">
        <v>14</v>
      </c>
      <c r="CS49" s="100">
        <v>13792.8</v>
      </c>
      <c r="CT49" s="100">
        <v>16</v>
      </c>
      <c r="CU49" s="100">
        <v>15763.199999999999</v>
      </c>
    </row>
    <row r="50" spans="2:99">
      <c r="C50" s="99" t="s">
        <v>216</v>
      </c>
      <c r="D50" s="100">
        <v>13</v>
      </c>
      <c r="E50" s="100">
        <v>3666</v>
      </c>
      <c r="F50" s="100">
        <v>18</v>
      </c>
      <c r="G50" s="100">
        <v>5076</v>
      </c>
      <c r="H50" s="100">
        <v>10</v>
      </c>
      <c r="I50" s="100">
        <v>2820</v>
      </c>
      <c r="J50" s="100">
        <v>0.19853908367149886</v>
      </c>
      <c r="K50" s="100">
        <v>55.988021595362682</v>
      </c>
      <c r="L50" s="100">
        <v>12</v>
      </c>
      <c r="M50" s="100">
        <v>3384</v>
      </c>
      <c r="N50" s="100">
        <v>16</v>
      </c>
      <c r="O50" s="100">
        <v>4512</v>
      </c>
      <c r="P50" s="100">
        <v>11</v>
      </c>
      <c r="Q50" s="100">
        <v>3102</v>
      </c>
      <c r="R50" s="100">
        <v>3.4850057436155328</v>
      </c>
      <c r="S50" s="100">
        <v>982.77161969958024</v>
      </c>
      <c r="T50" s="100">
        <v>7.3146339857005795</v>
      </c>
      <c r="U50" s="100">
        <v>2062.7267839675633</v>
      </c>
      <c r="V50" s="100">
        <v>10.753108515820472</v>
      </c>
      <c r="W50" s="100">
        <v>3032.376601461373</v>
      </c>
      <c r="X50" s="100">
        <v>10.666269703620124</v>
      </c>
      <c r="Y50" s="100">
        <v>3007.8880564208748</v>
      </c>
      <c r="Z50" s="100">
        <v>7.76438519312783</v>
      </c>
      <c r="AA50" s="100">
        <v>2189.5566244620481</v>
      </c>
      <c r="AB50" s="100">
        <v>16</v>
      </c>
      <c r="AC50" s="100">
        <v>4512</v>
      </c>
      <c r="AD50" s="100">
        <v>15</v>
      </c>
      <c r="AE50" s="100">
        <v>4230</v>
      </c>
      <c r="AF50" s="100">
        <v>11.503213856386958</v>
      </c>
      <c r="AG50" s="100">
        <v>3243.9063075011222</v>
      </c>
      <c r="AH50" s="100">
        <v>13</v>
      </c>
      <c r="AI50" s="100">
        <v>3666</v>
      </c>
      <c r="AJ50" s="100">
        <v>10.651564040030266</v>
      </c>
      <c r="AK50" s="100">
        <v>3003.7410592885349</v>
      </c>
      <c r="AL50" s="100">
        <v>13.747232088630522</v>
      </c>
      <c r="AM50" s="100">
        <v>3876.719448993807</v>
      </c>
      <c r="AN50" s="100">
        <v>6.4786483985441432</v>
      </c>
      <c r="AO50" s="100">
        <v>1826.9788483894483</v>
      </c>
      <c r="AP50" s="100">
        <v>11.405965765693402</v>
      </c>
      <c r="AQ50" s="100">
        <v>3216.4823459255394</v>
      </c>
      <c r="AR50" s="100">
        <v>11</v>
      </c>
      <c r="AS50" s="100">
        <v>3102</v>
      </c>
      <c r="AT50" s="100">
        <v>12.464884196317271</v>
      </c>
      <c r="AU50" s="100">
        <v>3515.0973433614704</v>
      </c>
      <c r="AV50" s="100">
        <v>9.9212583875495142</v>
      </c>
      <c r="AW50" s="100">
        <v>2797.7948652889631</v>
      </c>
      <c r="AX50" s="100">
        <v>11.386374451757408</v>
      </c>
      <c r="AY50" s="100">
        <v>3210.9575953955891</v>
      </c>
      <c r="AZ50" s="100">
        <v>12</v>
      </c>
      <c r="BA50" s="100">
        <v>3384</v>
      </c>
      <c r="BB50" s="100">
        <v>12.393478205710776</v>
      </c>
      <c r="BC50" s="100">
        <v>3494.9608540104391</v>
      </c>
      <c r="BD50" s="100">
        <v>11.466372398725259</v>
      </c>
      <c r="BE50" s="100">
        <v>3233.5170164405231</v>
      </c>
      <c r="BF50" s="100">
        <v>16.653540864815255</v>
      </c>
      <c r="BG50" s="100">
        <v>4696.298523877902</v>
      </c>
      <c r="BH50" s="100">
        <v>14</v>
      </c>
      <c r="BI50" s="100">
        <v>3948</v>
      </c>
      <c r="BJ50" s="100">
        <v>12</v>
      </c>
      <c r="BK50" s="100">
        <v>3384</v>
      </c>
      <c r="BL50" s="100">
        <v>12</v>
      </c>
      <c r="BM50" s="100">
        <v>3384</v>
      </c>
      <c r="BN50" s="100">
        <v>11</v>
      </c>
      <c r="BO50" s="100">
        <v>3102</v>
      </c>
      <c r="BP50" s="100">
        <v>14</v>
      </c>
      <c r="BQ50" s="100">
        <v>3948</v>
      </c>
      <c r="BR50" s="100">
        <v>9</v>
      </c>
      <c r="BS50" s="100">
        <v>2538</v>
      </c>
      <c r="BT50" s="100">
        <v>12</v>
      </c>
      <c r="BU50" s="100">
        <v>3384</v>
      </c>
      <c r="BV50" s="100">
        <v>10</v>
      </c>
      <c r="BW50" s="100">
        <v>2820</v>
      </c>
      <c r="BX50" s="100">
        <v>18</v>
      </c>
      <c r="BY50" s="100">
        <v>5076</v>
      </c>
      <c r="BZ50" s="100">
        <v>15</v>
      </c>
      <c r="CA50" s="100">
        <v>4230</v>
      </c>
      <c r="CB50" s="100">
        <v>17</v>
      </c>
      <c r="CC50" s="100">
        <v>4794</v>
      </c>
      <c r="CD50" s="100">
        <v>12</v>
      </c>
      <c r="CE50" s="100">
        <v>3384</v>
      </c>
      <c r="CF50" s="100">
        <v>12</v>
      </c>
      <c r="CG50" s="100">
        <v>3384</v>
      </c>
      <c r="CH50" s="100">
        <v>10</v>
      </c>
      <c r="CI50" s="100">
        <v>2820</v>
      </c>
      <c r="CJ50" s="100">
        <v>12</v>
      </c>
      <c r="CK50" s="100">
        <v>3384</v>
      </c>
      <c r="CL50" s="100">
        <v>12</v>
      </c>
      <c r="CM50" s="100">
        <v>3384</v>
      </c>
      <c r="CN50" s="100">
        <v>10</v>
      </c>
      <c r="CO50" s="100">
        <v>2820</v>
      </c>
      <c r="CP50" s="100">
        <v>17</v>
      </c>
      <c r="CQ50" s="100">
        <v>4794</v>
      </c>
      <c r="CR50" s="100">
        <v>14</v>
      </c>
      <c r="CS50" s="100">
        <v>3948</v>
      </c>
      <c r="CT50" s="100">
        <v>16</v>
      </c>
      <c r="CU50" s="100">
        <v>4512</v>
      </c>
    </row>
    <row r="51" spans="2:99">
      <c r="C51" s="99" t="s">
        <v>217</v>
      </c>
      <c r="D51" s="100">
        <v>14</v>
      </c>
      <c r="E51" s="100">
        <v>11961.6</v>
      </c>
      <c r="F51" s="100">
        <v>15</v>
      </c>
      <c r="G51" s="100">
        <v>12816</v>
      </c>
      <c r="H51" s="100">
        <v>11</v>
      </c>
      <c r="I51" s="100">
        <v>9398.4</v>
      </c>
      <c r="J51" s="100">
        <v>0.19853908367149886</v>
      </c>
      <c r="K51" s="100">
        <v>169.63179308892862</v>
      </c>
      <c r="L51" s="100">
        <v>12</v>
      </c>
      <c r="M51" s="100">
        <v>10252.799999999999</v>
      </c>
      <c r="N51" s="100">
        <v>15</v>
      </c>
      <c r="O51" s="100">
        <v>12816</v>
      </c>
      <c r="P51" s="100">
        <v>11</v>
      </c>
      <c r="Q51" s="100">
        <v>9398.4</v>
      </c>
      <c r="R51" s="100">
        <v>3.8335063179770867</v>
      </c>
      <c r="S51" s="100">
        <v>3275.3477980796229</v>
      </c>
      <c r="T51" s="100">
        <v>6.8574693615942932</v>
      </c>
      <c r="U51" s="100">
        <v>5859.021822546164</v>
      </c>
      <c r="V51" s="100">
        <v>10.081039233581691</v>
      </c>
      <c r="W51" s="100">
        <v>8613.2399211721968</v>
      </c>
      <c r="X51" s="100">
        <v>10.666269703620124</v>
      </c>
      <c r="Y51" s="100">
        <v>9113.2608347730329</v>
      </c>
      <c r="Z51" s="100">
        <v>7.2467595135859746</v>
      </c>
      <c r="AA51" s="100">
        <v>6191.6313284078569</v>
      </c>
      <c r="AB51" s="100">
        <v>13</v>
      </c>
      <c r="AC51" s="100">
        <v>11107.199999999999</v>
      </c>
      <c r="AD51" s="100">
        <v>14</v>
      </c>
      <c r="AE51" s="100">
        <v>11961.6</v>
      </c>
      <c r="AF51" s="100">
        <v>11.503213856386958</v>
      </c>
      <c r="AG51" s="100">
        <v>9828.3459188970173</v>
      </c>
      <c r="AH51" s="100">
        <v>12</v>
      </c>
      <c r="AI51" s="100">
        <v>10252.799999999999</v>
      </c>
      <c r="AJ51" s="100">
        <v>10.651564040030266</v>
      </c>
      <c r="AK51" s="100">
        <v>9100.6963158018589</v>
      </c>
      <c r="AL51" s="100">
        <v>12.983496972595491</v>
      </c>
      <c r="AM51" s="100">
        <v>11093.099813385586</v>
      </c>
      <c r="AN51" s="100">
        <v>5.7587985764836827</v>
      </c>
      <c r="AO51" s="100">
        <v>4920.3175037476585</v>
      </c>
      <c r="AP51" s="100">
        <v>10.064087440317708</v>
      </c>
      <c r="AQ51" s="100">
        <v>8598.7563090074491</v>
      </c>
      <c r="AR51" s="100">
        <v>9</v>
      </c>
      <c r="AS51" s="100">
        <v>7689.5999999999995</v>
      </c>
      <c r="AT51" s="100">
        <v>10.8028996368083</v>
      </c>
      <c r="AU51" s="100">
        <v>9229.9974496890118</v>
      </c>
      <c r="AV51" s="100">
        <v>10.748029919845306</v>
      </c>
      <c r="AW51" s="100">
        <v>9183.116763515829</v>
      </c>
      <c r="AX51" s="100">
        <v>10.573061990917594</v>
      </c>
      <c r="AY51" s="100">
        <v>9033.6241650399916</v>
      </c>
      <c r="AZ51" s="100">
        <v>11</v>
      </c>
      <c r="BA51" s="100">
        <v>9398.4</v>
      </c>
      <c r="BB51" s="100">
        <v>11.440133728348409</v>
      </c>
      <c r="BC51" s="100">
        <v>9774.4502575008792</v>
      </c>
      <c r="BD51" s="100">
        <v>13.377434465179471</v>
      </c>
      <c r="BE51" s="100">
        <v>11429.680007049339</v>
      </c>
      <c r="BF51" s="100">
        <v>15.673920813943772</v>
      </c>
      <c r="BG51" s="100">
        <v>13391.797943433558</v>
      </c>
      <c r="BH51" s="100">
        <v>13</v>
      </c>
      <c r="BI51" s="100">
        <v>11107.199999999999</v>
      </c>
      <c r="BJ51" s="100">
        <v>12</v>
      </c>
      <c r="BK51" s="100">
        <v>10252.799999999999</v>
      </c>
      <c r="BL51" s="100">
        <v>12</v>
      </c>
      <c r="BM51" s="100">
        <v>10252.799999999999</v>
      </c>
      <c r="BN51" s="100">
        <v>10</v>
      </c>
      <c r="BO51" s="100">
        <v>8544</v>
      </c>
      <c r="BP51" s="100">
        <v>15</v>
      </c>
      <c r="BQ51" s="100">
        <v>12816</v>
      </c>
      <c r="BR51" s="100">
        <v>9</v>
      </c>
      <c r="BS51" s="100">
        <v>7689.5999999999995</v>
      </c>
      <c r="BT51" s="100">
        <v>10</v>
      </c>
      <c r="BU51" s="100">
        <v>8544</v>
      </c>
      <c r="BV51" s="100">
        <v>9</v>
      </c>
      <c r="BW51" s="100">
        <v>7689.5999999999995</v>
      </c>
      <c r="BX51" s="100">
        <v>18</v>
      </c>
      <c r="BY51" s="100">
        <v>15379.199999999999</v>
      </c>
      <c r="BZ51" s="100">
        <v>13</v>
      </c>
      <c r="CA51" s="100">
        <v>11107.199999999999</v>
      </c>
      <c r="CB51" s="100">
        <v>15</v>
      </c>
      <c r="CC51" s="100">
        <v>12816</v>
      </c>
      <c r="CD51" s="100">
        <v>12</v>
      </c>
      <c r="CE51" s="100">
        <v>10252.799999999999</v>
      </c>
      <c r="CF51" s="100">
        <v>12</v>
      </c>
      <c r="CG51" s="100">
        <v>10252.799999999999</v>
      </c>
      <c r="CH51" s="100">
        <v>11</v>
      </c>
      <c r="CI51" s="100">
        <v>9398.4</v>
      </c>
      <c r="CJ51" s="100">
        <v>13</v>
      </c>
      <c r="CK51" s="100">
        <v>11107.199999999999</v>
      </c>
      <c r="CL51" s="100">
        <v>11</v>
      </c>
      <c r="CM51" s="100">
        <v>9398.4</v>
      </c>
      <c r="CN51" s="100">
        <v>9</v>
      </c>
      <c r="CO51" s="100">
        <v>7689.5999999999995</v>
      </c>
      <c r="CP51" s="100">
        <v>15</v>
      </c>
      <c r="CQ51" s="100">
        <v>12816</v>
      </c>
      <c r="CR51" s="100">
        <v>14</v>
      </c>
      <c r="CS51" s="100">
        <v>11961.6</v>
      </c>
      <c r="CT51" s="100">
        <v>16</v>
      </c>
      <c r="CU51" s="100">
        <v>13670.4</v>
      </c>
    </row>
    <row r="52" spans="2:99">
      <c r="C52" s="99" t="s">
        <v>218</v>
      </c>
      <c r="D52" s="100">
        <v>14</v>
      </c>
      <c r="E52" s="100">
        <v>7560</v>
      </c>
      <c r="F52" s="100">
        <v>17</v>
      </c>
      <c r="G52" s="100">
        <v>9180</v>
      </c>
      <c r="H52" s="100">
        <v>10</v>
      </c>
      <c r="I52" s="100">
        <v>5400</v>
      </c>
      <c r="J52" s="100">
        <v>0.19853908367149886</v>
      </c>
      <c r="K52" s="100">
        <v>107.21110518260939</v>
      </c>
      <c r="L52" s="100">
        <v>11</v>
      </c>
      <c r="M52" s="100">
        <v>5940</v>
      </c>
      <c r="N52" s="100">
        <v>16</v>
      </c>
      <c r="O52" s="100">
        <v>8640</v>
      </c>
      <c r="P52" s="100">
        <v>10</v>
      </c>
      <c r="Q52" s="100">
        <v>5400</v>
      </c>
      <c r="R52" s="100">
        <v>3.8335063179770867</v>
      </c>
      <c r="S52" s="100">
        <v>2070.0934117076267</v>
      </c>
      <c r="T52" s="100">
        <v>6.4003047374880069</v>
      </c>
      <c r="U52" s="100">
        <v>3456.1645582435235</v>
      </c>
      <c r="V52" s="100">
        <v>9.4089699513429128</v>
      </c>
      <c r="W52" s="100">
        <v>5080.8437737251725</v>
      </c>
      <c r="X52" s="100">
        <v>10.666269703620124</v>
      </c>
      <c r="Y52" s="100">
        <v>5759.7856399548664</v>
      </c>
      <c r="Z52" s="100">
        <v>7.76438519312783</v>
      </c>
      <c r="AA52" s="100">
        <v>4192.7680042890279</v>
      </c>
      <c r="AB52" s="100">
        <v>14</v>
      </c>
      <c r="AC52" s="100">
        <v>7560</v>
      </c>
      <c r="AD52" s="100">
        <v>14</v>
      </c>
      <c r="AE52" s="100">
        <v>7560</v>
      </c>
      <c r="AF52" s="100">
        <v>12.388076460724417</v>
      </c>
      <c r="AG52" s="100">
        <v>6689.5612887911848</v>
      </c>
      <c r="AH52" s="100">
        <v>12</v>
      </c>
      <c r="AI52" s="100">
        <v>6480</v>
      </c>
      <c r="AJ52" s="100">
        <v>11.539194376699456</v>
      </c>
      <c r="AK52" s="100">
        <v>6231.1649634177065</v>
      </c>
      <c r="AL52" s="100">
        <v>12.219761856560464</v>
      </c>
      <c r="AM52" s="100">
        <v>6598.67140254265</v>
      </c>
      <c r="AN52" s="100">
        <v>6.4786483985441432</v>
      </c>
      <c r="AO52" s="100">
        <v>3498.4701352138372</v>
      </c>
      <c r="AP52" s="100">
        <v>9.3931482776298605</v>
      </c>
      <c r="AQ52" s="100">
        <v>5072.3000699201248</v>
      </c>
      <c r="AR52" s="100">
        <v>10</v>
      </c>
      <c r="AS52" s="100">
        <v>5400</v>
      </c>
      <c r="AT52" s="100">
        <v>11.633891916562785</v>
      </c>
      <c r="AU52" s="100">
        <v>6282.301634943904</v>
      </c>
      <c r="AV52" s="100">
        <v>10.748029919845306</v>
      </c>
      <c r="AW52" s="100">
        <v>5803.9361567164651</v>
      </c>
      <c r="AX52" s="100">
        <v>11.386374451757408</v>
      </c>
      <c r="AY52" s="100">
        <v>6148.6422039490008</v>
      </c>
      <c r="AZ52" s="100">
        <v>11</v>
      </c>
      <c r="BA52" s="100">
        <v>5940</v>
      </c>
      <c r="BB52" s="100">
        <v>11.440133728348409</v>
      </c>
      <c r="BC52" s="100">
        <v>6177.6722133081403</v>
      </c>
      <c r="BD52" s="100">
        <v>13.377434465179471</v>
      </c>
      <c r="BE52" s="100">
        <v>7223.8146111969145</v>
      </c>
      <c r="BF52" s="100">
        <v>17.633160915686744</v>
      </c>
      <c r="BG52" s="100">
        <v>9521.9068944708415</v>
      </c>
      <c r="BH52" s="100">
        <v>15</v>
      </c>
      <c r="BI52" s="100">
        <v>8100</v>
      </c>
      <c r="BJ52" s="100">
        <v>13</v>
      </c>
      <c r="BK52" s="100">
        <v>7020</v>
      </c>
      <c r="BL52" s="100">
        <v>13</v>
      </c>
      <c r="BM52" s="100">
        <v>7020</v>
      </c>
      <c r="BN52" s="100">
        <v>11</v>
      </c>
      <c r="BO52" s="100">
        <v>5940</v>
      </c>
      <c r="BP52" s="100">
        <v>15</v>
      </c>
      <c r="BQ52" s="100">
        <v>8100</v>
      </c>
      <c r="BR52" s="100">
        <v>9</v>
      </c>
      <c r="BS52" s="100">
        <v>4860</v>
      </c>
      <c r="BT52" s="100">
        <v>11</v>
      </c>
      <c r="BU52" s="100">
        <v>5940</v>
      </c>
      <c r="BV52" s="100">
        <v>9</v>
      </c>
      <c r="BW52" s="100">
        <v>4860</v>
      </c>
      <c r="BX52" s="100">
        <v>18</v>
      </c>
      <c r="BY52" s="100">
        <v>9720</v>
      </c>
      <c r="BZ52" s="100">
        <v>15</v>
      </c>
      <c r="CA52" s="100">
        <v>8100</v>
      </c>
      <c r="CB52" s="100">
        <v>16</v>
      </c>
      <c r="CC52" s="100">
        <v>8640</v>
      </c>
      <c r="CD52" s="100">
        <v>13</v>
      </c>
      <c r="CE52" s="100">
        <v>7020</v>
      </c>
      <c r="CF52" s="100">
        <v>12</v>
      </c>
      <c r="CG52" s="100">
        <v>6480</v>
      </c>
      <c r="CH52" s="100">
        <v>11</v>
      </c>
      <c r="CI52" s="100">
        <v>5940</v>
      </c>
      <c r="CJ52" s="100">
        <v>12</v>
      </c>
      <c r="CK52" s="100">
        <v>6480</v>
      </c>
      <c r="CL52" s="100">
        <v>11</v>
      </c>
      <c r="CM52" s="100">
        <v>5940</v>
      </c>
      <c r="CN52" s="100">
        <v>10</v>
      </c>
      <c r="CO52" s="100">
        <v>5400</v>
      </c>
      <c r="CP52" s="100">
        <v>15</v>
      </c>
      <c r="CQ52" s="100">
        <v>8100</v>
      </c>
      <c r="CR52" s="100">
        <v>14</v>
      </c>
      <c r="CS52" s="100">
        <v>7560</v>
      </c>
      <c r="CT52" s="100">
        <v>14</v>
      </c>
      <c r="CU52" s="100">
        <v>7560</v>
      </c>
    </row>
    <row r="53" spans="2:99">
      <c r="C53" s="99" t="s">
        <v>219</v>
      </c>
      <c r="D53" s="100">
        <v>14</v>
      </c>
      <c r="E53" s="100">
        <v>5695.2</v>
      </c>
      <c r="F53" s="100">
        <v>17</v>
      </c>
      <c r="G53" s="100">
        <v>6915.6</v>
      </c>
      <c r="H53" s="100">
        <v>11</v>
      </c>
      <c r="I53" s="100">
        <v>4474.8</v>
      </c>
      <c r="J53" s="100">
        <v>0.18049007606499898</v>
      </c>
      <c r="K53" s="100">
        <v>73.423362943241585</v>
      </c>
      <c r="L53" s="100">
        <v>12</v>
      </c>
      <c r="M53" s="100">
        <v>4881.6000000000004</v>
      </c>
      <c r="N53" s="100">
        <v>15</v>
      </c>
      <c r="O53" s="100">
        <v>6102</v>
      </c>
      <c r="P53" s="100">
        <v>11</v>
      </c>
      <c r="Q53" s="100">
        <v>4474.8</v>
      </c>
      <c r="R53" s="100">
        <v>3.8335063179770867</v>
      </c>
      <c r="S53" s="100">
        <v>1559.4703701530789</v>
      </c>
      <c r="T53" s="100">
        <v>7.3146339857005795</v>
      </c>
      <c r="U53" s="100">
        <v>2975.5931053829959</v>
      </c>
      <c r="V53" s="100">
        <v>9.4089699513429128</v>
      </c>
      <c r="W53" s="100">
        <v>3827.5689762062971</v>
      </c>
      <c r="X53" s="100">
        <v>10.666269703620124</v>
      </c>
      <c r="Y53" s="100">
        <v>4339.0385154326668</v>
      </c>
      <c r="Z53" s="100">
        <v>7.76438519312783</v>
      </c>
      <c r="AA53" s="100">
        <v>3158.5518965644014</v>
      </c>
      <c r="AB53" s="100">
        <v>14</v>
      </c>
      <c r="AC53" s="100">
        <v>5695.2</v>
      </c>
      <c r="AD53" s="100">
        <v>15</v>
      </c>
      <c r="AE53" s="100">
        <v>6102</v>
      </c>
      <c r="AF53" s="100">
        <v>10.618351252049498</v>
      </c>
      <c r="AG53" s="100">
        <v>4319.545289333736</v>
      </c>
      <c r="AH53" s="100">
        <v>12</v>
      </c>
      <c r="AI53" s="100">
        <v>4881.6000000000004</v>
      </c>
      <c r="AJ53" s="100">
        <v>11.539194376699456</v>
      </c>
      <c r="AK53" s="100">
        <v>4694.1442724413391</v>
      </c>
      <c r="AL53" s="100">
        <v>14.510967204665551</v>
      </c>
      <c r="AM53" s="100">
        <v>5903.0614588579465</v>
      </c>
      <c r="AN53" s="100">
        <v>7.1984982206046046</v>
      </c>
      <c r="AO53" s="100">
        <v>2928.3490761419534</v>
      </c>
      <c r="AP53" s="100">
        <v>9.3931482776298605</v>
      </c>
      <c r="AQ53" s="100">
        <v>3821.1327193398274</v>
      </c>
      <c r="AR53" s="100">
        <v>11</v>
      </c>
      <c r="AS53" s="100">
        <v>4474.8</v>
      </c>
      <c r="AT53" s="100">
        <v>13.295876476071754</v>
      </c>
      <c r="AU53" s="100">
        <v>5408.76255046599</v>
      </c>
      <c r="AV53" s="100">
        <v>11.574801452141102</v>
      </c>
      <c r="AW53" s="100">
        <v>4708.6292307310005</v>
      </c>
      <c r="AX53" s="100">
        <v>11.386374451757408</v>
      </c>
      <c r="AY53" s="100">
        <v>4631.9771269749135</v>
      </c>
      <c r="AZ53" s="100">
        <v>12</v>
      </c>
      <c r="BA53" s="100">
        <v>4881.6000000000004</v>
      </c>
      <c r="BB53" s="100">
        <v>12.393478205710776</v>
      </c>
      <c r="BC53" s="100">
        <v>5041.666934083144</v>
      </c>
      <c r="BD53" s="100">
        <v>12.421903431952364</v>
      </c>
      <c r="BE53" s="100">
        <v>5053.2303161182217</v>
      </c>
      <c r="BF53" s="100">
        <v>18.61278096655823</v>
      </c>
      <c r="BG53" s="100">
        <v>7571.6792971958885</v>
      </c>
      <c r="BH53" s="100">
        <v>15</v>
      </c>
      <c r="BI53" s="100">
        <v>6102</v>
      </c>
      <c r="BJ53" s="100">
        <v>13</v>
      </c>
      <c r="BK53" s="100">
        <v>5288.4000000000005</v>
      </c>
      <c r="BL53" s="100">
        <v>13</v>
      </c>
      <c r="BM53" s="100">
        <v>5288.4000000000005</v>
      </c>
      <c r="BN53" s="100">
        <v>10</v>
      </c>
      <c r="BO53" s="100">
        <v>4068</v>
      </c>
      <c r="BP53" s="100">
        <v>15</v>
      </c>
      <c r="BQ53" s="100">
        <v>6102</v>
      </c>
      <c r="BR53" s="100">
        <v>10</v>
      </c>
      <c r="BS53" s="100">
        <v>4068</v>
      </c>
      <c r="BT53" s="100">
        <v>10</v>
      </c>
      <c r="BU53" s="100">
        <v>4068</v>
      </c>
      <c r="BV53" s="100">
        <v>9</v>
      </c>
      <c r="BW53" s="100">
        <v>3661.2000000000003</v>
      </c>
      <c r="BX53" s="100">
        <v>17</v>
      </c>
      <c r="BY53" s="100">
        <v>6915.6</v>
      </c>
      <c r="BZ53" s="100">
        <v>13</v>
      </c>
      <c r="CA53" s="100">
        <v>5288.4000000000005</v>
      </c>
      <c r="CB53" s="100">
        <v>15</v>
      </c>
      <c r="CC53" s="100">
        <v>6102</v>
      </c>
      <c r="CD53" s="100">
        <v>13</v>
      </c>
      <c r="CE53" s="100">
        <v>5288.4000000000005</v>
      </c>
      <c r="CF53" s="100">
        <v>13</v>
      </c>
      <c r="CG53" s="100">
        <v>5288.4000000000005</v>
      </c>
      <c r="CH53" s="100">
        <v>11</v>
      </c>
      <c r="CI53" s="100">
        <v>4474.8</v>
      </c>
      <c r="CJ53" s="100">
        <v>12</v>
      </c>
      <c r="CK53" s="100">
        <v>4881.6000000000004</v>
      </c>
      <c r="CL53" s="100">
        <v>10</v>
      </c>
      <c r="CM53" s="100">
        <v>4068</v>
      </c>
      <c r="CN53" s="100">
        <v>10</v>
      </c>
      <c r="CO53" s="100">
        <v>4068</v>
      </c>
      <c r="CP53" s="100">
        <v>15</v>
      </c>
      <c r="CQ53" s="100">
        <v>6102</v>
      </c>
      <c r="CR53" s="100">
        <v>15</v>
      </c>
      <c r="CS53" s="100">
        <v>6102</v>
      </c>
      <c r="CT53" s="100">
        <v>15</v>
      </c>
      <c r="CU53" s="100">
        <v>6102</v>
      </c>
    </row>
    <row r="54" spans="2:99">
      <c r="C54" s="99" t="s">
        <v>220</v>
      </c>
      <c r="D54" s="100">
        <v>15</v>
      </c>
      <c r="E54" s="100">
        <v>5022</v>
      </c>
      <c r="F54" s="100">
        <v>18</v>
      </c>
      <c r="G54" s="100">
        <v>6026.4000000000005</v>
      </c>
      <c r="H54" s="100">
        <v>11</v>
      </c>
      <c r="I54" s="100">
        <v>3682.8</v>
      </c>
      <c r="J54" s="100">
        <v>0.21658809127799875</v>
      </c>
      <c r="K54" s="100">
        <v>72.513692959873978</v>
      </c>
      <c r="L54" s="100">
        <v>11</v>
      </c>
      <c r="M54" s="100">
        <v>3682.8</v>
      </c>
      <c r="N54" s="100">
        <v>16</v>
      </c>
      <c r="O54" s="100">
        <v>5356.8</v>
      </c>
      <c r="P54" s="100">
        <v>10</v>
      </c>
      <c r="Q54" s="100">
        <v>3348</v>
      </c>
      <c r="R54" s="100">
        <v>3.1365051692539803</v>
      </c>
      <c r="S54" s="100">
        <v>1050.1019306662326</v>
      </c>
      <c r="T54" s="100">
        <v>6.4003047374880069</v>
      </c>
      <c r="U54" s="100">
        <v>2142.8220261109846</v>
      </c>
      <c r="V54" s="100">
        <v>10.753108515820472</v>
      </c>
      <c r="W54" s="100">
        <v>3600.1407310966943</v>
      </c>
      <c r="X54" s="100">
        <v>11.635930585767408</v>
      </c>
      <c r="Y54" s="100">
        <v>3895.7095601149285</v>
      </c>
      <c r="Z54" s="100">
        <v>8.2820108726696855</v>
      </c>
      <c r="AA54" s="100">
        <v>2772.8172401698107</v>
      </c>
      <c r="AB54" s="100">
        <v>15</v>
      </c>
      <c r="AC54" s="100">
        <v>5022</v>
      </c>
      <c r="AD54" s="100">
        <v>15</v>
      </c>
      <c r="AE54" s="100">
        <v>5022</v>
      </c>
      <c r="AF54" s="100">
        <v>12.388076460724417</v>
      </c>
      <c r="AG54" s="100">
        <v>4147.5279990505351</v>
      </c>
      <c r="AH54" s="100">
        <v>12</v>
      </c>
      <c r="AI54" s="100">
        <v>4017.6000000000004</v>
      </c>
      <c r="AJ54" s="100">
        <v>11.539194376699456</v>
      </c>
      <c r="AK54" s="100">
        <v>3863.3222773189777</v>
      </c>
      <c r="AL54" s="100">
        <v>12.983496972595491</v>
      </c>
      <c r="AM54" s="100">
        <v>4346.8747864249708</v>
      </c>
      <c r="AN54" s="100">
        <v>5.7587985764836827</v>
      </c>
      <c r="AO54" s="100">
        <v>1928.045763406737</v>
      </c>
      <c r="AP54" s="100">
        <v>9.3931482776298605</v>
      </c>
      <c r="AQ54" s="100">
        <v>3144.8260433504774</v>
      </c>
      <c r="AR54" s="100">
        <v>9</v>
      </c>
      <c r="AS54" s="100">
        <v>3013.2000000000003</v>
      </c>
      <c r="AT54" s="100">
        <v>13.295876476071754</v>
      </c>
      <c r="AU54" s="100">
        <v>4451.4594441888239</v>
      </c>
      <c r="AV54" s="100">
        <v>11.574801452141102</v>
      </c>
      <c r="AW54" s="100">
        <v>3875.243526176841</v>
      </c>
      <c r="AX54" s="100">
        <v>10.573061990917594</v>
      </c>
      <c r="AY54" s="100">
        <v>3539.8611545592107</v>
      </c>
      <c r="AZ54" s="100">
        <v>12</v>
      </c>
      <c r="BA54" s="100">
        <v>4017.6000000000004</v>
      </c>
      <c r="BB54" s="100">
        <v>12.393478205710776</v>
      </c>
      <c r="BC54" s="100">
        <v>4149.3365032719685</v>
      </c>
      <c r="BD54" s="100">
        <v>13.377434465179471</v>
      </c>
      <c r="BE54" s="100">
        <v>4478.7650589420873</v>
      </c>
      <c r="BF54" s="100">
        <v>17.633160915686744</v>
      </c>
      <c r="BG54" s="100">
        <v>5903.5822745719224</v>
      </c>
      <c r="BH54" s="100">
        <v>16</v>
      </c>
      <c r="BI54" s="100">
        <v>5356.8</v>
      </c>
      <c r="BJ54" s="100">
        <v>13</v>
      </c>
      <c r="BK54" s="100">
        <v>4352.4000000000005</v>
      </c>
      <c r="BL54" s="100">
        <v>13</v>
      </c>
      <c r="BM54" s="100">
        <v>4352.4000000000005</v>
      </c>
      <c r="BN54" s="100">
        <v>11</v>
      </c>
      <c r="BO54" s="100">
        <v>3682.8</v>
      </c>
      <c r="BP54" s="100">
        <v>16</v>
      </c>
      <c r="BQ54" s="100">
        <v>5356.8</v>
      </c>
      <c r="BR54" s="100">
        <v>9</v>
      </c>
      <c r="BS54" s="100">
        <v>3013.2000000000003</v>
      </c>
      <c r="BT54" s="100">
        <v>11</v>
      </c>
      <c r="BU54" s="100">
        <v>3682.8</v>
      </c>
      <c r="BV54" s="100">
        <v>11</v>
      </c>
      <c r="BW54" s="100">
        <v>3682.8</v>
      </c>
      <c r="BX54" s="100">
        <v>19</v>
      </c>
      <c r="BY54" s="100">
        <v>6361.2</v>
      </c>
      <c r="BZ54" s="100">
        <v>16</v>
      </c>
      <c r="CA54" s="100">
        <v>5356.8</v>
      </c>
      <c r="CB54" s="100">
        <v>16</v>
      </c>
      <c r="CC54" s="100">
        <v>5356.8</v>
      </c>
      <c r="CD54" s="100">
        <v>12</v>
      </c>
      <c r="CE54" s="100">
        <v>4017.6000000000004</v>
      </c>
      <c r="CF54" s="100">
        <v>15</v>
      </c>
      <c r="CG54" s="100">
        <v>5022</v>
      </c>
      <c r="CH54" s="100">
        <v>10</v>
      </c>
      <c r="CI54" s="100">
        <v>3348</v>
      </c>
      <c r="CJ54" s="100">
        <v>14</v>
      </c>
      <c r="CK54" s="100">
        <v>4687.2</v>
      </c>
      <c r="CL54" s="100">
        <v>11</v>
      </c>
      <c r="CM54" s="100">
        <v>3682.8</v>
      </c>
      <c r="CN54" s="100">
        <v>10</v>
      </c>
      <c r="CO54" s="100">
        <v>3348</v>
      </c>
      <c r="CP54" s="100">
        <v>18</v>
      </c>
      <c r="CQ54" s="100">
        <v>6026.4000000000005</v>
      </c>
      <c r="CR54" s="100">
        <v>16</v>
      </c>
      <c r="CS54" s="100">
        <v>5356.8</v>
      </c>
      <c r="CT54" s="100">
        <v>16</v>
      </c>
      <c r="CU54" s="100">
        <v>5356.8</v>
      </c>
    </row>
    <row r="55" spans="2:99">
      <c r="C55" s="99" t="s">
        <v>221</v>
      </c>
      <c r="D55" s="100">
        <v>14</v>
      </c>
      <c r="E55" s="100">
        <v>9290.4</v>
      </c>
      <c r="F55" s="100">
        <v>17</v>
      </c>
      <c r="G55" s="100">
        <v>11281.2</v>
      </c>
      <c r="H55" s="100">
        <v>11</v>
      </c>
      <c r="I55" s="100">
        <v>7299.6</v>
      </c>
      <c r="J55" s="100">
        <v>0.18049007606499898</v>
      </c>
      <c r="K55" s="100">
        <v>119.77321447673333</v>
      </c>
      <c r="L55" s="100">
        <v>10</v>
      </c>
      <c r="M55" s="100">
        <v>6636</v>
      </c>
      <c r="N55" s="100">
        <v>14</v>
      </c>
      <c r="O55" s="100">
        <v>9290.4</v>
      </c>
      <c r="P55" s="100">
        <v>10</v>
      </c>
      <c r="Q55" s="100">
        <v>6636</v>
      </c>
      <c r="R55" s="100">
        <v>3.8335063179770867</v>
      </c>
      <c r="S55" s="100">
        <v>2543.9147926095948</v>
      </c>
      <c r="T55" s="100">
        <v>7.3146339857005795</v>
      </c>
      <c r="U55" s="100">
        <v>4853.991112910905</v>
      </c>
      <c r="V55" s="100">
        <v>9.4089699513429128</v>
      </c>
      <c r="W55" s="100">
        <v>6243.7924597111569</v>
      </c>
      <c r="X55" s="100">
        <v>10.666269703620124</v>
      </c>
      <c r="Y55" s="100">
        <v>7078.1365753223145</v>
      </c>
      <c r="Z55" s="100">
        <v>7.2467595135859746</v>
      </c>
      <c r="AA55" s="100">
        <v>4808.9496132156528</v>
      </c>
      <c r="AB55" s="100">
        <v>13</v>
      </c>
      <c r="AC55" s="100">
        <v>8626.8000000000011</v>
      </c>
      <c r="AD55" s="100">
        <v>14</v>
      </c>
      <c r="AE55" s="100">
        <v>9290.4</v>
      </c>
      <c r="AF55" s="100">
        <v>11.503213856386958</v>
      </c>
      <c r="AG55" s="100">
        <v>7633.5327150983858</v>
      </c>
      <c r="AH55" s="100">
        <v>12</v>
      </c>
      <c r="AI55" s="100">
        <v>7963.2000000000007</v>
      </c>
      <c r="AJ55" s="100">
        <v>12.426824713368644</v>
      </c>
      <c r="AK55" s="100">
        <v>8246.440879791433</v>
      </c>
      <c r="AL55" s="100">
        <v>11.456026740525434</v>
      </c>
      <c r="AM55" s="100">
        <v>7602.2193450126788</v>
      </c>
      <c r="AN55" s="100">
        <v>7.1984982206046046</v>
      </c>
      <c r="AO55" s="100">
        <v>4776.9234191932155</v>
      </c>
      <c r="AP55" s="100">
        <v>10.735026603005554</v>
      </c>
      <c r="AQ55" s="100">
        <v>7123.7636537544859</v>
      </c>
      <c r="AR55" s="100">
        <v>11</v>
      </c>
      <c r="AS55" s="100">
        <v>7299.6</v>
      </c>
      <c r="AT55" s="100">
        <v>11.633891916562785</v>
      </c>
      <c r="AU55" s="100">
        <v>7720.2506758310647</v>
      </c>
      <c r="AV55" s="100">
        <v>9.9212583875495142</v>
      </c>
      <c r="AW55" s="100">
        <v>6583.7470659778583</v>
      </c>
      <c r="AX55" s="100">
        <v>9.7597495300777783</v>
      </c>
      <c r="AY55" s="100">
        <v>6476.5697881596143</v>
      </c>
      <c r="AZ55" s="100">
        <v>13</v>
      </c>
      <c r="BA55" s="100">
        <v>8626.8000000000011</v>
      </c>
      <c r="BB55" s="100">
        <v>12.393478205710776</v>
      </c>
      <c r="BC55" s="100">
        <v>8224.312137309671</v>
      </c>
      <c r="BD55" s="100">
        <v>11.466372398725259</v>
      </c>
      <c r="BE55" s="100">
        <v>7609.0847237940816</v>
      </c>
      <c r="BF55" s="100">
        <v>17.633160915686744</v>
      </c>
      <c r="BG55" s="100">
        <v>11701.365583649724</v>
      </c>
      <c r="BH55" s="100">
        <v>15</v>
      </c>
      <c r="BI55" s="100">
        <v>9954</v>
      </c>
      <c r="BJ55" s="100">
        <v>13</v>
      </c>
      <c r="BK55" s="100">
        <v>8626.8000000000011</v>
      </c>
      <c r="BL55" s="100">
        <v>12</v>
      </c>
      <c r="BM55" s="100">
        <v>7963.2000000000007</v>
      </c>
      <c r="BN55" s="100">
        <v>10</v>
      </c>
      <c r="BO55" s="100">
        <v>6636</v>
      </c>
      <c r="BP55" s="100">
        <v>16</v>
      </c>
      <c r="BQ55" s="100">
        <v>10617.6</v>
      </c>
      <c r="BR55" s="100">
        <v>9</v>
      </c>
      <c r="BS55" s="100">
        <v>5972.4000000000005</v>
      </c>
      <c r="BT55" s="100">
        <v>10</v>
      </c>
      <c r="BU55" s="100">
        <v>6636</v>
      </c>
      <c r="BV55" s="100">
        <v>10</v>
      </c>
      <c r="BW55" s="100">
        <v>6636</v>
      </c>
      <c r="BX55" s="100">
        <v>17</v>
      </c>
      <c r="BY55" s="100">
        <v>11281.2</v>
      </c>
      <c r="BZ55" s="100">
        <v>14</v>
      </c>
      <c r="CA55" s="100">
        <v>9290.4</v>
      </c>
      <c r="CB55" s="100">
        <v>16</v>
      </c>
      <c r="CC55" s="100">
        <v>10617.6</v>
      </c>
      <c r="CD55" s="100">
        <v>12</v>
      </c>
      <c r="CE55" s="100">
        <v>7963.2000000000007</v>
      </c>
      <c r="CF55" s="100">
        <v>13</v>
      </c>
      <c r="CG55" s="100">
        <v>8626.8000000000011</v>
      </c>
      <c r="CH55" s="100">
        <v>11</v>
      </c>
      <c r="CI55" s="100">
        <v>7299.6</v>
      </c>
      <c r="CJ55" s="100">
        <v>13</v>
      </c>
      <c r="CK55" s="100">
        <v>8626.8000000000011</v>
      </c>
      <c r="CL55" s="100">
        <v>10</v>
      </c>
      <c r="CM55" s="100">
        <v>6636</v>
      </c>
      <c r="CN55" s="100">
        <v>9</v>
      </c>
      <c r="CO55" s="100">
        <v>5972.4000000000005</v>
      </c>
      <c r="CP55" s="100">
        <v>17</v>
      </c>
      <c r="CQ55" s="100">
        <v>11281.2</v>
      </c>
      <c r="CR55" s="100">
        <v>14</v>
      </c>
      <c r="CS55" s="100">
        <v>9290.4</v>
      </c>
      <c r="CT55" s="100">
        <v>15</v>
      </c>
      <c r="CU55" s="100">
        <v>9954</v>
      </c>
    </row>
    <row r="56" spans="2:99">
      <c r="C56" s="99" t="s">
        <v>222</v>
      </c>
      <c r="D56" s="100">
        <v>13</v>
      </c>
      <c r="E56" s="100">
        <v>12760.8</v>
      </c>
      <c r="F56" s="100">
        <v>16</v>
      </c>
      <c r="G56" s="100">
        <v>15705.599999999999</v>
      </c>
      <c r="H56" s="100">
        <v>10</v>
      </c>
      <c r="I56" s="100">
        <v>9816</v>
      </c>
      <c r="J56" s="100">
        <v>11</v>
      </c>
      <c r="K56" s="100">
        <v>10797.599999999999</v>
      </c>
      <c r="L56" s="100">
        <v>12</v>
      </c>
      <c r="M56" s="100">
        <v>11779.199999999999</v>
      </c>
      <c r="N56" s="100">
        <v>15</v>
      </c>
      <c r="O56" s="100">
        <v>14723.999999999998</v>
      </c>
      <c r="P56" s="100">
        <v>10</v>
      </c>
      <c r="Q56" s="100">
        <v>9816</v>
      </c>
      <c r="R56" s="100">
        <v>10</v>
      </c>
      <c r="S56" s="100">
        <v>9816</v>
      </c>
      <c r="T56" s="100">
        <v>13</v>
      </c>
      <c r="U56" s="100">
        <v>12760.8</v>
      </c>
      <c r="V56" s="100">
        <v>15</v>
      </c>
      <c r="W56" s="100">
        <v>14723.999999999998</v>
      </c>
      <c r="X56" s="100">
        <v>12</v>
      </c>
      <c r="Y56" s="100">
        <v>11779.199999999999</v>
      </c>
      <c r="Z56" s="100">
        <v>15</v>
      </c>
      <c r="AA56" s="100">
        <v>14723.999999999998</v>
      </c>
      <c r="AB56" s="100">
        <v>15</v>
      </c>
      <c r="AC56" s="100">
        <v>14723.999999999998</v>
      </c>
      <c r="AD56" s="100">
        <v>14</v>
      </c>
      <c r="AE56" s="100">
        <v>13742.399999999998</v>
      </c>
      <c r="AF56" s="100">
        <v>13</v>
      </c>
      <c r="AG56" s="100">
        <v>12760.8</v>
      </c>
      <c r="AH56" s="100">
        <v>12</v>
      </c>
      <c r="AI56" s="100">
        <v>11779.199999999999</v>
      </c>
      <c r="AJ56" s="100">
        <v>13</v>
      </c>
      <c r="AK56" s="100">
        <v>12760.8</v>
      </c>
      <c r="AL56" s="100">
        <v>18</v>
      </c>
      <c r="AM56" s="100">
        <v>17668.8</v>
      </c>
      <c r="AN56" s="100">
        <v>9</v>
      </c>
      <c r="AO56" s="100">
        <v>8834.4</v>
      </c>
      <c r="AP56" s="100">
        <v>14</v>
      </c>
      <c r="AQ56" s="100">
        <v>13742.399999999998</v>
      </c>
      <c r="AR56" s="100">
        <v>9</v>
      </c>
      <c r="AS56" s="100">
        <v>8834.4</v>
      </c>
      <c r="AT56" s="100">
        <v>15</v>
      </c>
      <c r="AU56" s="100">
        <v>14723.999999999998</v>
      </c>
      <c r="AV56" s="100">
        <v>12</v>
      </c>
      <c r="AW56" s="100">
        <v>11779.199999999999</v>
      </c>
      <c r="AX56" s="100">
        <v>12</v>
      </c>
      <c r="AY56" s="100">
        <v>11779.199999999999</v>
      </c>
      <c r="AZ56" s="100">
        <v>11</v>
      </c>
      <c r="BA56" s="100">
        <v>10797.599999999999</v>
      </c>
      <c r="BB56" s="100">
        <v>12</v>
      </c>
      <c r="BC56" s="100">
        <v>11779.199999999999</v>
      </c>
      <c r="BD56" s="100">
        <v>12</v>
      </c>
      <c r="BE56" s="100">
        <v>11779.199999999999</v>
      </c>
      <c r="BF56" s="100">
        <v>17</v>
      </c>
      <c r="BG56" s="100">
        <v>16687.199999999997</v>
      </c>
      <c r="BH56" s="100">
        <v>14</v>
      </c>
      <c r="BI56" s="100">
        <v>13742.399999999998</v>
      </c>
      <c r="BJ56" s="100">
        <v>13</v>
      </c>
      <c r="BK56" s="100">
        <v>12760.8</v>
      </c>
      <c r="BL56" s="100">
        <v>12</v>
      </c>
      <c r="BM56" s="100">
        <v>11779.199999999999</v>
      </c>
      <c r="BN56" s="100">
        <v>10</v>
      </c>
      <c r="BO56" s="100">
        <v>9816</v>
      </c>
      <c r="BP56" s="100">
        <v>13</v>
      </c>
      <c r="BQ56" s="100">
        <v>12760.8</v>
      </c>
      <c r="BR56" s="100">
        <v>9</v>
      </c>
      <c r="BS56" s="100">
        <v>8834.4</v>
      </c>
      <c r="BT56" s="100">
        <v>10</v>
      </c>
      <c r="BU56" s="100">
        <v>9816</v>
      </c>
      <c r="BV56" s="100">
        <v>9</v>
      </c>
      <c r="BW56" s="100">
        <v>8834.4</v>
      </c>
      <c r="BX56" s="100">
        <v>16</v>
      </c>
      <c r="BY56" s="100">
        <v>15705.599999999999</v>
      </c>
      <c r="BZ56" s="100">
        <v>12</v>
      </c>
      <c r="CA56" s="100">
        <v>11779.199999999999</v>
      </c>
      <c r="CB56" s="100">
        <v>14</v>
      </c>
      <c r="CC56" s="100">
        <v>13742.399999999998</v>
      </c>
      <c r="CD56" s="100">
        <v>11</v>
      </c>
      <c r="CE56" s="100">
        <v>10797.599999999999</v>
      </c>
      <c r="CF56" s="100">
        <v>13</v>
      </c>
      <c r="CG56" s="100">
        <v>12760.8</v>
      </c>
      <c r="CH56" s="100">
        <v>10</v>
      </c>
      <c r="CI56" s="100">
        <v>9816</v>
      </c>
      <c r="CJ56" s="100">
        <v>13</v>
      </c>
      <c r="CK56" s="100">
        <v>12760.8</v>
      </c>
      <c r="CL56" s="100">
        <v>11</v>
      </c>
      <c r="CM56" s="100">
        <v>10797.599999999999</v>
      </c>
      <c r="CN56" s="100">
        <v>9</v>
      </c>
      <c r="CO56" s="100">
        <v>8834.4</v>
      </c>
      <c r="CP56" s="100">
        <v>16</v>
      </c>
      <c r="CQ56" s="100">
        <v>15705.599999999999</v>
      </c>
      <c r="CR56" s="100">
        <v>15</v>
      </c>
      <c r="CS56" s="100">
        <v>14723.999999999998</v>
      </c>
      <c r="CT56" s="100">
        <v>14</v>
      </c>
      <c r="CU56" s="100">
        <v>13742.399999999998</v>
      </c>
    </row>
    <row r="57" spans="2:99">
      <c r="C57" s="99" t="s">
        <v>223</v>
      </c>
      <c r="D57" s="100">
        <v>12</v>
      </c>
      <c r="E57" s="100">
        <v>16934.400000000001</v>
      </c>
      <c r="F57" s="100">
        <v>16</v>
      </c>
      <c r="G57" s="100">
        <v>22579.200000000001</v>
      </c>
      <c r="H57" s="100">
        <v>9</v>
      </c>
      <c r="I57" s="100">
        <v>12700.800000000001</v>
      </c>
      <c r="J57" s="100">
        <v>0.16244106845849904</v>
      </c>
      <c r="K57" s="100">
        <v>229.23683580863386</v>
      </c>
      <c r="L57" s="100">
        <v>11</v>
      </c>
      <c r="M57" s="100">
        <v>15523.2</v>
      </c>
      <c r="N57" s="100">
        <v>13</v>
      </c>
      <c r="O57" s="100">
        <v>18345.600000000002</v>
      </c>
      <c r="P57" s="100">
        <v>9</v>
      </c>
      <c r="Q57" s="100">
        <v>12700.800000000001</v>
      </c>
      <c r="R57" s="100">
        <v>3.1365051692539803</v>
      </c>
      <c r="S57" s="100">
        <v>4426.2360948512169</v>
      </c>
      <c r="T57" s="100">
        <v>5.9431401133817205</v>
      </c>
      <c r="U57" s="100">
        <v>8386.9593280042845</v>
      </c>
      <c r="V57" s="100">
        <v>9.4089699513429128</v>
      </c>
      <c r="W57" s="100">
        <v>13277.938395335119</v>
      </c>
      <c r="X57" s="100">
        <v>10.666269703620124</v>
      </c>
      <c r="Y57" s="100">
        <v>15052.239805748719</v>
      </c>
      <c r="Z57" s="100">
        <v>6.7291338340441191</v>
      </c>
      <c r="AA57" s="100">
        <v>9496.1536666030606</v>
      </c>
      <c r="AB57" s="100">
        <v>15</v>
      </c>
      <c r="AC57" s="100">
        <v>21168</v>
      </c>
      <c r="AD57" s="100">
        <v>13</v>
      </c>
      <c r="AE57" s="100">
        <v>18345.600000000002</v>
      </c>
      <c r="AF57" s="100">
        <v>9.7334886477120417</v>
      </c>
      <c r="AG57" s="100">
        <v>13735.899179651235</v>
      </c>
      <c r="AH57" s="100">
        <v>11</v>
      </c>
      <c r="AI57" s="100">
        <v>15523.2</v>
      </c>
      <c r="AJ57" s="100">
        <v>10.651564040030266</v>
      </c>
      <c r="AK57" s="100">
        <v>15031.487173290712</v>
      </c>
      <c r="AL57" s="100">
        <v>12.219761856560464</v>
      </c>
      <c r="AM57" s="100">
        <v>17244.527931978126</v>
      </c>
      <c r="AN57" s="100">
        <v>6.4786483985441432</v>
      </c>
      <c r="AO57" s="100">
        <v>9142.6686200254953</v>
      </c>
      <c r="AP57" s="100">
        <v>8.7222091149420145</v>
      </c>
      <c r="AQ57" s="100">
        <v>12308.781503006172</v>
      </c>
      <c r="AR57" s="100">
        <v>10</v>
      </c>
      <c r="AS57" s="100">
        <v>14112</v>
      </c>
      <c r="AT57" s="100">
        <v>9.9719073570538175</v>
      </c>
      <c r="AU57" s="100">
        <v>14072.355662274347</v>
      </c>
      <c r="AV57" s="100">
        <v>10.748029919845306</v>
      </c>
      <c r="AW57" s="100">
        <v>15167.619822885697</v>
      </c>
      <c r="AX57" s="100">
        <v>9.7597495300777783</v>
      </c>
      <c r="AY57" s="100">
        <v>13772.958536845761</v>
      </c>
      <c r="AZ57" s="100">
        <v>11</v>
      </c>
      <c r="BA57" s="100">
        <v>15523.2</v>
      </c>
      <c r="BB57" s="100">
        <v>11.440133728348409</v>
      </c>
      <c r="BC57" s="100">
        <v>16144.316717445276</v>
      </c>
      <c r="BD57" s="100">
        <v>10.510841365498154</v>
      </c>
      <c r="BE57" s="100">
        <v>14832.899334990994</v>
      </c>
      <c r="BF57" s="100">
        <v>16.653540864815255</v>
      </c>
      <c r="BG57" s="100">
        <v>23501.476868427289</v>
      </c>
      <c r="BH57" s="100">
        <v>14</v>
      </c>
      <c r="BI57" s="100">
        <v>19756.8</v>
      </c>
      <c r="BJ57" s="100">
        <v>12</v>
      </c>
      <c r="BK57" s="100">
        <v>16934.400000000001</v>
      </c>
      <c r="BL57" s="100">
        <v>11</v>
      </c>
      <c r="BM57" s="100">
        <v>15523.2</v>
      </c>
      <c r="BN57" s="100">
        <v>11</v>
      </c>
      <c r="BO57" s="100">
        <v>15523.2</v>
      </c>
      <c r="BP57" s="100">
        <v>13</v>
      </c>
      <c r="BQ57" s="100">
        <v>18345.600000000002</v>
      </c>
      <c r="BR57" s="100">
        <v>8</v>
      </c>
      <c r="BS57" s="100">
        <v>11289.6</v>
      </c>
      <c r="BT57" s="100">
        <v>9</v>
      </c>
      <c r="BU57" s="100">
        <v>12700.800000000001</v>
      </c>
      <c r="BV57" s="100">
        <v>9</v>
      </c>
      <c r="BW57" s="100">
        <v>12700.800000000001</v>
      </c>
      <c r="BX57" s="100">
        <v>15</v>
      </c>
      <c r="BY57" s="100">
        <v>21168</v>
      </c>
      <c r="BZ57" s="100">
        <v>12</v>
      </c>
      <c r="CA57" s="100">
        <v>16934.400000000001</v>
      </c>
      <c r="CB57" s="100">
        <v>14</v>
      </c>
      <c r="CC57" s="100">
        <v>19756.8</v>
      </c>
      <c r="CD57" s="100">
        <v>11</v>
      </c>
      <c r="CE57" s="100">
        <v>15523.2</v>
      </c>
      <c r="CF57" s="100">
        <v>13</v>
      </c>
      <c r="CG57" s="100">
        <v>18345.600000000002</v>
      </c>
      <c r="CH57" s="100">
        <v>11</v>
      </c>
      <c r="CI57" s="100">
        <v>15523.2</v>
      </c>
      <c r="CJ57" s="100">
        <v>10</v>
      </c>
      <c r="CK57" s="100">
        <v>14112</v>
      </c>
      <c r="CL57" s="100">
        <v>9</v>
      </c>
      <c r="CM57" s="100">
        <v>12700.800000000001</v>
      </c>
      <c r="CN57" s="100">
        <v>8</v>
      </c>
      <c r="CO57" s="100">
        <v>11289.6</v>
      </c>
      <c r="CP57" s="100">
        <v>15</v>
      </c>
      <c r="CQ57" s="100">
        <v>21168</v>
      </c>
      <c r="CR57" s="100">
        <v>14</v>
      </c>
      <c r="CS57" s="100">
        <v>19756.8</v>
      </c>
      <c r="CT57" s="100">
        <v>15</v>
      </c>
      <c r="CU57" s="100">
        <v>21168</v>
      </c>
    </row>
    <row r="58" spans="2:99">
      <c r="C58" s="99" t="s">
        <v>224</v>
      </c>
      <c r="D58" s="100">
        <v>13</v>
      </c>
      <c r="E58" s="100">
        <v>15303.6</v>
      </c>
      <c r="F58" s="100">
        <v>15</v>
      </c>
      <c r="G58" s="100">
        <v>17658</v>
      </c>
      <c r="H58" s="100">
        <v>9</v>
      </c>
      <c r="I58" s="100">
        <v>10594.800000000001</v>
      </c>
      <c r="J58" s="100">
        <v>10</v>
      </c>
      <c r="K58" s="100">
        <v>11772</v>
      </c>
      <c r="L58" s="100">
        <v>11</v>
      </c>
      <c r="M58" s="100">
        <v>12949.2</v>
      </c>
      <c r="N58" s="100">
        <v>14</v>
      </c>
      <c r="O58" s="100">
        <v>16480.8</v>
      </c>
      <c r="P58" s="100">
        <v>9</v>
      </c>
      <c r="Q58" s="100">
        <v>10594.800000000001</v>
      </c>
      <c r="R58" s="100">
        <v>8</v>
      </c>
      <c r="S58" s="100">
        <v>9417.6</v>
      </c>
      <c r="T58" s="100">
        <v>14</v>
      </c>
      <c r="U58" s="100">
        <v>16480.8</v>
      </c>
      <c r="V58" s="100">
        <v>14</v>
      </c>
      <c r="W58" s="100">
        <v>16480.8</v>
      </c>
      <c r="X58" s="100">
        <v>10</v>
      </c>
      <c r="Y58" s="100">
        <v>11772</v>
      </c>
      <c r="Z58" s="100">
        <v>13</v>
      </c>
      <c r="AA58" s="100">
        <v>15303.6</v>
      </c>
      <c r="AB58" s="100">
        <v>15</v>
      </c>
      <c r="AC58" s="100">
        <v>17658</v>
      </c>
      <c r="AD58" s="100">
        <v>12</v>
      </c>
      <c r="AE58" s="100">
        <v>14126.400000000001</v>
      </c>
      <c r="AF58" s="100">
        <v>14</v>
      </c>
      <c r="AG58" s="100">
        <v>16480.8</v>
      </c>
      <c r="AH58" s="100">
        <v>11</v>
      </c>
      <c r="AI58" s="100">
        <v>12949.2</v>
      </c>
      <c r="AJ58" s="100">
        <v>13</v>
      </c>
      <c r="AK58" s="100">
        <v>15303.6</v>
      </c>
      <c r="AL58" s="100">
        <v>16</v>
      </c>
      <c r="AM58" s="100">
        <v>18835.2</v>
      </c>
      <c r="AN58" s="100">
        <v>8</v>
      </c>
      <c r="AO58" s="100">
        <v>9417.6</v>
      </c>
      <c r="AP58" s="100">
        <v>14</v>
      </c>
      <c r="AQ58" s="100">
        <v>16480.8</v>
      </c>
      <c r="AR58" s="100">
        <v>10</v>
      </c>
      <c r="AS58" s="100">
        <v>11772</v>
      </c>
      <c r="AT58" s="100">
        <v>14</v>
      </c>
      <c r="AU58" s="100">
        <v>16480.8</v>
      </c>
      <c r="AV58" s="100">
        <v>11</v>
      </c>
      <c r="AW58" s="100">
        <v>12949.2</v>
      </c>
      <c r="AX58" s="100">
        <v>13</v>
      </c>
      <c r="AY58" s="100">
        <v>15303.6</v>
      </c>
      <c r="AZ58" s="100">
        <v>12</v>
      </c>
      <c r="BA58" s="100">
        <v>14126.400000000001</v>
      </c>
      <c r="BB58" s="100">
        <v>9.1027355127486675</v>
      </c>
      <c r="BC58" s="100">
        <v>10715.740245607733</v>
      </c>
      <c r="BD58" s="100">
        <v>8.719241569769214E-21</v>
      </c>
      <c r="BE58" s="100">
        <v>1.026429117593232E-17</v>
      </c>
      <c r="BF58" s="100">
        <v>3.3715843125451695E-21</v>
      </c>
      <c r="BG58" s="100">
        <v>3.9690290527281739E-18</v>
      </c>
      <c r="BH58" s="100">
        <v>13</v>
      </c>
      <c r="BI58" s="100">
        <v>15303.6</v>
      </c>
      <c r="BJ58" s="100">
        <v>11</v>
      </c>
      <c r="BK58" s="100">
        <v>12949.2</v>
      </c>
      <c r="BL58" s="100">
        <v>11</v>
      </c>
      <c r="BM58" s="100">
        <v>12949.2</v>
      </c>
      <c r="BN58" s="100">
        <v>9</v>
      </c>
      <c r="BO58" s="100">
        <v>10594.800000000001</v>
      </c>
      <c r="BP58" s="100">
        <v>15</v>
      </c>
      <c r="BQ58" s="100">
        <v>17658</v>
      </c>
      <c r="BR58" s="100">
        <v>8</v>
      </c>
      <c r="BS58" s="100">
        <v>9417.6</v>
      </c>
      <c r="BT58" s="100">
        <v>10</v>
      </c>
      <c r="BU58" s="100">
        <v>11772</v>
      </c>
      <c r="BV58" s="100">
        <v>10</v>
      </c>
      <c r="BW58" s="100">
        <v>11772</v>
      </c>
      <c r="BX58" s="100">
        <v>17</v>
      </c>
      <c r="BY58" s="100">
        <v>20012.400000000001</v>
      </c>
      <c r="BZ58" s="100">
        <v>15</v>
      </c>
      <c r="CA58" s="100">
        <v>17658</v>
      </c>
      <c r="CB58" s="100">
        <v>16</v>
      </c>
      <c r="CC58" s="100">
        <v>18835.2</v>
      </c>
      <c r="CD58" s="100">
        <v>11</v>
      </c>
      <c r="CE58" s="100">
        <v>12949.2</v>
      </c>
      <c r="CF58" s="100">
        <v>13</v>
      </c>
      <c r="CG58" s="100">
        <v>15303.6</v>
      </c>
      <c r="CH58" s="100">
        <v>9</v>
      </c>
      <c r="CI58" s="100">
        <v>10594.800000000001</v>
      </c>
      <c r="CJ58" s="100">
        <v>12</v>
      </c>
      <c r="CK58" s="100">
        <v>14126.400000000001</v>
      </c>
      <c r="CL58" s="100">
        <v>10</v>
      </c>
      <c r="CM58" s="100">
        <v>11772</v>
      </c>
      <c r="CN58" s="100">
        <v>8</v>
      </c>
      <c r="CO58" s="100">
        <v>9417.6</v>
      </c>
      <c r="CP58" s="100">
        <v>15</v>
      </c>
      <c r="CQ58" s="100">
        <v>17658</v>
      </c>
      <c r="CR58" s="100">
        <v>15</v>
      </c>
      <c r="CS58" s="100">
        <v>17658</v>
      </c>
      <c r="CT58" s="100">
        <v>16</v>
      </c>
      <c r="CU58" s="100">
        <v>18835.2</v>
      </c>
    </row>
    <row r="59" spans="2:99">
      <c r="C59" s="99" t="s">
        <v>225</v>
      </c>
      <c r="D59" s="100">
        <v>13</v>
      </c>
      <c r="E59" s="100">
        <v>3946.7999999999997</v>
      </c>
      <c r="F59" s="100">
        <v>17</v>
      </c>
      <c r="G59" s="100">
        <v>5161.2</v>
      </c>
      <c r="H59" s="100">
        <v>12</v>
      </c>
      <c r="I59" s="100">
        <v>3643.2</v>
      </c>
      <c r="J59" s="100">
        <v>0.21658809127799875</v>
      </c>
      <c r="K59" s="100">
        <v>65.756144512000418</v>
      </c>
      <c r="L59" s="100">
        <v>12</v>
      </c>
      <c r="M59" s="100">
        <v>3643.2</v>
      </c>
      <c r="N59" s="100">
        <v>16</v>
      </c>
      <c r="O59" s="100">
        <v>4857.5999999999995</v>
      </c>
      <c r="P59" s="100">
        <v>11</v>
      </c>
      <c r="Q59" s="100">
        <v>3339.5999999999995</v>
      </c>
      <c r="R59" s="100">
        <v>3.4850057436155328</v>
      </c>
      <c r="S59" s="100">
        <v>1058.0477437616757</v>
      </c>
      <c r="T59" s="100">
        <v>6.4003047374880069</v>
      </c>
      <c r="U59" s="100">
        <v>1943.1325183013587</v>
      </c>
      <c r="V59" s="100">
        <v>10.753108515820472</v>
      </c>
      <c r="W59" s="100">
        <v>3264.6437454030947</v>
      </c>
      <c r="X59" s="100">
        <v>10.666269703620124</v>
      </c>
      <c r="Y59" s="100">
        <v>3238.2794820190693</v>
      </c>
      <c r="Z59" s="100">
        <v>7.76438519312783</v>
      </c>
      <c r="AA59" s="100">
        <v>2357.2673446336089</v>
      </c>
      <c r="AB59" s="100">
        <v>16</v>
      </c>
      <c r="AC59" s="100">
        <v>4857.5999999999995</v>
      </c>
      <c r="AD59" s="100">
        <v>14</v>
      </c>
      <c r="AE59" s="100">
        <v>4250.3999999999996</v>
      </c>
      <c r="AF59" s="100">
        <v>12.388076460724417</v>
      </c>
      <c r="AG59" s="100">
        <v>3761.0200134759325</v>
      </c>
      <c r="AH59" s="100">
        <v>12</v>
      </c>
      <c r="AI59" s="100">
        <v>3643.2</v>
      </c>
      <c r="AJ59" s="100">
        <v>11.539194376699456</v>
      </c>
      <c r="AK59" s="100">
        <v>3503.2994127659545</v>
      </c>
      <c r="AL59" s="100">
        <v>12.983496972595491</v>
      </c>
      <c r="AM59" s="100">
        <v>3941.7896808799906</v>
      </c>
      <c r="AN59" s="100">
        <v>7.1984982206046046</v>
      </c>
      <c r="AO59" s="100">
        <v>2185.4640597755579</v>
      </c>
      <c r="AP59" s="100">
        <v>10.735026603005554</v>
      </c>
      <c r="AQ59" s="100">
        <v>3259.1540766724861</v>
      </c>
      <c r="AR59" s="100">
        <v>10</v>
      </c>
      <c r="AS59" s="100">
        <v>3035.9999999999995</v>
      </c>
      <c r="AT59" s="100">
        <v>13.295876476071754</v>
      </c>
      <c r="AU59" s="100">
        <v>4036.6280981353843</v>
      </c>
      <c r="AV59" s="100">
        <v>11.574801452141102</v>
      </c>
      <c r="AW59" s="100">
        <v>3514.109720870038</v>
      </c>
      <c r="AX59" s="100">
        <v>10.573061990917594</v>
      </c>
      <c r="AY59" s="100">
        <v>3209.9816204425811</v>
      </c>
      <c r="AZ59" s="100">
        <v>13</v>
      </c>
      <c r="BA59" s="100">
        <v>3946.7999999999997</v>
      </c>
      <c r="BB59" s="100">
        <v>12.393478205710776</v>
      </c>
      <c r="BC59" s="100">
        <v>3762.6599832537913</v>
      </c>
      <c r="BD59" s="100">
        <v>12.421903431952364</v>
      </c>
      <c r="BE59" s="100">
        <v>3771.2898819407374</v>
      </c>
      <c r="BF59" s="100">
        <v>18.61278096655823</v>
      </c>
      <c r="BG59" s="100">
        <v>5650.8403014470778</v>
      </c>
      <c r="BH59" s="100">
        <v>14</v>
      </c>
      <c r="BI59" s="100">
        <v>4250.3999999999996</v>
      </c>
      <c r="BJ59" s="100">
        <v>13</v>
      </c>
      <c r="BK59" s="100">
        <v>3946.7999999999997</v>
      </c>
      <c r="BL59" s="100">
        <v>12</v>
      </c>
      <c r="BM59" s="100">
        <v>3643.2</v>
      </c>
      <c r="BN59" s="100">
        <v>10</v>
      </c>
      <c r="BO59" s="100">
        <v>3035.9999999999995</v>
      </c>
      <c r="BP59" s="100">
        <v>17</v>
      </c>
      <c r="BQ59" s="100">
        <v>5161.2</v>
      </c>
      <c r="BR59" s="100">
        <v>10</v>
      </c>
      <c r="BS59" s="100">
        <v>3035.9999999999995</v>
      </c>
      <c r="BT59" s="100">
        <v>12</v>
      </c>
      <c r="BU59" s="100">
        <v>3643.2</v>
      </c>
      <c r="BV59" s="100">
        <v>9</v>
      </c>
      <c r="BW59" s="100">
        <v>2732.3999999999996</v>
      </c>
      <c r="BX59" s="100">
        <v>18</v>
      </c>
      <c r="BY59" s="100">
        <v>5464.7999999999993</v>
      </c>
      <c r="BZ59" s="100">
        <v>14</v>
      </c>
      <c r="CA59" s="100">
        <v>4250.3999999999996</v>
      </c>
      <c r="CB59" s="100">
        <v>17</v>
      </c>
      <c r="CC59" s="100">
        <v>5161.2</v>
      </c>
      <c r="CD59" s="100">
        <v>11</v>
      </c>
      <c r="CE59" s="100">
        <v>3339.5999999999995</v>
      </c>
      <c r="CF59" s="100">
        <v>12</v>
      </c>
      <c r="CG59" s="100">
        <v>3643.2</v>
      </c>
      <c r="CH59" s="100">
        <v>10</v>
      </c>
      <c r="CI59" s="100">
        <v>3035.9999999999995</v>
      </c>
      <c r="CJ59" s="100">
        <v>14</v>
      </c>
      <c r="CK59" s="100">
        <v>4250.3999999999996</v>
      </c>
      <c r="CL59" s="100">
        <v>12</v>
      </c>
      <c r="CM59" s="100">
        <v>3643.2</v>
      </c>
      <c r="CN59" s="100">
        <v>9</v>
      </c>
      <c r="CO59" s="100">
        <v>2732.3999999999996</v>
      </c>
      <c r="CP59" s="100">
        <v>17</v>
      </c>
      <c r="CQ59" s="100">
        <v>5161.2</v>
      </c>
      <c r="CR59" s="100">
        <v>14</v>
      </c>
      <c r="CS59" s="100">
        <v>4250.3999999999996</v>
      </c>
      <c r="CT59" s="100">
        <v>16</v>
      </c>
      <c r="CU59" s="100">
        <v>4857.5999999999995</v>
      </c>
    </row>
    <row r="60" spans="2:99">
      <c r="C60" s="99" t="s">
        <v>226</v>
      </c>
      <c r="D60" s="100">
        <v>13</v>
      </c>
      <c r="E60" s="100">
        <v>8470.8000000000011</v>
      </c>
      <c r="F60" s="100">
        <v>17</v>
      </c>
      <c r="G60" s="100">
        <v>11077.2</v>
      </c>
      <c r="H60" s="100">
        <v>12</v>
      </c>
      <c r="I60" s="100">
        <v>7819.2000000000007</v>
      </c>
      <c r="J60" s="100">
        <v>0.18049007606499898</v>
      </c>
      <c r="K60" s="100">
        <v>117.60733356395333</v>
      </c>
      <c r="L60" s="100">
        <v>10</v>
      </c>
      <c r="M60" s="100">
        <v>6516</v>
      </c>
      <c r="N60" s="100">
        <v>15</v>
      </c>
      <c r="O60" s="100">
        <v>9774</v>
      </c>
      <c r="P60" s="100">
        <v>10</v>
      </c>
      <c r="Q60" s="100">
        <v>6516</v>
      </c>
      <c r="R60" s="100">
        <v>3.4850057436155328</v>
      </c>
      <c r="S60" s="100">
        <v>2270.8297425398814</v>
      </c>
      <c r="T60" s="100">
        <v>6.4003047374880069</v>
      </c>
      <c r="U60" s="100">
        <v>4170.4385669471858</v>
      </c>
      <c r="V60" s="100">
        <v>9.4089699513429128</v>
      </c>
      <c r="W60" s="100">
        <v>6130.8848202950421</v>
      </c>
      <c r="X60" s="100">
        <v>10.666269703620124</v>
      </c>
      <c r="Y60" s="100">
        <v>6950.1413388788733</v>
      </c>
      <c r="Z60" s="100">
        <v>7.2467595135859746</v>
      </c>
      <c r="AA60" s="100">
        <v>4721.9884990526216</v>
      </c>
      <c r="AB60" s="100">
        <v>15</v>
      </c>
      <c r="AC60" s="100">
        <v>9774</v>
      </c>
      <c r="AD60" s="100">
        <v>15</v>
      </c>
      <c r="AE60" s="100">
        <v>9774</v>
      </c>
      <c r="AF60" s="100">
        <v>12.388076460724417</v>
      </c>
      <c r="AG60" s="100">
        <v>8072.0706218080304</v>
      </c>
      <c r="AH60" s="100">
        <v>12</v>
      </c>
      <c r="AI60" s="100">
        <v>7819.2000000000007</v>
      </c>
      <c r="AJ60" s="100">
        <v>10.651564040030266</v>
      </c>
      <c r="AK60" s="100">
        <v>6940.559128483721</v>
      </c>
      <c r="AL60" s="100">
        <v>12.219761856560464</v>
      </c>
      <c r="AM60" s="100">
        <v>7962.3968257347988</v>
      </c>
      <c r="AN60" s="100">
        <v>7.1984982206046046</v>
      </c>
      <c r="AO60" s="100">
        <v>4690.5414405459605</v>
      </c>
      <c r="AP60" s="100">
        <v>10.064087440317708</v>
      </c>
      <c r="AQ60" s="100">
        <v>6557.7593761110193</v>
      </c>
      <c r="AR60" s="100">
        <v>10</v>
      </c>
      <c r="AS60" s="100">
        <v>6516</v>
      </c>
      <c r="AT60" s="100">
        <v>12.464884196317271</v>
      </c>
      <c r="AU60" s="100">
        <v>8122.1185423203342</v>
      </c>
      <c r="AV60" s="100">
        <v>9.9212583875495142</v>
      </c>
      <c r="AW60" s="100">
        <v>6464.6919653272635</v>
      </c>
      <c r="AX60" s="100">
        <v>9.7597495300777783</v>
      </c>
      <c r="AY60" s="100">
        <v>6359.4527937986804</v>
      </c>
      <c r="AZ60" s="100">
        <v>12</v>
      </c>
      <c r="BA60" s="100">
        <v>7819.2000000000007</v>
      </c>
      <c r="BB60" s="100">
        <v>10.486789250986041</v>
      </c>
      <c r="BC60" s="100">
        <v>6833.1918759425043</v>
      </c>
      <c r="BD60" s="100">
        <v>11.466372398725259</v>
      </c>
      <c r="BE60" s="100">
        <v>7471.4882550093789</v>
      </c>
      <c r="BF60" s="100">
        <v>14.694300763072286</v>
      </c>
      <c r="BG60" s="100">
        <v>9574.806377217903</v>
      </c>
      <c r="BH60" s="100">
        <v>16</v>
      </c>
      <c r="BI60" s="100">
        <v>10425.6</v>
      </c>
      <c r="BJ60" s="100">
        <v>13</v>
      </c>
      <c r="BK60" s="100">
        <v>8470.8000000000011</v>
      </c>
      <c r="BL60" s="100">
        <v>13</v>
      </c>
      <c r="BM60" s="100">
        <v>8470.8000000000011</v>
      </c>
      <c r="BN60" s="100">
        <v>10</v>
      </c>
      <c r="BO60" s="100">
        <v>6516</v>
      </c>
      <c r="BP60" s="100">
        <v>13</v>
      </c>
      <c r="BQ60" s="100">
        <v>8470.8000000000011</v>
      </c>
      <c r="BR60" s="100">
        <v>9</v>
      </c>
      <c r="BS60" s="100">
        <v>5864.4000000000005</v>
      </c>
      <c r="BT60" s="100">
        <v>9</v>
      </c>
      <c r="BU60" s="100">
        <v>5864.4000000000005</v>
      </c>
      <c r="BV60" s="100">
        <v>10</v>
      </c>
      <c r="BW60" s="100">
        <v>6516</v>
      </c>
      <c r="BX60" s="100">
        <v>17</v>
      </c>
      <c r="BY60" s="100">
        <v>11077.2</v>
      </c>
      <c r="BZ60" s="100">
        <v>14</v>
      </c>
      <c r="CA60" s="100">
        <v>9122.4</v>
      </c>
      <c r="CB60" s="100">
        <v>17</v>
      </c>
      <c r="CC60" s="100">
        <v>11077.2</v>
      </c>
      <c r="CD60" s="100">
        <v>12</v>
      </c>
      <c r="CE60" s="100">
        <v>7819.2000000000007</v>
      </c>
      <c r="CF60" s="100">
        <v>13</v>
      </c>
      <c r="CG60" s="100">
        <v>8470.8000000000011</v>
      </c>
      <c r="CH60" s="100">
        <v>10</v>
      </c>
      <c r="CI60" s="100">
        <v>6516</v>
      </c>
      <c r="CJ60" s="100">
        <v>13</v>
      </c>
      <c r="CK60" s="100">
        <v>8470.8000000000011</v>
      </c>
      <c r="CL60" s="100">
        <v>11</v>
      </c>
      <c r="CM60" s="100">
        <v>7167.6</v>
      </c>
      <c r="CN60" s="100">
        <v>9</v>
      </c>
      <c r="CO60" s="100">
        <v>5864.4000000000005</v>
      </c>
      <c r="CP60" s="100">
        <v>17</v>
      </c>
      <c r="CQ60" s="100">
        <v>11077.2</v>
      </c>
      <c r="CR60" s="100">
        <v>14</v>
      </c>
      <c r="CS60" s="100">
        <v>9122.4</v>
      </c>
      <c r="CT60" s="100">
        <v>15</v>
      </c>
      <c r="CU60" s="100">
        <v>9774</v>
      </c>
    </row>
    <row r="61" spans="2:99">
      <c r="C61" s="99" t="s">
        <v>227</v>
      </c>
      <c r="D61" s="100">
        <v>14</v>
      </c>
      <c r="E61" s="100">
        <v>13322.399999999998</v>
      </c>
      <c r="F61" s="100">
        <v>15</v>
      </c>
      <c r="G61" s="100">
        <v>14273.999999999998</v>
      </c>
      <c r="H61" s="100">
        <v>11</v>
      </c>
      <c r="I61" s="100">
        <v>10467.599999999999</v>
      </c>
      <c r="J61" s="100">
        <v>0.18049007606499898</v>
      </c>
      <c r="K61" s="100">
        <v>171.754356383453</v>
      </c>
      <c r="L61" s="100">
        <v>11</v>
      </c>
      <c r="M61" s="100">
        <v>10467.599999999999</v>
      </c>
      <c r="N61" s="100">
        <v>15</v>
      </c>
      <c r="O61" s="100">
        <v>14273.999999999998</v>
      </c>
      <c r="P61" s="100">
        <v>10</v>
      </c>
      <c r="Q61" s="100">
        <v>9516</v>
      </c>
      <c r="R61" s="100">
        <v>3.4850057436155328</v>
      </c>
      <c r="S61" s="100">
        <v>3316.3314656245407</v>
      </c>
      <c r="T61" s="100">
        <v>5.9431401133817205</v>
      </c>
      <c r="U61" s="100">
        <v>5655.4921318940451</v>
      </c>
      <c r="V61" s="100">
        <v>10.081039233581691</v>
      </c>
      <c r="W61" s="100">
        <v>9593.1169346763363</v>
      </c>
      <c r="X61" s="100">
        <v>11.635930585767408</v>
      </c>
      <c r="Y61" s="100">
        <v>11072.751545416264</v>
      </c>
      <c r="Z61" s="100">
        <v>7.2467595135859746</v>
      </c>
      <c r="AA61" s="100">
        <v>6896.0163531284124</v>
      </c>
      <c r="AB61" s="100">
        <v>15</v>
      </c>
      <c r="AC61" s="100">
        <v>14273.999999999998</v>
      </c>
      <c r="AD61" s="100">
        <v>14</v>
      </c>
      <c r="AE61" s="100">
        <v>13322.399999999998</v>
      </c>
      <c r="AF61" s="100">
        <v>10.618351252049498</v>
      </c>
      <c r="AG61" s="100">
        <v>10104.423051450302</v>
      </c>
      <c r="AH61" s="100">
        <v>13</v>
      </c>
      <c r="AI61" s="100">
        <v>12370.8</v>
      </c>
      <c r="AJ61" s="100">
        <v>11.539194376699456</v>
      </c>
      <c r="AK61" s="100">
        <v>10980.697368867201</v>
      </c>
      <c r="AL61" s="100">
        <v>12.219761856560464</v>
      </c>
      <c r="AM61" s="100">
        <v>11628.325382702937</v>
      </c>
      <c r="AN61" s="100">
        <v>6.4786483985441432</v>
      </c>
      <c r="AO61" s="100">
        <v>6165.081816054606</v>
      </c>
      <c r="AP61" s="100">
        <v>8.7222091149420145</v>
      </c>
      <c r="AQ61" s="100">
        <v>8300.0541937788203</v>
      </c>
      <c r="AR61" s="100">
        <v>10</v>
      </c>
      <c r="AS61" s="100">
        <v>9516</v>
      </c>
      <c r="AT61" s="100">
        <v>12.464884196317271</v>
      </c>
      <c r="AU61" s="100">
        <v>11861.583801215515</v>
      </c>
      <c r="AV61" s="100">
        <v>9.9212583875495142</v>
      </c>
      <c r="AW61" s="100">
        <v>9441.0694815921161</v>
      </c>
      <c r="AX61" s="100">
        <v>8.9464370692379642</v>
      </c>
      <c r="AY61" s="100">
        <v>8513.4295150868456</v>
      </c>
      <c r="AZ61" s="100">
        <v>11</v>
      </c>
      <c r="BA61" s="100">
        <v>10467.599999999999</v>
      </c>
      <c r="BB61" s="100">
        <v>12.393478205710776</v>
      </c>
      <c r="BC61" s="100">
        <v>11793.633860554373</v>
      </c>
      <c r="BD61" s="100">
        <v>11.466372398725259</v>
      </c>
      <c r="BE61" s="100">
        <v>10911.399974626955</v>
      </c>
      <c r="BF61" s="100">
        <v>17.633160915686744</v>
      </c>
      <c r="BG61" s="100">
        <v>16779.715927367506</v>
      </c>
      <c r="BH61" s="100">
        <v>13</v>
      </c>
      <c r="BI61" s="100">
        <v>12370.8</v>
      </c>
      <c r="BJ61" s="100">
        <v>13</v>
      </c>
      <c r="BK61" s="100">
        <v>12370.8</v>
      </c>
      <c r="BL61" s="100">
        <v>11</v>
      </c>
      <c r="BM61" s="100">
        <v>10467.599999999999</v>
      </c>
      <c r="BN61" s="100">
        <v>9</v>
      </c>
      <c r="BO61" s="100">
        <v>8564.4</v>
      </c>
      <c r="BP61" s="100">
        <v>13</v>
      </c>
      <c r="BQ61" s="100">
        <v>12370.8</v>
      </c>
      <c r="BR61" s="100">
        <v>8</v>
      </c>
      <c r="BS61" s="100">
        <v>7612.7999999999993</v>
      </c>
      <c r="BT61" s="100">
        <v>10</v>
      </c>
      <c r="BU61" s="100">
        <v>9516</v>
      </c>
      <c r="BV61" s="100">
        <v>9</v>
      </c>
      <c r="BW61" s="100">
        <v>8564.4</v>
      </c>
      <c r="BX61" s="100">
        <v>18</v>
      </c>
      <c r="BY61" s="100">
        <v>17128.8</v>
      </c>
      <c r="BZ61" s="100">
        <v>14</v>
      </c>
      <c r="CA61" s="100">
        <v>13322.399999999998</v>
      </c>
      <c r="CB61" s="100">
        <v>14</v>
      </c>
      <c r="CC61" s="100">
        <v>13322.399999999998</v>
      </c>
      <c r="CD61" s="100">
        <v>11</v>
      </c>
      <c r="CE61" s="100">
        <v>10467.599999999999</v>
      </c>
      <c r="CF61" s="100">
        <v>12</v>
      </c>
      <c r="CG61" s="100">
        <v>11419.199999999999</v>
      </c>
      <c r="CH61" s="100">
        <v>9</v>
      </c>
      <c r="CI61" s="100">
        <v>8564.4</v>
      </c>
      <c r="CJ61" s="100">
        <v>12</v>
      </c>
      <c r="CK61" s="100">
        <v>11419.199999999999</v>
      </c>
      <c r="CL61" s="100">
        <v>10</v>
      </c>
      <c r="CM61" s="100">
        <v>9516</v>
      </c>
      <c r="CN61" s="100">
        <v>10</v>
      </c>
      <c r="CO61" s="100">
        <v>9516</v>
      </c>
      <c r="CP61" s="100">
        <v>15</v>
      </c>
      <c r="CQ61" s="100">
        <v>14273.999999999998</v>
      </c>
      <c r="CR61" s="100">
        <v>14</v>
      </c>
      <c r="CS61" s="100">
        <v>13322.399999999998</v>
      </c>
      <c r="CT61" s="100">
        <v>15</v>
      </c>
      <c r="CU61" s="100">
        <v>14273.999999999998</v>
      </c>
    </row>
    <row r="62" spans="2:99">
      <c r="C62" s="99" t="s">
        <v>228</v>
      </c>
      <c r="D62" s="100">
        <v>13</v>
      </c>
      <c r="E62" s="100">
        <v>21699.600000000002</v>
      </c>
      <c r="F62" s="100">
        <v>15</v>
      </c>
      <c r="G62" s="100">
        <v>25038</v>
      </c>
      <c r="H62" s="100">
        <v>9</v>
      </c>
      <c r="I62" s="100">
        <v>15022.800000000001</v>
      </c>
      <c r="J62" s="100">
        <v>9</v>
      </c>
      <c r="K62" s="100">
        <v>15022.800000000001</v>
      </c>
      <c r="L62" s="100">
        <v>11</v>
      </c>
      <c r="M62" s="100">
        <v>18361.2</v>
      </c>
      <c r="N62" s="100">
        <v>13</v>
      </c>
      <c r="O62" s="100">
        <v>21699.600000000002</v>
      </c>
      <c r="P62" s="100">
        <v>10</v>
      </c>
      <c r="Q62" s="100">
        <v>16692</v>
      </c>
      <c r="R62" s="100">
        <v>8</v>
      </c>
      <c r="S62" s="100">
        <v>13353.6</v>
      </c>
      <c r="T62" s="100">
        <v>14</v>
      </c>
      <c r="U62" s="100">
        <v>23368.799999999999</v>
      </c>
      <c r="V62" s="100">
        <v>13</v>
      </c>
      <c r="W62" s="100">
        <v>21699.600000000002</v>
      </c>
      <c r="X62" s="100">
        <v>9</v>
      </c>
      <c r="Y62" s="100">
        <v>15022.800000000001</v>
      </c>
      <c r="Z62" s="100">
        <v>14</v>
      </c>
      <c r="AA62" s="100">
        <v>23368.799999999999</v>
      </c>
      <c r="AB62" s="100">
        <v>12</v>
      </c>
      <c r="AC62" s="100">
        <v>20030.400000000001</v>
      </c>
      <c r="AD62" s="100">
        <v>11</v>
      </c>
      <c r="AE62" s="100">
        <v>18361.2</v>
      </c>
      <c r="AF62" s="100">
        <v>11</v>
      </c>
      <c r="AG62" s="100">
        <v>18361.2</v>
      </c>
      <c r="AH62" s="100">
        <v>11</v>
      </c>
      <c r="AI62" s="100">
        <v>18361.2</v>
      </c>
      <c r="AJ62" s="100">
        <v>11</v>
      </c>
      <c r="AK62" s="100">
        <v>18361.2</v>
      </c>
      <c r="AL62" s="100">
        <v>14</v>
      </c>
      <c r="AM62" s="100">
        <v>23368.799999999999</v>
      </c>
      <c r="AN62" s="100">
        <v>8</v>
      </c>
      <c r="AO62" s="100">
        <v>13353.6</v>
      </c>
      <c r="AP62" s="100">
        <v>14</v>
      </c>
      <c r="AQ62" s="100">
        <v>23368.799999999999</v>
      </c>
      <c r="AR62" s="100">
        <v>9</v>
      </c>
      <c r="AS62" s="100">
        <v>15022.800000000001</v>
      </c>
      <c r="AT62" s="100">
        <v>13</v>
      </c>
      <c r="AU62" s="100">
        <v>21699.600000000002</v>
      </c>
      <c r="AV62" s="100">
        <v>11</v>
      </c>
      <c r="AW62" s="100">
        <v>18361.2</v>
      </c>
      <c r="AX62" s="100">
        <v>12</v>
      </c>
      <c r="AY62" s="100">
        <v>20030.400000000001</v>
      </c>
      <c r="AZ62" s="100">
        <v>12</v>
      </c>
      <c r="BA62" s="100">
        <v>20030.400000000001</v>
      </c>
      <c r="BB62" s="100">
        <v>11</v>
      </c>
      <c r="BC62" s="100">
        <v>18361.2</v>
      </c>
      <c r="BD62" s="100">
        <v>11</v>
      </c>
      <c r="BE62" s="100">
        <v>18361.2</v>
      </c>
      <c r="BF62" s="100">
        <v>14</v>
      </c>
      <c r="BG62" s="100">
        <v>23368.799999999999</v>
      </c>
      <c r="BH62" s="100">
        <v>12</v>
      </c>
      <c r="BI62" s="100">
        <v>20030.400000000001</v>
      </c>
      <c r="BJ62" s="100">
        <v>12</v>
      </c>
      <c r="BK62" s="100">
        <v>20030.400000000001</v>
      </c>
      <c r="BL62" s="100">
        <v>10</v>
      </c>
      <c r="BM62" s="100">
        <v>16692</v>
      </c>
      <c r="BN62" s="100">
        <v>11</v>
      </c>
      <c r="BO62" s="100">
        <v>18361.2</v>
      </c>
      <c r="BP62" s="100">
        <v>13</v>
      </c>
      <c r="BQ62" s="100">
        <v>21699.600000000002</v>
      </c>
      <c r="BR62" s="100">
        <v>8</v>
      </c>
      <c r="BS62" s="100">
        <v>13353.6</v>
      </c>
      <c r="BT62" s="100">
        <v>9</v>
      </c>
      <c r="BU62" s="100">
        <v>15022.800000000001</v>
      </c>
      <c r="BV62" s="100">
        <v>8</v>
      </c>
      <c r="BW62" s="100">
        <v>13353.6</v>
      </c>
      <c r="BX62" s="100">
        <v>16</v>
      </c>
      <c r="BY62" s="100">
        <v>26707.200000000001</v>
      </c>
      <c r="BZ62" s="100">
        <v>14</v>
      </c>
      <c r="CA62" s="100">
        <v>23368.799999999999</v>
      </c>
      <c r="CB62" s="100">
        <v>14</v>
      </c>
      <c r="CC62" s="100">
        <v>23368.799999999999</v>
      </c>
      <c r="CD62" s="100">
        <v>11</v>
      </c>
      <c r="CE62" s="100">
        <v>18361.2</v>
      </c>
      <c r="CF62" s="100">
        <v>11</v>
      </c>
      <c r="CG62" s="100">
        <v>18361.2</v>
      </c>
      <c r="CH62" s="100">
        <v>9</v>
      </c>
      <c r="CI62" s="100">
        <v>15022.800000000001</v>
      </c>
      <c r="CJ62" s="100">
        <v>12</v>
      </c>
      <c r="CK62" s="100">
        <v>20030.400000000001</v>
      </c>
      <c r="CL62" s="100">
        <v>9</v>
      </c>
      <c r="CM62" s="100">
        <v>15022.800000000001</v>
      </c>
      <c r="CN62" s="100">
        <v>8</v>
      </c>
      <c r="CO62" s="100">
        <v>13353.6</v>
      </c>
      <c r="CP62" s="100">
        <v>15</v>
      </c>
      <c r="CQ62" s="100">
        <v>25038</v>
      </c>
      <c r="CR62" s="100">
        <v>12</v>
      </c>
      <c r="CS62" s="100">
        <v>20030.400000000001</v>
      </c>
      <c r="CT62" s="100">
        <v>15</v>
      </c>
      <c r="CU62" s="100">
        <v>25038</v>
      </c>
    </row>
    <row r="63" spans="2:99">
      <c r="C63" s="99" t="s">
        <v>229</v>
      </c>
      <c r="D63" s="100">
        <v>13</v>
      </c>
      <c r="E63" s="100">
        <v>10342.800000000001</v>
      </c>
      <c r="F63" s="100">
        <v>14</v>
      </c>
      <c r="G63" s="100">
        <v>11138.4</v>
      </c>
      <c r="H63" s="100">
        <v>11</v>
      </c>
      <c r="I63" s="100">
        <v>8751.6</v>
      </c>
      <c r="J63" s="100">
        <v>0.18049007606499898</v>
      </c>
      <c r="K63" s="100">
        <v>143.5979045173132</v>
      </c>
      <c r="L63" s="100">
        <v>11</v>
      </c>
      <c r="M63" s="100">
        <v>8751.6</v>
      </c>
      <c r="N63" s="100">
        <v>16</v>
      </c>
      <c r="O63" s="100">
        <v>12729.6</v>
      </c>
      <c r="P63" s="100">
        <v>10</v>
      </c>
      <c r="Q63" s="100">
        <v>7956</v>
      </c>
      <c r="R63" s="100">
        <v>3.4850057436155328</v>
      </c>
      <c r="S63" s="100">
        <v>2772.6705696205181</v>
      </c>
      <c r="T63" s="100">
        <v>6.4003047374880069</v>
      </c>
      <c r="U63" s="100">
        <v>5092.0824491454587</v>
      </c>
      <c r="V63" s="100">
        <v>10.753108515820472</v>
      </c>
      <c r="W63" s="100">
        <v>8555.1731351867675</v>
      </c>
      <c r="X63" s="100">
        <v>9.6966088214728394</v>
      </c>
      <c r="Y63" s="100">
        <v>7714.6219783637916</v>
      </c>
      <c r="Z63" s="100">
        <v>6.7291338340441191</v>
      </c>
      <c r="AA63" s="100">
        <v>5353.6988783655015</v>
      </c>
      <c r="AB63" s="100">
        <v>14</v>
      </c>
      <c r="AC63" s="100">
        <v>11138.4</v>
      </c>
      <c r="AD63" s="100">
        <v>15</v>
      </c>
      <c r="AE63" s="100">
        <v>11934</v>
      </c>
      <c r="AF63" s="100">
        <v>11.503213856386958</v>
      </c>
      <c r="AG63" s="100">
        <v>9151.9569441414642</v>
      </c>
      <c r="AH63" s="100">
        <v>11</v>
      </c>
      <c r="AI63" s="100">
        <v>8751.6</v>
      </c>
      <c r="AJ63" s="100">
        <v>12.426824713368644</v>
      </c>
      <c r="AK63" s="100">
        <v>9886.7817419560943</v>
      </c>
      <c r="AL63" s="100">
        <v>13.747232088630522</v>
      </c>
      <c r="AM63" s="100">
        <v>10937.297849714443</v>
      </c>
      <c r="AN63" s="100">
        <v>6.4786483985441432</v>
      </c>
      <c r="AO63" s="100">
        <v>5154.4126658817204</v>
      </c>
      <c r="AP63" s="100">
        <v>9.3931482776298605</v>
      </c>
      <c r="AQ63" s="100">
        <v>7473.1887696823169</v>
      </c>
      <c r="AR63" s="100">
        <v>9</v>
      </c>
      <c r="AS63" s="100">
        <v>7160.4000000000005</v>
      </c>
      <c r="AT63" s="100">
        <v>10.8028996368083</v>
      </c>
      <c r="AU63" s="100">
        <v>8594.7869510446835</v>
      </c>
      <c r="AV63" s="100">
        <v>11.574801452141102</v>
      </c>
      <c r="AW63" s="100">
        <v>9208.9120353234612</v>
      </c>
      <c r="AX63" s="100">
        <v>9.7597495300777783</v>
      </c>
      <c r="AY63" s="100">
        <v>7764.8567261298804</v>
      </c>
      <c r="AZ63" s="100">
        <v>12</v>
      </c>
      <c r="BA63" s="100">
        <v>9547.2000000000007</v>
      </c>
      <c r="BB63" s="100">
        <v>12.393478205710776</v>
      </c>
      <c r="BC63" s="100">
        <v>9860.251260463494</v>
      </c>
      <c r="BD63" s="100">
        <v>11.466372398725259</v>
      </c>
      <c r="BE63" s="100">
        <v>9122.6458804258164</v>
      </c>
      <c r="BF63" s="100">
        <v>15.673920813943772</v>
      </c>
      <c r="BG63" s="100">
        <v>12470.171399573665</v>
      </c>
      <c r="BH63" s="100">
        <v>14</v>
      </c>
      <c r="BI63" s="100">
        <v>11138.4</v>
      </c>
      <c r="BJ63" s="100">
        <v>13</v>
      </c>
      <c r="BK63" s="100">
        <v>10342.800000000001</v>
      </c>
      <c r="BL63" s="100">
        <v>12</v>
      </c>
      <c r="BM63" s="100">
        <v>9547.2000000000007</v>
      </c>
      <c r="BN63" s="100">
        <v>11</v>
      </c>
      <c r="BO63" s="100">
        <v>8751.6</v>
      </c>
      <c r="BP63" s="100">
        <v>15</v>
      </c>
      <c r="BQ63" s="100">
        <v>11934</v>
      </c>
      <c r="BR63" s="100">
        <v>9</v>
      </c>
      <c r="BS63" s="100">
        <v>7160.4000000000005</v>
      </c>
      <c r="BT63" s="100">
        <v>11</v>
      </c>
      <c r="BU63" s="100">
        <v>8751.6</v>
      </c>
      <c r="BV63" s="100">
        <v>9</v>
      </c>
      <c r="BW63" s="100">
        <v>7160.4000000000005</v>
      </c>
      <c r="BX63" s="100">
        <v>16</v>
      </c>
      <c r="BY63" s="100">
        <v>12729.6</v>
      </c>
      <c r="BZ63" s="100">
        <v>14</v>
      </c>
      <c r="CA63" s="100">
        <v>11138.4</v>
      </c>
      <c r="CB63" s="100">
        <v>14</v>
      </c>
      <c r="CC63" s="100">
        <v>11138.4</v>
      </c>
      <c r="CD63" s="100">
        <v>12</v>
      </c>
      <c r="CE63" s="100">
        <v>9547.2000000000007</v>
      </c>
      <c r="CF63" s="100">
        <v>13</v>
      </c>
      <c r="CG63" s="100">
        <v>10342.800000000001</v>
      </c>
      <c r="CH63" s="100">
        <v>9</v>
      </c>
      <c r="CI63" s="100">
        <v>7160.4000000000005</v>
      </c>
      <c r="CJ63" s="100">
        <v>12</v>
      </c>
      <c r="CK63" s="100">
        <v>9547.2000000000007</v>
      </c>
      <c r="CL63" s="100">
        <v>11</v>
      </c>
      <c r="CM63" s="100">
        <v>8751.6</v>
      </c>
      <c r="CN63" s="100">
        <v>9</v>
      </c>
      <c r="CO63" s="100">
        <v>7160.4000000000005</v>
      </c>
      <c r="CP63" s="100">
        <v>16</v>
      </c>
      <c r="CQ63" s="100">
        <v>12729.6</v>
      </c>
      <c r="CR63" s="100">
        <v>15</v>
      </c>
      <c r="CS63" s="100">
        <v>11934</v>
      </c>
      <c r="CT63" s="100">
        <v>14</v>
      </c>
      <c r="CU63" s="100">
        <v>11138.4</v>
      </c>
    </row>
    <row r="64" spans="2:99">
      <c r="C64" s="99" t="s">
        <v>230</v>
      </c>
      <c r="D64" s="100">
        <v>12</v>
      </c>
      <c r="E64" s="100">
        <v>12110.399999999998</v>
      </c>
      <c r="F64" s="100">
        <v>16</v>
      </c>
      <c r="G64" s="100">
        <v>16147.199999999997</v>
      </c>
      <c r="H64" s="100">
        <v>9</v>
      </c>
      <c r="I64" s="100">
        <v>9082.7999999999993</v>
      </c>
      <c r="J64" s="100">
        <v>0.16244106845849904</v>
      </c>
      <c r="K64" s="100">
        <v>163.93552628831719</v>
      </c>
      <c r="L64" s="100">
        <v>11</v>
      </c>
      <c r="M64" s="100">
        <v>11101.199999999997</v>
      </c>
      <c r="N64" s="100">
        <v>16</v>
      </c>
      <c r="O64" s="100">
        <v>16147.199999999997</v>
      </c>
      <c r="P64" s="100">
        <v>10</v>
      </c>
      <c r="Q64" s="100">
        <v>10091.999999999998</v>
      </c>
      <c r="R64" s="100">
        <v>3.4850057436155328</v>
      </c>
      <c r="S64" s="100">
        <v>3517.0677964567949</v>
      </c>
      <c r="T64" s="100">
        <v>6.8574693615942932</v>
      </c>
      <c r="U64" s="100">
        <v>6920.5580797209595</v>
      </c>
      <c r="V64" s="100">
        <v>9.4089699513429128</v>
      </c>
      <c r="W64" s="100">
        <v>9495.5324748952662</v>
      </c>
      <c r="X64" s="100">
        <v>9.6966088214728394</v>
      </c>
      <c r="Y64" s="100">
        <v>9785.8176226303876</v>
      </c>
      <c r="Z64" s="100">
        <v>6.7291338340441191</v>
      </c>
      <c r="AA64" s="100">
        <v>6791.0418653173238</v>
      </c>
      <c r="AB64" s="100">
        <v>14</v>
      </c>
      <c r="AC64" s="100">
        <v>14128.799999999997</v>
      </c>
      <c r="AD64" s="100">
        <v>15</v>
      </c>
      <c r="AE64" s="100">
        <v>15137.999999999996</v>
      </c>
      <c r="AF64" s="100">
        <v>10.618351252049498</v>
      </c>
      <c r="AG64" s="100">
        <v>10716.040083568352</v>
      </c>
      <c r="AH64" s="100">
        <v>12</v>
      </c>
      <c r="AI64" s="100">
        <v>12110.399999999998</v>
      </c>
      <c r="AJ64" s="100">
        <v>11.539194376699456</v>
      </c>
      <c r="AK64" s="100">
        <v>11645.354964965089</v>
      </c>
      <c r="AL64" s="100">
        <v>11.456026740525434</v>
      </c>
      <c r="AM64" s="100">
        <v>11561.422186538266</v>
      </c>
      <c r="AN64" s="100">
        <v>6.4786483985441432</v>
      </c>
      <c r="AO64" s="100">
        <v>6538.2519638107478</v>
      </c>
      <c r="AP64" s="100">
        <v>9.3931482776298605</v>
      </c>
      <c r="AQ64" s="100">
        <v>9479.5652417840538</v>
      </c>
      <c r="AR64" s="100">
        <v>9</v>
      </c>
      <c r="AS64" s="100">
        <v>9082.7999999999993</v>
      </c>
      <c r="AT64" s="100">
        <v>9.9719073570538175</v>
      </c>
      <c r="AU64" s="100">
        <v>10063.648904738711</v>
      </c>
      <c r="AV64" s="100">
        <v>9.0944868552537219</v>
      </c>
      <c r="AW64" s="100">
        <v>9178.1561343220546</v>
      </c>
      <c r="AX64" s="100">
        <v>9.7597495300777783</v>
      </c>
      <c r="AY64" s="100">
        <v>9849.5392257544918</v>
      </c>
      <c r="AZ64" s="100">
        <v>12</v>
      </c>
      <c r="BA64" s="100">
        <v>12110.399999999998</v>
      </c>
      <c r="BB64" s="100">
        <v>12.393478205710776</v>
      </c>
      <c r="BC64" s="100">
        <v>12507.498205203314</v>
      </c>
      <c r="BD64" s="100">
        <v>13.377434465179471</v>
      </c>
      <c r="BE64" s="100">
        <v>13500.506862259119</v>
      </c>
      <c r="BF64" s="100">
        <v>15.673920813943772</v>
      </c>
      <c r="BG64" s="100">
        <v>15818.120885432052</v>
      </c>
      <c r="BH64" s="100">
        <v>15</v>
      </c>
      <c r="BI64" s="100">
        <v>15137.999999999996</v>
      </c>
      <c r="BJ64" s="100">
        <v>12</v>
      </c>
      <c r="BK64" s="100">
        <v>12110.399999999998</v>
      </c>
      <c r="BL64" s="100">
        <v>12</v>
      </c>
      <c r="BM64" s="100">
        <v>12110.399999999998</v>
      </c>
      <c r="BN64" s="100">
        <v>10</v>
      </c>
      <c r="BO64" s="100">
        <v>10091.999999999998</v>
      </c>
      <c r="BP64" s="100">
        <v>13</v>
      </c>
      <c r="BQ64" s="100">
        <v>13119.599999999999</v>
      </c>
      <c r="BR64" s="100">
        <v>10</v>
      </c>
      <c r="BS64" s="100">
        <v>10091.999999999998</v>
      </c>
      <c r="BT64" s="100">
        <v>10</v>
      </c>
      <c r="BU64" s="100">
        <v>10091.999999999998</v>
      </c>
      <c r="BV64" s="100">
        <v>9</v>
      </c>
      <c r="BW64" s="100">
        <v>9082.7999999999993</v>
      </c>
      <c r="BX64" s="100">
        <v>18</v>
      </c>
      <c r="BY64" s="100">
        <v>18165.599999999999</v>
      </c>
      <c r="BZ64" s="100">
        <v>13</v>
      </c>
      <c r="CA64" s="100">
        <v>13119.599999999999</v>
      </c>
      <c r="CB64" s="100">
        <v>16</v>
      </c>
      <c r="CC64" s="100">
        <v>16147.199999999997</v>
      </c>
      <c r="CD64" s="100">
        <v>12</v>
      </c>
      <c r="CE64" s="100">
        <v>12110.399999999998</v>
      </c>
      <c r="CF64" s="100">
        <v>12</v>
      </c>
      <c r="CG64" s="100">
        <v>12110.399999999998</v>
      </c>
      <c r="CH64" s="100">
        <v>10</v>
      </c>
      <c r="CI64" s="100">
        <v>10091.999999999998</v>
      </c>
      <c r="CJ64" s="100">
        <v>13</v>
      </c>
      <c r="CK64" s="100">
        <v>13119.599999999999</v>
      </c>
      <c r="CL64" s="100">
        <v>11</v>
      </c>
      <c r="CM64" s="100">
        <v>11101.199999999997</v>
      </c>
      <c r="CN64" s="100">
        <v>9</v>
      </c>
      <c r="CO64" s="100">
        <v>9082.7999999999993</v>
      </c>
      <c r="CP64" s="100">
        <v>15</v>
      </c>
      <c r="CQ64" s="100">
        <v>15137.999999999996</v>
      </c>
      <c r="CR64" s="100">
        <v>13</v>
      </c>
      <c r="CS64" s="100">
        <v>13119.599999999999</v>
      </c>
      <c r="CT64" s="100">
        <v>14</v>
      </c>
      <c r="CU64" s="100">
        <v>14128.799999999997</v>
      </c>
    </row>
    <row r="65" spans="2:99">
      <c r="C65" s="99" t="s">
        <v>231</v>
      </c>
      <c r="D65" s="100">
        <v>14</v>
      </c>
      <c r="E65" s="100">
        <v>14364</v>
      </c>
      <c r="F65" s="100">
        <v>16</v>
      </c>
      <c r="G65" s="100">
        <v>16416</v>
      </c>
      <c r="H65" s="100">
        <v>11</v>
      </c>
      <c r="I65" s="100">
        <v>11286</v>
      </c>
      <c r="J65" s="100">
        <v>0.16244106845849904</v>
      </c>
      <c r="K65" s="100">
        <v>166.66453623842003</v>
      </c>
      <c r="L65" s="100">
        <v>11</v>
      </c>
      <c r="M65" s="100">
        <v>11286</v>
      </c>
      <c r="N65" s="100">
        <v>13</v>
      </c>
      <c r="O65" s="100">
        <v>13338</v>
      </c>
      <c r="P65" s="100">
        <v>9</v>
      </c>
      <c r="Q65" s="100">
        <v>9234</v>
      </c>
      <c r="R65" s="100">
        <v>3.4850057436155328</v>
      </c>
      <c r="S65" s="100">
        <v>3575.6158929495368</v>
      </c>
      <c r="T65" s="100">
        <v>5.9431401133817205</v>
      </c>
      <c r="U65" s="100">
        <v>6097.661756329645</v>
      </c>
      <c r="V65" s="100">
        <v>10.081039233581691</v>
      </c>
      <c r="W65" s="100">
        <v>10343.146253654815</v>
      </c>
      <c r="X65" s="100">
        <v>9.6966088214728394</v>
      </c>
      <c r="Y65" s="100">
        <v>9948.7206508311338</v>
      </c>
      <c r="Z65" s="100">
        <v>7.2467595135859746</v>
      </c>
      <c r="AA65" s="100">
        <v>7435.1752609392097</v>
      </c>
      <c r="AB65" s="100">
        <v>15</v>
      </c>
      <c r="AC65" s="100">
        <v>15390</v>
      </c>
      <c r="AD65" s="100">
        <v>15</v>
      </c>
      <c r="AE65" s="100">
        <v>15390</v>
      </c>
      <c r="AF65" s="100">
        <v>10.618351252049498</v>
      </c>
      <c r="AG65" s="100">
        <v>10894.428384602785</v>
      </c>
      <c r="AH65" s="100">
        <v>12</v>
      </c>
      <c r="AI65" s="100">
        <v>12312</v>
      </c>
      <c r="AJ65" s="100">
        <v>12.426824713368644</v>
      </c>
      <c r="AK65" s="100">
        <v>12749.922155916229</v>
      </c>
      <c r="AL65" s="100">
        <v>12.219761856560464</v>
      </c>
      <c r="AM65" s="100">
        <v>12537.475664831036</v>
      </c>
      <c r="AN65" s="100">
        <v>6.4786483985441432</v>
      </c>
      <c r="AO65" s="100">
        <v>6647.0932569062907</v>
      </c>
      <c r="AP65" s="100">
        <v>9.3931482776298605</v>
      </c>
      <c r="AQ65" s="100">
        <v>9637.3701328482366</v>
      </c>
      <c r="AR65" s="100">
        <v>9</v>
      </c>
      <c r="AS65" s="100">
        <v>9234</v>
      </c>
      <c r="AT65" s="100">
        <v>12.464884196317271</v>
      </c>
      <c r="AU65" s="100">
        <v>12788.97118542152</v>
      </c>
      <c r="AV65" s="100">
        <v>9.9212583875495142</v>
      </c>
      <c r="AW65" s="100">
        <v>10179.211105625802</v>
      </c>
      <c r="AX65" s="100">
        <v>10.573061990917594</v>
      </c>
      <c r="AY65" s="100">
        <v>10847.961602681451</v>
      </c>
      <c r="AZ65" s="100">
        <v>11</v>
      </c>
      <c r="BA65" s="100">
        <v>11286</v>
      </c>
      <c r="BB65" s="100">
        <v>12.393478205710776</v>
      </c>
      <c r="BC65" s="100">
        <v>12715.708639059256</v>
      </c>
      <c r="BD65" s="100">
        <v>11.466372398725259</v>
      </c>
      <c r="BE65" s="100">
        <v>11764.498081092115</v>
      </c>
      <c r="BF65" s="100">
        <v>15.673920813943772</v>
      </c>
      <c r="BG65" s="100">
        <v>16081.442755106309</v>
      </c>
      <c r="BH65" s="100">
        <v>14</v>
      </c>
      <c r="BI65" s="100">
        <v>14364</v>
      </c>
      <c r="BJ65" s="100">
        <v>14</v>
      </c>
      <c r="BK65" s="100">
        <v>14364</v>
      </c>
      <c r="BL65" s="100">
        <v>12</v>
      </c>
      <c r="BM65" s="100">
        <v>12312</v>
      </c>
      <c r="BN65" s="100">
        <v>9</v>
      </c>
      <c r="BO65" s="100">
        <v>9234</v>
      </c>
      <c r="BP65" s="100">
        <v>14</v>
      </c>
      <c r="BQ65" s="100">
        <v>14364</v>
      </c>
      <c r="BR65" s="100">
        <v>9</v>
      </c>
      <c r="BS65" s="100">
        <v>9234</v>
      </c>
      <c r="BT65" s="100">
        <v>10</v>
      </c>
      <c r="BU65" s="100">
        <v>10260</v>
      </c>
      <c r="BV65" s="100">
        <v>9</v>
      </c>
      <c r="BW65" s="100">
        <v>9234</v>
      </c>
      <c r="BX65" s="100">
        <v>18</v>
      </c>
      <c r="BY65" s="100">
        <v>18468</v>
      </c>
      <c r="BZ65" s="100">
        <v>14</v>
      </c>
      <c r="CA65" s="100">
        <v>14364</v>
      </c>
      <c r="CB65" s="100">
        <v>16</v>
      </c>
      <c r="CC65" s="100">
        <v>16416</v>
      </c>
      <c r="CD65" s="100">
        <v>12</v>
      </c>
      <c r="CE65" s="100">
        <v>12312</v>
      </c>
      <c r="CF65" s="100">
        <v>13</v>
      </c>
      <c r="CG65" s="100">
        <v>13338</v>
      </c>
      <c r="CH65" s="100">
        <v>11</v>
      </c>
      <c r="CI65" s="100">
        <v>11286</v>
      </c>
      <c r="CJ65" s="100">
        <v>13</v>
      </c>
      <c r="CK65" s="100">
        <v>13338</v>
      </c>
      <c r="CL65" s="100">
        <v>11</v>
      </c>
      <c r="CM65" s="100">
        <v>11286</v>
      </c>
      <c r="CN65" s="100">
        <v>9</v>
      </c>
      <c r="CO65" s="100">
        <v>9234</v>
      </c>
      <c r="CP65" s="100">
        <v>14</v>
      </c>
      <c r="CQ65" s="100">
        <v>14364</v>
      </c>
      <c r="CR65" s="100">
        <v>15</v>
      </c>
      <c r="CS65" s="100">
        <v>15390</v>
      </c>
      <c r="CT65" s="100">
        <v>14</v>
      </c>
      <c r="CU65" s="100">
        <v>14364</v>
      </c>
    </row>
    <row r="66" spans="2:99">
      <c r="C66" s="99" t="s">
        <v>232</v>
      </c>
      <c r="D66" s="100">
        <v>12</v>
      </c>
      <c r="E66" s="100">
        <v>14284.8</v>
      </c>
      <c r="F66" s="100">
        <v>16</v>
      </c>
      <c r="G66" s="100">
        <v>19046.399999999998</v>
      </c>
      <c r="H66" s="100">
        <v>10</v>
      </c>
      <c r="I66" s="100">
        <v>11903.999999999998</v>
      </c>
      <c r="J66" s="100">
        <v>0.19853908367149886</v>
      </c>
      <c r="K66" s="100">
        <v>236.34092520255223</v>
      </c>
      <c r="L66" s="100">
        <v>10</v>
      </c>
      <c r="M66" s="100">
        <v>11903.999999999998</v>
      </c>
      <c r="N66" s="100">
        <v>13</v>
      </c>
      <c r="O66" s="100">
        <v>15475.199999999999</v>
      </c>
      <c r="P66" s="100">
        <v>9</v>
      </c>
      <c r="Q66" s="100">
        <v>10713.599999999999</v>
      </c>
      <c r="R66" s="100">
        <v>3.4850057436155328</v>
      </c>
      <c r="S66" s="100">
        <v>4148.5508371999294</v>
      </c>
      <c r="T66" s="100">
        <v>6.8574693615942932</v>
      </c>
      <c r="U66" s="100">
        <v>8163.1315280418457</v>
      </c>
      <c r="V66" s="100">
        <v>8.7369006691041324</v>
      </c>
      <c r="W66" s="100">
        <v>10400.406556501559</v>
      </c>
      <c r="X66" s="100">
        <v>10.666269703620124</v>
      </c>
      <c r="Y66" s="100">
        <v>12697.127455189393</v>
      </c>
      <c r="Z66" s="100">
        <v>6.7291338340441191</v>
      </c>
      <c r="AA66" s="100">
        <v>8010.3609160461183</v>
      </c>
      <c r="AB66" s="100">
        <v>15</v>
      </c>
      <c r="AC66" s="100">
        <v>17855.999999999996</v>
      </c>
      <c r="AD66" s="100">
        <v>14</v>
      </c>
      <c r="AE66" s="100">
        <v>16665.599999999999</v>
      </c>
      <c r="AF66" s="100">
        <v>12.388076460724417</v>
      </c>
      <c r="AG66" s="100">
        <v>14746.766218846344</v>
      </c>
      <c r="AH66" s="100">
        <v>11</v>
      </c>
      <c r="AI66" s="100">
        <v>13094.399999999998</v>
      </c>
      <c r="AJ66" s="100">
        <v>11.539194376699456</v>
      </c>
      <c r="AK66" s="100">
        <v>13736.256986023031</v>
      </c>
      <c r="AL66" s="100">
        <v>12.219761856560464</v>
      </c>
      <c r="AM66" s="100">
        <v>14546.404514049575</v>
      </c>
      <c r="AN66" s="100">
        <v>5.7587985764836827</v>
      </c>
      <c r="AO66" s="100">
        <v>6855.2738254461747</v>
      </c>
      <c r="AP66" s="100">
        <v>9.3931482776298605</v>
      </c>
      <c r="AQ66" s="100">
        <v>11181.603709690584</v>
      </c>
      <c r="AR66" s="100">
        <v>9</v>
      </c>
      <c r="AS66" s="100">
        <v>10713.599999999999</v>
      </c>
      <c r="AT66" s="100">
        <v>11.633891916562785</v>
      </c>
      <c r="AU66" s="100">
        <v>13848.984937476338</v>
      </c>
      <c r="AV66" s="100">
        <v>10.748029919845306</v>
      </c>
      <c r="AW66" s="100">
        <v>12794.454816583851</v>
      </c>
      <c r="AX66" s="100">
        <v>9.7597495300777783</v>
      </c>
      <c r="AY66" s="100">
        <v>11618.005840604586</v>
      </c>
      <c r="AZ66" s="100">
        <v>11</v>
      </c>
      <c r="BA66" s="100">
        <v>13094.399999999998</v>
      </c>
      <c r="BB66" s="100">
        <v>10.486789250986041</v>
      </c>
      <c r="BC66" s="100">
        <v>12483.473924373782</v>
      </c>
      <c r="BD66" s="100">
        <v>11.466372398725259</v>
      </c>
      <c r="BE66" s="100">
        <v>13649.569703442547</v>
      </c>
      <c r="BF66" s="100">
        <v>14.694300763072286</v>
      </c>
      <c r="BG66" s="100">
        <v>17492.095628361247</v>
      </c>
      <c r="BH66" s="100">
        <v>14</v>
      </c>
      <c r="BI66" s="100">
        <v>16665.599999999999</v>
      </c>
      <c r="BJ66" s="100">
        <v>13</v>
      </c>
      <c r="BK66" s="100">
        <v>15475.199999999999</v>
      </c>
      <c r="BL66" s="100">
        <v>13</v>
      </c>
      <c r="BM66" s="100">
        <v>15475.199999999999</v>
      </c>
      <c r="BN66" s="100">
        <v>11</v>
      </c>
      <c r="BO66" s="100">
        <v>13094.399999999998</v>
      </c>
      <c r="BP66" s="100">
        <v>13</v>
      </c>
      <c r="BQ66" s="100">
        <v>15475.199999999999</v>
      </c>
      <c r="BR66" s="100">
        <v>9</v>
      </c>
      <c r="BS66" s="100">
        <v>10713.599999999999</v>
      </c>
      <c r="BT66" s="100">
        <v>10</v>
      </c>
      <c r="BU66" s="100">
        <v>11903.999999999998</v>
      </c>
      <c r="BV66" s="100">
        <v>8</v>
      </c>
      <c r="BW66" s="100">
        <v>9523.1999999999989</v>
      </c>
      <c r="BX66" s="100">
        <v>15</v>
      </c>
      <c r="BY66" s="100">
        <v>17855.999999999996</v>
      </c>
      <c r="BZ66" s="100">
        <v>14</v>
      </c>
      <c r="CA66" s="100">
        <v>16665.599999999999</v>
      </c>
      <c r="CB66" s="100">
        <v>15</v>
      </c>
      <c r="CC66" s="100">
        <v>17855.999999999996</v>
      </c>
      <c r="CD66" s="100">
        <v>12</v>
      </c>
      <c r="CE66" s="100">
        <v>14284.8</v>
      </c>
      <c r="CF66" s="100">
        <v>12</v>
      </c>
      <c r="CG66" s="100">
        <v>14284.8</v>
      </c>
      <c r="CH66" s="100">
        <v>9</v>
      </c>
      <c r="CI66" s="100">
        <v>10713.599999999999</v>
      </c>
      <c r="CJ66" s="100">
        <v>12</v>
      </c>
      <c r="CK66" s="100">
        <v>14284.8</v>
      </c>
      <c r="CL66" s="100">
        <v>10</v>
      </c>
      <c r="CM66" s="100">
        <v>11903.999999999998</v>
      </c>
      <c r="CN66" s="100">
        <v>10</v>
      </c>
      <c r="CO66" s="100">
        <v>11903.999999999998</v>
      </c>
      <c r="CP66" s="100">
        <v>14</v>
      </c>
      <c r="CQ66" s="100">
        <v>16665.599999999999</v>
      </c>
      <c r="CR66" s="100">
        <v>15</v>
      </c>
      <c r="CS66" s="100">
        <v>17855.999999999996</v>
      </c>
      <c r="CT66" s="100">
        <v>14</v>
      </c>
      <c r="CU66" s="100">
        <v>16665.599999999999</v>
      </c>
    </row>
    <row r="67" spans="2:99">
      <c r="C67" s="99" t="s">
        <v>233</v>
      </c>
      <c r="D67" s="100">
        <v>13</v>
      </c>
      <c r="E67" s="100">
        <v>14601.6</v>
      </c>
      <c r="F67" s="100">
        <v>16</v>
      </c>
      <c r="G67" s="100">
        <v>17971.2</v>
      </c>
      <c r="H67" s="100">
        <v>9</v>
      </c>
      <c r="I67" s="100">
        <v>10108.800000000001</v>
      </c>
      <c r="J67" s="100">
        <v>0.19853908367149886</v>
      </c>
      <c r="K67" s="100">
        <v>222.99909877982753</v>
      </c>
      <c r="L67" s="100">
        <v>10</v>
      </c>
      <c r="M67" s="100">
        <v>11232</v>
      </c>
      <c r="N67" s="100">
        <v>15</v>
      </c>
      <c r="O67" s="100">
        <v>16848</v>
      </c>
      <c r="P67" s="100">
        <v>10</v>
      </c>
      <c r="Q67" s="100">
        <v>11232</v>
      </c>
      <c r="R67" s="100">
        <v>3.1365051692539803</v>
      </c>
      <c r="S67" s="100">
        <v>3522.9226061060708</v>
      </c>
      <c r="T67" s="100">
        <v>5.9431401133817205</v>
      </c>
      <c r="U67" s="100">
        <v>6675.3349753503489</v>
      </c>
      <c r="V67" s="100">
        <v>10.081039233581691</v>
      </c>
      <c r="W67" s="100">
        <v>11323.023267158957</v>
      </c>
      <c r="X67" s="100">
        <v>9.6966088214728394</v>
      </c>
      <c r="Y67" s="100">
        <v>10891.231028278293</v>
      </c>
      <c r="Z67" s="100">
        <v>7.2467595135859746</v>
      </c>
      <c r="AA67" s="100">
        <v>8139.560285659767</v>
      </c>
      <c r="AB67" s="100">
        <v>13</v>
      </c>
      <c r="AC67" s="100">
        <v>14601.6</v>
      </c>
      <c r="AD67" s="100">
        <v>12</v>
      </c>
      <c r="AE67" s="100">
        <v>13478.400000000001</v>
      </c>
      <c r="AF67" s="100">
        <v>10.618351252049498</v>
      </c>
      <c r="AG67" s="100">
        <v>11926.532126301998</v>
      </c>
      <c r="AH67" s="100">
        <v>11</v>
      </c>
      <c r="AI67" s="100">
        <v>12355.2</v>
      </c>
      <c r="AJ67" s="100">
        <v>11.539194376699456</v>
      </c>
      <c r="AK67" s="100">
        <v>12960.823123908829</v>
      </c>
      <c r="AL67" s="100">
        <v>12.983496972595491</v>
      </c>
      <c r="AM67" s="100">
        <v>14583.063799619256</v>
      </c>
      <c r="AN67" s="100">
        <v>5.7587985764836827</v>
      </c>
      <c r="AO67" s="100">
        <v>6468.2825611064727</v>
      </c>
      <c r="AP67" s="100">
        <v>8.7222091149420145</v>
      </c>
      <c r="AQ67" s="100">
        <v>9796.7852779028708</v>
      </c>
      <c r="AR67" s="100">
        <v>10</v>
      </c>
      <c r="AS67" s="100">
        <v>11232</v>
      </c>
      <c r="AT67" s="100">
        <v>10.8028996368083</v>
      </c>
      <c r="AU67" s="100">
        <v>12133.816872063084</v>
      </c>
      <c r="AV67" s="100">
        <v>10.748029919845306</v>
      </c>
      <c r="AW67" s="100">
        <v>12072.187205970249</v>
      </c>
      <c r="AX67" s="100">
        <v>9.7597495300777783</v>
      </c>
      <c r="AY67" s="100">
        <v>10962.150672183361</v>
      </c>
      <c r="AZ67" s="100">
        <v>12</v>
      </c>
      <c r="BA67" s="100">
        <v>13478.400000000001</v>
      </c>
      <c r="BB67" s="100">
        <v>11.440133728348409</v>
      </c>
      <c r="BC67" s="100">
        <v>12849.558203680934</v>
      </c>
      <c r="BD67" s="100">
        <v>10.510841365498154</v>
      </c>
      <c r="BE67" s="100">
        <v>11805.777021727527</v>
      </c>
      <c r="BF67" s="100">
        <v>14.694300763072286</v>
      </c>
      <c r="BG67" s="100">
        <v>16504.638617082794</v>
      </c>
      <c r="BH67" s="100">
        <v>13</v>
      </c>
      <c r="BI67" s="100">
        <v>14601.6</v>
      </c>
      <c r="BJ67" s="100">
        <v>12</v>
      </c>
      <c r="BK67" s="100">
        <v>13478.400000000001</v>
      </c>
      <c r="BL67" s="100">
        <v>12</v>
      </c>
      <c r="BM67" s="100">
        <v>13478.400000000001</v>
      </c>
      <c r="BN67" s="100">
        <v>10</v>
      </c>
      <c r="BO67" s="100">
        <v>11232</v>
      </c>
      <c r="BP67" s="100">
        <v>14</v>
      </c>
      <c r="BQ67" s="100">
        <v>15724.800000000001</v>
      </c>
      <c r="BR67" s="100">
        <v>8</v>
      </c>
      <c r="BS67" s="100">
        <v>8985.6</v>
      </c>
      <c r="BT67" s="100">
        <v>9</v>
      </c>
      <c r="BU67" s="100">
        <v>10108.800000000001</v>
      </c>
      <c r="BV67" s="100">
        <v>9</v>
      </c>
      <c r="BW67" s="100">
        <v>10108.800000000001</v>
      </c>
      <c r="BX67" s="100">
        <v>15</v>
      </c>
      <c r="BY67" s="100">
        <v>16848</v>
      </c>
      <c r="BZ67" s="100">
        <v>15</v>
      </c>
      <c r="CA67" s="100">
        <v>16848</v>
      </c>
      <c r="CB67" s="100">
        <v>14</v>
      </c>
      <c r="CC67" s="100">
        <v>15724.800000000001</v>
      </c>
      <c r="CD67" s="100">
        <v>10</v>
      </c>
      <c r="CE67" s="100">
        <v>11232</v>
      </c>
      <c r="CF67" s="100">
        <v>13</v>
      </c>
      <c r="CG67" s="100">
        <v>14601.6</v>
      </c>
      <c r="CH67" s="100">
        <v>9</v>
      </c>
      <c r="CI67" s="100">
        <v>10108.800000000001</v>
      </c>
      <c r="CJ67" s="100">
        <v>11</v>
      </c>
      <c r="CK67" s="100">
        <v>12355.2</v>
      </c>
      <c r="CL67" s="100">
        <v>11</v>
      </c>
      <c r="CM67" s="100">
        <v>12355.2</v>
      </c>
      <c r="CN67" s="100">
        <v>9</v>
      </c>
      <c r="CO67" s="100">
        <v>10108.800000000001</v>
      </c>
      <c r="CP67" s="100">
        <v>15</v>
      </c>
      <c r="CQ67" s="100">
        <v>16848</v>
      </c>
      <c r="CR67" s="100">
        <v>14</v>
      </c>
      <c r="CS67" s="100">
        <v>15724.800000000001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12</v>
      </c>
      <c r="E68" s="100">
        <v>12398.400000000001</v>
      </c>
      <c r="F68" s="100">
        <v>15</v>
      </c>
      <c r="G68" s="100">
        <v>15498</v>
      </c>
      <c r="H68" s="100">
        <v>10</v>
      </c>
      <c r="I68" s="100">
        <v>10332</v>
      </c>
      <c r="J68" s="100">
        <v>0.18049007606499898</v>
      </c>
      <c r="K68" s="100">
        <v>186.48234659035694</v>
      </c>
      <c r="L68" s="100">
        <v>12</v>
      </c>
      <c r="M68" s="100">
        <v>12398.400000000001</v>
      </c>
      <c r="N68" s="100">
        <v>14</v>
      </c>
      <c r="O68" s="100">
        <v>14464.800000000001</v>
      </c>
      <c r="P68" s="100">
        <v>10</v>
      </c>
      <c r="Q68" s="100">
        <v>10332</v>
      </c>
      <c r="R68" s="100">
        <v>3.4850057436155328</v>
      </c>
      <c r="S68" s="100">
        <v>3600.7079343035689</v>
      </c>
      <c r="T68" s="100">
        <v>5.9431401133817205</v>
      </c>
      <c r="U68" s="100">
        <v>6140.452365145994</v>
      </c>
      <c r="V68" s="100">
        <v>8.7369006691041324</v>
      </c>
      <c r="W68" s="100">
        <v>9026.9657713183897</v>
      </c>
      <c r="X68" s="100">
        <v>10.666269703620124</v>
      </c>
      <c r="Y68" s="100">
        <v>11020.389857780312</v>
      </c>
      <c r="Z68" s="100">
        <v>6.7291338340441191</v>
      </c>
      <c r="AA68" s="100">
        <v>6952.5410773343838</v>
      </c>
      <c r="AB68" s="100">
        <v>13</v>
      </c>
      <c r="AC68" s="100">
        <v>13431.6</v>
      </c>
      <c r="AD68" s="100">
        <v>14</v>
      </c>
      <c r="AE68" s="100">
        <v>14464.800000000001</v>
      </c>
      <c r="AF68" s="100">
        <v>10.618351252049498</v>
      </c>
      <c r="AG68" s="100">
        <v>10970.880513617542</v>
      </c>
      <c r="AH68" s="100">
        <v>12</v>
      </c>
      <c r="AI68" s="100">
        <v>12398.400000000001</v>
      </c>
      <c r="AJ68" s="100">
        <v>9.7639337033610776</v>
      </c>
      <c r="AK68" s="100">
        <v>10088.096302312666</v>
      </c>
      <c r="AL68" s="100">
        <v>12.219761856560464</v>
      </c>
      <c r="AM68" s="100">
        <v>12625.457950198272</v>
      </c>
      <c r="AN68" s="100">
        <v>6.4786483985441432</v>
      </c>
      <c r="AO68" s="100">
        <v>6693.7395253758086</v>
      </c>
      <c r="AP68" s="100">
        <v>9.3931482776298605</v>
      </c>
      <c r="AQ68" s="100">
        <v>9705.0008004471729</v>
      </c>
      <c r="AR68" s="100">
        <v>9</v>
      </c>
      <c r="AS68" s="100">
        <v>9298.8000000000011</v>
      </c>
      <c r="AT68" s="100">
        <v>11.633891916562785</v>
      </c>
      <c r="AU68" s="100">
        <v>12020.137128192669</v>
      </c>
      <c r="AV68" s="100">
        <v>10.748029919845306</v>
      </c>
      <c r="AW68" s="100">
        <v>11104.864513184171</v>
      </c>
      <c r="AX68" s="100">
        <v>8.9464370692379642</v>
      </c>
      <c r="AY68" s="100">
        <v>9243.4587799366655</v>
      </c>
      <c r="AZ68" s="100">
        <v>10</v>
      </c>
      <c r="BA68" s="100">
        <v>10332</v>
      </c>
      <c r="BB68" s="100">
        <v>10.486789250986041</v>
      </c>
      <c r="BC68" s="100">
        <v>10834.950654118778</v>
      </c>
      <c r="BD68" s="100">
        <v>11.466372398725259</v>
      </c>
      <c r="BE68" s="100">
        <v>11847.055962362938</v>
      </c>
      <c r="BF68" s="100">
        <v>14.694300763072286</v>
      </c>
      <c r="BG68" s="100">
        <v>15182.151548406287</v>
      </c>
      <c r="BH68" s="100">
        <v>14</v>
      </c>
      <c r="BI68" s="100">
        <v>14464.800000000001</v>
      </c>
      <c r="BJ68" s="100">
        <v>13</v>
      </c>
      <c r="BK68" s="100">
        <v>13431.6</v>
      </c>
      <c r="BL68" s="100">
        <v>12</v>
      </c>
      <c r="BM68" s="100">
        <v>12398.400000000001</v>
      </c>
      <c r="BN68" s="100">
        <v>10</v>
      </c>
      <c r="BO68" s="100">
        <v>10332</v>
      </c>
      <c r="BP68" s="100">
        <v>15</v>
      </c>
      <c r="BQ68" s="100">
        <v>15498</v>
      </c>
      <c r="BR68" s="100">
        <v>9</v>
      </c>
      <c r="BS68" s="100">
        <v>9298.8000000000011</v>
      </c>
      <c r="BT68" s="100">
        <v>11</v>
      </c>
      <c r="BU68" s="100">
        <v>11365.2</v>
      </c>
      <c r="BV68" s="100">
        <v>9</v>
      </c>
      <c r="BW68" s="100">
        <v>9298.8000000000011</v>
      </c>
      <c r="BX68" s="100">
        <v>17</v>
      </c>
      <c r="BY68" s="100">
        <v>17564.400000000001</v>
      </c>
      <c r="BZ68" s="100">
        <v>13</v>
      </c>
      <c r="CA68" s="100">
        <v>13431.6</v>
      </c>
      <c r="CB68" s="100">
        <v>15</v>
      </c>
      <c r="CC68" s="100">
        <v>15498</v>
      </c>
      <c r="CD68" s="100">
        <v>11</v>
      </c>
      <c r="CE68" s="100">
        <v>11365.2</v>
      </c>
      <c r="CF68" s="100">
        <v>13</v>
      </c>
      <c r="CG68" s="100">
        <v>13431.6</v>
      </c>
      <c r="CH68" s="100">
        <v>10</v>
      </c>
      <c r="CI68" s="100">
        <v>10332</v>
      </c>
      <c r="CJ68" s="100">
        <v>13</v>
      </c>
      <c r="CK68" s="100">
        <v>13431.6</v>
      </c>
      <c r="CL68" s="100">
        <v>11</v>
      </c>
      <c r="CM68" s="100">
        <v>11365.2</v>
      </c>
      <c r="CN68" s="100">
        <v>9</v>
      </c>
      <c r="CO68" s="100">
        <v>9298.8000000000011</v>
      </c>
      <c r="CP68" s="100">
        <v>16</v>
      </c>
      <c r="CQ68" s="100">
        <v>16531.2</v>
      </c>
      <c r="CR68" s="100">
        <v>13</v>
      </c>
      <c r="CS68" s="100">
        <v>13431.6</v>
      </c>
      <c r="CT68" s="100">
        <v>14</v>
      </c>
      <c r="CU68" s="100">
        <v>14464.800000000001</v>
      </c>
    </row>
    <row r="69" spans="2:99">
      <c r="C69" s="99" t="s">
        <v>235</v>
      </c>
      <c r="D69" s="100">
        <v>12</v>
      </c>
      <c r="E69" s="100">
        <v>9100.7999999999993</v>
      </c>
      <c r="F69" s="100">
        <v>16</v>
      </c>
      <c r="G69" s="100">
        <v>12134.4</v>
      </c>
      <c r="H69" s="100">
        <v>11</v>
      </c>
      <c r="I69" s="100">
        <v>8342.4</v>
      </c>
      <c r="J69" s="100">
        <v>0.19853908367149886</v>
      </c>
      <c r="K69" s="100">
        <v>150.57204105646474</v>
      </c>
      <c r="L69" s="100">
        <v>10</v>
      </c>
      <c r="M69" s="100">
        <v>7584</v>
      </c>
      <c r="N69" s="100">
        <v>15</v>
      </c>
      <c r="O69" s="100">
        <v>11376</v>
      </c>
      <c r="P69" s="100">
        <v>10</v>
      </c>
      <c r="Q69" s="100">
        <v>7584</v>
      </c>
      <c r="R69" s="100">
        <v>3.4850057436155328</v>
      </c>
      <c r="S69" s="100">
        <v>2643.0283559580198</v>
      </c>
      <c r="T69" s="100">
        <v>6.8574693615942932</v>
      </c>
      <c r="U69" s="100">
        <v>5200.7047638331114</v>
      </c>
      <c r="V69" s="100">
        <v>9.4089699513429128</v>
      </c>
      <c r="W69" s="100">
        <v>7135.7628110984651</v>
      </c>
      <c r="X69" s="100">
        <v>10.666269703620124</v>
      </c>
      <c r="Y69" s="100">
        <v>8089.2989432255017</v>
      </c>
      <c r="Z69" s="100">
        <v>7.2467595135859746</v>
      </c>
      <c r="AA69" s="100">
        <v>5495.9424151036028</v>
      </c>
      <c r="AB69" s="100">
        <v>14</v>
      </c>
      <c r="AC69" s="100">
        <v>10617.6</v>
      </c>
      <c r="AD69" s="100">
        <v>14</v>
      </c>
      <c r="AE69" s="100">
        <v>10617.6</v>
      </c>
      <c r="AF69" s="100">
        <v>11.503213856386958</v>
      </c>
      <c r="AG69" s="100">
        <v>8724.0373886838697</v>
      </c>
      <c r="AH69" s="100">
        <v>13</v>
      </c>
      <c r="AI69" s="100">
        <v>9859.1999999999989</v>
      </c>
      <c r="AJ69" s="100">
        <v>11.539194376699456</v>
      </c>
      <c r="AK69" s="100">
        <v>8751.3250152888668</v>
      </c>
      <c r="AL69" s="100">
        <v>12.219761856560464</v>
      </c>
      <c r="AM69" s="100">
        <v>9267.4673920154546</v>
      </c>
      <c r="AN69" s="100">
        <v>6.4786483985441432</v>
      </c>
      <c r="AO69" s="100">
        <v>4913.4069454558785</v>
      </c>
      <c r="AP69" s="100">
        <v>9.3931482776298605</v>
      </c>
      <c r="AQ69" s="100">
        <v>7123.7636537544859</v>
      </c>
      <c r="AR69" s="100">
        <v>10</v>
      </c>
      <c r="AS69" s="100">
        <v>7584</v>
      </c>
      <c r="AT69" s="100">
        <v>11.633891916562785</v>
      </c>
      <c r="AU69" s="100">
        <v>8823.1436295212152</v>
      </c>
      <c r="AV69" s="100">
        <v>11.574801452141102</v>
      </c>
      <c r="AW69" s="100">
        <v>8778.3294213038116</v>
      </c>
      <c r="AX69" s="100">
        <v>10.573061990917594</v>
      </c>
      <c r="AY69" s="100">
        <v>8018.610213911903</v>
      </c>
      <c r="AZ69" s="100">
        <v>12</v>
      </c>
      <c r="BA69" s="100">
        <v>9100.7999999999993</v>
      </c>
      <c r="BB69" s="100">
        <v>11.440133728348409</v>
      </c>
      <c r="BC69" s="100">
        <v>8676.1974195794337</v>
      </c>
      <c r="BD69" s="100">
        <v>13.377434465179471</v>
      </c>
      <c r="BE69" s="100">
        <v>10145.446298392111</v>
      </c>
      <c r="BF69" s="100">
        <v>15.673920813943772</v>
      </c>
      <c r="BG69" s="100">
        <v>11887.101545294956</v>
      </c>
      <c r="BH69" s="100">
        <v>13</v>
      </c>
      <c r="BI69" s="100">
        <v>9859.1999999999989</v>
      </c>
      <c r="BJ69" s="100">
        <v>14</v>
      </c>
      <c r="BK69" s="100">
        <v>10617.6</v>
      </c>
      <c r="BL69" s="100">
        <v>13</v>
      </c>
      <c r="BM69" s="100">
        <v>9859.1999999999989</v>
      </c>
      <c r="BN69" s="100">
        <v>11</v>
      </c>
      <c r="BO69" s="100">
        <v>8342.4</v>
      </c>
      <c r="BP69" s="100">
        <v>14</v>
      </c>
      <c r="BQ69" s="100">
        <v>10617.6</v>
      </c>
      <c r="BR69" s="100">
        <v>9</v>
      </c>
      <c r="BS69" s="100">
        <v>6825.5999999999995</v>
      </c>
      <c r="BT69" s="100">
        <v>11</v>
      </c>
      <c r="BU69" s="100">
        <v>8342.4</v>
      </c>
      <c r="BV69" s="100">
        <v>10</v>
      </c>
      <c r="BW69" s="100">
        <v>7584</v>
      </c>
      <c r="BX69" s="100">
        <v>16</v>
      </c>
      <c r="BY69" s="100">
        <v>12134.4</v>
      </c>
      <c r="BZ69" s="100">
        <v>15</v>
      </c>
      <c r="CA69" s="100">
        <v>11376</v>
      </c>
      <c r="CB69" s="100">
        <v>15</v>
      </c>
      <c r="CC69" s="100">
        <v>11376</v>
      </c>
      <c r="CD69" s="100">
        <v>11</v>
      </c>
      <c r="CE69" s="100">
        <v>8342.4</v>
      </c>
      <c r="CF69" s="100">
        <v>12</v>
      </c>
      <c r="CG69" s="100">
        <v>9100.7999999999993</v>
      </c>
      <c r="CH69" s="100">
        <v>10</v>
      </c>
      <c r="CI69" s="100">
        <v>7584</v>
      </c>
      <c r="CJ69" s="100">
        <v>13</v>
      </c>
      <c r="CK69" s="100">
        <v>9859.1999999999989</v>
      </c>
      <c r="CL69" s="100">
        <v>11</v>
      </c>
      <c r="CM69" s="100">
        <v>8342.4</v>
      </c>
      <c r="CN69" s="100">
        <v>8</v>
      </c>
      <c r="CO69" s="100">
        <v>6067.2</v>
      </c>
      <c r="CP69" s="100">
        <v>17</v>
      </c>
      <c r="CQ69" s="100">
        <v>12892.8</v>
      </c>
      <c r="CR69" s="100">
        <v>14</v>
      </c>
      <c r="CS69" s="100">
        <v>10617.6</v>
      </c>
      <c r="CT69" s="100">
        <v>16</v>
      </c>
      <c r="CU69" s="100">
        <v>12134.4</v>
      </c>
    </row>
    <row r="70" spans="2:99">
      <c r="C70" s="99" t="s">
        <v>236</v>
      </c>
      <c r="D70" s="100">
        <v>14</v>
      </c>
      <c r="E70" s="100">
        <v>7492.7999999999993</v>
      </c>
      <c r="F70" s="100">
        <v>17</v>
      </c>
      <c r="G70" s="100">
        <v>9098.4</v>
      </c>
      <c r="H70" s="100">
        <v>12</v>
      </c>
      <c r="I70" s="100">
        <v>6422.4</v>
      </c>
      <c r="J70" s="100">
        <v>0.18049007606499898</v>
      </c>
      <c r="K70" s="100">
        <v>96.598288709987443</v>
      </c>
      <c r="L70" s="100">
        <v>11</v>
      </c>
      <c r="M70" s="100">
        <v>5887.1999999999989</v>
      </c>
      <c r="N70" s="100">
        <v>15</v>
      </c>
      <c r="O70" s="100">
        <v>8027.9999999999991</v>
      </c>
      <c r="P70" s="100">
        <v>9</v>
      </c>
      <c r="Q70" s="100">
        <v>4816.7999999999993</v>
      </c>
      <c r="R70" s="100">
        <v>3.4850057436155328</v>
      </c>
      <c r="S70" s="100">
        <v>1865.1750739830329</v>
      </c>
      <c r="T70" s="100">
        <v>6.4003047374880069</v>
      </c>
      <c r="U70" s="100">
        <v>3425.4430955035809</v>
      </c>
      <c r="V70" s="100">
        <v>9.4089699513429128</v>
      </c>
      <c r="W70" s="100">
        <v>5035.6807179587267</v>
      </c>
      <c r="X70" s="100">
        <v>10.666269703620124</v>
      </c>
      <c r="Y70" s="100">
        <v>5708.5875453774897</v>
      </c>
      <c r="Z70" s="100">
        <v>7.2467595135859746</v>
      </c>
      <c r="AA70" s="100">
        <v>3878.4656916712129</v>
      </c>
      <c r="AB70" s="100">
        <v>13</v>
      </c>
      <c r="AC70" s="100">
        <v>6957.5999999999995</v>
      </c>
      <c r="AD70" s="100">
        <v>14</v>
      </c>
      <c r="AE70" s="100">
        <v>7492.7999999999993</v>
      </c>
      <c r="AF70" s="100">
        <v>12.388076460724417</v>
      </c>
      <c r="AG70" s="100">
        <v>6630.098521779707</v>
      </c>
      <c r="AH70" s="100">
        <v>11</v>
      </c>
      <c r="AI70" s="100">
        <v>5887.1999999999989</v>
      </c>
      <c r="AJ70" s="100">
        <v>10.651564040030266</v>
      </c>
      <c r="AK70" s="100">
        <v>5700.7170742241979</v>
      </c>
      <c r="AL70" s="100">
        <v>12.983496972595491</v>
      </c>
      <c r="AM70" s="100">
        <v>6948.7675797331058</v>
      </c>
      <c r="AN70" s="100">
        <v>6.4786483985441432</v>
      </c>
      <c r="AO70" s="100">
        <v>3467.3726229008248</v>
      </c>
      <c r="AP70" s="100">
        <v>9.3931482776298605</v>
      </c>
      <c r="AQ70" s="100">
        <v>5027.2129581875006</v>
      </c>
      <c r="AR70" s="100">
        <v>11</v>
      </c>
      <c r="AS70" s="100">
        <v>5887.1999999999989</v>
      </c>
      <c r="AT70" s="100">
        <v>12.464884196317271</v>
      </c>
      <c r="AU70" s="100">
        <v>6671.2060218690031</v>
      </c>
      <c r="AV70" s="100">
        <v>11.574801452141102</v>
      </c>
      <c r="AW70" s="100">
        <v>6194.833737185917</v>
      </c>
      <c r="AX70" s="100">
        <v>10.573061990917594</v>
      </c>
      <c r="AY70" s="100">
        <v>5658.7027775390961</v>
      </c>
      <c r="AZ70" s="100">
        <v>13</v>
      </c>
      <c r="BA70" s="100">
        <v>6957.5999999999995</v>
      </c>
      <c r="BB70" s="100">
        <v>11.440133728348409</v>
      </c>
      <c r="BC70" s="100">
        <v>6122.7595714120671</v>
      </c>
      <c r="BD70" s="100">
        <v>11.466372398725259</v>
      </c>
      <c r="BE70" s="100">
        <v>6136.8025077977582</v>
      </c>
      <c r="BF70" s="100">
        <v>16.653540864815255</v>
      </c>
      <c r="BG70" s="100">
        <v>8912.9750708491229</v>
      </c>
      <c r="BH70" s="100">
        <v>16</v>
      </c>
      <c r="BI70" s="100">
        <v>8563.1999999999989</v>
      </c>
      <c r="BJ70" s="100">
        <v>14</v>
      </c>
      <c r="BK70" s="100">
        <v>7492.7999999999993</v>
      </c>
      <c r="BL70" s="100">
        <v>12</v>
      </c>
      <c r="BM70" s="100">
        <v>6422.4</v>
      </c>
      <c r="BN70" s="100">
        <v>11</v>
      </c>
      <c r="BO70" s="100">
        <v>5887.1999999999989</v>
      </c>
      <c r="BP70" s="100">
        <v>15</v>
      </c>
      <c r="BQ70" s="100">
        <v>8027.9999999999991</v>
      </c>
      <c r="BR70" s="100">
        <v>10</v>
      </c>
      <c r="BS70" s="100">
        <v>5351.9999999999991</v>
      </c>
      <c r="BT70" s="100">
        <v>10</v>
      </c>
      <c r="BU70" s="100">
        <v>5351.9999999999991</v>
      </c>
      <c r="BV70" s="100">
        <v>10</v>
      </c>
      <c r="BW70" s="100">
        <v>5351.9999999999991</v>
      </c>
      <c r="BX70" s="100">
        <v>17</v>
      </c>
      <c r="BY70" s="100">
        <v>9098.4</v>
      </c>
      <c r="BZ70" s="100">
        <v>15</v>
      </c>
      <c r="CA70" s="100">
        <v>8027.9999999999991</v>
      </c>
      <c r="CB70" s="100">
        <v>14</v>
      </c>
      <c r="CC70" s="100">
        <v>7492.7999999999993</v>
      </c>
      <c r="CD70" s="100">
        <v>11</v>
      </c>
      <c r="CE70" s="100">
        <v>5887.1999999999989</v>
      </c>
      <c r="CF70" s="100">
        <v>13</v>
      </c>
      <c r="CG70" s="100">
        <v>6957.5999999999995</v>
      </c>
      <c r="CH70" s="100">
        <v>11</v>
      </c>
      <c r="CI70" s="100">
        <v>5887.1999999999989</v>
      </c>
      <c r="CJ70" s="100">
        <v>12</v>
      </c>
      <c r="CK70" s="100">
        <v>6422.4</v>
      </c>
      <c r="CL70" s="100">
        <v>10</v>
      </c>
      <c r="CM70" s="100">
        <v>5351.9999999999991</v>
      </c>
      <c r="CN70" s="100">
        <v>10</v>
      </c>
      <c r="CO70" s="100">
        <v>5351.9999999999991</v>
      </c>
      <c r="CP70" s="100">
        <v>15</v>
      </c>
      <c r="CQ70" s="100">
        <v>8027.9999999999991</v>
      </c>
      <c r="CR70" s="100">
        <v>15</v>
      </c>
      <c r="CS70" s="100">
        <v>8027.9999999999991</v>
      </c>
      <c r="CT70" s="100">
        <v>17</v>
      </c>
      <c r="CU70" s="100">
        <v>9098.4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9</v>
      </c>
      <c r="G71" s="100">
        <v>5076</v>
      </c>
      <c r="H71" s="100">
        <v>10</v>
      </c>
      <c r="I71" s="100">
        <v>5640</v>
      </c>
      <c r="J71" s="100">
        <v>7</v>
      </c>
      <c r="K71" s="100">
        <v>3948</v>
      </c>
      <c r="L71" s="100">
        <v>6</v>
      </c>
      <c r="M71" s="100">
        <v>3384</v>
      </c>
      <c r="N71" s="100">
        <v>5</v>
      </c>
      <c r="O71" s="100">
        <v>2820</v>
      </c>
      <c r="P71" s="100">
        <v>5</v>
      </c>
      <c r="Q71" s="100">
        <v>2820</v>
      </c>
      <c r="R71" s="100">
        <v>7</v>
      </c>
      <c r="S71" s="100">
        <v>3948</v>
      </c>
      <c r="T71" s="100">
        <v>8</v>
      </c>
      <c r="U71" s="100">
        <v>4512</v>
      </c>
      <c r="V71" s="100">
        <v>5</v>
      </c>
      <c r="W71" s="100">
        <v>2820</v>
      </c>
      <c r="X71" s="100">
        <v>10</v>
      </c>
      <c r="Y71" s="100">
        <v>5640</v>
      </c>
      <c r="Z71" s="100">
        <v>9</v>
      </c>
      <c r="AA71" s="100">
        <v>5076</v>
      </c>
      <c r="AB71" s="100">
        <v>10</v>
      </c>
      <c r="AC71" s="100">
        <v>5640</v>
      </c>
      <c r="AD71" s="100">
        <v>5</v>
      </c>
      <c r="AE71" s="100">
        <v>2820</v>
      </c>
      <c r="AF71" s="100">
        <v>6</v>
      </c>
      <c r="AG71" s="100">
        <v>3384</v>
      </c>
      <c r="AH71" s="100">
        <v>11</v>
      </c>
      <c r="AI71" s="100">
        <v>6204</v>
      </c>
      <c r="AJ71" s="100">
        <v>7</v>
      </c>
      <c r="AK71" s="100">
        <v>3948</v>
      </c>
      <c r="AL71" s="100">
        <v>10</v>
      </c>
      <c r="AM71" s="100">
        <v>5640</v>
      </c>
      <c r="AN71" s="100">
        <v>10</v>
      </c>
      <c r="AO71" s="100">
        <v>5640</v>
      </c>
      <c r="AP71" s="100">
        <v>8</v>
      </c>
      <c r="AQ71" s="100">
        <v>4512</v>
      </c>
      <c r="AR71" s="100">
        <v>6</v>
      </c>
      <c r="AS71" s="100">
        <v>3384</v>
      </c>
      <c r="AT71" s="100">
        <v>6</v>
      </c>
      <c r="AU71" s="100">
        <v>3384</v>
      </c>
      <c r="AV71" s="100">
        <v>8</v>
      </c>
      <c r="AW71" s="100">
        <v>4512</v>
      </c>
      <c r="AX71" s="100">
        <v>6</v>
      </c>
      <c r="AY71" s="100">
        <v>3384</v>
      </c>
      <c r="AZ71" s="100">
        <v>8</v>
      </c>
      <c r="BA71" s="100">
        <v>4512</v>
      </c>
      <c r="BB71" s="100">
        <v>6.8270516345615011</v>
      </c>
      <c r="BC71" s="100">
        <v>3850.4571218926867</v>
      </c>
      <c r="BD71" s="100">
        <v>5.3656871198579789E-21</v>
      </c>
      <c r="BE71" s="100">
        <v>3.0262475355999002E-18</v>
      </c>
      <c r="BF71" s="100">
        <v>1.9832848897324527E-21</v>
      </c>
      <c r="BG71" s="100">
        <v>1.1185726778091033E-18</v>
      </c>
      <c r="BH71" s="100">
        <v>7</v>
      </c>
      <c r="BI71" s="100">
        <v>3948</v>
      </c>
      <c r="BJ71" s="100">
        <v>9</v>
      </c>
      <c r="BK71" s="100">
        <v>5076</v>
      </c>
      <c r="BL71" s="100">
        <v>7</v>
      </c>
      <c r="BM71" s="100">
        <v>3948</v>
      </c>
      <c r="BN71" s="100">
        <v>9</v>
      </c>
      <c r="BO71" s="100">
        <v>5076</v>
      </c>
      <c r="BP71" s="100">
        <v>6</v>
      </c>
      <c r="BQ71" s="100">
        <v>3384</v>
      </c>
      <c r="BR71" s="100">
        <v>7</v>
      </c>
      <c r="BS71" s="100">
        <v>3948</v>
      </c>
      <c r="BT71" s="100">
        <v>6</v>
      </c>
      <c r="BU71" s="100">
        <v>3384</v>
      </c>
      <c r="BV71" s="100">
        <v>9</v>
      </c>
      <c r="BW71" s="100">
        <v>5076</v>
      </c>
      <c r="BX71" s="100">
        <v>6</v>
      </c>
      <c r="BY71" s="100">
        <v>3384</v>
      </c>
      <c r="BZ71" s="100">
        <v>8</v>
      </c>
      <c r="CA71" s="100">
        <v>4512</v>
      </c>
      <c r="CB71" s="100">
        <v>8</v>
      </c>
      <c r="CC71" s="100">
        <v>4512</v>
      </c>
      <c r="CD71" s="100">
        <v>9</v>
      </c>
      <c r="CE71" s="100">
        <v>5076</v>
      </c>
      <c r="CF71" s="100">
        <v>8</v>
      </c>
      <c r="CG71" s="100">
        <v>4512</v>
      </c>
      <c r="CH71" s="100">
        <v>10</v>
      </c>
      <c r="CI71" s="100">
        <v>5640</v>
      </c>
      <c r="CJ71" s="100">
        <v>6</v>
      </c>
      <c r="CK71" s="100">
        <v>3384</v>
      </c>
      <c r="CL71" s="100">
        <v>10</v>
      </c>
      <c r="CM71" s="100">
        <v>5640</v>
      </c>
      <c r="CN71" s="100">
        <v>8</v>
      </c>
      <c r="CO71" s="100">
        <v>4512</v>
      </c>
      <c r="CP71" s="100">
        <v>9</v>
      </c>
      <c r="CQ71" s="100">
        <v>5076</v>
      </c>
      <c r="CR71" s="100">
        <v>9</v>
      </c>
      <c r="CS71" s="100">
        <v>5076</v>
      </c>
      <c r="CT71" s="100">
        <v>10</v>
      </c>
      <c r="CU71" s="100">
        <v>5640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9</v>
      </c>
      <c r="G72" s="100">
        <v>669.59999999999991</v>
      </c>
      <c r="H72" s="100">
        <v>10</v>
      </c>
      <c r="I72" s="100">
        <v>743.99999999999989</v>
      </c>
      <c r="J72" s="100">
        <v>7</v>
      </c>
      <c r="K72" s="100">
        <v>520.79999999999995</v>
      </c>
      <c r="L72" s="100">
        <v>7</v>
      </c>
      <c r="M72" s="100">
        <v>520.79999999999995</v>
      </c>
      <c r="N72" s="100">
        <v>5</v>
      </c>
      <c r="O72" s="100">
        <v>371.99999999999994</v>
      </c>
      <c r="P72" s="100">
        <v>6</v>
      </c>
      <c r="Q72" s="100">
        <v>446.4</v>
      </c>
      <c r="R72" s="100">
        <v>7</v>
      </c>
      <c r="S72" s="100">
        <v>520.79999999999995</v>
      </c>
      <c r="T72" s="100">
        <v>8</v>
      </c>
      <c r="U72" s="100">
        <v>595.19999999999993</v>
      </c>
      <c r="V72" s="100">
        <v>6</v>
      </c>
      <c r="W72" s="100">
        <v>446.4</v>
      </c>
      <c r="X72" s="100">
        <v>10</v>
      </c>
      <c r="Y72" s="100">
        <v>743.99999999999989</v>
      </c>
      <c r="Z72" s="100">
        <v>11</v>
      </c>
      <c r="AA72" s="100">
        <v>818.39999999999986</v>
      </c>
      <c r="AB72" s="100">
        <v>11</v>
      </c>
      <c r="AC72" s="100">
        <v>818.39999999999986</v>
      </c>
      <c r="AD72" s="100">
        <v>6</v>
      </c>
      <c r="AE72" s="100">
        <v>446.4</v>
      </c>
      <c r="AF72" s="100">
        <v>8</v>
      </c>
      <c r="AG72" s="100">
        <v>595.19999999999993</v>
      </c>
      <c r="AH72" s="100">
        <v>10</v>
      </c>
      <c r="AI72" s="100">
        <v>743.99999999999989</v>
      </c>
      <c r="AJ72" s="100">
        <v>6</v>
      </c>
      <c r="AK72" s="100">
        <v>446.4</v>
      </c>
      <c r="AL72" s="100">
        <v>11</v>
      </c>
      <c r="AM72" s="100">
        <v>818.39999999999986</v>
      </c>
      <c r="AN72" s="100">
        <v>10</v>
      </c>
      <c r="AO72" s="100">
        <v>743.99999999999989</v>
      </c>
      <c r="AP72" s="100">
        <v>8</v>
      </c>
      <c r="AQ72" s="100">
        <v>595.19999999999993</v>
      </c>
      <c r="AR72" s="100">
        <v>6</v>
      </c>
      <c r="AS72" s="100">
        <v>446.4</v>
      </c>
      <c r="AT72" s="100">
        <v>7</v>
      </c>
      <c r="AU72" s="100">
        <v>520.79999999999995</v>
      </c>
      <c r="AV72" s="100">
        <v>7</v>
      </c>
      <c r="AW72" s="100">
        <v>520.79999999999995</v>
      </c>
      <c r="AX72" s="100">
        <v>6</v>
      </c>
      <c r="AY72" s="100">
        <v>446.4</v>
      </c>
      <c r="AZ72" s="100">
        <v>7</v>
      </c>
      <c r="BA72" s="100">
        <v>520.79999999999995</v>
      </c>
      <c r="BB72" s="100">
        <v>6.0684903418324456</v>
      </c>
      <c r="BC72" s="100">
        <v>451.49568143233392</v>
      </c>
      <c r="BD72" s="100">
        <v>5.3656871198579789E-21</v>
      </c>
      <c r="BE72" s="100">
        <v>3.9920712171743359E-19</v>
      </c>
      <c r="BF72" s="100">
        <v>1.7849564007592075E-21</v>
      </c>
      <c r="BG72" s="100">
        <v>1.3280075621648502E-19</v>
      </c>
      <c r="BH72" s="100">
        <v>7</v>
      </c>
      <c r="BI72" s="100">
        <v>520.79999999999995</v>
      </c>
      <c r="BJ72" s="100">
        <v>9</v>
      </c>
      <c r="BK72" s="100">
        <v>669.59999999999991</v>
      </c>
      <c r="BL72" s="100">
        <v>7</v>
      </c>
      <c r="BM72" s="100">
        <v>520.79999999999995</v>
      </c>
      <c r="BN72" s="100">
        <v>10</v>
      </c>
      <c r="BO72" s="100">
        <v>743.99999999999989</v>
      </c>
      <c r="BP72" s="100">
        <v>6</v>
      </c>
      <c r="BQ72" s="100">
        <v>446.4</v>
      </c>
      <c r="BR72" s="100">
        <v>8</v>
      </c>
      <c r="BS72" s="100">
        <v>595.19999999999993</v>
      </c>
      <c r="BT72" s="100">
        <v>7</v>
      </c>
      <c r="BU72" s="100">
        <v>520.79999999999995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7</v>
      </c>
      <c r="CA72" s="100">
        <v>520.79999999999995</v>
      </c>
      <c r="CB72" s="100">
        <v>9</v>
      </c>
      <c r="CC72" s="100">
        <v>669.59999999999991</v>
      </c>
      <c r="CD72" s="100">
        <v>11</v>
      </c>
      <c r="CE72" s="100">
        <v>818.39999999999986</v>
      </c>
      <c r="CF72" s="100">
        <v>8</v>
      </c>
      <c r="CG72" s="100">
        <v>595.19999999999993</v>
      </c>
      <c r="CH72" s="100">
        <v>10</v>
      </c>
      <c r="CI72" s="100">
        <v>743.99999999999989</v>
      </c>
      <c r="CJ72" s="100">
        <v>7</v>
      </c>
      <c r="CK72" s="100">
        <v>520.79999999999995</v>
      </c>
      <c r="CL72" s="100">
        <v>10</v>
      </c>
      <c r="CM72" s="100">
        <v>743.99999999999989</v>
      </c>
      <c r="CN72" s="100">
        <v>9</v>
      </c>
      <c r="CO72" s="100">
        <v>669.59999999999991</v>
      </c>
      <c r="CP72" s="100">
        <v>9</v>
      </c>
      <c r="CQ72" s="100">
        <v>669.59999999999991</v>
      </c>
      <c r="CR72" s="100">
        <v>9</v>
      </c>
      <c r="CS72" s="100">
        <v>669.59999999999991</v>
      </c>
      <c r="CT72" s="100">
        <v>11</v>
      </c>
      <c r="CU72" s="100">
        <v>818.39999999999986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10</v>
      </c>
      <c r="G73" s="100">
        <v>5591.9999999999991</v>
      </c>
      <c r="H73" s="100">
        <v>9</v>
      </c>
      <c r="I73" s="100">
        <v>5032.7999999999993</v>
      </c>
      <c r="J73" s="100">
        <v>7</v>
      </c>
      <c r="K73" s="100">
        <v>3914.3999999999996</v>
      </c>
      <c r="L73" s="100">
        <v>7</v>
      </c>
      <c r="M73" s="100">
        <v>3914.3999999999996</v>
      </c>
      <c r="N73" s="100">
        <v>6</v>
      </c>
      <c r="O73" s="100">
        <v>3355.2</v>
      </c>
      <c r="P73" s="100">
        <v>6</v>
      </c>
      <c r="Q73" s="100">
        <v>3355.2</v>
      </c>
      <c r="R73" s="100">
        <v>6</v>
      </c>
      <c r="S73" s="100">
        <v>3355.2</v>
      </c>
      <c r="T73" s="100">
        <v>8</v>
      </c>
      <c r="U73" s="100">
        <v>4473.5999999999995</v>
      </c>
      <c r="V73" s="100">
        <v>7</v>
      </c>
      <c r="W73" s="100">
        <v>3914.3999999999996</v>
      </c>
      <c r="X73" s="100">
        <v>9</v>
      </c>
      <c r="Y73" s="100">
        <v>5032.7999999999993</v>
      </c>
      <c r="Z73" s="100">
        <v>9</v>
      </c>
      <c r="AA73" s="100">
        <v>5032.7999999999993</v>
      </c>
      <c r="AB73" s="100">
        <v>9</v>
      </c>
      <c r="AC73" s="100">
        <v>5032.7999999999993</v>
      </c>
      <c r="AD73" s="100">
        <v>5</v>
      </c>
      <c r="AE73" s="100">
        <v>2795.9999999999995</v>
      </c>
      <c r="AF73" s="100">
        <v>7</v>
      </c>
      <c r="AG73" s="100">
        <v>3914.3999999999996</v>
      </c>
      <c r="AH73" s="100">
        <v>11</v>
      </c>
      <c r="AI73" s="100">
        <v>6151.1999999999989</v>
      </c>
      <c r="AJ73" s="100">
        <v>6</v>
      </c>
      <c r="AK73" s="100">
        <v>3355.2</v>
      </c>
      <c r="AL73" s="100">
        <v>10</v>
      </c>
      <c r="AM73" s="100">
        <v>5591.9999999999991</v>
      </c>
      <c r="AN73" s="100">
        <v>10</v>
      </c>
      <c r="AO73" s="100">
        <v>5591.9999999999991</v>
      </c>
      <c r="AP73" s="100">
        <v>9</v>
      </c>
      <c r="AQ73" s="100">
        <v>5032.7999999999993</v>
      </c>
      <c r="AR73" s="100">
        <v>6</v>
      </c>
      <c r="AS73" s="100">
        <v>3355.2</v>
      </c>
      <c r="AT73" s="100">
        <v>6</v>
      </c>
      <c r="AU73" s="100">
        <v>3355.2</v>
      </c>
      <c r="AV73" s="100">
        <v>7</v>
      </c>
      <c r="AW73" s="100">
        <v>3914.3999999999996</v>
      </c>
      <c r="AX73" s="100">
        <v>6</v>
      </c>
      <c r="AY73" s="100">
        <v>3355.2</v>
      </c>
      <c r="AZ73" s="100">
        <v>7</v>
      </c>
      <c r="BA73" s="100">
        <v>3914.3999999999996</v>
      </c>
      <c r="BB73" s="100">
        <v>6.0684903418324456</v>
      </c>
      <c r="BC73" s="100">
        <v>3393.499799152703</v>
      </c>
      <c r="BD73" s="100">
        <v>6.0363980098402256E-21</v>
      </c>
      <c r="BE73" s="100">
        <v>3.3755537671026537E-18</v>
      </c>
      <c r="BF73" s="100">
        <v>1.7849564007592075E-21</v>
      </c>
      <c r="BG73" s="100">
        <v>9.9814761930454865E-19</v>
      </c>
      <c r="BH73" s="100">
        <v>6</v>
      </c>
      <c r="BI73" s="100">
        <v>3355.2</v>
      </c>
      <c r="BJ73" s="100">
        <v>9</v>
      </c>
      <c r="BK73" s="100">
        <v>5032.7999999999993</v>
      </c>
      <c r="BL73" s="100">
        <v>6</v>
      </c>
      <c r="BM73" s="100">
        <v>3355.2</v>
      </c>
      <c r="BN73" s="100">
        <v>10</v>
      </c>
      <c r="BO73" s="100">
        <v>5591.9999999999991</v>
      </c>
      <c r="BP73" s="100">
        <v>6</v>
      </c>
      <c r="BQ73" s="100">
        <v>3355.2</v>
      </c>
      <c r="BR73" s="100">
        <v>7</v>
      </c>
      <c r="BS73" s="100">
        <v>3914.3999999999996</v>
      </c>
      <c r="BT73" s="100">
        <v>6</v>
      </c>
      <c r="BU73" s="100">
        <v>3355.2</v>
      </c>
      <c r="BV73" s="100">
        <v>8</v>
      </c>
      <c r="BW73" s="100">
        <v>4473.5999999999995</v>
      </c>
      <c r="BX73" s="100">
        <v>6</v>
      </c>
      <c r="BY73" s="100">
        <v>3355.2</v>
      </c>
      <c r="BZ73" s="100">
        <v>7</v>
      </c>
      <c r="CA73" s="100">
        <v>3914.3999999999996</v>
      </c>
      <c r="CB73" s="100">
        <v>9</v>
      </c>
      <c r="CC73" s="100">
        <v>5032.7999999999993</v>
      </c>
      <c r="CD73" s="100">
        <v>9</v>
      </c>
      <c r="CE73" s="100">
        <v>5032.7999999999993</v>
      </c>
      <c r="CF73" s="100">
        <v>9</v>
      </c>
      <c r="CG73" s="100">
        <v>5032.7999999999993</v>
      </c>
      <c r="CH73" s="100">
        <v>9</v>
      </c>
      <c r="CI73" s="100">
        <v>5032.7999999999993</v>
      </c>
      <c r="CJ73" s="100">
        <v>6</v>
      </c>
      <c r="CK73" s="100">
        <v>3355.2</v>
      </c>
      <c r="CL73" s="100">
        <v>9</v>
      </c>
      <c r="CM73" s="100">
        <v>5032.7999999999993</v>
      </c>
      <c r="CN73" s="100">
        <v>9</v>
      </c>
      <c r="CO73" s="100">
        <v>5032.7999999999993</v>
      </c>
      <c r="CP73" s="100">
        <v>9</v>
      </c>
      <c r="CQ73" s="100">
        <v>5032.7999999999993</v>
      </c>
      <c r="CR73" s="100">
        <v>9</v>
      </c>
      <c r="CS73" s="100">
        <v>5032.7999999999993</v>
      </c>
      <c r="CT73" s="100">
        <v>11</v>
      </c>
      <c r="CU73" s="100">
        <v>6151.1999999999989</v>
      </c>
    </row>
    <row r="74" spans="2:99">
      <c r="C74" s="99" t="s">
        <v>240</v>
      </c>
      <c r="D74" s="100">
        <v>7</v>
      </c>
      <c r="E74" s="100">
        <v>2822.4</v>
      </c>
      <c r="F74" s="100">
        <v>10</v>
      </c>
      <c r="G74" s="100">
        <v>4032</v>
      </c>
      <c r="H74" s="100">
        <v>9</v>
      </c>
      <c r="I74" s="100">
        <v>3628.7999999999997</v>
      </c>
      <c r="J74" s="100">
        <v>7</v>
      </c>
      <c r="K74" s="100">
        <v>2822.4</v>
      </c>
      <c r="L74" s="100">
        <v>6</v>
      </c>
      <c r="M74" s="100">
        <v>2419.1999999999998</v>
      </c>
      <c r="N74" s="100">
        <v>5</v>
      </c>
      <c r="O74" s="100">
        <v>2016</v>
      </c>
      <c r="P74" s="100">
        <v>6</v>
      </c>
      <c r="Q74" s="100">
        <v>2419.1999999999998</v>
      </c>
      <c r="R74" s="100">
        <v>6</v>
      </c>
      <c r="S74" s="100">
        <v>2419.1999999999998</v>
      </c>
      <c r="T74" s="100">
        <v>8</v>
      </c>
      <c r="U74" s="100">
        <v>3225.6</v>
      </c>
      <c r="V74" s="100">
        <v>6</v>
      </c>
      <c r="W74" s="100">
        <v>2419.1999999999998</v>
      </c>
      <c r="X74" s="100">
        <v>10</v>
      </c>
      <c r="Y74" s="100">
        <v>4032</v>
      </c>
      <c r="Z74" s="100">
        <v>11</v>
      </c>
      <c r="AA74" s="100">
        <v>4435.2</v>
      </c>
      <c r="AB74" s="100">
        <v>10</v>
      </c>
      <c r="AC74" s="100">
        <v>4032</v>
      </c>
      <c r="AD74" s="100">
        <v>5</v>
      </c>
      <c r="AE74" s="100">
        <v>2016</v>
      </c>
      <c r="AF74" s="100">
        <v>7</v>
      </c>
      <c r="AG74" s="100">
        <v>2822.4</v>
      </c>
      <c r="AH74" s="100">
        <v>10</v>
      </c>
      <c r="AI74" s="100">
        <v>4032</v>
      </c>
      <c r="AJ74" s="100">
        <v>6</v>
      </c>
      <c r="AK74" s="100">
        <v>2419.1999999999998</v>
      </c>
      <c r="AL74" s="100">
        <v>10</v>
      </c>
      <c r="AM74" s="100">
        <v>4032</v>
      </c>
      <c r="AN74" s="100">
        <v>10</v>
      </c>
      <c r="AO74" s="100">
        <v>4032</v>
      </c>
      <c r="AP74" s="100">
        <v>8</v>
      </c>
      <c r="AQ74" s="100">
        <v>3225.6</v>
      </c>
      <c r="AR74" s="100">
        <v>7</v>
      </c>
      <c r="AS74" s="100">
        <v>2822.4</v>
      </c>
      <c r="AT74" s="100">
        <v>6</v>
      </c>
      <c r="AU74" s="100">
        <v>2419.1999999999998</v>
      </c>
      <c r="AV74" s="100">
        <v>8</v>
      </c>
      <c r="AW74" s="100">
        <v>3225.6</v>
      </c>
      <c r="AX74" s="100">
        <v>6</v>
      </c>
      <c r="AY74" s="100">
        <v>2419.1999999999998</v>
      </c>
      <c r="AZ74" s="100">
        <v>8</v>
      </c>
      <c r="BA74" s="100">
        <v>3225.6</v>
      </c>
      <c r="BB74" s="100">
        <v>6.8270516345615011</v>
      </c>
      <c r="BC74" s="100">
        <v>2752.6672190551972</v>
      </c>
      <c r="BD74" s="100">
        <v>6.0363980098402256E-21</v>
      </c>
      <c r="BE74" s="100">
        <v>2.4338756775675787E-18</v>
      </c>
      <c r="BF74" s="100">
        <v>1.7849564007592075E-21</v>
      </c>
      <c r="BG74" s="100">
        <v>7.1969442078611245E-19</v>
      </c>
      <c r="BH74" s="100">
        <v>7</v>
      </c>
      <c r="BI74" s="100">
        <v>2822.4</v>
      </c>
      <c r="BJ74" s="100">
        <v>9</v>
      </c>
      <c r="BK74" s="100">
        <v>3628.7999999999997</v>
      </c>
      <c r="BL74" s="100">
        <v>7</v>
      </c>
      <c r="BM74" s="100">
        <v>2822.4</v>
      </c>
      <c r="BN74" s="100">
        <v>9</v>
      </c>
      <c r="BO74" s="100">
        <v>3628.7999999999997</v>
      </c>
      <c r="BP74" s="100">
        <v>6</v>
      </c>
      <c r="BQ74" s="100">
        <v>2419.1999999999998</v>
      </c>
      <c r="BR74" s="100">
        <v>7</v>
      </c>
      <c r="BS74" s="100">
        <v>2822.4</v>
      </c>
      <c r="BT74" s="100">
        <v>6</v>
      </c>
      <c r="BU74" s="100">
        <v>2419.1999999999998</v>
      </c>
      <c r="BV74" s="100">
        <v>8</v>
      </c>
      <c r="BW74" s="100">
        <v>3225.6</v>
      </c>
      <c r="BX74" s="100">
        <v>6</v>
      </c>
      <c r="BY74" s="100">
        <v>2419.1999999999998</v>
      </c>
      <c r="BZ74" s="100">
        <v>6</v>
      </c>
      <c r="CA74" s="100">
        <v>2419.1999999999998</v>
      </c>
      <c r="CB74" s="100">
        <v>8</v>
      </c>
      <c r="CC74" s="100">
        <v>3225.6</v>
      </c>
      <c r="CD74" s="100">
        <v>10</v>
      </c>
      <c r="CE74" s="100">
        <v>4032</v>
      </c>
      <c r="CF74" s="100">
        <v>8</v>
      </c>
      <c r="CG74" s="100">
        <v>3225.6</v>
      </c>
      <c r="CH74" s="100">
        <v>8</v>
      </c>
      <c r="CI74" s="100">
        <v>3225.6</v>
      </c>
      <c r="CJ74" s="100">
        <v>5</v>
      </c>
      <c r="CK74" s="100">
        <v>2016</v>
      </c>
      <c r="CL74" s="100">
        <v>11</v>
      </c>
      <c r="CM74" s="100">
        <v>4435.2</v>
      </c>
      <c r="CN74" s="100">
        <v>9</v>
      </c>
      <c r="CO74" s="100">
        <v>3628.7999999999997</v>
      </c>
      <c r="CP74" s="100">
        <v>8</v>
      </c>
      <c r="CQ74" s="100">
        <v>3225.6</v>
      </c>
      <c r="CR74" s="100">
        <v>10</v>
      </c>
      <c r="CS74" s="100">
        <v>4032</v>
      </c>
      <c r="CT74" s="100">
        <v>10</v>
      </c>
      <c r="CU74" s="100">
        <v>4032</v>
      </c>
    </row>
    <row r="75" spans="2:99">
      <c r="C75" s="99" t="s">
        <v>241</v>
      </c>
      <c r="D75" s="100">
        <v>6</v>
      </c>
      <c r="E75" s="100">
        <v>3859.2</v>
      </c>
      <c r="F75" s="100">
        <v>10</v>
      </c>
      <c r="G75" s="100">
        <v>6431.9999999999991</v>
      </c>
      <c r="H75" s="100">
        <v>10</v>
      </c>
      <c r="I75" s="100">
        <v>6431.9999999999991</v>
      </c>
      <c r="J75" s="100">
        <v>8</v>
      </c>
      <c r="K75" s="100">
        <v>5145.5999999999995</v>
      </c>
      <c r="L75" s="100">
        <v>6</v>
      </c>
      <c r="M75" s="100">
        <v>3859.2</v>
      </c>
      <c r="N75" s="100">
        <v>5</v>
      </c>
      <c r="O75" s="100">
        <v>3215.9999999999995</v>
      </c>
      <c r="P75" s="100">
        <v>6</v>
      </c>
      <c r="Q75" s="100">
        <v>3859.2</v>
      </c>
      <c r="R75" s="100">
        <v>7</v>
      </c>
      <c r="S75" s="100">
        <v>4502.3999999999996</v>
      </c>
      <c r="T75" s="100">
        <v>8</v>
      </c>
      <c r="U75" s="100">
        <v>5145.5999999999995</v>
      </c>
      <c r="V75" s="100">
        <v>6</v>
      </c>
      <c r="W75" s="100">
        <v>3859.2</v>
      </c>
      <c r="X75" s="100">
        <v>9</v>
      </c>
      <c r="Y75" s="100">
        <v>5788.7999999999993</v>
      </c>
      <c r="Z75" s="100">
        <v>9</v>
      </c>
      <c r="AA75" s="100">
        <v>5788.7999999999993</v>
      </c>
      <c r="AB75" s="100">
        <v>10</v>
      </c>
      <c r="AC75" s="100">
        <v>6431.9999999999991</v>
      </c>
      <c r="AD75" s="100">
        <v>6</v>
      </c>
      <c r="AE75" s="100">
        <v>3859.2</v>
      </c>
      <c r="AF75" s="100">
        <v>7</v>
      </c>
      <c r="AG75" s="100">
        <v>4502.3999999999996</v>
      </c>
      <c r="AH75" s="100">
        <v>10</v>
      </c>
      <c r="AI75" s="100">
        <v>6431.9999999999991</v>
      </c>
      <c r="AJ75" s="100">
        <v>6</v>
      </c>
      <c r="AK75" s="100">
        <v>3859.2</v>
      </c>
      <c r="AL75" s="100">
        <v>10</v>
      </c>
      <c r="AM75" s="100">
        <v>6431.9999999999991</v>
      </c>
      <c r="AN75" s="100">
        <v>9</v>
      </c>
      <c r="AO75" s="100">
        <v>5788.7999999999993</v>
      </c>
      <c r="AP75" s="100">
        <v>8</v>
      </c>
      <c r="AQ75" s="100">
        <v>5145.5999999999995</v>
      </c>
      <c r="AR75" s="100">
        <v>6</v>
      </c>
      <c r="AS75" s="100">
        <v>3859.2</v>
      </c>
      <c r="AT75" s="100">
        <v>6</v>
      </c>
      <c r="AU75" s="100">
        <v>3859.2</v>
      </c>
      <c r="AV75" s="100">
        <v>8</v>
      </c>
      <c r="AW75" s="100">
        <v>5145.5999999999995</v>
      </c>
      <c r="AX75" s="100">
        <v>6</v>
      </c>
      <c r="AY75" s="100">
        <v>3859.2</v>
      </c>
      <c r="AZ75" s="100">
        <v>7</v>
      </c>
      <c r="BA75" s="100">
        <v>4502.3999999999996</v>
      </c>
      <c r="BB75" s="100">
        <v>6.0684903418324456</v>
      </c>
      <c r="BC75" s="100">
        <v>3903.2529878666287</v>
      </c>
      <c r="BD75" s="100">
        <v>6.0363980098402256E-21</v>
      </c>
      <c r="BE75" s="100">
        <v>3.8826111999292326E-18</v>
      </c>
      <c r="BF75" s="100">
        <v>1.9832848897324527E-21</v>
      </c>
      <c r="BG75" s="100">
        <v>1.2756488410759135E-18</v>
      </c>
      <c r="BH75" s="100">
        <v>6</v>
      </c>
      <c r="BI75" s="100">
        <v>3859.2</v>
      </c>
      <c r="BJ75" s="100">
        <v>10</v>
      </c>
      <c r="BK75" s="100">
        <v>6431.9999999999991</v>
      </c>
      <c r="BL75" s="100">
        <v>6</v>
      </c>
      <c r="BM75" s="100">
        <v>3859.2</v>
      </c>
      <c r="BN75" s="100">
        <v>10</v>
      </c>
      <c r="BO75" s="100">
        <v>6431.9999999999991</v>
      </c>
      <c r="BP75" s="100">
        <v>5</v>
      </c>
      <c r="BQ75" s="100">
        <v>3215.9999999999995</v>
      </c>
      <c r="BR75" s="100">
        <v>8</v>
      </c>
      <c r="BS75" s="100">
        <v>5145.5999999999995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8</v>
      </c>
      <c r="CA75" s="100">
        <v>5145.5999999999995</v>
      </c>
      <c r="CB75" s="100">
        <v>9</v>
      </c>
      <c r="CC75" s="100">
        <v>5788.7999999999993</v>
      </c>
      <c r="CD75" s="100">
        <v>9</v>
      </c>
      <c r="CE75" s="100">
        <v>5788.7999999999993</v>
      </c>
      <c r="CF75" s="100">
        <v>8</v>
      </c>
      <c r="CG75" s="100">
        <v>5145.5999999999995</v>
      </c>
      <c r="CH75" s="100">
        <v>9</v>
      </c>
      <c r="CI75" s="100">
        <v>5788.7999999999993</v>
      </c>
      <c r="CJ75" s="100">
        <v>6</v>
      </c>
      <c r="CK75" s="100">
        <v>3859.2</v>
      </c>
      <c r="CL75" s="100">
        <v>10</v>
      </c>
      <c r="CM75" s="100">
        <v>6431.9999999999991</v>
      </c>
      <c r="CN75" s="100">
        <v>9</v>
      </c>
      <c r="CO75" s="100">
        <v>5788.7999999999993</v>
      </c>
      <c r="CP75" s="100">
        <v>8</v>
      </c>
      <c r="CQ75" s="100">
        <v>5145.5999999999995</v>
      </c>
      <c r="CR75" s="100">
        <v>9</v>
      </c>
      <c r="CS75" s="100">
        <v>5788.7999999999993</v>
      </c>
      <c r="CT75" s="100">
        <v>10</v>
      </c>
      <c r="CU75" s="100">
        <v>6431.9999999999991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8</v>
      </c>
      <c r="G76" s="100">
        <v>6230.4</v>
      </c>
      <c r="H76" s="100">
        <v>10</v>
      </c>
      <c r="I76" s="100">
        <v>7788</v>
      </c>
      <c r="J76" s="100">
        <v>7</v>
      </c>
      <c r="K76" s="100">
        <v>5451.5999999999995</v>
      </c>
      <c r="L76" s="100">
        <v>6</v>
      </c>
      <c r="M76" s="100">
        <v>4672.7999999999993</v>
      </c>
      <c r="N76" s="100">
        <v>5</v>
      </c>
      <c r="O76" s="100">
        <v>3894</v>
      </c>
      <c r="P76" s="100">
        <v>6</v>
      </c>
      <c r="Q76" s="100">
        <v>4672.7999999999993</v>
      </c>
      <c r="R76" s="100">
        <v>6</v>
      </c>
      <c r="S76" s="100">
        <v>4672.7999999999993</v>
      </c>
      <c r="T76" s="100">
        <v>8</v>
      </c>
      <c r="U76" s="100">
        <v>6230.4</v>
      </c>
      <c r="V76" s="100">
        <v>5</v>
      </c>
      <c r="W76" s="100">
        <v>3894</v>
      </c>
      <c r="X76" s="100">
        <v>10</v>
      </c>
      <c r="Y76" s="100">
        <v>7788</v>
      </c>
      <c r="Z76" s="100">
        <v>10</v>
      </c>
      <c r="AA76" s="100">
        <v>7788</v>
      </c>
      <c r="AB76" s="100">
        <v>9</v>
      </c>
      <c r="AC76" s="100">
        <v>7009.2</v>
      </c>
      <c r="AD76" s="100">
        <v>5</v>
      </c>
      <c r="AE76" s="100">
        <v>3894</v>
      </c>
      <c r="AF76" s="100">
        <v>7</v>
      </c>
      <c r="AG76" s="100">
        <v>5451.5999999999995</v>
      </c>
      <c r="AH76" s="100">
        <v>10</v>
      </c>
      <c r="AI76" s="100">
        <v>7788</v>
      </c>
      <c r="AJ76" s="100">
        <v>6</v>
      </c>
      <c r="AK76" s="100">
        <v>4672.7999999999993</v>
      </c>
      <c r="AL76" s="100">
        <v>10</v>
      </c>
      <c r="AM76" s="100">
        <v>7788</v>
      </c>
      <c r="AN76" s="100">
        <v>9</v>
      </c>
      <c r="AO76" s="100">
        <v>7009.2</v>
      </c>
      <c r="AP76" s="100">
        <v>8</v>
      </c>
      <c r="AQ76" s="100">
        <v>6230.4</v>
      </c>
      <c r="AR76" s="100">
        <v>7</v>
      </c>
      <c r="AS76" s="100">
        <v>5451.5999999999995</v>
      </c>
      <c r="AT76" s="100">
        <v>5</v>
      </c>
      <c r="AU76" s="100">
        <v>3894</v>
      </c>
      <c r="AV76" s="100">
        <v>8</v>
      </c>
      <c r="AW76" s="100">
        <v>6230.4</v>
      </c>
      <c r="AX76" s="100">
        <v>6</v>
      </c>
      <c r="AY76" s="100">
        <v>4672.7999999999993</v>
      </c>
      <c r="AZ76" s="100">
        <v>7</v>
      </c>
      <c r="BA76" s="100">
        <v>5451.5999999999995</v>
      </c>
      <c r="BB76" s="100">
        <v>6.0684903418324456</v>
      </c>
      <c r="BC76" s="100">
        <v>4726.140278219108</v>
      </c>
      <c r="BD76" s="100">
        <v>5.3656871198579789E-21</v>
      </c>
      <c r="BE76" s="100">
        <v>4.1787971289453936E-18</v>
      </c>
      <c r="BF76" s="100">
        <v>1.7849564007592075E-21</v>
      </c>
      <c r="BG76" s="100">
        <v>1.3901240449112708E-18</v>
      </c>
      <c r="BH76" s="100">
        <v>6</v>
      </c>
      <c r="BI76" s="100">
        <v>4672.7999999999993</v>
      </c>
      <c r="BJ76" s="100">
        <v>8</v>
      </c>
      <c r="BK76" s="100">
        <v>6230.4</v>
      </c>
      <c r="BL76" s="100">
        <v>7</v>
      </c>
      <c r="BM76" s="100">
        <v>5451.5999999999995</v>
      </c>
      <c r="BN76" s="100">
        <v>8</v>
      </c>
      <c r="BO76" s="100">
        <v>6230.4</v>
      </c>
      <c r="BP76" s="100">
        <v>6</v>
      </c>
      <c r="BQ76" s="100">
        <v>4672.7999999999993</v>
      </c>
      <c r="BR76" s="100">
        <v>7</v>
      </c>
      <c r="BS76" s="100">
        <v>5451.5999999999995</v>
      </c>
      <c r="BT76" s="100">
        <v>6</v>
      </c>
      <c r="BU76" s="100">
        <v>4672.7999999999993</v>
      </c>
      <c r="BV76" s="100">
        <v>9</v>
      </c>
      <c r="BW76" s="100">
        <v>7009.2</v>
      </c>
      <c r="BX76" s="100">
        <v>6</v>
      </c>
      <c r="BY76" s="100">
        <v>4672.7999999999993</v>
      </c>
      <c r="BZ76" s="100">
        <v>8</v>
      </c>
      <c r="CA76" s="100">
        <v>6230.4</v>
      </c>
      <c r="CB76" s="100">
        <v>8</v>
      </c>
      <c r="CC76" s="100">
        <v>6230.4</v>
      </c>
      <c r="CD76" s="100">
        <v>9</v>
      </c>
      <c r="CE76" s="100">
        <v>7009.2</v>
      </c>
      <c r="CF76" s="100">
        <v>8</v>
      </c>
      <c r="CG76" s="100">
        <v>6230.4</v>
      </c>
      <c r="CH76" s="100">
        <v>9</v>
      </c>
      <c r="CI76" s="100">
        <v>7009.2</v>
      </c>
      <c r="CJ76" s="100">
        <v>5</v>
      </c>
      <c r="CK76" s="100">
        <v>3894</v>
      </c>
      <c r="CL76" s="100">
        <v>9</v>
      </c>
      <c r="CM76" s="100">
        <v>7009.2</v>
      </c>
      <c r="CN76" s="100">
        <v>9</v>
      </c>
      <c r="CO76" s="100">
        <v>7009.2</v>
      </c>
      <c r="CP76" s="100">
        <v>8</v>
      </c>
      <c r="CQ76" s="100">
        <v>6230.4</v>
      </c>
      <c r="CR76" s="100">
        <v>10</v>
      </c>
      <c r="CS76" s="100">
        <v>7788</v>
      </c>
      <c r="CT76" s="100">
        <v>10</v>
      </c>
      <c r="CU76" s="100">
        <v>7788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10</v>
      </c>
      <c r="G77" s="100">
        <v>2784</v>
      </c>
      <c r="H77" s="100">
        <v>9</v>
      </c>
      <c r="I77" s="100">
        <v>2505.6</v>
      </c>
      <c r="J77" s="100">
        <v>7</v>
      </c>
      <c r="K77" s="100">
        <v>1948.7999999999997</v>
      </c>
      <c r="L77" s="100">
        <v>6</v>
      </c>
      <c r="M77" s="100">
        <v>1670.3999999999999</v>
      </c>
      <c r="N77" s="100">
        <v>5</v>
      </c>
      <c r="O77" s="100">
        <v>1392</v>
      </c>
      <c r="P77" s="100">
        <v>7</v>
      </c>
      <c r="Q77" s="100">
        <v>1948.7999999999997</v>
      </c>
      <c r="R77" s="100">
        <v>7</v>
      </c>
      <c r="S77" s="100">
        <v>1948.7999999999997</v>
      </c>
      <c r="T77" s="100">
        <v>9</v>
      </c>
      <c r="U77" s="100">
        <v>2505.6</v>
      </c>
      <c r="V77" s="100">
        <v>6</v>
      </c>
      <c r="W77" s="100">
        <v>1670.3999999999999</v>
      </c>
      <c r="X77" s="100">
        <v>9</v>
      </c>
      <c r="Y77" s="100">
        <v>2505.6</v>
      </c>
      <c r="Z77" s="100">
        <v>11</v>
      </c>
      <c r="AA77" s="100">
        <v>3062.3999999999996</v>
      </c>
      <c r="AB77" s="100">
        <v>11</v>
      </c>
      <c r="AC77" s="100">
        <v>3062.3999999999996</v>
      </c>
      <c r="AD77" s="100">
        <v>5</v>
      </c>
      <c r="AE77" s="100">
        <v>1392</v>
      </c>
      <c r="AF77" s="100">
        <v>7</v>
      </c>
      <c r="AG77" s="100">
        <v>1948.7999999999997</v>
      </c>
      <c r="AH77" s="100">
        <v>10</v>
      </c>
      <c r="AI77" s="100">
        <v>2784</v>
      </c>
      <c r="AJ77" s="100">
        <v>6</v>
      </c>
      <c r="AK77" s="100">
        <v>1670.3999999999999</v>
      </c>
      <c r="AL77" s="100">
        <v>10</v>
      </c>
      <c r="AM77" s="100">
        <v>2784</v>
      </c>
      <c r="AN77" s="100">
        <v>9</v>
      </c>
      <c r="AO77" s="100">
        <v>2505.6</v>
      </c>
      <c r="AP77" s="100">
        <v>8</v>
      </c>
      <c r="AQ77" s="100">
        <v>2227.1999999999998</v>
      </c>
      <c r="AR77" s="100">
        <v>7</v>
      </c>
      <c r="AS77" s="100">
        <v>1948.7999999999997</v>
      </c>
      <c r="AT77" s="100">
        <v>6</v>
      </c>
      <c r="AU77" s="100">
        <v>1670.3999999999999</v>
      </c>
      <c r="AV77" s="100">
        <v>9</v>
      </c>
      <c r="AW77" s="100">
        <v>2505.6</v>
      </c>
      <c r="AX77" s="100">
        <v>6</v>
      </c>
      <c r="AY77" s="100">
        <v>1670.3999999999999</v>
      </c>
      <c r="AZ77" s="100">
        <v>7</v>
      </c>
      <c r="BA77" s="100">
        <v>1948.7999999999997</v>
      </c>
      <c r="BB77" s="100">
        <v>5.3099290491033901</v>
      </c>
      <c r="BC77" s="100">
        <v>1478.2842472703837</v>
      </c>
      <c r="BD77" s="100">
        <v>6.7071088998224738E-21</v>
      </c>
      <c r="BE77" s="100">
        <v>1.8672591177105764E-18</v>
      </c>
      <c r="BF77" s="100">
        <v>1.7849564007592075E-21</v>
      </c>
      <c r="BG77" s="100">
        <v>4.9693186197136335E-19</v>
      </c>
      <c r="BH77" s="100">
        <v>6</v>
      </c>
      <c r="BI77" s="100">
        <v>1670.3999999999999</v>
      </c>
      <c r="BJ77" s="100">
        <v>10</v>
      </c>
      <c r="BK77" s="100">
        <v>2784</v>
      </c>
      <c r="BL77" s="100">
        <v>6</v>
      </c>
      <c r="BM77" s="100">
        <v>1670.3999999999999</v>
      </c>
      <c r="BN77" s="100">
        <v>9</v>
      </c>
      <c r="BO77" s="100">
        <v>2505.6</v>
      </c>
      <c r="BP77" s="100">
        <v>5</v>
      </c>
      <c r="BQ77" s="100">
        <v>1392</v>
      </c>
      <c r="BR77" s="100">
        <v>7</v>
      </c>
      <c r="BS77" s="100">
        <v>1948.7999999999997</v>
      </c>
      <c r="BT77" s="100">
        <v>6</v>
      </c>
      <c r="BU77" s="100">
        <v>1670.3999999999999</v>
      </c>
      <c r="BV77" s="100">
        <v>8</v>
      </c>
      <c r="BW77" s="100">
        <v>2227.1999999999998</v>
      </c>
      <c r="BX77" s="100">
        <v>7</v>
      </c>
      <c r="BY77" s="100">
        <v>1948.7999999999997</v>
      </c>
      <c r="BZ77" s="100">
        <v>7</v>
      </c>
      <c r="CA77" s="100">
        <v>1948.7999999999997</v>
      </c>
      <c r="CB77" s="100">
        <v>9</v>
      </c>
      <c r="CC77" s="100">
        <v>2505.6</v>
      </c>
      <c r="CD77" s="100">
        <v>10</v>
      </c>
      <c r="CE77" s="100">
        <v>2784</v>
      </c>
      <c r="CF77" s="100">
        <v>9</v>
      </c>
      <c r="CG77" s="100">
        <v>2505.6</v>
      </c>
      <c r="CH77" s="100">
        <v>9</v>
      </c>
      <c r="CI77" s="100">
        <v>2505.6</v>
      </c>
      <c r="CJ77" s="100">
        <v>6</v>
      </c>
      <c r="CK77" s="100">
        <v>1670.3999999999999</v>
      </c>
      <c r="CL77" s="100">
        <v>11</v>
      </c>
      <c r="CM77" s="100">
        <v>3062.3999999999996</v>
      </c>
      <c r="CN77" s="100">
        <v>9</v>
      </c>
      <c r="CO77" s="100">
        <v>2505.6</v>
      </c>
      <c r="CP77" s="100">
        <v>8</v>
      </c>
      <c r="CQ77" s="100">
        <v>2227.1999999999998</v>
      </c>
      <c r="CR77" s="100">
        <v>10</v>
      </c>
      <c r="CS77" s="100">
        <v>2784</v>
      </c>
      <c r="CT77" s="100">
        <v>10</v>
      </c>
      <c r="CU77" s="100">
        <v>2784</v>
      </c>
    </row>
    <row r="78" spans="2:99">
      <c r="C78" s="99" t="s">
        <v>244</v>
      </c>
      <c r="D78" s="100">
        <v>6</v>
      </c>
      <c r="E78" s="100">
        <v>3312</v>
      </c>
      <c r="F78" s="100">
        <v>9</v>
      </c>
      <c r="G78" s="100">
        <v>4968</v>
      </c>
      <c r="H78" s="100">
        <v>10</v>
      </c>
      <c r="I78" s="100">
        <v>5520</v>
      </c>
      <c r="J78" s="100">
        <v>7</v>
      </c>
      <c r="K78" s="100">
        <v>3864</v>
      </c>
      <c r="L78" s="100">
        <v>6</v>
      </c>
      <c r="M78" s="100">
        <v>3312</v>
      </c>
      <c r="N78" s="100">
        <v>6</v>
      </c>
      <c r="O78" s="100">
        <v>3312</v>
      </c>
      <c r="P78" s="100">
        <v>6</v>
      </c>
      <c r="Q78" s="100">
        <v>3312</v>
      </c>
      <c r="R78" s="100">
        <v>7</v>
      </c>
      <c r="S78" s="100">
        <v>3864</v>
      </c>
      <c r="T78" s="100">
        <v>8</v>
      </c>
      <c r="U78" s="100">
        <v>4416</v>
      </c>
      <c r="V78" s="100">
        <v>6</v>
      </c>
      <c r="W78" s="100">
        <v>3312</v>
      </c>
      <c r="X78" s="100">
        <v>10</v>
      </c>
      <c r="Y78" s="100">
        <v>5520</v>
      </c>
      <c r="Z78" s="100">
        <v>11</v>
      </c>
      <c r="AA78" s="100">
        <v>6072</v>
      </c>
      <c r="AB78" s="100">
        <v>11</v>
      </c>
      <c r="AC78" s="100">
        <v>6072</v>
      </c>
      <c r="AD78" s="100">
        <v>6</v>
      </c>
      <c r="AE78" s="100">
        <v>3312</v>
      </c>
      <c r="AF78" s="100">
        <v>7</v>
      </c>
      <c r="AG78" s="100">
        <v>3864</v>
      </c>
      <c r="AH78" s="100">
        <v>11</v>
      </c>
      <c r="AI78" s="100">
        <v>6072</v>
      </c>
      <c r="AJ78" s="100">
        <v>6</v>
      </c>
      <c r="AK78" s="100">
        <v>3312</v>
      </c>
      <c r="AL78" s="100">
        <v>10</v>
      </c>
      <c r="AM78" s="100">
        <v>5520</v>
      </c>
      <c r="AN78" s="100">
        <v>9</v>
      </c>
      <c r="AO78" s="100">
        <v>4968</v>
      </c>
      <c r="AP78" s="100">
        <v>8</v>
      </c>
      <c r="AQ78" s="100">
        <v>4416</v>
      </c>
      <c r="AR78" s="100">
        <v>7</v>
      </c>
      <c r="AS78" s="100">
        <v>3864</v>
      </c>
      <c r="AT78" s="100">
        <v>5</v>
      </c>
      <c r="AU78" s="100">
        <v>2760</v>
      </c>
      <c r="AV78" s="100">
        <v>8</v>
      </c>
      <c r="AW78" s="100">
        <v>4416</v>
      </c>
      <c r="AX78" s="100">
        <v>6</v>
      </c>
      <c r="AY78" s="100">
        <v>3312</v>
      </c>
      <c r="AZ78" s="100">
        <v>8</v>
      </c>
      <c r="BA78" s="100">
        <v>4416</v>
      </c>
      <c r="BB78" s="100">
        <v>6.0684903418324456</v>
      </c>
      <c r="BC78" s="100">
        <v>3349.8066686915099</v>
      </c>
      <c r="BD78" s="100">
        <v>5.3656871198579789E-21</v>
      </c>
      <c r="BE78" s="100">
        <v>2.9618592901616042E-18</v>
      </c>
      <c r="BF78" s="100">
        <v>1.9832848897324527E-21</v>
      </c>
      <c r="BG78" s="100">
        <v>1.0947732591323139E-18</v>
      </c>
      <c r="BH78" s="100">
        <v>6</v>
      </c>
      <c r="BI78" s="100">
        <v>3312</v>
      </c>
      <c r="BJ78" s="100">
        <v>9</v>
      </c>
      <c r="BK78" s="100">
        <v>4968</v>
      </c>
      <c r="BL78" s="100">
        <v>7</v>
      </c>
      <c r="BM78" s="100">
        <v>3864</v>
      </c>
      <c r="BN78" s="100">
        <v>9</v>
      </c>
      <c r="BO78" s="100">
        <v>4968</v>
      </c>
      <c r="BP78" s="100">
        <v>5</v>
      </c>
      <c r="BQ78" s="100">
        <v>2760</v>
      </c>
      <c r="BR78" s="100">
        <v>8</v>
      </c>
      <c r="BS78" s="100">
        <v>4416</v>
      </c>
      <c r="BT78" s="100">
        <v>7</v>
      </c>
      <c r="BU78" s="100">
        <v>3864</v>
      </c>
      <c r="BV78" s="100">
        <v>8</v>
      </c>
      <c r="BW78" s="100">
        <v>4416</v>
      </c>
      <c r="BX78" s="100">
        <v>6</v>
      </c>
      <c r="BY78" s="100">
        <v>3312</v>
      </c>
      <c r="BZ78" s="100">
        <v>7</v>
      </c>
      <c r="CA78" s="100">
        <v>3864</v>
      </c>
      <c r="CB78" s="100">
        <v>8</v>
      </c>
      <c r="CC78" s="100">
        <v>4416</v>
      </c>
      <c r="CD78" s="100">
        <v>9</v>
      </c>
      <c r="CE78" s="100">
        <v>4968</v>
      </c>
      <c r="CF78" s="100">
        <v>9</v>
      </c>
      <c r="CG78" s="100">
        <v>4968</v>
      </c>
      <c r="CH78" s="100">
        <v>8</v>
      </c>
      <c r="CI78" s="100">
        <v>4416</v>
      </c>
      <c r="CJ78" s="100">
        <v>5</v>
      </c>
      <c r="CK78" s="100">
        <v>2760</v>
      </c>
      <c r="CL78" s="100">
        <v>10</v>
      </c>
      <c r="CM78" s="100">
        <v>5520</v>
      </c>
      <c r="CN78" s="100">
        <v>8</v>
      </c>
      <c r="CO78" s="100">
        <v>4416</v>
      </c>
      <c r="CP78" s="100">
        <v>8</v>
      </c>
      <c r="CQ78" s="100">
        <v>4416</v>
      </c>
      <c r="CR78" s="100">
        <v>10</v>
      </c>
      <c r="CS78" s="100">
        <v>5520</v>
      </c>
      <c r="CT78" s="100">
        <v>11</v>
      </c>
      <c r="CU78" s="100">
        <v>6072</v>
      </c>
    </row>
    <row r="79" spans="2:99">
      <c r="C79" s="99" t="s">
        <v>245</v>
      </c>
      <c r="D79" s="100">
        <v>6</v>
      </c>
      <c r="E79" s="100">
        <v>4543.2</v>
      </c>
      <c r="F79" s="100">
        <v>9</v>
      </c>
      <c r="G79" s="100">
        <v>6814.7999999999993</v>
      </c>
      <c r="H79" s="100">
        <v>8</v>
      </c>
      <c r="I79" s="100">
        <v>6057.5999999999995</v>
      </c>
      <c r="J79" s="100">
        <v>8</v>
      </c>
      <c r="K79" s="100">
        <v>6057.5999999999995</v>
      </c>
      <c r="L79" s="100">
        <v>6</v>
      </c>
      <c r="M79" s="100">
        <v>4543.2</v>
      </c>
      <c r="N79" s="100">
        <v>6</v>
      </c>
      <c r="O79" s="100">
        <v>4543.2</v>
      </c>
      <c r="P79" s="100">
        <v>6</v>
      </c>
      <c r="Q79" s="100">
        <v>4543.2</v>
      </c>
      <c r="R79" s="100">
        <v>6</v>
      </c>
      <c r="S79" s="100">
        <v>4543.2</v>
      </c>
      <c r="T79" s="100">
        <v>8</v>
      </c>
      <c r="U79" s="100">
        <v>6057.5999999999995</v>
      </c>
      <c r="V79" s="100">
        <v>6</v>
      </c>
      <c r="W79" s="100">
        <v>4543.2</v>
      </c>
      <c r="X79" s="100">
        <v>9</v>
      </c>
      <c r="Y79" s="100">
        <v>6814.7999999999993</v>
      </c>
      <c r="Z79" s="100">
        <v>9</v>
      </c>
      <c r="AA79" s="100">
        <v>6814.7999999999993</v>
      </c>
      <c r="AB79" s="100">
        <v>10</v>
      </c>
      <c r="AC79" s="100">
        <v>7571.9999999999991</v>
      </c>
      <c r="AD79" s="100">
        <v>5</v>
      </c>
      <c r="AE79" s="100">
        <v>3785.9999999999995</v>
      </c>
      <c r="AF79" s="100">
        <v>7</v>
      </c>
      <c r="AG79" s="100">
        <v>5300.4</v>
      </c>
      <c r="AH79" s="100">
        <v>9</v>
      </c>
      <c r="AI79" s="100">
        <v>6814.7999999999993</v>
      </c>
      <c r="AJ79" s="100">
        <v>6</v>
      </c>
      <c r="AK79" s="100">
        <v>4543.2</v>
      </c>
      <c r="AL79" s="100">
        <v>10</v>
      </c>
      <c r="AM79" s="100">
        <v>7571.9999999999991</v>
      </c>
      <c r="AN79" s="100">
        <v>9</v>
      </c>
      <c r="AO79" s="100">
        <v>6814.7999999999993</v>
      </c>
      <c r="AP79" s="100">
        <v>9</v>
      </c>
      <c r="AQ79" s="100">
        <v>6814.7999999999993</v>
      </c>
      <c r="AR79" s="100">
        <v>7</v>
      </c>
      <c r="AS79" s="100">
        <v>5300.4</v>
      </c>
      <c r="AT79" s="100">
        <v>6</v>
      </c>
      <c r="AU79" s="100">
        <v>4543.2</v>
      </c>
      <c r="AV79" s="100">
        <v>7</v>
      </c>
      <c r="AW79" s="100">
        <v>5300.4</v>
      </c>
      <c r="AX79" s="100">
        <v>6</v>
      </c>
      <c r="AY79" s="100">
        <v>4543.2</v>
      </c>
      <c r="AZ79" s="100">
        <v>7</v>
      </c>
      <c r="BA79" s="100">
        <v>5300.4</v>
      </c>
      <c r="BB79" s="100">
        <v>6.0684903418324456</v>
      </c>
      <c r="BC79" s="100">
        <v>4595.0608868355275</v>
      </c>
      <c r="BD79" s="100">
        <v>6.0363980098402256E-21</v>
      </c>
      <c r="BE79" s="100">
        <v>4.5707605730510185E-18</v>
      </c>
      <c r="BF79" s="100">
        <v>1.7849564007592075E-21</v>
      </c>
      <c r="BG79" s="100">
        <v>1.3515689866548718E-18</v>
      </c>
      <c r="BH79" s="100">
        <v>6</v>
      </c>
      <c r="BI79" s="100">
        <v>4543.2</v>
      </c>
      <c r="BJ79" s="100">
        <v>9</v>
      </c>
      <c r="BK79" s="100">
        <v>6814.7999999999993</v>
      </c>
      <c r="BL79" s="100">
        <v>6</v>
      </c>
      <c r="BM79" s="100">
        <v>4543.2</v>
      </c>
      <c r="BN79" s="100">
        <v>10</v>
      </c>
      <c r="BO79" s="100">
        <v>7571.9999999999991</v>
      </c>
      <c r="BP79" s="100">
        <v>5</v>
      </c>
      <c r="BQ79" s="100">
        <v>3785.9999999999995</v>
      </c>
      <c r="BR79" s="100">
        <v>7</v>
      </c>
      <c r="BS79" s="100">
        <v>5300.4</v>
      </c>
      <c r="BT79" s="100">
        <v>6</v>
      </c>
      <c r="BU79" s="100">
        <v>4543.2</v>
      </c>
      <c r="BV79" s="100">
        <v>8</v>
      </c>
      <c r="BW79" s="100">
        <v>6057.5999999999995</v>
      </c>
      <c r="BX79" s="100">
        <v>6</v>
      </c>
      <c r="BY79" s="100">
        <v>4543.2</v>
      </c>
      <c r="BZ79" s="100">
        <v>7</v>
      </c>
      <c r="CA79" s="100">
        <v>5300.4</v>
      </c>
      <c r="CB79" s="100">
        <v>9</v>
      </c>
      <c r="CC79" s="100">
        <v>6814.7999999999993</v>
      </c>
      <c r="CD79" s="100">
        <v>10</v>
      </c>
      <c r="CE79" s="100">
        <v>7571.9999999999991</v>
      </c>
      <c r="CF79" s="100">
        <v>9</v>
      </c>
      <c r="CG79" s="100">
        <v>6814.7999999999993</v>
      </c>
      <c r="CH79" s="100">
        <v>8</v>
      </c>
      <c r="CI79" s="100">
        <v>6057.5999999999995</v>
      </c>
      <c r="CJ79" s="100">
        <v>6</v>
      </c>
      <c r="CK79" s="100">
        <v>4543.2</v>
      </c>
      <c r="CL79" s="100">
        <v>10</v>
      </c>
      <c r="CM79" s="100">
        <v>7571.9999999999991</v>
      </c>
      <c r="CN79" s="100">
        <v>9</v>
      </c>
      <c r="CO79" s="100">
        <v>6814.7999999999993</v>
      </c>
      <c r="CP79" s="100">
        <v>8</v>
      </c>
      <c r="CQ79" s="100">
        <v>6057.5999999999995</v>
      </c>
      <c r="CR79" s="100">
        <v>10</v>
      </c>
      <c r="CS79" s="100">
        <v>7571.9999999999991</v>
      </c>
      <c r="CT79" s="100">
        <v>10</v>
      </c>
      <c r="CU79" s="100">
        <v>7571.9999999999991</v>
      </c>
    </row>
    <row r="80" spans="2:99">
      <c r="C80" s="99" t="s">
        <v>246</v>
      </c>
      <c r="D80" s="100">
        <v>7</v>
      </c>
      <c r="E80" s="100">
        <v>5636.4</v>
      </c>
      <c r="F80" s="100">
        <v>9</v>
      </c>
      <c r="G80" s="100">
        <v>7246.7999999999993</v>
      </c>
      <c r="H80" s="100">
        <v>10</v>
      </c>
      <c r="I80" s="100">
        <v>8051.9999999999991</v>
      </c>
      <c r="J80" s="100">
        <v>8</v>
      </c>
      <c r="K80" s="100">
        <v>6441.5999999999995</v>
      </c>
      <c r="L80" s="100">
        <v>6</v>
      </c>
      <c r="M80" s="100">
        <v>4831.2</v>
      </c>
      <c r="N80" s="100">
        <v>5</v>
      </c>
      <c r="O80" s="100">
        <v>4025.9999999999995</v>
      </c>
      <c r="P80" s="100">
        <v>6</v>
      </c>
      <c r="Q80" s="100">
        <v>4831.2</v>
      </c>
      <c r="R80" s="100">
        <v>6</v>
      </c>
      <c r="S80" s="100">
        <v>4831.2</v>
      </c>
      <c r="T80" s="100">
        <v>8</v>
      </c>
      <c r="U80" s="100">
        <v>6441.5999999999995</v>
      </c>
      <c r="V80" s="100">
        <v>6</v>
      </c>
      <c r="W80" s="100">
        <v>4831.2</v>
      </c>
      <c r="X80" s="100">
        <v>10</v>
      </c>
      <c r="Y80" s="100">
        <v>8051.9999999999991</v>
      </c>
      <c r="Z80" s="100">
        <v>10</v>
      </c>
      <c r="AA80" s="100">
        <v>8051.9999999999991</v>
      </c>
      <c r="AB80" s="100">
        <v>9</v>
      </c>
      <c r="AC80" s="100">
        <v>7246.7999999999993</v>
      </c>
      <c r="AD80" s="100">
        <v>5</v>
      </c>
      <c r="AE80" s="100">
        <v>4025.9999999999995</v>
      </c>
      <c r="AF80" s="100">
        <v>6</v>
      </c>
      <c r="AG80" s="100">
        <v>4831.2</v>
      </c>
      <c r="AH80" s="100">
        <v>9</v>
      </c>
      <c r="AI80" s="100">
        <v>7246.7999999999993</v>
      </c>
      <c r="AJ80" s="100">
        <v>6</v>
      </c>
      <c r="AK80" s="100">
        <v>4831.2</v>
      </c>
      <c r="AL80" s="100">
        <v>10</v>
      </c>
      <c r="AM80" s="100">
        <v>8051.9999999999991</v>
      </c>
      <c r="AN80" s="100">
        <v>9</v>
      </c>
      <c r="AO80" s="100">
        <v>7246.7999999999993</v>
      </c>
      <c r="AP80" s="100">
        <v>8</v>
      </c>
      <c r="AQ80" s="100">
        <v>6441.5999999999995</v>
      </c>
      <c r="AR80" s="100">
        <v>7</v>
      </c>
      <c r="AS80" s="100">
        <v>5636.4</v>
      </c>
      <c r="AT80" s="100">
        <v>6</v>
      </c>
      <c r="AU80" s="100">
        <v>4831.2</v>
      </c>
      <c r="AV80" s="100">
        <v>8</v>
      </c>
      <c r="AW80" s="100">
        <v>6441.5999999999995</v>
      </c>
      <c r="AX80" s="100">
        <v>6</v>
      </c>
      <c r="AY80" s="100">
        <v>4831.2</v>
      </c>
      <c r="AZ80" s="100">
        <v>7</v>
      </c>
      <c r="BA80" s="100">
        <v>5636.4</v>
      </c>
      <c r="BB80" s="100">
        <v>5.3099290491033901</v>
      </c>
      <c r="BC80" s="100">
        <v>4275.5548703380491</v>
      </c>
      <c r="BD80" s="100">
        <v>5.3656871198579789E-21</v>
      </c>
      <c r="BE80" s="100">
        <v>4.3204512689096443E-18</v>
      </c>
      <c r="BF80" s="100">
        <v>1.7849564007592075E-21</v>
      </c>
      <c r="BG80" s="100">
        <v>1.4372468938913137E-18</v>
      </c>
      <c r="BH80" s="100">
        <v>5</v>
      </c>
      <c r="BI80" s="100">
        <v>4025.9999999999995</v>
      </c>
      <c r="BJ80" s="100">
        <v>9</v>
      </c>
      <c r="BK80" s="100">
        <v>7246.7999999999993</v>
      </c>
      <c r="BL80" s="100">
        <v>6</v>
      </c>
      <c r="BM80" s="100">
        <v>4831.2</v>
      </c>
      <c r="BN80" s="100">
        <v>9</v>
      </c>
      <c r="BO80" s="100">
        <v>7246.7999999999993</v>
      </c>
      <c r="BP80" s="100">
        <v>5</v>
      </c>
      <c r="BQ80" s="100">
        <v>4025.9999999999995</v>
      </c>
      <c r="BR80" s="100">
        <v>7</v>
      </c>
      <c r="BS80" s="100">
        <v>5636.4</v>
      </c>
      <c r="BT80" s="100">
        <v>6</v>
      </c>
      <c r="BU80" s="100">
        <v>4831.2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7</v>
      </c>
      <c r="CA80" s="100">
        <v>5636.4</v>
      </c>
      <c r="CB80" s="100">
        <v>8</v>
      </c>
      <c r="CC80" s="100">
        <v>6441.5999999999995</v>
      </c>
      <c r="CD80" s="100">
        <v>9</v>
      </c>
      <c r="CE80" s="100">
        <v>7246.7999999999993</v>
      </c>
      <c r="CF80" s="100">
        <v>8</v>
      </c>
      <c r="CG80" s="100">
        <v>6441.5999999999995</v>
      </c>
      <c r="CH80" s="100">
        <v>8</v>
      </c>
      <c r="CI80" s="100">
        <v>6441.5999999999995</v>
      </c>
      <c r="CJ80" s="100">
        <v>6</v>
      </c>
      <c r="CK80" s="100">
        <v>4831.2</v>
      </c>
      <c r="CL80" s="100">
        <v>9</v>
      </c>
      <c r="CM80" s="100">
        <v>7246.7999999999993</v>
      </c>
      <c r="CN80" s="100">
        <v>9</v>
      </c>
      <c r="CO80" s="100">
        <v>7246.7999999999993</v>
      </c>
      <c r="CP80" s="100">
        <v>9</v>
      </c>
      <c r="CQ80" s="100">
        <v>7246.7999999999993</v>
      </c>
      <c r="CR80" s="100">
        <v>9</v>
      </c>
      <c r="CS80" s="100">
        <v>7246.7999999999993</v>
      </c>
      <c r="CT80" s="100">
        <v>10</v>
      </c>
      <c r="CU80" s="100">
        <v>8051.9999999999991</v>
      </c>
    </row>
    <row r="81" spans="2:99">
      <c r="C81" s="99" t="s">
        <v>247</v>
      </c>
      <c r="D81" s="100">
        <v>7</v>
      </c>
      <c r="E81" s="100">
        <v>5275.2</v>
      </c>
      <c r="F81" s="100">
        <v>9</v>
      </c>
      <c r="G81" s="100">
        <v>6782.4000000000005</v>
      </c>
      <c r="H81" s="100">
        <v>9</v>
      </c>
      <c r="I81" s="100">
        <v>6782.4000000000005</v>
      </c>
      <c r="J81" s="100">
        <v>7</v>
      </c>
      <c r="K81" s="100">
        <v>5275.2</v>
      </c>
      <c r="L81" s="100">
        <v>6</v>
      </c>
      <c r="M81" s="100">
        <v>4521.6000000000004</v>
      </c>
      <c r="N81" s="100">
        <v>5</v>
      </c>
      <c r="O81" s="100">
        <v>3768</v>
      </c>
      <c r="P81" s="100">
        <v>6</v>
      </c>
      <c r="Q81" s="100">
        <v>4521.6000000000004</v>
      </c>
      <c r="R81" s="100">
        <v>7</v>
      </c>
      <c r="S81" s="100">
        <v>5275.2</v>
      </c>
      <c r="T81" s="100">
        <v>8</v>
      </c>
      <c r="U81" s="100">
        <v>6028.8</v>
      </c>
      <c r="V81" s="100">
        <v>6</v>
      </c>
      <c r="W81" s="100">
        <v>4521.6000000000004</v>
      </c>
      <c r="X81" s="100">
        <v>10</v>
      </c>
      <c r="Y81" s="100">
        <v>7536</v>
      </c>
      <c r="Z81" s="100">
        <v>9</v>
      </c>
      <c r="AA81" s="100">
        <v>6782.4000000000005</v>
      </c>
      <c r="AB81" s="100">
        <v>9</v>
      </c>
      <c r="AC81" s="100">
        <v>6782.4000000000005</v>
      </c>
      <c r="AD81" s="100">
        <v>5</v>
      </c>
      <c r="AE81" s="100">
        <v>3768</v>
      </c>
      <c r="AF81" s="100">
        <v>7</v>
      </c>
      <c r="AG81" s="100">
        <v>5275.2</v>
      </c>
      <c r="AH81" s="100">
        <v>9</v>
      </c>
      <c r="AI81" s="100">
        <v>6782.4000000000005</v>
      </c>
      <c r="AJ81" s="100">
        <v>6</v>
      </c>
      <c r="AK81" s="100">
        <v>4521.6000000000004</v>
      </c>
      <c r="AL81" s="100">
        <v>9</v>
      </c>
      <c r="AM81" s="100">
        <v>6782.4000000000005</v>
      </c>
      <c r="AN81" s="100">
        <v>9</v>
      </c>
      <c r="AO81" s="100">
        <v>6782.4000000000005</v>
      </c>
      <c r="AP81" s="100">
        <v>9</v>
      </c>
      <c r="AQ81" s="100">
        <v>6782.4000000000005</v>
      </c>
      <c r="AR81" s="100">
        <v>6</v>
      </c>
      <c r="AS81" s="100">
        <v>4521.6000000000004</v>
      </c>
      <c r="AT81" s="100">
        <v>6</v>
      </c>
      <c r="AU81" s="100">
        <v>4521.6000000000004</v>
      </c>
      <c r="AV81" s="100">
        <v>8</v>
      </c>
      <c r="AW81" s="100">
        <v>6028.8</v>
      </c>
      <c r="AX81" s="100">
        <v>6</v>
      </c>
      <c r="AY81" s="100">
        <v>4521.6000000000004</v>
      </c>
      <c r="AZ81" s="100">
        <v>7</v>
      </c>
      <c r="BA81" s="100">
        <v>5275.2</v>
      </c>
      <c r="BB81" s="100">
        <v>5.3099290491033901</v>
      </c>
      <c r="BC81" s="100">
        <v>4001.562531404315</v>
      </c>
      <c r="BD81" s="100">
        <v>6.0363980098402256E-21</v>
      </c>
      <c r="BE81" s="100">
        <v>4.549029540215594E-18</v>
      </c>
      <c r="BF81" s="100">
        <v>1.7849564007592075E-21</v>
      </c>
      <c r="BG81" s="100">
        <v>1.3451431436121388E-18</v>
      </c>
      <c r="BH81" s="100">
        <v>6</v>
      </c>
      <c r="BI81" s="100">
        <v>4521.6000000000004</v>
      </c>
      <c r="BJ81" s="100">
        <v>10</v>
      </c>
      <c r="BK81" s="100">
        <v>7536</v>
      </c>
      <c r="BL81" s="100">
        <v>6</v>
      </c>
      <c r="BM81" s="100">
        <v>4521.6000000000004</v>
      </c>
      <c r="BN81" s="100">
        <v>9</v>
      </c>
      <c r="BO81" s="100">
        <v>6782.4000000000005</v>
      </c>
      <c r="BP81" s="100">
        <v>5</v>
      </c>
      <c r="BQ81" s="100">
        <v>3768</v>
      </c>
      <c r="BR81" s="100">
        <v>7</v>
      </c>
      <c r="BS81" s="100">
        <v>5275.2</v>
      </c>
      <c r="BT81" s="100">
        <v>5</v>
      </c>
      <c r="BU81" s="100">
        <v>3768</v>
      </c>
      <c r="BV81" s="100">
        <v>8</v>
      </c>
      <c r="BW81" s="100">
        <v>6028.8</v>
      </c>
      <c r="BX81" s="100">
        <v>6</v>
      </c>
      <c r="BY81" s="100">
        <v>4521.6000000000004</v>
      </c>
      <c r="BZ81" s="100">
        <v>7</v>
      </c>
      <c r="CA81" s="100">
        <v>5275.2</v>
      </c>
      <c r="CB81" s="100">
        <v>8</v>
      </c>
      <c r="CC81" s="100">
        <v>6028.8</v>
      </c>
      <c r="CD81" s="100">
        <v>9</v>
      </c>
      <c r="CE81" s="100">
        <v>6782.4000000000005</v>
      </c>
      <c r="CF81" s="100">
        <v>8</v>
      </c>
      <c r="CG81" s="100">
        <v>6028.8</v>
      </c>
      <c r="CH81" s="100">
        <v>8</v>
      </c>
      <c r="CI81" s="100">
        <v>6028.8</v>
      </c>
      <c r="CJ81" s="100">
        <v>6</v>
      </c>
      <c r="CK81" s="100">
        <v>4521.6000000000004</v>
      </c>
      <c r="CL81" s="100">
        <v>10</v>
      </c>
      <c r="CM81" s="100">
        <v>7536</v>
      </c>
      <c r="CN81" s="100">
        <v>8</v>
      </c>
      <c r="CO81" s="100">
        <v>6028.8</v>
      </c>
      <c r="CP81" s="100">
        <v>8</v>
      </c>
      <c r="CQ81" s="100">
        <v>6028.8</v>
      </c>
      <c r="CR81" s="100">
        <v>10</v>
      </c>
      <c r="CS81" s="100">
        <v>7536</v>
      </c>
      <c r="CT81" s="100">
        <v>10</v>
      </c>
      <c r="CU81" s="100">
        <v>7536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10</v>
      </c>
      <c r="G82" s="100">
        <v>5087.9999999999991</v>
      </c>
      <c r="H82" s="100">
        <v>9</v>
      </c>
      <c r="I82" s="100">
        <v>4579.1999999999989</v>
      </c>
      <c r="J82" s="100">
        <v>7</v>
      </c>
      <c r="K82" s="100">
        <v>3561.5999999999995</v>
      </c>
      <c r="L82" s="100">
        <v>7</v>
      </c>
      <c r="M82" s="100">
        <v>3561.5999999999995</v>
      </c>
      <c r="N82" s="100">
        <v>6</v>
      </c>
      <c r="O82" s="100">
        <v>3052.7999999999993</v>
      </c>
      <c r="P82" s="100">
        <v>6</v>
      </c>
      <c r="Q82" s="100">
        <v>3052.7999999999993</v>
      </c>
      <c r="R82" s="100">
        <v>7</v>
      </c>
      <c r="S82" s="100">
        <v>3561.5999999999995</v>
      </c>
      <c r="T82" s="100">
        <v>8</v>
      </c>
      <c r="U82" s="100">
        <v>4070.3999999999992</v>
      </c>
      <c r="V82" s="100">
        <v>6</v>
      </c>
      <c r="W82" s="100">
        <v>3052.7999999999993</v>
      </c>
      <c r="X82" s="100">
        <v>9</v>
      </c>
      <c r="Y82" s="100">
        <v>4579.1999999999989</v>
      </c>
      <c r="Z82" s="100">
        <v>10</v>
      </c>
      <c r="AA82" s="100">
        <v>5087.9999999999991</v>
      </c>
      <c r="AB82" s="100">
        <v>11</v>
      </c>
      <c r="AC82" s="100">
        <v>5596.7999999999993</v>
      </c>
      <c r="AD82" s="100">
        <v>5</v>
      </c>
      <c r="AE82" s="100">
        <v>2543.9999999999995</v>
      </c>
      <c r="AF82" s="100">
        <v>7</v>
      </c>
      <c r="AG82" s="100">
        <v>3561.5999999999995</v>
      </c>
      <c r="AH82" s="100">
        <v>9</v>
      </c>
      <c r="AI82" s="100">
        <v>4579.1999999999989</v>
      </c>
      <c r="AJ82" s="100">
        <v>6</v>
      </c>
      <c r="AK82" s="100">
        <v>3052.7999999999993</v>
      </c>
      <c r="AL82" s="100">
        <v>9</v>
      </c>
      <c r="AM82" s="100">
        <v>4579.1999999999989</v>
      </c>
      <c r="AN82" s="100">
        <v>10</v>
      </c>
      <c r="AO82" s="100">
        <v>5087.9999999999991</v>
      </c>
      <c r="AP82" s="100">
        <v>8</v>
      </c>
      <c r="AQ82" s="100">
        <v>4070.3999999999992</v>
      </c>
      <c r="AR82" s="100">
        <v>6</v>
      </c>
      <c r="AS82" s="100">
        <v>3052.7999999999993</v>
      </c>
      <c r="AT82" s="100">
        <v>6</v>
      </c>
      <c r="AU82" s="100">
        <v>3052.7999999999993</v>
      </c>
      <c r="AV82" s="100">
        <v>8</v>
      </c>
      <c r="AW82" s="100">
        <v>4070.3999999999992</v>
      </c>
      <c r="AX82" s="100">
        <v>7</v>
      </c>
      <c r="AY82" s="100">
        <v>3561.5999999999995</v>
      </c>
      <c r="AZ82" s="100">
        <v>8</v>
      </c>
      <c r="BA82" s="100">
        <v>4070.3999999999992</v>
      </c>
      <c r="BB82" s="100">
        <v>5.3099290491033901</v>
      </c>
      <c r="BC82" s="100">
        <v>2701.6919001838041</v>
      </c>
      <c r="BD82" s="100">
        <v>6.0363980098402256E-21</v>
      </c>
      <c r="BE82" s="100">
        <v>3.0713193074067064E-18</v>
      </c>
      <c r="BF82" s="100">
        <v>1.9832848897324527E-21</v>
      </c>
      <c r="BG82" s="100">
        <v>1.0090953518958717E-18</v>
      </c>
      <c r="BH82" s="100">
        <v>6</v>
      </c>
      <c r="BI82" s="100">
        <v>3052.7999999999993</v>
      </c>
      <c r="BJ82" s="100">
        <v>8</v>
      </c>
      <c r="BK82" s="100">
        <v>4070.3999999999992</v>
      </c>
      <c r="BL82" s="100">
        <v>7</v>
      </c>
      <c r="BM82" s="100">
        <v>3561.5999999999995</v>
      </c>
      <c r="BN82" s="100">
        <v>10</v>
      </c>
      <c r="BO82" s="100">
        <v>5087.9999999999991</v>
      </c>
      <c r="BP82" s="100">
        <v>5</v>
      </c>
      <c r="BQ82" s="100">
        <v>2543.9999999999995</v>
      </c>
      <c r="BR82" s="100">
        <v>8</v>
      </c>
      <c r="BS82" s="100">
        <v>4070.3999999999992</v>
      </c>
      <c r="BT82" s="100">
        <v>6</v>
      </c>
      <c r="BU82" s="100">
        <v>3052.7999999999993</v>
      </c>
      <c r="BV82" s="100">
        <v>9</v>
      </c>
      <c r="BW82" s="100">
        <v>4579.1999999999989</v>
      </c>
      <c r="BX82" s="100">
        <v>6</v>
      </c>
      <c r="BY82" s="100">
        <v>3052.7999999999993</v>
      </c>
      <c r="BZ82" s="100">
        <v>7</v>
      </c>
      <c r="CA82" s="100">
        <v>3561.5999999999995</v>
      </c>
      <c r="CB82" s="100">
        <v>9</v>
      </c>
      <c r="CC82" s="100">
        <v>4579.1999999999989</v>
      </c>
      <c r="CD82" s="100">
        <v>9</v>
      </c>
      <c r="CE82" s="100">
        <v>4579.1999999999989</v>
      </c>
      <c r="CF82" s="100">
        <v>9</v>
      </c>
      <c r="CG82" s="100">
        <v>4579.1999999999989</v>
      </c>
      <c r="CH82" s="100">
        <v>8</v>
      </c>
      <c r="CI82" s="100">
        <v>4070.3999999999992</v>
      </c>
      <c r="CJ82" s="100">
        <v>6</v>
      </c>
      <c r="CK82" s="100">
        <v>3052.7999999999993</v>
      </c>
      <c r="CL82" s="100">
        <v>11</v>
      </c>
      <c r="CM82" s="100">
        <v>5596.7999999999993</v>
      </c>
      <c r="CN82" s="100">
        <v>8</v>
      </c>
      <c r="CO82" s="100">
        <v>4070.3999999999992</v>
      </c>
      <c r="CP82" s="100">
        <v>8</v>
      </c>
      <c r="CQ82" s="100">
        <v>4070.3999999999992</v>
      </c>
      <c r="CR82" s="100">
        <v>10</v>
      </c>
      <c r="CS82" s="100">
        <v>5087.9999999999991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6</v>
      </c>
      <c r="E83" s="100">
        <v>5162.3999999999996</v>
      </c>
      <c r="F83" s="100">
        <v>9</v>
      </c>
      <c r="G83" s="100">
        <v>7743.5999999999995</v>
      </c>
      <c r="H83" s="100">
        <v>9</v>
      </c>
      <c r="I83" s="100">
        <v>7743.5999999999995</v>
      </c>
      <c r="J83" s="100">
        <v>8</v>
      </c>
      <c r="K83" s="100">
        <v>6883.2</v>
      </c>
      <c r="L83" s="100">
        <v>6</v>
      </c>
      <c r="M83" s="100">
        <v>5162.3999999999996</v>
      </c>
      <c r="N83" s="100">
        <v>5</v>
      </c>
      <c r="O83" s="100">
        <v>4302</v>
      </c>
      <c r="P83" s="100">
        <v>6</v>
      </c>
      <c r="Q83" s="100">
        <v>5162.3999999999996</v>
      </c>
      <c r="R83" s="100">
        <v>6</v>
      </c>
      <c r="S83" s="100">
        <v>5162.3999999999996</v>
      </c>
      <c r="T83" s="100">
        <v>8</v>
      </c>
      <c r="U83" s="100">
        <v>6883.2</v>
      </c>
      <c r="V83" s="100">
        <v>6</v>
      </c>
      <c r="W83" s="100">
        <v>5162.3999999999996</v>
      </c>
      <c r="X83" s="100">
        <v>9</v>
      </c>
      <c r="Y83" s="100">
        <v>7743.5999999999995</v>
      </c>
      <c r="Z83" s="100">
        <v>10</v>
      </c>
      <c r="AA83" s="100">
        <v>8604</v>
      </c>
      <c r="AB83" s="100">
        <v>9</v>
      </c>
      <c r="AC83" s="100">
        <v>7743.5999999999995</v>
      </c>
      <c r="AD83" s="100">
        <v>6</v>
      </c>
      <c r="AE83" s="100">
        <v>5162.3999999999996</v>
      </c>
      <c r="AF83" s="100">
        <v>6</v>
      </c>
      <c r="AG83" s="100">
        <v>5162.3999999999996</v>
      </c>
      <c r="AH83" s="100">
        <v>10</v>
      </c>
      <c r="AI83" s="100">
        <v>8604</v>
      </c>
      <c r="AJ83" s="100">
        <v>6</v>
      </c>
      <c r="AK83" s="100">
        <v>5162.3999999999996</v>
      </c>
      <c r="AL83" s="100">
        <v>9</v>
      </c>
      <c r="AM83" s="100">
        <v>7743.5999999999995</v>
      </c>
      <c r="AN83" s="100">
        <v>9</v>
      </c>
      <c r="AO83" s="100">
        <v>7743.5999999999995</v>
      </c>
      <c r="AP83" s="100">
        <v>7</v>
      </c>
      <c r="AQ83" s="100">
        <v>6022.8</v>
      </c>
      <c r="AR83" s="100">
        <v>6</v>
      </c>
      <c r="AS83" s="100">
        <v>5162.3999999999996</v>
      </c>
      <c r="AT83" s="100">
        <v>5</v>
      </c>
      <c r="AU83" s="100">
        <v>4302</v>
      </c>
      <c r="AV83" s="100">
        <v>7</v>
      </c>
      <c r="AW83" s="100">
        <v>6022.8</v>
      </c>
      <c r="AX83" s="100">
        <v>6</v>
      </c>
      <c r="AY83" s="100">
        <v>5162.3999999999996</v>
      </c>
      <c r="AZ83" s="100">
        <v>8</v>
      </c>
      <c r="BA83" s="100">
        <v>6883.2</v>
      </c>
      <c r="BB83" s="100">
        <v>5.3099290491033901</v>
      </c>
      <c r="BC83" s="100">
        <v>4568.6629538485568</v>
      </c>
      <c r="BD83" s="100">
        <v>5.3656871198579789E-21</v>
      </c>
      <c r="BE83" s="100">
        <v>4.6166371979258053E-18</v>
      </c>
      <c r="BF83" s="100">
        <v>1.9832848897324527E-21</v>
      </c>
      <c r="BG83" s="100">
        <v>1.7064183191258023E-18</v>
      </c>
      <c r="BH83" s="100">
        <v>6</v>
      </c>
      <c r="BI83" s="100">
        <v>5162.3999999999996</v>
      </c>
      <c r="BJ83" s="100">
        <v>10</v>
      </c>
      <c r="BK83" s="100">
        <v>8604</v>
      </c>
      <c r="BL83" s="100">
        <v>7</v>
      </c>
      <c r="BM83" s="100">
        <v>6022.8</v>
      </c>
      <c r="BN83" s="100">
        <v>10</v>
      </c>
      <c r="BO83" s="100">
        <v>8604</v>
      </c>
      <c r="BP83" s="100">
        <v>5</v>
      </c>
      <c r="BQ83" s="100">
        <v>4302</v>
      </c>
      <c r="BR83" s="100">
        <v>7</v>
      </c>
      <c r="BS83" s="100">
        <v>6022.8</v>
      </c>
      <c r="BT83" s="100">
        <v>6</v>
      </c>
      <c r="BU83" s="100">
        <v>5162.3999999999996</v>
      </c>
      <c r="BV83" s="100">
        <v>8</v>
      </c>
      <c r="BW83" s="100">
        <v>6883.2</v>
      </c>
      <c r="BX83" s="100">
        <v>6</v>
      </c>
      <c r="BY83" s="100">
        <v>5162.3999999999996</v>
      </c>
      <c r="BZ83" s="100">
        <v>7</v>
      </c>
      <c r="CA83" s="100">
        <v>6022.8</v>
      </c>
      <c r="CB83" s="100">
        <v>9</v>
      </c>
      <c r="CC83" s="100">
        <v>7743.5999999999995</v>
      </c>
      <c r="CD83" s="100">
        <v>9</v>
      </c>
      <c r="CE83" s="100">
        <v>7743.5999999999995</v>
      </c>
      <c r="CF83" s="100">
        <v>8</v>
      </c>
      <c r="CG83" s="100">
        <v>6883.2</v>
      </c>
      <c r="CH83" s="100">
        <v>9</v>
      </c>
      <c r="CI83" s="100">
        <v>7743.5999999999995</v>
      </c>
      <c r="CJ83" s="100">
        <v>6</v>
      </c>
      <c r="CK83" s="100">
        <v>5162.3999999999996</v>
      </c>
      <c r="CL83" s="100">
        <v>10</v>
      </c>
      <c r="CM83" s="100">
        <v>8604</v>
      </c>
      <c r="CN83" s="100">
        <v>8</v>
      </c>
      <c r="CO83" s="100">
        <v>6883.2</v>
      </c>
      <c r="CP83" s="100">
        <v>8</v>
      </c>
      <c r="CQ83" s="100">
        <v>6883.2</v>
      </c>
      <c r="CR83" s="100">
        <v>9</v>
      </c>
      <c r="CS83" s="100">
        <v>7743.5999999999995</v>
      </c>
      <c r="CT83" s="100">
        <v>10</v>
      </c>
      <c r="CU83" s="100">
        <v>8604</v>
      </c>
    </row>
    <row r="84" spans="2:99">
      <c r="C84" s="99" t="s">
        <v>250</v>
      </c>
      <c r="D84" s="100">
        <v>6</v>
      </c>
      <c r="E84" s="100">
        <v>4687.2</v>
      </c>
      <c r="F84" s="100">
        <v>10</v>
      </c>
      <c r="G84" s="100">
        <v>7811.9999999999991</v>
      </c>
      <c r="H84" s="100">
        <v>10</v>
      </c>
      <c r="I84" s="100">
        <v>7811.9999999999991</v>
      </c>
      <c r="J84" s="100">
        <v>7</v>
      </c>
      <c r="K84" s="100">
        <v>5468.4</v>
      </c>
      <c r="L84" s="100">
        <v>6</v>
      </c>
      <c r="M84" s="100">
        <v>4687.2</v>
      </c>
      <c r="N84" s="100">
        <v>5</v>
      </c>
      <c r="O84" s="100">
        <v>3905.9999999999995</v>
      </c>
      <c r="P84" s="100">
        <v>6</v>
      </c>
      <c r="Q84" s="100">
        <v>4687.2</v>
      </c>
      <c r="R84" s="100">
        <v>7</v>
      </c>
      <c r="S84" s="100">
        <v>5468.4</v>
      </c>
      <c r="T84" s="100">
        <v>8</v>
      </c>
      <c r="U84" s="100">
        <v>6249.5999999999995</v>
      </c>
      <c r="V84" s="100">
        <v>7</v>
      </c>
      <c r="W84" s="100">
        <v>5468.4</v>
      </c>
      <c r="X84" s="100">
        <v>9</v>
      </c>
      <c r="Y84" s="100">
        <v>7030.7999999999993</v>
      </c>
      <c r="Z84" s="100">
        <v>9</v>
      </c>
      <c r="AA84" s="100">
        <v>7030.7999999999993</v>
      </c>
      <c r="AB84" s="100">
        <v>9</v>
      </c>
      <c r="AC84" s="100">
        <v>7030.7999999999993</v>
      </c>
      <c r="AD84" s="100">
        <v>5</v>
      </c>
      <c r="AE84" s="100">
        <v>3905.9999999999995</v>
      </c>
      <c r="AF84" s="100">
        <v>7</v>
      </c>
      <c r="AG84" s="100">
        <v>5468.4</v>
      </c>
      <c r="AH84" s="100">
        <v>10</v>
      </c>
      <c r="AI84" s="100">
        <v>7811.9999999999991</v>
      </c>
      <c r="AJ84" s="100">
        <v>6</v>
      </c>
      <c r="AK84" s="100">
        <v>4687.2</v>
      </c>
      <c r="AL84" s="100">
        <v>11</v>
      </c>
      <c r="AM84" s="100">
        <v>8593.1999999999989</v>
      </c>
      <c r="AN84" s="100">
        <v>9</v>
      </c>
      <c r="AO84" s="100">
        <v>7030.7999999999993</v>
      </c>
      <c r="AP84" s="100">
        <v>9</v>
      </c>
      <c r="AQ84" s="100">
        <v>7030.7999999999993</v>
      </c>
      <c r="AR84" s="100">
        <v>6</v>
      </c>
      <c r="AS84" s="100">
        <v>4687.2</v>
      </c>
      <c r="AT84" s="100">
        <v>6</v>
      </c>
      <c r="AU84" s="100">
        <v>4687.2</v>
      </c>
      <c r="AV84" s="100">
        <v>8</v>
      </c>
      <c r="AW84" s="100">
        <v>6249.5999999999995</v>
      </c>
      <c r="AX84" s="100">
        <v>6</v>
      </c>
      <c r="AY84" s="100">
        <v>4687.2</v>
      </c>
      <c r="AZ84" s="100">
        <v>7</v>
      </c>
      <c r="BA84" s="100">
        <v>5468.4</v>
      </c>
      <c r="BB84" s="100">
        <v>6.0684903418324456</v>
      </c>
      <c r="BC84" s="100">
        <v>4740.7046550395062</v>
      </c>
      <c r="BD84" s="100">
        <v>6.0363980098402256E-21</v>
      </c>
      <c r="BE84" s="100">
        <v>4.7156341252871841E-18</v>
      </c>
      <c r="BF84" s="100">
        <v>1.9832848897324527E-21</v>
      </c>
      <c r="BG84" s="100">
        <v>1.5493421558589919E-18</v>
      </c>
      <c r="BH84" s="100">
        <v>6</v>
      </c>
      <c r="BI84" s="100">
        <v>4687.2</v>
      </c>
      <c r="BJ84" s="100">
        <v>10</v>
      </c>
      <c r="BK84" s="100">
        <v>7811.9999999999991</v>
      </c>
      <c r="BL84" s="100">
        <v>6</v>
      </c>
      <c r="BM84" s="100">
        <v>4687.2</v>
      </c>
      <c r="BN84" s="100">
        <v>9</v>
      </c>
      <c r="BO84" s="100">
        <v>7030.7999999999993</v>
      </c>
      <c r="BP84" s="100">
        <v>5</v>
      </c>
      <c r="BQ84" s="100">
        <v>3905.9999999999995</v>
      </c>
      <c r="BR84" s="100">
        <v>8</v>
      </c>
      <c r="BS84" s="100">
        <v>6249.5999999999995</v>
      </c>
      <c r="BT84" s="100">
        <v>5</v>
      </c>
      <c r="BU84" s="100">
        <v>3905.9999999999995</v>
      </c>
      <c r="BV84" s="100">
        <v>9</v>
      </c>
      <c r="BW84" s="100">
        <v>7030.7999999999993</v>
      </c>
      <c r="BX84" s="100">
        <v>6</v>
      </c>
      <c r="BY84" s="100">
        <v>4687.2</v>
      </c>
      <c r="BZ84" s="100">
        <v>7</v>
      </c>
      <c r="CA84" s="100">
        <v>5468.4</v>
      </c>
      <c r="CB84" s="100">
        <v>9</v>
      </c>
      <c r="CC84" s="100">
        <v>7030.7999999999993</v>
      </c>
      <c r="CD84" s="100">
        <v>10</v>
      </c>
      <c r="CE84" s="100">
        <v>7811.9999999999991</v>
      </c>
      <c r="CF84" s="100">
        <v>8</v>
      </c>
      <c r="CG84" s="100">
        <v>6249.5999999999995</v>
      </c>
      <c r="CH84" s="100">
        <v>9</v>
      </c>
      <c r="CI84" s="100">
        <v>7030.7999999999993</v>
      </c>
      <c r="CJ84" s="100">
        <v>6</v>
      </c>
      <c r="CK84" s="100">
        <v>4687.2</v>
      </c>
      <c r="CL84" s="100">
        <v>10</v>
      </c>
      <c r="CM84" s="100">
        <v>7811.9999999999991</v>
      </c>
      <c r="CN84" s="100">
        <v>8</v>
      </c>
      <c r="CO84" s="100">
        <v>6249.5999999999995</v>
      </c>
      <c r="CP84" s="100">
        <v>7</v>
      </c>
      <c r="CQ84" s="100">
        <v>5468.4</v>
      </c>
      <c r="CR84" s="100">
        <v>10</v>
      </c>
      <c r="CS84" s="100">
        <v>7811.9999999999991</v>
      </c>
      <c r="CT84" s="100">
        <v>10</v>
      </c>
      <c r="CU84" s="100">
        <v>7811.9999999999991</v>
      </c>
    </row>
    <row r="85" spans="2:99">
      <c r="C85" s="99" t="s">
        <v>251</v>
      </c>
      <c r="D85" s="100">
        <v>7</v>
      </c>
      <c r="E85" s="100">
        <v>1050</v>
      </c>
      <c r="F85" s="100">
        <v>10</v>
      </c>
      <c r="G85" s="100">
        <v>1500</v>
      </c>
      <c r="H85" s="100">
        <v>10</v>
      </c>
      <c r="I85" s="100">
        <v>1500</v>
      </c>
      <c r="J85" s="100">
        <v>8</v>
      </c>
      <c r="K85" s="100">
        <v>1200</v>
      </c>
      <c r="L85" s="100">
        <v>6</v>
      </c>
      <c r="M85" s="100">
        <v>900</v>
      </c>
      <c r="N85" s="100">
        <v>6</v>
      </c>
      <c r="O85" s="100">
        <v>900</v>
      </c>
      <c r="P85" s="100">
        <v>6</v>
      </c>
      <c r="Q85" s="100">
        <v>900</v>
      </c>
      <c r="R85" s="100">
        <v>7</v>
      </c>
      <c r="S85" s="100">
        <v>1050</v>
      </c>
      <c r="T85" s="100">
        <v>8</v>
      </c>
      <c r="U85" s="100">
        <v>1200</v>
      </c>
      <c r="V85" s="100">
        <v>7</v>
      </c>
      <c r="W85" s="100">
        <v>1050</v>
      </c>
      <c r="X85" s="100">
        <v>11</v>
      </c>
      <c r="Y85" s="100">
        <v>1650</v>
      </c>
      <c r="Z85" s="100">
        <v>10</v>
      </c>
      <c r="AA85" s="100">
        <v>1500</v>
      </c>
      <c r="AB85" s="100">
        <v>10</v>
      </c>
      <c r="AC85" s="100">
        <v>1500</v>
      </c>
      <c r="AD85" s="100">
        <v>6</v>
      </c>
      <c r="AE85" s="100">
        <v>900</v>
      </c>
      <c r="AF85" s="100">
        <v>7</v>
      </c>
      <c r="AG85" s="100">
        <v>1050</v>
      </c>
      <c r="AH85" s="100">
        <v>10</v>
      </c>
      <c r="AI85" s="100">
        <v>1500</v>
      </c>
      <c r="AJ85" s="100">
        <v>7</v>
      </c>
      <c r="AK85" s="100">
        <v>1050</v>
      </c>
      <c r="AL85" s="100">
        <v>11</v>
      </c>
      <c r="AM85" s="100">
        <v>1650</v>
      </c>
      <c r="AN85" s="100">
        <v>9</v>
      </c>
      <c r="AO85" s="100">
        <v>1350</v>
      </c>
      <c r="AP85" s="100">
        <v>8</v>
      </c>
      <c r="AQ85" s="100">
        <v>1200</v>
      </c>
      <c r="AR85" s="100">
        <v>7</v>
      </c>
      <c r="AS85" s="100">
        <v>1050</v>
      </c>
      <c r="AT85" s="100">
        <v>6</v>
      </c>
      <c r="AU85" s="100">
        <v>900</v>
      </c>
      <c r="AV85" s="100">
        <v>8</v>
      </c>
      <c r="AW85" s="100">
        <v>1200</v>
      </c>
      <c r="AX85" s="100">
        <v>7</v>
      </c>
      <c r="AY85" s="100">
        <v>1050</v>
      </c>
      <c r="AZ85" s="100">
        <v>7</v>
      </c>
      <c r="BA85" s="100">
        <v>1050</v>
      </c>
      <c r="BB85" s="100">
        <v>6.8270516345615011</v>
      </c>
      <c r="BC85" s="100">
        <v>1024.0577451842253</v>
      </c>
      <c r="BD85" s="100">
        <v>6.7071088998224738E-21</v>
      </c>
      <c r="BE85" s="100">
        <v>1.006066334973371E-18</v>
      </c>
      <c r="BF85" s="100">
        <v>1.9832848897324527E-21</v>
      </c>
      <c r="BG85" s="100">
        <v>2.9749273345986792E-19</v>
      </c>
      <c r="BH85" s="100">
        <v>7</v>
      </c>
      <c r="BI85" s="100">
        <v>1050</v>
      </c>
      <c r="BJ85" s="100">
        <v>11</v>
      </c>
      <c r="BK85" s="100">
        <v>1650</v>
      </c>
      <c r="BL85" s="100">
        <v>7</v>
      </c>
      <c r="BM85" s="100">
        <v>1050</v>
      </c>
      <c r="BN85" s="100">
        <v>11</v>
      </c>
      <c r="BO85" s="100">
        <v>1650</v>
      </c>
      <c r="BP85" s="100">
        <v>5</v>
      </c>
      <c r="BQ85" s="100">
        <v>750</v>
      </c>
      <c r="BR85" s="100">
        <v>8</v>
      </c>
      <c r="BS85" s="100">
        <v>1200</v>
      </c>
      <c r="BT85" s="100">
        <v>6</v>
      </c>
      <c r="BU85" s="100">
        <v>900</v>
      </c>
      <c r="BV85" s="100">
        <v>10</v>
      </c>
      <c r="BW85" s="100">
        <v>1500</v>
      </c>
      <c r="BX85" s="100">
        <v>6</v>
      </c>
      <c r="BY85" s="100">
        <v>900</v>
      </c>
      <c r="BZ85" s="100">
        <v>7</v>
      </c>
      <c r="CA85" s="100">
        <v>1050</v>
      </c>
      <c r="CB85" s="100">
        <v>10</v>
      </c>
      <c r="CC85" s="100">
        <v>1500</v>
      </c>
      <c r="CD85" s="100">
        <v>11</v>
      </c>
      <c r="CE85" s="100">
        <v>1650</v>
      </c>
      <c r="CF85" s="100">
        <v>10</v>
      </c>
      <c r="CG85" s="100">
        <v>1500</v>
      </c>
      <c r="CH85" s="100">
        <v>8</v>
      </c>
      <c r="CI85" s="100">
        <v>1200</v>
      </c>
      <c r="CJ85" s="100">
        <v>6</v>
      </c>
      <c r="CK85" s="100">
        <v>900</v>
      </c>
      <c r="CL85" s="100">
        <v>10</v>
      </c>
      <c r="CM85" s="100">
        <v>1500</v>
      </c>
      <c r="CN85" s="100">
        <v>9</v>
      </c>
      <c r="CO85" s="100">
        <v>1350</v>
      </c>
      <c r="CP85" s="100">
        <v>9</v>
      </c>
      <c r="CQ85" s="100">
        <v>1350</v>
      </c>
      <c r="CR85" s="100">
        <v>10</v>
      </c>
      <c r="CS85" s="100">
        <v>1500</v>
      </c>
      <c r="CT85" s="100">
        <v>11</v>
      </c>
      <c r="CU85" s="100">
        <v>1650</v>
      </c>
    </row>
    <row r="86" spans="2:99">
      <c r="C86" s="99" t="s">
        <v>252</v>
      </c>
      <c r="D86" s="100">
        <v>6</v>
      </c>
      <c r="E86" s="100">
        <v>3240</v>
      </c>
      <c r="F86" s="100">
        <v>9</v>
      </c>
      <c r="G86" s="100">
        <v>4860</v>
      </c>
      <c r="H86" s="100">
        <v>10</v>
      </c>
      <c r="I86" s="100">
        <v>5400</v>
      </c>
      <c r="J86" s="100">
        <v>8</v>
      </c>
      <c r="K86" s="100">
        <v>4320</v>
      </c>
      <c r="L86" s="100">
        <v>6</v>
      </c>
      <c r="M86" s="100">
        <v>3240</v>
      </c>
      <c r="N86" s="100">
        <v>5</v>
      </c>
      <c r="O86" s="100">
        <v>2700</v>
      </c>
      <c r="P86" s="100">
        <v>6</v>
      </c>
      <c r="Q86" s="100">
        <v>3240</v>
      </c>
      <c r="R86" s="100">
        <v>7</v>
      </c>
      <c r="S86" s="100">
        <v>3780</v>
      </c>
      <c r="T86" s="100">
        <v>8</v>
      </c>
      <c r="U86" s="100">
        <v>4320</v>
      </c>
      <c r="V86" s="100">
        <v>6</v>
      </c>
      <c r="W86" s="100">
        <v>3240</v>
      </c>
      <c r="X86" s="100">
        <v>10</v>
      </c>
      <c r="Y86" s="100">
        <v>5400</v>
      </c>
      <c r="Z86" s="100">
        <v>11</v>
      </c>
      <c r="AA86" s="100">
        <v>5940</v>
      </c>
      <c r="AB86" s="100">
        <v>9</v>
      </c>
      <c r="AC86" s="100">
        <v>4860</v>
      </c>
      <c r="AD86" s="100">
        <v>5</v>
      </c>
      <c r="AE86" s="100">
        <v>2700</v>
      </c>
      <c r="AF86" s="100">
        <v>6</v>
      </c>
      <c r="AG86" s="100">
        <v>3240</v>
      </c>
      <c r="AH86" s="100">
        <v>10</v>
      </c>
      <c r="AI86" s="100">
        <v>5400</v>
      </c>
      <c r="AJ86" s="100">
        <v>7</v>
      </c>
      <c r="AK86" s="100">
        <v>3780</v>
      </c>
      <c r="AL86" s="100">
        <v>10</v>
      </c>
      <c r="AM86" s="100">
        <v>5400</v>
      </c>
      <c r="AN86" s="100">
        <v>10</v>
      </c>
      <c r="AO86" s="100">
        <v>5400</v>
      </c>
      <c r="AP86" s="100">
        <v>8</v>
      </c>
      <c r="AQ86" s="100">
        <v>4320</v>
      </c>
      <c r="AR86" s="100">
        <v>7</v>
      </c>
      <c r="AS86" s="100">
        <v>3780</v>
      </c>
      <c r="AT86" s="100">
        <v>7</v>
      </c>
      <c r="AU86" s="100">
        <v>3780</v>
      </c>
      <c r="AV86" s="100">
        <v>8</v>
      </c>
      <c r="AW86" s="100">
        <v>4320</v>
      </c>
      <c r="AX86" s="100">
        <v>6</v>
      </c>
      <c r="AY86" s="100">
        <v>3240</v>
      </c>
      <c r="AZ86" s="100">
        <v>8</v>
      </c>
      <c r="BA86" s="100">
        <v>4320</v>
      </c>
      <c r="BB86" s="100">
        <v>5.3099290491033901</v>
      </c>
      <c r="BC86" s="100">
        <v>2867.3616865158306</v>
      </c>
      <c r="BD86" s="100">
        <v>5.3656871198579789E-21</v>
      </c>
      <c r="BE86" s="100">
        <v>2.8974710447233085E-18</v>
      </c>
      <c r="BF86" s="100">
        <v>1.7849564007592075E-21</v>
      </c>
      <c r="BG86" s="100">
        <v>9.6387645640997213E-19</v>
      </c>
      <c r="BH86" s="100">
        <v>7</v>
      </c>
      <c r="BI86" s="100">
        <v>3780</v>
      </c>
      <c r="BJ86" s="100">
        <v>9</v>
      </c>
      <c r="BK86" s="100">
        <v>4860</v>
      </c>
      <c r="BL86" s="100">
        <v>6</v>
      </c>
      <c r="BM86" s="100">
        <v>3240</v>
      </c>
      <c r="BN86" s="100">
        <v>10</v>
      </c>
      <c r="BO86" s="100">
        <v>5400</v>
      </c>
      <c r="BP86" s="100">
        <v>5</v>
      </c>
      <c r="BQ86" s="100">
        <v>2700</v>
      </c>
      <c r="BR86" s="100">
        <v>8</v>
      </c>
      <c r="BS86" s="100">
        <v>4320</v>
      </c>
      <c r="BT86" s="100">
        <v>6</v>
      </c>
      <c r="BU86" s="100">
        <v>3240</v>
      </c>
      <c r="BV86" s="100">
        <v>9</v>
      </c>
      <c r="BW86" s="100">
        <v>4860</v>
      </c>
      <c r="BX86" s="100">
        <v>6</v>
      </c>
      <c r="BY86" s="100">
        <v>3240</v>
      </c>
      <c r="BZ86" s="100">
        <v>7</v>
      </c>
      <c r="CA86" s="100">
        <v>3780</v>
      </c>
      <c r="CB86" s="100">
        <v>8</v>
      </c>
      <c r="CC86" s="100">
        <v>4320</v>
      </c>
      <c r="CD86" s="100">
        <v>10</v>
      </c>
      <c r="CE86" s="100">
        <v>5400</v>
      </c>
      <c r="CF86" s="100">
        <v>9</v>
      </c>
      <c r="CG86" s="100">
        <v>4860</v>
      </c>
      <c r="CH86" s="100">
        <v>9</v>
      </c>
      <c r="CI86" s="100">
        <v>4860</v>
      </c>
      <c r="CJ86" s="100">
        <v>6</v>
      </c>
      <c r="CK86" s="100">
        <v>3240</v>
      </c>
      <c r="CL86" s="100">
        <v>10</v>
      </c>
      <c r="CM86" s="100">
        <v>5400</v>
      </c>
      <c r="CN86" s="100">
        <v>8</v>
      </c>
      <c r="CO86" s="100">
        <v>4320</v>
      </c>
      <c r="CP86" s="100">
        <v>9</v>
      </c>
      <c r="CQ86" s="100">
        <v>4860</v>
      </c>
      <c r="CR86" s="100">
        <v>9</v>
      </c>
      <c r="CS86" s="100">
        <v>4860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10</v>
      </c>
      <c r="E87" s="100">
        <v>10740</v>
      </c>
      <c r="F87" s="100">
        <v>7</v>
      </c>
      <c r="G87" s="100">
        <v>7518</v>
      </c>
      <c r="H87" s="100">
        <v>11</v>
      </c>
      <c r="I87" s="100">
        <v>11814</v>
      </c>
      <c r="J87" s="100">
        <v>11</v>
      </c>
      <c r="K87" s="100">
        <v>11814</v>
      </c>
      <c r="L87" s="100">
        <v>9</v>
      </c>
      <c r="M87" s="100">
        <v>9666</v>
      </c>
      <c r="N87" s="100">
        <v>11</v>
      </c>
      <c r="O87" s="100">
        <v>11814</v>
      </c>
      <c r="P87" s="100">
        <v>12</v>
      </c>
      <c r="Q87" s="100">
        <v>12888</v>
      </c>
      <c r="R87" s="100">
        <v>12</v>
      </c>
      <c r="S87" s="100">
        <v>12888</v>
      </c>
      <c r="T87" s="100">
        <v>9</v>
      </c>
      <c r="U87" s="100">
        <v>9666</v>
      </c>
      <c r="V87" s="100">
        <v>6</v>
      </c>
      <c r="W87" s="100">
        <v>6444</v>
      </c>
      <c r="X87" s="100">
        <v>10</v>
      </c>
      <c r="Y87" s="100">
        <v>10740</v>
      </c>
      <c r="Z87" s="100">
        <v>11</v>
      </c>
      <c r="AA87" s="100">
        <v>11814</v>
      </c>
      <c r="AB87" s="100">
        <v>10</v>
      </c>
      <c r="AC87" s="100">
        <v>10740</v>
      </c>
      <c r="AD87" s="100">
        <v>7</v>
      </c>
      <c r="AE87" s="100">
        <v>7518</v>
      </c>
      <c r="AF87" s="100">
        <v>8</v>
      </c>
      <c r="AG87" s="100">
        <v>8592</v>
      </c>
      <c r="AH87" s="100">
        <v>8</v>
      </c>
      <c r="AI87" s="100">
        <v>8592</v>
      </c>
      <c r="AJ87" s="100">
        <v>10</v>
      </c>
      <c r="AK87" s="100">
        <v>10740</v>
      </c>
      <c r="AL87" s="100">
        <v>12</v>
      </c>
      <c r="AM87" s="100">
        <v>12888</v>
      </c>
      <c r="AN87" s="100">
        <v>8</v>
      </c>
      <c r="AO87" s="100">
        <v>8592</v>
      </c>
      <c r="AP87" s="100">
        <v>11</v>
      </c>
      <c r="AQ87" s="100">
        <v>11814</v>
      </c>
      <c r="AR87" s="100">
        <v>6</v>
      </c>
      <c r="AS87" s="100">
        <v>6444</v>
      </c>
      <c r="AT87" s="100">
        <v>11</v>
      </c>
      <c r="AU87" s="100">
        <v>11814</v>
      </c>
      <c r="AV87" s="100">
        <v>10</v>
      </c>
      <c r="AW87" s="100">
        <v>10740</v>
      </c>
      <c r="AX87" s="100">
        <v>12</v>
      </c>
      <c r="AY87" s="100">
        <v>12888</v>
      </c>
      <c r="AZ87" s="100">
        <v>12</v>
      </c>
      <c r="BA87" s="100">
        <v>12888</v>
      </c>
      <c r="BB87" s="100">
        <v>11</v>
      </c>
      <c r="BC87" s="100">
        <v>11814</v>
      </c>
      <c r="BD87" s="100">
        <v>8</v>
      </c>
      <c r="BE87" s="100">
        <v>8592</v>
      </c>
      <c r="BF87" s="100">
        <v>11</v>
      </c>
      <c r="BG87" s="100">
        <v>11814</v>
      </c>
      <c r="BH87" s="100">
        <v>12</v>
      </c>
      <c r="BI87" s="100">
        <v>12888</v>
      </c>
      <c r="BJ87" s="100">
        <v>7</v>
      </c>
      <c r="BK87" s="100">
        <v>7518</v>
      </c>
      <c r="BL87" s="100">
        <v>13</v>
      </c>
      <c r="BM87" s="100">
        <v>13962</v>
      </c>
      <c r="BN87" s="100">
        <v>11</v>
      </c>
      <c r="BO87" s="100">
        <v>11814</v>
      </c>
      <c r="BP87" s="100">
        <v>7</v>
      </c>
      <c r="BQ87" s="100">
        <v>7518</v>
      </c>
      <c r="BR87" s="100">
        <v>9</v>
      </c>
      <c r="BS87" s="100">
        <v>9666</v>
      </c>
      <c r="BT87" s="100">
        <v>6</v>
      </c>
      <c r="BU87" s="100">
        <v>6444</v>
      </c>
      <c r="BV87" s="100">
        <v>9</v>
      </c>
      <c r="BW87" s="100">
        <v>9666</v>
      </c>
      <c r="BX87" s="100">
        <v>7</v>
      </c>
      <c r="BY87" s="100">
        <v>7518</v>
      </c>
      <c r="BZ87" s="100">
        <v>8</v>
      </c>
      <c r="CA87" s="100">
        <v>8592</v>
      </c>
      <c r="CB87" s="100">
        <v>12</v>
      </c>
      <c r="CC87" s="100">
        <v>12888</v>
      </c>
      <c r="CD87" s="100">
        <v>11</v>
      </c>
      <c r="CE87" s="100">
        <v>11814</v>
      </c>
      <c r="CF87" s="100">
        <v>12</v>
      </c>
      <c r="CG87" s="100">
        <v>12888</v>
      </c>
      <c r="CH87" s="100">
        <v>9</v>
      </c>
      <c r="CI87" s="100">
        <v>9666</v>
      </c>
      <c r="CJ87" s="100">
        <v>12</v>
      </c>
      <c r="CK87" s="100">
        <v>12888</v>
      </c>
      <c r="CL87" s="100">
        <v>11</v>
      </c>
      <c r="CM87" s="100">
        <v>11814</v>
      </c>
      <c r="CN87" s="100">
        <v>11</v>
      </c>
      <c r="CO87" s="100">
        <v>11814</v>
      </c>
      <c r="CP87" s="100">
        <v>9</v>
      </c>
      <c r="CQ87" s="100">
        <v>9666</v>
      </c>
      <c r="CR87" s="100">
        <v>10</v>
      </c>
      <c r="CS87" s="100">
        <v>10740</v>
      </c>
      <c r="CT87" s="100">
        <v>13</v>
      </c>
      <c r="CU87" s="100">
        <v>13962</v>
      </c>
    </row>
    <row r="88" spans="2:99">
      <c r="C88" s="99" t="s">
        <v>254</v>
      </c>
      <c r="D88" s="100">
        <v>10</v>
      </c>
      <c r="E88" s="100">
        <v>9924</v>
      </c>
      <c r="F88" s="100">
        <v>8</v>
      </c>
      <c r="G88" s="100">
        <v>7939.2</v>
      </c>
      <c r="H88" s="100">
        <v>12</v>
      </c>
      <c r="I88" s="100">
        <v>11908.8</v>
      </c>
      <c r="J88" s="100">
        <v>11</v>
      </c>
      <c r="K88" s="100">
        <v>10916.4</v>
      </c>
      <c r="L88" s="100">
        <v>10</v>
      </c>
      <c r="M88" s="100">
        <v>9924</v>
      </c>
      <c r="N88" s="100">
        <v>9</v>
      </c>
      <c r="O88" s="100">
        <v>8931.6</v>
      </c>
      <c r="P88" s="100">
        <v>11</v>
      </c>
      <c r="Q88" s="100">
        <v>10916.4</v>
      </c>
      <c r="R88" s="100">
        <v>11</v>
      </c>
      <c r="S88" s="100">
        <v>10916.4</v>
      </c>
      <c r="T88" s="100">
        <v>9</v>
      </c>
      <c r="U88" s="100">
        <v>8931.6</v>
      </c>
      <c r="V88" s="100">
        <v>6</v>
      </c>
      <c r="W88" s="100">
        <v>5954.4</v>
      </c>
      <c r="X88" s="100">
        <v>10</v>
      </c>
      <c r="Y88" s="100">
        <v>9924</v>
      </c>
      <c r="Z88" s="100">
        <v>9</v>
      </c>
      <c r="AA88" s="100">
        <v>8931.6</v>
      </c>
      <c r="AB88" s="100">
        <v>10</v>
      </c>
      <c r="AC88" s="100">
        <v>9924</v>
      </c>
      <c r="AD88" s="100">
        <v>6</v>
      </c>
      <c r="AE88" s="100">
        <v>5954.4</v>
      </c>
      <c r="AF88" s="100">
        <v>8</v>
      </c>
      <c r="AG88" s="100">
        <v>7939.2</v>
      </c>
      <c r="AH88" s="100">
        <v>8</v>
      </c>
      <c r="AI88" s="100">
        <v>7939.2</v>
      </c>
      <c r="AJ88" s="100">
        <v>9</v>
      </c>
      <c r="AK88" s="100">
        <v>8931.6</v>
      </c>
      <c r="AL88" s="100">
        <v>11</v>
      </c>
      <c r="AM88" s="100">
        <v>10916.4</v>
      </c>
      <c r="AN88" s="100">
        <v>9</v>
      </c>
      <c r="AO88" s="100">
        <v>8931.6</v>
      </c>
      <c r="AP88" s="100">
        <v>11</v>
      </c>
      <c r="AQ88" s="100">
        <v>10916.4</v>
      </c>
      <c r="AR88" s="100">
        <v>6</v>
      </c>
      <c r="AS88" s="100">
        <v>5954.4</v>
      </c>
      <c r="AT88" s="100">
        <v>11</v>
      </c>
      <c r="AU88" s="100">
        <v>10916.4</v>
      </c>
      <c r="AV88" s="100">
        <v>10</v>
      </c>
      <c r="AW88" s="100">
        <v>9924</v>
      </c>
      <c r="AX88" s="100">
        <v>11</v>
      </c>
      <c r="AY88" s="100">
        <v>10916.4</v>
      </c>
      <c r="AZ88" s="100">
        <v>11</v>
      </c>
      <c r="BA88" s="100">
        <v>10916.4</v>
      </c>
      <c r="BB88" s="100">
        <v>13</v>
      </c>
      <c r="BC88" s="100">
        <v>12901.199999999999</v>
      </c>
      <c r="BD88" s="100">
        <v>9</v>
      </c>
      <c r="BE88" s="100">
        <v>8931.6</v>
      </c>
      <c r="BF88" s="100">
        <v>12</v>
      </c>
      <c r="BG88" s="100">
        <v>11908.8</v>
      </c>
      <c r="BH88" s="100">
        <v>12</v>
      </c>
      <c r="BI88" s="100">
        <v>11908.8</v>
      </c>
      <c r="BJ88" s="100">
        <v>7</v>
      </c>
      <c r="BK88" s="100">
        <v>6946.8</v>
      </c>
      <c r="BL88" s="100">
        <v>12</v>
      </c>
      <c r="BM88" s="100">
        <v>11908.8</v>
      </c>
      <c r="BN88" s="100">
        <v>10</v>
      </c>
      <c r="BO88" s="100">
        <v>9924</v>
      </c>
      <c r="BP88" s="100">
        <v>7</v>
      </c>
      <c r="BQ88" s="100">
        <v>6946.8</v>
      </c>
      <c r="BR88" s="100">
        <v>9</v>
      </c>
      <c r="BS88" s="100">
        <v>8931.6</v>
      </c>
      <c r="BT88" s="100">
        <v>6</v>
      </c>
      <c r="BU88" s="100">
        <v>5954.4</v>
      </c>
      <c r="BV88" s="100">
        <v>10</v>
      </c>
      <c r="BW88" s="100">
        <v>9924</v>
      </c>
      <c r="BX88" s="100">
        <v>7</v>
      </c>
      <c r="BY88" s="100">
        <v>6946.8</v>
      </c>
      <c r="BZ88" s="100">
        <v>9</v>
      </c>
      <c r="CA88" s="100">
        <v>8931.6</v>
      </c>
      <c r="CB88" s="100">
        <v>11</v>
      </c>
      <c r="CC88" s="100">
        <v>10916.4</v>
      </c>
      <c r="CD88" s="100">
        <v>10</v>
      </c>
      <c r="CE88" s="100">
        <v>9924</v>
      </c>
      <c r="CF88" s="100">
        <v>11</v>
      </c>
      <c r="CG88" s="100">
        <v>10916.4</v>
      </c>
      <c r="CH88" s="100">
        <v>9</v>
      </c>
      <c r="CI88" s="100">
        <v>8931.6</v>
      </c>
      <c r="CJ88" s="100">
        <v>13</v>
      </c>
      <c r="CK88" s="100">
        <v>12901.199999999999</v>
      </c>
      <c r="CL88" s="100">
        <v>12</v>
      </c>
      <c r="CM88" s="100">
        <v>11908.8</v>
      </c>
      <c r="CN88" s="100">
        <v>10</v>
      </c>
      <c r="CO88" s="100">
        <v>9924</v>
      </c>
      <c r="CP88" s="100">
        <v>10</v>
      </c>
      <c r="CQ88" s="100">
        <v>9924</v>
      </c>
      <c r="CR88" s="100">
        <v>11</v>
      </c>
      <c r="CS88" s="100">
        <v>10916.4</v>
      </c>
      <c r="CT88" s="100">
        <v>13</v>
      </c>
      <c r="CU88" s="100">
        <v>12901.199999999999</v>
      </c>
    </row>
    <row r="89" spans="2:99">
      <c r="C89" s="99" t="s">
        <v>255</v>
      </c>
      <c r="D89" s="100">
        <v>10</v>
      </c>
      <c r="E89" s="100">
        <v>10620</v>
      </c>
      <c r="F89" s="100">
        <v>7</v>
      </c>
      <c r="G89" s="100">
        <v>7434</v>
      </c>
      <c r="H89" s="100">
        <v>10</v>
      </c>
      <c r="I89" s="100">
        <v>10620</v>
      </c>
      <c r="J89" s="100">
        <v>11</v>
      </c>
      <c r="K89" s="100">
        <v>11682</v>
      </c>
      <c r="L89" s="100">
        <v>10</v>
      </c>
      <c r="M89" s="100">
        <v>10620</v>
      </c>
      <c r="N89" s="100">
        <v>11</v>
      </c>
      <c r="O89" s="100">
        <v>11682</v>
      </c>
      <c r="P89" s="100">
        <v>12</v>
      </c>
      <c r="Q89" s="100">
        <v>12744</v>
      </c>
      <c r="R89" s="100">
        <v>11</v>
      </c>
      <c r="S89" s="100">
        <v>11682</v>
      </c>
      <c r="T89" s="100">
        <v>10</v>
      </c>
      <c r="U89" s="100">
        <v>10620</v>
      </c>
      <c r="V89" s="100">
        <v>7</v>
      </c>
      <c r="W89" s="100">
        <v>7434</v>
      </c>
      <c r="X89" s="100">
        <v>10</v>
      </c>
      <c r="Y89" s="100">
        <v>10620</v>
      </c>
      <c r="Z89" s="100">
        <v>11</v>
      </c>
      <c r="AA89" s="100">
        <v>11682</v>
      </c>
      <c r="AB89" s="100">
        <v>10</v>
      </c>
      <c r="AC89" s="100">
        <v>10620</v>
      </c>
      <c r="AD89" s="100">
        <v>7</v>
      </c>
      <c r="AE89" s="100">
        <v>7434</v>
      </c>
      <c r="AF89" s="100">
        <v>8</v>
      </c>
      <c r="AG89" s="100">
        <v>8496</v>
      </c>
      <c r="AH89" s="100">
        <v>9</v>
      </c>
      <c r="AI89" s="100">
        <v>9558</v>
      </c>
      <c r="AJ89" s="100">
        <v>10</v>
      </c>
      <c r="AK89" s="100">
        <v>10620</v>
      </c>
      <c r="AL89" s="100">
        <v>12</v>
      </c>
      <c r="AM89" s="100">
        <v>12744</v>
      </c>
      <c r="AN89" s="100">
        <v>9</v>
      </c>
      <c r="AO89" s="100">
        <v>9558</v>
      </c>
      <c r="AP89" s="100">
        <v>12</v>
      </c>
      <c r="AQ89" s="100">
        <v>12744</v>
      </c>
      <c r="AR89" s="100">
        <v>6</v>
      </c>
      <c r="AS89" s="100">
        <v>6372</v>
      </c>
      <c r="AT89" s="100">
        <v>13</v>
      </c>
      <c r="AU89" s="100">
        <v>13806</v>
      </c>
      <c r="AV89" s="100">
        <v>11</v>
      </c>
      <c r="AW89" s="100">
        <v>11682</v>
      </c>
      <c r="AX89" s="100">
        <v>12</v>
      </c>
      <c r="AY89" s="100">
        <v>12744</v>
      </c>
      <c r="AZ89" s="100">
        <v>11</v>
      </c>
      <c r="BA89" s="100">
        <v>11682</v>
      </c>
      <c r="BB89" s="100">
        <v>11</v>
      </c>
      <c r="BC89" s="100">
        <v>11682</v>
      </c>
      <c r="BD89" s="100">
        <v>8</v>
      </c>
      <c r="BE89" s="100">
        <v>8496</v>
      </c>
      <c r="BF89" s="100">
        <v>12</v>
      </c>
      <c r="BG89" s="100">
        <v>12744</v>
      </c>
      <c r="BH89" s="100">
        <v>12</v>
      </c>
      <c r="BI89" s="100">
        <v>12744</v>
      </c>
      <c r="BJ89" s="100">
        <v>7</v>
      </c>
      <c r="BK89" s="100">
        <v>7434</v>
      </c>
      <c r="BL89" s="100">
        <v>13</v>
      </c>
      <c r="BM89" s="100">
        <v>13806</v>
      </c>
      <c r="BN89" s="100">
        <v>10</v>
      </c>
      <c r="BO89" s="100">
        <v>10620</v>
      </c>
      <c r="BP89" s="100">
        <v>6</v>
      </c>
      <c r="BQ89" s="100">
        <v>6372</v>
      </c>
      <c r="BR89" s="100">
        <v>9</v>
      </c>
      <c r="BS89" s="100">
        <v>9558</v>
      </c>
      <c r="BT89" s="100">
        <v>6</v>
      </c>
      <c r="BU89" s="100">
        <v>6372</v>
      </c>
      <c r="BV89" s="100">
        <v>11</v>
      </c>
      <c r="BW89" s="100">
        <v>11682</v>
      </c>
      <c r="BX89" s="100">
        <v>7</v>
      </c>
      <c r="BY89" s="100">
        <v>7434</v>
      </c>
      <c r="BZ89" s="100">
        <v>9</v>
      </c>
      <c r="CA89" s="100">
        <v>9558</v>
      </c>
      <c r="CB89" s="100">
        <v>11</v>
      </c>
      <c r="CC89" s="100">
        <v>11682</v>
      </c>
      <c r="CD89" s="100">
        <v>12</v>
      </c>
      <c r="CE89" s="100">
        <v>12744</v>
      </c>
      <c r="CF89" s="100">
        <v>13</v>
      </c>
      <c r="CG89" s="100">
        <v>13806</v>
      </c>
      <c r="CH89" s="100">
        <v>9</v>
      </c>
      <c r="CI89" s="100">
        <v>9558</v>
      </c>
      <c r="CJ89" s="100">
        <v>14</v>
      </c>
      <c r="CK89" s="100">
        <v>14868</v>
      </c>
      <c r="CL89" s="100">
        <v>11</v>
      </c>
      <c r="CM89" s="100">
        <v>11682</v>
      </c>
      <c r="CN89" s="100">
        <v>12</v>
      </c>
      <c r="CO89" s="100">
        <v>12744</v>
      </c>
      <c r="CP89" s="100">
        <v>10</v>
      </c>
      <c r="CQ89" s="100">
        <v>10620</v>
      </c>
      <c r="CR89" s="100">
        <v>11</v>
      </c>
      <c r="CS89" s="100">
        <v>11682</v>
      </c>
      <c r="CT89" s="100">
        <v>14</v>
      </c>
      <c r="CU89" s="100">
        <v>14868</v>
      </c>
    </row>
    <row r="90" spans="2:99">
      <c r="C90" s="99" t="s">
        <v>256</v>
      </c>
      <c r="D90" s="100">
        <v>10</v>
      </c>
      <c r="E90" s="100">
        <v>11088</v>
      </c>
      <c r="F90" s="100">
        <v>7</v>
      </c>
      <c r="G90" s="100">
        <v>7761.5999999999995</v>
      </c>
      <c r="H90" s="100">
        <v>10</v>
      </c>
      <c r="I90" s="100">
        <v>11088</v>
      </c>
      <c r="J90" s="100">
        <v>10</v>
      </c>
      <c r="K90" s="100">
        <v>11088</v>
      </c>
      <c r="L90" s="100">
        <v>10</v>
      </c>
      <c r="M90" s="100">
        <v>11088</v>
      </c>
      <c r="N90" s="100">
        <v>11</v>
      </c>
      <c r="O90" s="100">
        <v>12196.8</v>
      </c>
      <c r="P90" s="100">
        <v>10</v>
      </c>
      <c r="Q90" s="100">
        <v>11088</v>
      </c>
      <c r="R90" s="100">
        <v>12</v>
      </c>
      <c r="S90" s="100">
        <v>13305.599999999999</v>
      </c>
      <c r="T90" s="100">
        <v>10</v>
      </c>
      <c r="U90" s="100">
        <v>11088</v>
      </c>
      <c r="V90" s="100">
        <v>7</v>
      </c>
      <c r="W90" s="100">
        <v>7761.5999999999995</v>
      </c>
      <c r="X90" s="100">
        <v>11</v>
      </c>
      <c r="Y90" s="100">
        <v>12196.8</v>
      </c>
      <c r="Z90" s="100">
        <v>10</v>
      </c>
      <c r="AA90" s="100">
        <v>11088</v>
      </c>
      <c r="AB90" s="100">
        <v>10</v>
      </c>
      <c r="AC90" s="100">
        <v>11088</v>
      </c>
      <c r="AD90" s="100">
        <v>7</v>
      </c>
      <c r="AE90" s="100">
        <v>7761.5999999999995</v>
      </c>
      <c r="AF90" s="100">
        <v>8</v>
      </c>
      <c r="AG90" s="100">
        <v>8870.4</v>
      </c>
      <c r="AH90" s="100">
        <v>9</v>
      </c>
      <c r="AI90" s="100">
        <v>9979.1999999999989</v>
      </c>
      <c r="AJ90" s="100">
        <v>9</v>
      </c>
      <c r="AK90" s="100">
        <v>9979.1999999999989</v>
      </c>
      <c r="AL90" s="100">
        <v>12</v>
      </c>
      <c r="AM90" s="100">
        <v>13305.599999999999</v>
      </c>
      <c r="AN90" s="100">
        <v>8</v>
      </c>
      <c r="AO90" s="100">
        <v>8870.4</v>
      </c>
      <c r="AP90" s="100">
        <v>12</v>
      </c>
      <c r="AQ90" s="100">
        <v>13305.599999999999</v>
      </c>
      <c r="AR90" s="100">
        <v>7</v>
      </c>
      <c r="AS90" s="100">
        <v>7761.5999999999995</v>
      </c>
      <c r="AT90" s="100">
        <v>12</v>
      </c>
      <c r="AU90" s="100">
        <v>13305.599999999999</v>
      </c>
      <c r="AV90" s="100">
        <v>9</v>
      </c>
      <c r="AW90" s="100">
        <v>9979.1999999999989</v>
      </c>
      <c r="AX90" s="100">
        <v>12</v>
      </c>
      <c r="AY90" s="100">
        <v>13305.599999999999</v>
      </c>
      <c r="AZ90" s="100">
        <v>12</v>
      </c>
      <c r="BA90" s="100">
        <v>13305.599999999999</v>
      </c>
      <c r="BB90" s="100">
        <v>12</v>
      </c>
      <c r="BC90" s="100">
        <v>13305.599999999999</v>
      </c>
      <c r="BD90" s="100">
        <v>9</v>
      </c>
      <c r="BE90" s="100">
        <v>9979.1999999999989</v>
      </c>
      <c r="BF90" s="100">
        <v>10</v>
      </c>
      <c r="BG90" s="100">
        <v>11088</v>
      </c>
      <c r="BH90" s="100">
        <v>11</v>
      </c>
      <c r="BI90" s="100">
        <v>12196.8</v>
      </c>
      <c r="BJ90" s="100">
        <v>6</v>
      </c>
      <c r="BK90" s="100">
        <v>6652.7999999999993</v>
      </c>
      <c r="BL90" s="100">
        <v>13</v>
      </c>
      <c r="BM90" s="100">
        <v>14414.4</v>
      </c>
      <c r="BN90" s="100">
        <v>11</v>
      </c>
      <c r="BO90" s="100">
        <v>12196.8</v>
      </c>
      <c r="BP90" s="100">
        <v>7</v>
      </c>
      <c r="BQ90" s="100">
        <v>7761.5999999999995</v>
      </c>
      <c r="BR90" s="100">
        <v>8</v>
      </c>
      <c r="BS90" s="100">
        <v>8870.4</v>
      </c>
      <c r="BT90" s="100">
        <v>6</v>
      </c>
      <c r="BU90" s="100">
        <v>6652.7999999999993</v>
      </c>
      <c r="BV90" s="100">
        <v>10</v>
      </c>
      <c r="BW90" s="100">
        <v>11088</v>
      </c>
      <c r="BX90" s="100">
        <v>7</v>
      </c>
      <c r="BY90" s="100">
        <v>7761.5999999999995</v>
      </c>
      <c r="BZ90" s="100">
        <v>8</v>
      </c>
      <c r="CA90" s="100">
        <v>8870.4</v>
      </c>
      <c r="CB90" s="100">
        <v>11</v>
      </c>
      <c r="CC90" s="100">
        <v>12196.8</v>
      </c>
      <c r="CD90" s="100">
        <v>11</v>
      </c>
      <c r="CE90" s="100">
        <v>12196.8</v>
      </c>
      <c r="CF90" s="100">
        <v>11</v>
      </c>
      <c r="CG90" s="100">
        <v>12196.8</v>
      </c>
      <c r="CH90" s="100">
        <v>8</v>
      </c>
      <c r="CI90" s="100">
        <v>8870.4</v>
      </c>
      <c r="CJ90" s="100">
        <v>14</v>
      </c>
      <c r="CK90" s="100">
        <v>15523.199999999999</v>
      </c>
      <c r="CL90" s="100">
        <v>11</v>
      </c>
      <c r="CM90" s="100">
        <v>12196.8</v>
      </c>
      <c r="CN90" s="100">
        <v>12</v>
      </c>
      <c r="CO90" s="100">
        <v>13305.599999999999</v>
      </c>
      <c r="CP90" s="100">
        <v>9</v>
      </c>
      <c r="CQ90" s="100">
        <v>9979.1999999999989</v>
      </c>
      <c r="CR90" s="100">
        <v>10</v>
      </c>
      <c r="CS90" s="100">
        <v>11088</v>
      </c>
      <c r="CT90" s="100">
        <v>14</v>
      </c>
      <c r="CU90" s="100">
        <v>15523.199999999999</v>
      </c>
    </row>
    <row r="91" spans="2:99">
      <c r="C91" s="99" t="s">
        <v>257</v>
      </c>
      <c r="D91" s="100">
        <v>9</v>
      </c>
      <c r="E91" s="100">
        <v>10227.599999999999</v>
      </c>
      <c r="F91" s="100">
        <v>7</v>
      </c>
      <c r="G91" s="100">
        <v>7954.7999999999993</v>
      </c>
      <c r="H91" s="100">
        <v>10</v>
      </c>
      <c r="I91" s="100">
        <v>11363.999999999998</v>
      </c>
      <c r="J91" s="100">
        <v>11</v>
      </c>
      <c r="K91" s="100">
        <v>12500.399999999998</v>
      </c>
      <c r="L91" s="100">
        <v>9</v>
      </c>
      <c r="M91" s="100">
        <v>10227.599999999999</v>
      </c>
      <c r="N91" s="100">
        <v>10</v>
      </c>
      <c r="O91" s="100">
        <v>11363.999999999998</v>
      </c>
      <c r="P91" s="100">
        <v>11</v>
      </c>
      <c r="Q91" s="100">
        <v>12500.399999999998</v>
      </c>
      <c r="R91" s="100">
        <v>12</v>
      </c>
      <c r="S91" s="100">
        <v>13636.8</v>
      </c>
      <c r="T91" s="100">
        <v>9</v>
      </c>
      <c r="U91" s="100">
        <v>10227.599999999999</v>
      </c>
      <c r="V91" s="100">
        <v>6</v>
      </c>
      <c r="W91" s="100">
        <v>6818.4</v>
      </c>
      <c r="X91" s="100">
        <v>10</v>
      </c>
      <c r="Y91" s="100">
        <v>11363.999999999998</v>
      </c>
      <c r="Z91" s="100">
        <v>9</v>
      </c>
      <c r="AA91" s="100">
        <v>10227.599999999999</v>
      </c>
      <c r="AB91" s="100">
        <v>9</v>
      </c>
      <c r="AC91" s="100">
        <v>10227.599999999999</v>
      </c>
      <c r="AD91" s="100">
        <v>6</v>
      </c>
      <c r="AE91" s="100">
        <v>6818.4</v>
      </c>
      <c r="AF91" s="100">
        <v>8</v>
      </c>
      <c r="AG91" s="100">
        <v>9091.1999999999989</v>
      </c>
      <c r="AH91" s="100">
        <v>9</v>
      </c>
      <c r="AI91" s="100">
        <v>10227.599999999999</v>
      </c>
      <c r="AJ91" s="100">
        <v>9</v>
      </c>
      <c r="AK91" s="100">
        <v>10227.599999999999</v>
      </c>
      <c r="AL91" s="100">
        <v>10</v>
      </c>
      <c r="AM91" s="100">
        <v>11363.999999999998</v>
      </c>
      <c r="AN91" s="100">
        <v>8</v>
      </c>
      <c r="AO91" s="100">
        <v>9091.1999999999989</v>
      </c>
      <c r="AP91" s="100">
        <v>11</v>
      </c>
      <c r="AQ91" s="100">
        <v>12500.399999999998</v>
      </c>
      <c r="AR91" s="100">
        <v>7</v>
      </c>
      <c r="AS91" s="100">
        <v>7954.7999999999993</v>
      </c>
      <c r="AT91" s="100">
        <v>11</v>
      </c>
      <c r="AU91" s="100">
        <v>12500.399999999998</v>
      </c>
      <c r="AV91" s="100">
        <v>10</v>
      </c>
      <c r="AW91" s="100">
        <v>11363.999999999998</v>
      </c>
      <c r="AX91" s="100">
        <v>12</v>
      </c>
      <c r="AY91" s="100">
        <v>13636.8</v>
      </c>
      <c r="AZ91" s="100">
        <v>12</v>
      </c>
      <c r="BA91" s="100">
        <v>13636.8</v>
      </c>
      <c r="BB91" s="100">
        <v>12</v>
      </c>
      <c r="BC91" s="100">
        <v>13636.8</v>
      </c>
      <c r="BD91" s="100">
        <v>9</v>
      </c>
      <c r="BE91" s="100">
        <v>10227.599999999999</v>
      </c>
      <c r="BF91" s="100">
        <v>11</v>
      </c>
      <c r="BG91" s="100">
        <v>12500.399999999998</v>
      </c>
      <c r="BH91" s="100">
        <v>10</v>
      </c>
      <c r="BI91" s="100">
        <v>11363.999999999998</v>
      </c>
      <c r="BJ91" s="100">
        <v>6</v>
      </c>
      <c r="BK91" s="100">
        <v>6818.4</v>
      </c>
      <c r="BL91" s="100">
        <v>11</v>
      </c>
      <c r="BM91" s="100">
        <v>12500.399999999998</v>
      </c>
      <c r="BN91" s="100">
        <v>9</v>
      </c>
      <c r="BO91" s="100">
        <v>10227.599999999999</v>
      </c>
      <c r="BP91" s="100">
        <v>6</v>
      </c>
      <c r="BQ91" s="100">
        <v>6818.4</v>
      </c>
      <c r="BR91" s="100">
        <v>9</v>
      </c>
      <c r="BS91" s="100">
        <v>10227.599999999999</v>
      </c>
      <c r="BT91" s="100">
        <v>6</v>
      </c>
      <c r="BU91" s="100">
        <v>6818.4</v>
      </c>
      <c r="BV91" s="100">
        <v>10</v>
      </c>
      <c r="BW91" s="100">
        <v>11363.999999999998</v>
      </c>
      <c r="BX91" s="100">
        <v>6</v>
      </c>
      <c r="BY91" s="100">
        <v>6818.4</v>
      </c>
      <c r="BZ91" s="100">
        <v>8</v>
      </c>
      <c r="CA91" s="100">
        <v>9091.1999999999989</v>
      </c>
      <c r="CB91" s="100">
        <v>10</v>
      </c>
      <c r="CC91" s="100">
        <v>11363.999999999998</v>
      </c>
      <c r="CD91" s="100">
        <v>12</v>
      </c>
      <c r="CE91" s="100">
        <v>13636.8</v>
      </c>
      <c r="CF91" s="100">
        <v>11</v>
      </c>
      <c r="CG91" s="100">
        <v>12500.399999999998</v>
      </c>
      <c r="CH91" s="100">
        <v>9</v>
      </c>
      <c r="CI91" s="100">
        <v>10227.599999999999</v>
      </c>
      <c r="CJ91" s="100">
        <v>13</v>
      </c>
      <c r="CK91" s="100">
        <v>14773.199999999999</v>
      </c>
      <c r="CL91" s="100">
        <v>12</v>
      </c>
      <c r="CM91" s="100">
        <v>13636.8</v>
      </c>
      <c r="CN91" s="100">
        <v>11</v>
      </c>
      <c r="CO91" s="100">
        <v>12500.399999999998</v>
      </c>
      <c r="CP91" s="100">
        <v>10</v>
      </c>
      <c r="CQ91" s="100">
        <v>11363.999999999998</v>
      </c>
      <c r="CR91" s="100">
        <v>11</v>
      </c>
      <c r="CS91" s="100">
        <v>12500.399999999998</v>
      </c>
      <c r="CT91" s="100">
        <v>12</v>
      </c>
      <c r="CU91" s="100">
        <v>13636.8</v>
      </c>
    </row>
    <row r="92" spans="2:99">
      <c r="C92" s="99" t="s">
        <v>258</v>
      </c>
      <c r="D92" s="100">
        <v>10</v>
      </c>
      <c r="E92" s="100">
        <v>7848</v>
      </c>
      <c r="F92" s="100">
        <v>7</v>
      </c>
      <c r="G92" s="100">
        <v>5493.5999999999995</v>
      </c>
      <c r="H92" s="100">
        <v>12</v>
      </c>
      <c r="I92" s="100">
        <v>9417.5999999999985</v>
      </c>
      <c r="J92" s="100">
        <v>11</v>
      </c>
      <c r="K92" s="100">
        <v>8632.7999999999993</v>
      </c>
      <c r="L92" s="100">
        <v>11</v>
      </c>
      <c r="M92" s="100">
        <v>8632.7999999999993</v>
      </c>
      <c r="N92" s="100">
        <v>11</v>
      </c>
      <c r="O92" s="100">
        <v>8632.7999999999993</v>
      </c>
      <c r="P92" s="100">
        <v>10</v>
      </c>
      <c r="Q92" s="100">
        <v>7848</v>
      </c>
      <c r="R92" s="100">
        <v>12</v>
      </c>
      <c r="S92" s="100">
        <v>9417.5999999999985</v>
      </c>
      <c r="T92" s="100">
        <v>9</v>
      </c>
      <c r="U92" s="100">
        <v>7063.2</v>
      </c>
      <c r="V92" s="100">
        <v>7</v>
      </c>
      <c r="W92" s="100">
        <v>5493.5999999999995</v>
      </c>
      <c r="X92" s="100">
        <v>10</v>
      </c>
      <c r="Y92" s="100">
        <v>7848</v>
      </c>
      <c r="Z92" s="100">
        <v>10</v>
      </c>
      <c r="AA92" s="100">
        <v>7848</v>
      </c>
      <c r="AB92" s="100">
        <v>10</v>
      </c>
      <c r="AC92" s="100">
        <v>7848</v>
      </c>
      <c r="AD92" s="100">
        <v>6</v>
      </c>
      <c r="AE92" s="100">
        <v>4708.7999999999993</v>
      </c>
      <c r="AF92" s="100">
        <v>8</v>
      </c>
      <c r="AG92" s="100">
        <v>6278.4</v>
      </c>
      <c r="AH92" s="100">
        <v>9</v>
      </c>
      <c r="AI92" s="100">
        <v>7063.2</v>
      </c>
      <c r="AJ92" s="100">
        <v>10</v>
      </c>
      <c r="AK92" s="100">
        <v>7848</v>
      </c>
      <c r="AL92" s="100">
        <v>11</v>
      </c>
      <c r="AM92" s="100">
        <v>8632.7999999999993</v>
      </c>
      <c r="AN92" s="100">
        <v>8</v>
      </c>
      <c r="AO92" s="100">
        <v>6278.4</v>
      </c>
      <c r="AP92" s="100">
        <v>11</v>
      </c>
      <c r="AQ92" s="100">
        <v>8632.7999999999993</v>
      </c>
      <c r="AR92" s="100">
        <v>7</v>
      </c>
      <c r="AS92" s="100">
        <v>5493.5999999999995</v>
      </c>
      <c r="AT92" s="100">
        <v>12</v>
      </c>
      <c r="AU92" s="100">
        <v>9417.5999999999985</v>
      </c>
      <c r="AV92" s="100">
        <v>11</v>
      </c>
      <c r="AW92" s="100">
        <v>8632.7999999999993</v>
      </c>
      <c r="AX92" s="100">
        <v>12</v>
      </c>
      <c r="AY92" s="100">
        <v>9417.5999999999985</v>
      </c>
      <c r="AZ92" s="100">
        <v>12</v>
      </c>
      <c r="BA92" s="100">
        <v>9417.5999999999985</v>
      </c>
      <c r="BB92" s="100">
        <v>13</v>
      </c>
      <c r="BC92" s="100">
        <v>10202.4</v>
      </c>
      <c r="BD92" s="100">
        <v>8</v>
      </c>
      <c r="BE92" s="100">
        <v>6278.4</v>
      </c>
      <c r="BF92" s="100">
        <v>11</v>
      </c>
      <c r="BG92" s="100">
        <v>8632.7999999999993</v>
      </c>
      <c r="BH92" s="100">
        <v>11</v>
      </c>
      <c r="BI92" s="100">
        <v>8632.7999999999993</v>
      </c>
      <c r="BJ92" s="100">
        <v>7</v>
      </c>
      <c r="BK92" s="100">
        <v>5493.5999999999995</v>
      </c>
      <c r="BL92" s="100">
        <v>12</v>
      </c>
      <c r="BM92" s="100">
        <v>9417.5999999999985</v>
      </c>
      <c r="BN92" s="100">
        <v>12</v>
      </c>
      <c r="BO92" s="100">
        <v>9417.5999999999985</v>
      </c>
      <c r="BP92" s="100">
        <v>6</v>
      </c>
      <c r="BQ92" s="100">
        <v>4708.7999999999993</v>
      </c>
      <c r="BR92" s="100">
        <v>9</v>
      </c>
      <c r="BS92" s="100">
        <v>7063.2</v>
      </c>
      <c r="BT92" s="100">
        <v>6</v>
      </c>
      <c r="BU92" s="100">
        <v>4708.7999999999993</v>
      </c>
      <c r="BV92" s="100">
        <v>9</v>
      </c>
      <c r="BW92" s="100">
        <v>7063.2</v>
      </c>
      <c r="BX92" s="100">
        <v>7</v>
      </c>
      <c r="BY92" s="100">
        <v>5493.5999999999995</v>
      </c>
      <c r="BZ92" s="100">
        <v>9</v>
      </c>
      <c r="CA92" s="100">
        <v>7063.2</v>
      </c>
      <c r="CB92" s="100">
        <v>11</v>
      </c>
      <c r="CC92" s="100">
        <v>8632.7999999999993</v>
      </c>
      <c r="CD92" s="100">
        <v>11</v>
      </c>
      <c r="CE92" s="100">
        <v>8632.7999999999993</v>
      </c>
      <c r="CF92" s="100">
        <v>11</v>
      </c>
      <c r="CG92" s="100">
        <v>8632.7999999999993</v>
      </c>
      <c r="CH92" s="100">
        <v>9</v>
      </c>
      <c r="CI92" s="100">
        <v>7063.2</v>
      </c>
      <c r="CJ92" s="100">
        <v>14</v>
      </c>
      <c r="CK92" s="100">
        <v>10987.199999999999</v>
      </c>
      <c r="CL92" s="100">
        <v>13</v>
      </c>
      <c r="CM92" s="100">
        <v>10202.4</v>
      </c>
      <c r="CN92" s="100">
        <v>12</v>
      </c>
      <c r="CO92" s="100">
        <v>9417.5999999999985</v>
      </c>
      <c r="CP92" s="100">
        <v>10</v>
      </c>
      <c r="CQ92" s="100">
        <v>7848</v>
      </c>
      <c r="CR92" s="100">
        <v>12</v>
      </c>
      <c r="CS92" s="100">
        <v>9417.5999999999985</v>
      </c>
      <c r="CT92" s="100">
        <v>13</v>
      </c>
      <c r="CU92" s="100">
        <v>10202.4</v>
      </c>
    </row>
    <row r="93" spans="2:99">
      <c r="C93" s="99" t="s">
        <v>259</v>
      </c>
      <c r="D93" s="100">
        <v>10</v>
      </c>
      <c r="E93" s="100">
        <v>6936</v>
      </c>
      <c r="F93" s="100">
        <v>8</v>
      </c>
      <c r="G93" s="100">
        <v>5548.8</v>
      </c>
      <c r="H93" s="100">
        <v>12</v>
      </c>
      <c r="I93" s="100">
        <v>8323.2000000000007</v>
      </c>
      <c r="J93" s="100">
        <v>10</v>
      </c>
      <c r="K93" s="100">
        <v>6936</v>
      </c>
      <c r="L93" s="100">
        <v>9</v>
      </c>
      <c r="M93" s="100">
        <v>6242.4000000000005</v>
      </c>
      <c r="N93" s="100">
        <v>10</v>
      </c>
      <c r="O93" s="100">
        <v>6936</v>
      </c>
      <c r="P93" s="100">
        <v>11</v>
      </c>
      <c r="Q93" s="100">
        <v>7629.6</v>
      </c>
      <c r="R93" s="100">
        <v>11</v>
      </c>
      <c r="S93" s="100">
        <v>7629.6</v>
      </c>
      <c r="T93" s="100">
        <v>10</v>
      </c>
      <c r="U93" s="100">
        <v>6936</v>
      </c>
      <c r="V93" s="100">
        <v>7</v>
      </c>
      <c r="W93" s="100">
        <v>4855.2</v>
      </c>
      <c r="X93" s="100">
        <v>11</v>
      </c>
      <c r="Y93" s="100">
        <v>7629.6</v>
      </c>
      <c r="Z93" s="100">
        <v>10</v>
      </c>
      <c r="AA93" s="100">
        <v>6936</v>
      </c>
      <c r="AB93" s="100">
        <v>9</v>
      </c>
      <c r="AC93" s="100">
        <v>6242.4000000000005</v>
      </c>
      <c r="AD93" s="100">
        <v>7</v>
      </c>
      <c r="AE93" s="100">
        <v>4855.2</v>
      </c>
      <c r="AF93" s="100">
        <v>8</v>
      </c>
      <c r="AG93" s="100">
        <v>5548.8</v>
      </c>
      <c r="AH93" s="100">
        <v>8</v>
      </c>
      <c r="AI93" s="100">
        <v>5548.8</v>
      </c>
      <c r="AJ93" s="100">
        <v>9</v>
      </c>
      <c r="AK93" s="100">
        <v>6242.4000000000005</v>
      </c>
      <c r="AL93" s="100">
        <v>10</v>
      </c>
      <c r="AM93" s="100">
        <v>6936</v>
      </c>
      <c r="AN93" s="100">
        <v>8</v>
      </c>
      <c r="AO93" s="100">
        <v>5548.8</v>
      </c>
      <c r="AP93" s="100">
        <v>12</v>
      </c>
      <c r="AQ93" s="100">
        <v>8323.2000000000007</v>
      </c>
      <c r="AR93" s="100">
        <v>7</v>
      </c>
      <c r="AS93" s="100">
        <v>4855.2</v>
      </c>
      <c r="AT93" s="100">
        <v>13</v>
      </c>
      <c r="AU93" s="100">
        <v>9016.8000000000011</v>
      </c>
      <c r="AV93" s="100">
        <v>10</v>
      </c>
      <c r="AW93" s="100">
        <v>6936</v>
      </c>
      <c r="AX93" s="100">
        <v>11</v>
      </c>
      <c r="AY93" s="100">
        <v>7629.6</v>
      </c>
      <c r="AZ93" s="100">
        <v>11</v>
      </c>
      <c r="BA93" s="100">
        <v>7629.6</v>
      </c>
      <c r="BB93" s="100">
        <v>12</v>
      </c>
      <c r="BC93" s="100">
        <v>8323.2000000000007</v>
      </c>
      <c r="BD93" s="100">
        <v>9</v>
      </c>
      <c r="BE93" s="100">
        <v>6242.4000000000005</v>
      </c>
      <c r="BF93" s="100">
        <v>12</v>
      </c>
      <c r="BG93" s="100">
        <v>8323.2000000000007</v>
      </c>
      <c r="BH93" s="100">
        <v>12</v>
      </c>
      <c r="BI93" s="100">
        <v>8323.2000000000007</v>
      </c>
      <c r="BJ93" s="100">
        <v>7</v>
      </c>
      <c r="BK93" s="100">
        <v>4855.2</v>
      </c>
      <c r="BL93" s="100">
        <v>12</v>
      </c>
      <c r="BM93" s="100">
        <v>8323.2000000000007</v>
      </c>
      <c r="BN93" s="100">
        <v>11</v>
      </c>
      <c r="BO93" s="100">
        <v>7629.6</v>
      </c>
      <c r="BP93" s="100">
        <v>7</v>
      </c>
      <c r="BQ93" s="100">
        <v>4855.2</v>
      </c>
      <c r="BR93" s="100">
        <v>8</v>
      </c>
      <c r="BS93" s="100">
        <v>5548.8</v>
      </c>
      <c r="BT93" s="100">
        <v>7</v>
      </c>
      <c r="BU93" s="100">
        <v>4855.2</v>
      </c>
      <c r="BV93" s="100">
        <v>10</v>
      </c>
      <c r="BW93" s="100">
        <v>6936</v>
      </c>
      <c r="BX93" s="100">
        <v>6</v>
      </c>
      <c r="BY93" s="100">
        <v>4161.6000000000004</v>
      </c>
      <c r="BZ93" s="100">
        <v>9</v>
      </c>
      <c r="CA93" s="100">
        <v>6242.4000000000005</v>
      </c>
      <c r="CB93" s="100">
        <v>12</v>
      </c>
      <c r="CC93" s="100">
        <v>8323.2000000000007</v>
      </c>
      <c r="CD93" s="100">
        <v>11</v>
      </c>
      <c r="CE93" s="100">
        <v>7629.6</v>
      </c>
      <c r="CF93" s="100">
        <v>13</v>
      </c>
      <c r="CG93" s="100">
        <v>9016.8000000000011</v>
      </c>
      <c r="CH93" s="100">
        <v>10</v>
      </c>
      <c r="CI93" s="100">
        <v>6936</v>
      </c>
      <c r="CJ93" s="100">
        <v>15</v>
      </c>
      <c r="CK93" s="100">
        <v>10404</v>
      </c>
      <c r="CL93" s="100">
        <v>12</v>
      </c>
      <c r="CM93" s="100">
        <v>8323.2000000000007</v>
      </c>
      <c r="CN93" s="100">
        <v>11</v>
      </c>
      <c r="CO93" s="100">
        <v>7629.6</v>
      </c>
      <c r="CP93" s="100">
        <v>10</v>
      </c>
      <c r="CQ93" s="100">
        <v>6936</v>
      </c>
      <c r="CR93" s="100">
        <v>11</v>
      </c>
      <c r="CS93" s="100">
        <v>7629.6</v>
      </c>
      <c r="CT93" s="100">
        <v>14</v>
      </c>
      <c r="CU93" s="100">
        <v>9710.4</v>
      </c>
    </row>
    <row r="94" spans="2:99">
      <c r="C94" s="99" t="s">
        <v>260</v>
      </c>
      <c r="D94" s="100">
        <v>8</v>
      </c>
      <c r="E94" s="100">
        <v>9542.4</v>
      </c>
      <c r="F94" s="100">
        <v>7</v>
      </c>
      <c r="G94" s="100">
        <v>8349.6</v>
      </c>
      <c r="H94" s="100">
        <v>11</v>
      </c>
      <c r="I94" s="100">
        <v>13120.8</v>
      </c>
      <c r="J94" s="100">
        <v>10</v>
      </c>
      <c r="K94" s="100">
        <v>11928</v>
      </c>
      <c r="L94" s="100">
        <v>9</v>
      </c>
      <c r="M94" s="100">
        <v>10735.199999999999</v>
      </c>
      <c r="N94" s="100">
        <v>9</v>
      </c>
      <c r="O94" s="100">
        <v>10735.199999999999</v>
      </c>
      <c r="P94" s="100">
        <v>11</v>
      </c>
      <c r="Q94" s="100">
        <v>13120.8</v>
      </c>
      <c r="R94" s="100">
        <v>10</v>
      </c>
      <c r="S94" s="100">
        <v>11928</v>
      </c>
      <c r="T94" s="100">
        <v>9</v>
      </c>
      <c r="U94" s="100">
        <v>10735.199999999999</v>
      </c>
      <c r="V94" s="100">
        <v>7</v>
      </c>
      <c r="W94" s="100">
        <v>8349.6</v>
      </c>
      <c r="X94" s="100">
        <v>10</v>
      </c>
      <c r="Y94" s="100">
        <v>11928</v>
      </c>
      <c r="Z94" s="100">
        <v>10</v>
      </c>
      <c r="AA94" s="100">
        <v>11928</v>
      </c>
      <c r="AB94" s="100">
        <v>10</v>
      </c>
      <c r="AC94" s="100">
        <v>11928</v>
      </c>
      <c r="AD94" s="100">
        <v>6</v>
      </c>
      <c r="AE94" s="100">
        <v>7156.7999999999993</v>
      </c>
      <c r="AF94" s="100">
        <v>7</v>
      </c>
      <c r="AG94" s="100">
        <v>8349.6</v>
      </c>
      <c r="AH94" s="100">
        <v>8</v>
      </c>
      <c r="AI94" s="100">
        <v>9542.4</v>
      </c>
      <c r="AJ94" s="100">
        <v>9</v>
      </c>
      <c r="AK94" s="100">
        <v>10735.199999999999</v>
      </c>
      <c r="AL94" s="100">
        <v>11</v>
      </c>
      <c r="AM94" s="100">
        <v>13120.8</v>
      </c>
      <c r="AN94" s="100">
        <v>9</v>
      </c>
      <c r="AO94" s="100">
        <v>10735.199999999999</v>
      </c>
      <c r="AP94" s="100">
        <v>11</v>
      </c>
      <c r="AQ94" s="100">
        <v>13120.8</v>
      </c>
      <c r="AR94" s="100">
        <v>6</v>
      </c>
      <c r="AS94" s="100">
        <v>7156.7999999999993</v>
      </c>
      <c r="AT94" s="100">
        <v>12</v>
      </c>
      <c r="AU94" s="100">
        <v>14313.599999999999</v>
      </c>
      <c r="AV94" s="100">
        <v>9</v>
      </c>
      <c r="AW94" s="100">
        <v>10735.199999999999</v>
      </c>
      <c r="AX94" s="100">
        <v>12</v>
      </c>
      <c r="AY94" s="100">
        <v>14313.599999999999</v>
      </c>
      <c r="AZ94" s="100">
        <v>11</v>
      </c>
      <c r="BA94" s="100">
        <v>13120.8</v>
      </c>
      <c r="BB94" s="100">
        <v>11</v>
      </c>
      <c r="BC94" s="100">
        <v>13120.8</v>
      </c>
      <c r="BD94" s="100">
        <v>8</v>
      </c>
      <c r="BE94" s="100">
        <v>9542.4</v>
      </c>
      <c r="BF94" s="100">
        <v>12</v>
      </c>
      <c r="BG94" s="100">
        <v>14313.599999999999</v>
      </c>
      <c r="BH94" s="100">
        <v>12</v>
      </c>
      <c r="BI94" s="100">
        <v>14313.599999999999</v>
      </c>
      <c r="BJ94" s="100">
        <v>6</v>
      </c>
      <c r="BK94" s="100">
        <v>7156.7999999999993</v>
      </c>
      <c r="BL94" s="100">
        <v>13</v>
      </c>
      <c r="BM94" s="100">
        <v>15506.4</v>
      </c>
      <c r="BN94" s="100">
        <v>10</v>
      </c>
      <c r="BO94" s="100">
        <v>11928</v>
      </c>
      <c r="BP94" s="100">
        <v>7</v>
      </c>
      <c r="BQ94" s="100">
        <v>8349.6</v>
      </c>
      <c r="BR94" s="100">
        <v>8</v>
      </c>
      <c r="BS94" s="100">
        <v>9542.4</v>
      </c>
      <c r="BT94" s="100">
        <v>7</v>
      </c>
      <c r="BU94" s="100">
        <v>8349.6</v>
      </c>
      <c r="BV94" s="100">
        <v>10</v>
      </c>
      <c r="BW94" s="100">
        <v>11928</v>
      </c>
      <c r="BX94" s="100">
        <v>6</v>
      </c>
      <c r="BY94" s="100">
        <v>7156.7999999999993</v>
      </c>
      <c r="BZ94" s="100">
        <v>8</v>
      </c>
      <c r="CA94" s="100">
        <v>9542.4</v>
      </c>
      <c r="CB94" s="100">
        <v>11</v>
      </c>
      <c r="CC94" s="100">
        <v>13120.8</v>
      </c>
      <c r="CD94" s="100">
        <v>11</v>
      </c>
      <c r="CE94" s="100">
        <v>13120.8</v>
      </c>
      <c r="CF94" s="100">
        <v>13</v>
      </c>
      <c r="CG94" s="100">
        <v>15506.4</v>
      </c>
      <c r="CH94" s="100">
        <v>9</v>
      </c>
      <c r="CI94" s="100">
        <v>10735.199999999999</v>
      </c>
      <c r="CJ94" s="100">
        <v>12</v>
      </c>
      <c r="CK94" s="100">
        <v>14313.599999999999</v>
      </c>
      <c r="CL94" s="100">
        <v>12</v>
      </c>
      <c r="CM94" s="100">
        <v>14313.599999999999</v>
      </c>
      <c r="CN94" s="100">
        <v>11</v>
      </c>
      <c r="CO94" s="100">
        <v>13120.8</v>
      </c>
      <c r="CP94" s="100">
        <v>8</v>
      </c>
      <c r="CQ94" s="100">
        <v>9542.4</v>
      </c>
      <c r="CR94" s="100">
        <v>10</v>
      </c>
      <c r="CS94" s="100">
        <v>11928</v>
      </c>
      <c r="CT94" s="100">
        <v>14</v>
      </c>
      <c r="CU94" s="100">
        <v>16699.2</v>
      </c>
    </row>
    <row r="95" spans="2:99">
      <c r="B95" s="99" t="s">
        <v>132</v>
      </c>
      <c r="C95" s="99" t="s">
        <v>261</v>
      </c>
      <c r="D95" s="100">
        <v>6</v>
      </c>
      <c r="E95" s="100">
        <v>1972.8000000000002</v>
      </c>
      <c r="F95" s="100">
        <v>10</v>
      </c>
      <c r="G95" s="100">
        <v>3288</v>
      </c>
      <c r="H95" s="100">
        <v>11</v>
      </c>
      <c r="I95" s="100">
        <v>3616.8</v>
      </c>
      <c r="J95" s="100">
        <v>8</v>
      </c>
      <c r="K95" s="100">
        <v>2630.4</v>
      </c>
      <c r="L95" s="100">
        <v>9</v>
      </c>
      <c r="M95" s="100">
        <v>2959.2000000000003</v>
      </c>
      <c r="N95" s="100">
        <v>6</v>
      </c>
      <c r="O95" s="100">
        <v>1972.8000000000002</v>
      </c>
      <c r="P95" s="100">
        <v>12</v>
      </c>
      <c r="Q95" s="100">
        <v>3945.6000000000004</v>
      </c>
      <c r="R95" s="100">
        <v>7</v>
      </c>
      <c r="S95" s="100">
        <v>2301.6</v>
      </c>
      <c r="T95" s="100">
        <v>9</v>
      </c>
      <c r="U95" s="100">
        <v>2959.2000000000003</v>
      </c>
      <c r="V95" s="100">
        <v>8</v>
      </c>
      <c r="W95" s="100">
        <v>2630.4</v>
      </c>
      <c r="X95" s="100">
        <v>8</v>
      </c>
      <c r="Y95" s="100">
        <v>2630.4</v>
      </c>
      <c r="Z95" s="100">
        <v>6</v>
      </c>
      <c r="AA95" s="100">
        <v>1972.8000000000002</v>
      </c>
      <c r="AB95" s="100">
        <v>7</v>
      </c>
      <c r="AC95" s="100">
        <v>2301.6</v>
      </c>
      <c r="AD95" s="100">
        <v>11</v>
      </c>
      <c r="AE95" s="100">
        <v>3616.8</v>
      </c>
      <c r="AF95" s="100">
        <v>10</v>
      </c>
      <c r="AG95" s="100">
        <v>3288</v>
      </c>
      <c r="AH95" s="100">
        <v>7</v>
      </c>
      <c r="AI95" s="100">
        <v>2301.6</v>
      </c>
      <c r="AJ95" s="100">
        <v>6</v>
      </c>
      <c r="AK95" s="100">
        <v>1972.8000000000002</v>
      </c>
      <c r="AL95" s="100">
        <v>10</v>
      </c>
      <c r="AM95" s="100">
        <v>3288</v>
      </c>
      <c r="AN95" s="100">
        <v>9</v>
      </c>
      <c r="AO95" s="100">
        <v>2959.2000000000003</v>
      </c>
      <c r="AP95" s="100">
        <v>8</v>
      </c>
      <c r="AQ95" s="100">
        <v>2630.4</v>
      </c>
      <c r="AR95" s="100">
        <v>7</v>
      </c>
      <c r="AS95" s="100">
        <v>2301.6</v>
      </c>
      <c r="AT95" s="100">
        <v>10</v>
      </c>
      <c r="AU95" s="100">
        <v>3288</v>
      </c>
      <c r="AV95" s="100">
        <v>8</v>
      </c>
      <c r="AW95" s="100">
        <v>2630.4</v>
      </c>
      <c r="AX95" s="100">
        <v>11</v>
      </c>
      <c r="AY95" s="100">
        <v>3616.8</v>
      </c>
      <c r="AZ95" s="100">
        <v>6</v>
      </c>
      <c r="BA95" s="100">
        <v>1972.8000000000002</v>
      </c>
      <c r="BB95" s="100">
        <v>7</v>
      </c>
      <c r="BC95" s="100">
        <v>2301.6</v>
      </c>
      <c r="BD95" s="100">
        <v>9</v>
      </c>
      <c r="BE95" s="100">
        <v>2959.2000000000003</v>
      </c>
      <c r="BF95" s="100">
        <v>10</v>
      </c>
      <c r="BG95" s="100">
        <v>3288</v>
      </c>
      <c r="BH95" s="100">
        <v>10</v>
      </c>
      <c r="BI95" s="100">
        <v>3288</v>
      </c>
      <c r="BJ95" s="100">
        <v>12</v>
      </c>
      <c r="BK95" s="100">
        <v>3945.6000000000004</v>
      </c>
      <c r="BL95" s="100">
        <v>7</v>
      </c>
      <c r="BM95" s="100">
        <v>2301.6</v>
      </c>
      <c r="BN95" s="100">
        <v>10</v>
      </c>
      <c r="BO95" s="100">
        <v>3288</v>
      </c>
      <c r="BP95" s="100">
        <v>10</v>
      </c>
      <c r="BQ95" s="100">
        <v>3288</v>
      </c>
      <c r="BR95" s="100">
        <v>12</v>
      </c>
      <c r="BS95" s="100">
        <v>3945.6000000000004</v>
      </c>
      <c r="BT95" s="100">
        <v>9</v>
      </c>
      <c r="BU95" s="100">
        <v>2959.2000000000003</v>
      </c>
      <c r="BV95" s="100">
        <v>11</v>
      </c>
      <c r="BW95" s="100">
        <v>3616.8</v>
      </c>
      <c r="BX95" s="100">
        <v>11</v>
      </c>
      <c r="BY95" s="100">
        <v>3616.8</v>
      </c>
      <c r="BZ95" s="100">
        <v>9</v>
      </c>
      <c r="CA95" s="100">
        <v>2959.2000000000003</v>
      </c>
      <c r="CB95" s="100">
        <v>11</v>
      </c>
      <c r="CC95" s="100">
        <v>3616.8</v>
      </c>
      <c r="CD95" s="100">
        <v>7</v>
      </c>
      <c r="CE95" s="100">
        <v>2301.6</v>
      </c>
      <c r="CF95" s="100">
        <v>11</v>
      </c>
      <c r="CG95" s="100">
        <v>3616.8</v>
      </c>
      <c r="CH95" s="100">
        <v>6</v>
      </c>
      <c r="CI95" s="100">
        <v>1972.8000000000002</v>
      </c>
      <c r="CJ95" s="100">
        <v>10</v>
      </c>
      <c r="CK95" s="100">
        <v>3288</v>
      </c>
      <c r="CL95" s="100">
        <v>10</v>
      </c>
      <c r="CM95" s="100">
        <v>3288</v>
      </c>
      <c r="CN95" s="100">
        <v>10</v>
      </c>
      <c r="CO95" s="100">
        <v>3288</v>
      </c>
      <c r="CP95" s="100">
        <v>11</v>
      </c>
      <c r="CQ95" s="100">
        <v>3616.8</v>
      </c>
      <c r="CR95" s="100">
        <v>9</v>
      </c>
      <c r="CS95" s="100">
        <v>2959.2000000000003</v>
      </c>
      <c r="CT95" s="100">
        <v>10</v>
      </c>
      <c r="CU95" s="100">
        <v>3288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10</v>
      </c>
      <c r="G96" s="100">
        <v>6948</v>
      </c>
      <c r="H96" s="100">
        <v>11</v>
      </c>
      <c r="I96" s="100">
        <v>7642.7999999999993</v>
      </c>
      <c r="J96" s="100">
        <v>8</v>
      </c>
      <c r="K96" s="100">
        <v>5558.4</v>
      </c>
      <c r="L96" s="100">
        <v>9</v>
      </c>
      <c r="M96" s="100">
        <v>6253.2</v>
      </c>
      <c r="N96" s="100">
        <v>6</v>
      </c>
      <c r="O96" s="100">
        <v>4168.7999999999993</v>
      </c>
      <c r="P96" s="100">
        <v>10</v>
      </c>
      <c r="Q96" s="100">
        <v>6948</v>
      </c>
      <c r="R96" s="100">
        <v>6</v>
      </c>
      <c r="S96" s="100">
        <v>4168.7999999999993</v>
      </c>
      <c r="T96" s="100">
        <v>10</v>
      </c>
      <c r="U96" s="100">
        <v>6948</v>
      </c>
      <c r="V96" s="100">
        <v>7</v>
      </c>
      <c r="W96" s="100">
        <v>4863.5999999999995</v>
      </c>
      <c r="X96" s="100">
        <v>8</v>
      </c>
      <c r="Y96" s="100">
        <v>5558.4</v>
      </c>
      <c r="Z96" s="100">
        <v>6</v>
      </c>
      <c r="AA96" s="100">
        <v>4168.7999999999993</v>
      </c>
      <c r="AB96" s="100">
        <v>8</v>
      </c>
      <c r="AC96" s="100">
        <v>5558.4</v>
      </c>
      <c r="AD96" s="100">
        <v>10</v>
      </c>
      <c r="AE96" s="100">
        <v>6948</v>
      </c>
      <c r="AF96" s="100">
        <v>10</v>
      </c>
      <c r="AG96" s="100">
        <v>6948</v>
      </c>
      <c r="AH96" s="100">
        <v>7</v>
      </c>
      <c r="AI96" s="100">
        <v>4863.5999999999995</v>
      </c>
      <c r="AJ96" s="100">
        <v>6</v>
      </c>
      <c r="AK96" s="100">
        <v>4168.7999999999993</v>
      </c>
      <c r="AL96" s="100">
        <v>10</v>
      </c>
      <c r="AM96" s="100">
        <v>6948</v>
      </c>
      <c r="AN96" s="100">
        <v>10</v>
      </c>
      <c r="AO96" s="100">
        <v>6948</v>
      </c>
      <c r="AP96" s="100">
        <v>8</v>
      </c>
      <c r="AQ96" s="100">
        <v>5558.4</v>
      </c>
      <c r="AR96" s="100">
        <v>6</v>
      </c>
      <c r="AS96" s="100">
        <v>4168.7999999999993</v>
      </c>
      <c r="AT96" s="100">
        <v>10</v>
      </c>
      <c r="AU96" s="100">
        <v>6948</v>
      </c>
      <c r="AV96" s="100">
        <v>9</v>
      </c>
      <c r="AW96" s="100">
        <v>6253.2</v>
      </c>
      <c r="AX96" s="100">
        <v>9</v>
      </c>
      <c r="AY96" s="100">
        <v>6253.2</v>
      </c>
      <c r="AZ96" s="100">
        <v>5</v>
      </c>
      <c r="BA96" s="100">
        <v>3474</v>
      </c>
      <c r="BB96" s="100">
        <v>6</v>
      </c>
      <c r="BC96" s="100">
        <v>4168.7999999999993</v>
      </c>
      <c r="BD96" s="100">
        <v>10</v>
      </c>
      <c r="BE96" s="100">
        <v>6948</v>
      </c>
      <c r="BF96" s="100">
        <v>9</v>
      </c>
      <c r="BG96" s="100">
        <v>6253.2</v>
      </c>
      <c r="BH96" s="100">
        <v>10</v>
      </c>
      <c r="BI96" s="100">
        <v>6948</v>
      </c>
      <c r="BJ96" s="100">
        <v>12</v>
      </c>
      <c r="BK96" s="100">
        <v>8337.5999999999985</v>
      </c>
      <c r="BL96" s="100">
        <v>7</v>
      </c>
      <c r="BM96" s="100">
        <v>4863.5999999999995</v>
      </c>
      <c r="BN96" s="100">
        <v>10</v>
      </c>
      <c r="BO96" s="100">
        <v>6948</v>
      </c>
      <c r="BP96" s="100">
        <v>9</v>
      </c>
      <c r="BQ96" s="100">
        <v>6253.2</v>
      </c>
      <c r="BR96" s="100">
        <v>12</v>
      </c>
      <c r="BS96" s="100">
        <v>8337.5999999999985</v>
      </c>
      <c r="BT96" s="100">
        <v>9</v>
      </c>
      <c r="BU96" s="100">
        <v>6253.2</v>
      </c>
      <c r="BV96" s="100">
        <v>10</v>
      </c>
      <c r="BW96" s="100">
        <v>6948</v>
      </c>
      <c r="BX96" s="100">
        <v>10</v>
      </c>
      <c r="BY96" s="100">
        <v>6948</v>
      </c>
      <c r="BZ96" s="100">
        <v>10</v>
      </c>
      <c r="CA96" s="100">
        <v>6948</v>
      </c>
      <c r="CB96" s="100">
        <v>10</v>
      </c>
      <c r="CC96" s="100">
        <v>6948</v>
      </c>
      <c r="CD96" s="100">
        <v>7</v>
      </c>
      <c r="CE96" s="100">
        <v>4863.5999999999995</v>
      </c>
      <c r="CF96" s="100">
        <v>11</v>
      </c>
      <c r="CG96" s="100">
        <v>7642.7999999999993</v>
      </c>
      <c r="CH96" s="100">
        <v>6</v>
      </c>
      <c r="CI96" s="100">
        <v>4168.7999999999993</v>
      </c>
      <c r="CJ96" s="100">
        <v>9</v>
      </c>
      <c r="CK96" s="100">
        <v>6253.2</v>
      </c>
      <c r="CL96" s="100">
        <v>9</v>
      </c>
      <c r="CM96" s="100">
        <v>6253.2</v>
      </c>
      <c r="CN96" s="100">
        <v>11</v>
      </c>
      <c r="CO96" s="100">
        <v>7642.7999999999993</v>
      </c>
      <c r="CP96" s="100">
        <v>12</v>
      </c>
      <c r="CQ96" s="100">
        <v>8337.5999999999985</v>
      </c>
      <c r="CR96" s="100">
        <v>8</v>
      </c>
      <c r="CS96" s="100">
        <v>5558.4</v>
      </c>
      <c r="CT96" s="100">
        <v>10</v>
      </c>
      <c r="CU96" s="100">
        <v>6948</v>
      </c>
    </row>
    <row r="97" spans="2:99">
      <c r="C97" s="99" t="s">
        <v>263</v>
      </c>
      <c r="D97" s="100">
        <v>5</v>
      </c>
      <c r="E97" s="100">
        <v>1962</v>
      </c>
      <c r="F97" s="100">
        <v>10</v>
      </c>
      <c r="G97" s="100">
        <v>3924</v>
      </c>
      <c r="H97" s="100">
        <v>12</v>
      </c>
      <c r="I97" s="100">
        <v>4708.7999999999993</v>
      </c>
      <c r="J97" s="100">
        <v>10</v>
      </c>
      <c r="K97" s="100">
        <v>3924</v>
      </c>
      <c r="L97" s="100">
        <v>10</v>
      </c>
      <c r="M97" s="100">
        <v>3924</v>
      </c>
      <c r="N97" s="100">
        <v>6</v>
      </c>
      <c r="O97" s="100">
        <v>2354.3999999999996</v>
      </c>
      <c r="P97" s="100">
        <v>10</v>
      </c>
      <c r="Q97" s="100">
        <v>3924</v>
      </c>
      <c r="R97" s="100">
        <v>6</v>
      </c>
      <c r="S97" s="100">
        <v>2354.3999999999996</v>
      </c>
      <c r="T97" s="100">
        <v>9</v>
      </c>
      <c r="U97" s="100">
        <v>3531.6</v>
      </c>
      <c r="V97" s="100">
        <v>7</v>
      </c>
      <c r="W97" s="100">
        <v>2746.7999999999997</v>
      </c>
      <c r="X97" s="100">
        <v>7</v>
      </c>
      <c r="Y97" s="100">
        <v>2746.7999999999997</v>
      </c>
      <c r="Z97" s="100">
        <v>6</v>
      </c>
      <c r="AA97" s="100">
        <v>2354.3999999999996</v>
      </c>
      <c r="AB97" s="100">
        <v>8</v>
      </c>
      <c r="AC97" s="100">
        <v>3139.2</v>
      </c>
      <c r="AD97" s="100">
        <v>9</v>
      </c>
      <c r="AE97" s="100">
        <v>3531.6</v>
      </c>
      <c r="AF97" s="100">
        <v>11</v>
      </c>
      <c r="AG97" s="100">
        <v>4316.3999999999996</v>
      </c>
      <c r="AH97" s="100">
        <v>7</v>
      </c>
      <c r="AI97" s="100">
        <v>2746.7999999999997</v>
      </c>
      <c r="AJ97" s="100">
        <v>6</v>
      </c>
      <c r="AK97" s="100">
        <v>2354.3999999999996</v>
      </c>
      <c r="AL97" s="100">
        <v>11</v>
      </c>
      <c r="AM97" s="100">
        <v>4316.3999999999996</v>
      </c>
      <c r="AN97" s="100">
        <v>10</v>
      </c>
      <c r="AO97" s="100">
        <v>3924</v>
      </c>
      <c r="AP97" s="100">
        <v>8</v>
      </c>
      <c r="AQ97" s="100">
        <v>3139.2</v>
      </c>
      <c r="AR97" s="100">
        <v>7</v>
      </c>
      <c r="AS97" s="100">
        <v>2746.7999999999997</v>
      </c>
      <c r="AT97" s="100">
        <v>12</v>
      </c>
      <c r="AU97" s="100">
        <v>4708.7999999999993</v>
      </c>
      <c r="AV97" s="100">
        <v>8</v>
      </c>
      <c r="AW97" s="100">
        <v>3139.2</v>
      </c>
      <c r="AX97" s="100">
        <v>9</v>
      </c>
      <c r="AY97" s="100">
        <v>3531.6</v>
      </c>
      <c r="AZ97" s="100">
        <v>6</v>
      </c>
      <c r="BA97" s="100">
        <v>2354.3999999999996</v>
      </c>
      <c r="BB97" s="100">
        <v>7</v>
      </c>
      <c r="BC97" s="100">
        <v>2746.7999999999997</v>
      </c>
      <c r="BD97" s="100">
        <v>9</v>
      </c>
      <c r="BE97" s="100">
        <v>3531.6</v>
      </c>
      <c r="BF97" s="100">
        <v>9</v>
      </c>
      <c r="BG97" s="100">
        <v>3531.6</v>
      </c>
      <c r="BH97" s="100">
        <v>10</v>
      </c>
      <c r="BI97" s="100">
        <v>3924</v>
      </c>
      <c r="BJ97" s="100">
        <v>11</v>
      </c>
      <c r="BK97" s="100">
        <v>4316.3999999999996</v>
      </c>
      <c r="BL97" s="100">
        <v>7</v>
      </c>
      <c r="BM97" s="100">
        <v>2746.7999999999997</v>
      </c>
      <c r="BN97" s="100">
        <v>9</v>
      </c>
      <c r="BO97" s="100">
        <v>3531.6</v>
      </c>
      <c r="BP97" s="100">
        <v>9</v>
      </c>
      <c r="BQ97" s="100">
        <v>3531.6</v>
      </c>
      <c r="BR97" s="100">
        <v>13</v>
      </c>
      <c r="BS97" s="100">
        <v>5101.2</v>
      </c>
      <c r="BT97" s="100">
        <v>9</v>
      </c>
      <c r="BU97" s="100">
        <v>3531.6</v>
      </c>
      <c r="BV97" s="100">
        <v>10</v>
      </c>
      <c r="BW97" s="100">
        <v>3924</v>
      </c>
      <c r="BX97" s="100">
        <v>10</v>
      </c>
      <c r="BY97" s="100">
        <v>3924</v>
      </c>
      <c r="BZ97" s="100">
        <v>10</v>
      </c>
      <c r="CA97" s="100">
        <v>3924</v>
      </c>
      <c r="CB97" s="100">
        <v>11</v>
      </c>
      <c r="CC97" s="100">
        <v>4316.3999999999996</v>
      </c>
      <c r="CD97" s="100">
        <v>7</v>
      </c>
      <c r="CE97" s="100">
        <v>2746.7999999999997</v>
      </c>
      <c r="CF97" s="100">
        <v>11</v>
      </c>
      <c r="CG97" s="100">
        <v>4316.3999999999996</v>
      </c>
      <c r="CH97" s="100">
        <v>7</v>
      </c>
      <c r="CI97" s="100">
        <v>2746.7999999999997</v>
      </c>
      <c r="CJ97" s="100">
        <v>9</v>
      </c>
      <c r="CK97" s="100">
        <v>3531.6</v>
      </c>
      <c r="CL97" s="100">
        <v>9</v>
      </c>
      <c r="CM97" s="100">
        <v>3531.6</v>
      </c>
      <c r="CN97" s="100">
        <v>10</v>
      </c>
      <c r="CO97" s="100">
        <v>3924</v>
      </c>
      <c r="CP97" s="100">
        <v>11</v>
      </c>
      <c r="CQ97" s="100">
        <v>4316.3999999999996</v>
      </c>
      <c r="CR97" s="100">
        <v>10</v>
      </c>
      <c r="CS97" s="100">
        <v>3924</v>
      </c>
      <c r="CT97" s="100">
        <v>9</v>
      </c>
      <c r="CU97" s="100">
        <v>3531.6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10</v>
      </c>
      <c r="G98" s="100">
        <v>5256</v>
      </c>
      <c r="H98" s="100">
        <v>11</v>
      </c>
      <c r="I98" s="100">
        <v>5781.6</v>
      </c>
      <c r="J98" s="100">
        <v>10</v>
      </c>
      <c r="K98" s="100">
        <v>5256</v>
      </c>
      <c r="L98" s="100">
        <v>9</v>
      </c>
      <c r="M98" s="100">
        <v>4730.4000000000005</v>
      </c>
      <c r="N98" s="100">
        <v>6</v>
      </c>
      <c r="O98" s="100">
        <v>3153.6000000000004</v>
      </c>
      <c r="P98" s="100">
        <v>10</v>
      </c>
      <c r="Q98" s="100">
        <v>5256</v>
      </c>
      <c r="R98" s="100">
        <v>6</v>
      </c>
      <c r="S98" s="100">
        <v>3153.6000000000004</v>
      </c>
      <c r="T98" s="100">
        <v>9</v>
      </c>
      <c r="U98" s="100">
        <v>4730.4000000000005</v>
      </c>
      <c r="V98" s="100">
        <v>7</v>
      </c>
      <c r="W98" s="100">
        <v>3679.2000000000003</v>
      </c>
      <c r="X98" s="100">
        <v>8</v>
      </c>
      <c r="Y98" s="100">
        <v>4204.8</v>
      </c>
      <c r="Z98" s="100">
        <v>6</v>
      </c>
      <c r="AA98" s="100">
        <v>3153.6000000000004</v>
      </c>
      <c r="AB98" s="100">
        <v>7</v>
      </c>
      <c r="AC98" s="100">
        <v>3679.2000000000003</v>
      </c>
      <c r="AD98" s="100">
        <v>10</v>
      </c>
      <c r="AE98" s="100">
        <v>5256</v>
      </c>
      <c r="AF98" s="100">
        <v>11</v>
      </c>
      <c r="AG98" s="100">
        <v>5781.6</v>
      </c>
      <c r="AH98" s="100">
        <v>7</v>
      </c>
      <c r="AI98" s="100">
        <v>3679.2000000000003</v>
      </c>
      <c r="AJ98" s="100">
        <v>6</v>
      </c>
      <c r="AK98" s="100">
        <v>3153.6000000000004</v>
      </c>
      <c r="AL98" s="100">
        <v>11</v>
      </c>
      <c r="AM98" s="100">
        <v>5781.6</v>
      </c>
      <c r="AN98" s="100">
        <v>9</v>
      </c>
      <c r="AO98" s="100">
        <v>4730.4000000000005</v>
      </c>
      <c r="AP98" s="100">
        <v>9</v>
      </c>
      <c r="AQ98" s="100">
        <v>4730.4000000000005</v>
      </c>
      <c r="AR98" s="100">
        <v>7</v>
      </c>
      <c r="AS98" s="100">
        <v>3679.2000000000003</v>
      </c>
      <c r="AT98" s="100">
        <v>10</v>
      </c>
      <c r="AU98" s="100">
        <v>5256</v>
      </c>
      <c r="AV98" s="100">
        <v>9</v>
      </c>
      <c r="AW98" s="100">
        <v>4730.4000000000005</v>
      </c>
      <c r="AX98" s="100">
        <v>10</v>
      </c>
      <c r="AY98" s="100">
        <v>5256</v>
      </c>
      <c r="AZ98" s="100">
        <v>6</v>
      </c>
      <c r="BA98" s="100">
        <v>3153.6000000000004</v>
      </c>
      <c r="BB98" s="100">
        <v>6</v>
      </c>
      <c r="BC98" s="100">
        <v>3153.6000000000004</v>
      </c>
      <c r="BD98" s="100">
        <v>8</v>
      </c>
      <c r="BE98" s="100">
        <v>4204.8</v>
      </c>
      <c r="BF98" s="100">
        <v>8</v>
      </c>
      <c r="BG98" s="100">
        <v>4204.8</v>
      </c>
      <c r="BH98" s="100">
        <v>10</v>
      </c>
      <c r="BI98" s="100">
        <v>5256</v>
      </c>
      <c r="BJ98" s="100">
        <v>11</v>
      </c>
      <c r="BK98" s="100">
        <v>5781.6</v>
      </c>
      <c r="BL98" s="100">
        <v>7</v>
      </c>
      <c r="BM98" s="100">
        <v>3679.2000000000003</v>
      </c>
      <c r="BN98" s="100">
        <v>9</v>
      </c>
      <c r="BO98" s="100">
        <v>4730.4000000000005</v>
      </c>
      <c r="BP98" s="100">
        <v>8</v>
      </c>
      <c r="BQ98" s="100">
        <v>4204.8</v>
      </c>
      <c r="BR98" s="100">
        <v>11</v>
      </c>
      <c r="BS98" s="100">
        <v>5781.6</v>
      </c>
      <c r="BT98" s="100">
        <v>10</v>
      </c>
      <c r="BU98" s="100">
        <v>5256</v>
      </c>
      <c r="BV98" s="100">
        <v>11</v>
      </c>
      <c r="BW98" s="100">
        <v>5781.6</v>
      </c>
      <c r="BX98" s="100">
        <v>10</v>
      </c>
      <c r="BY98" s="100">
        <v>5256</v>
      </c>
      <c r="BZ98" s="100">
        <v>10</v>
      </c>
      <c r="CA98" s="100">
        <v>5256</v>
      </c>
      <c r="CB98" s="100">
        <v>11</v>
      </c>
      <c r="CC98" s="100">
        <v>5781.6</v>
      </c>
      <c r="CD98" s="100">
        <v>7</v>
      </c>
      <c r="CE98" s="100">
        <v>3679.2000000000003</v>
      </c>
      <c r="CF98" s="100">
        <v>11</v>
      </c>
      <c r="CG98" s="100">
        <v>5781.6</v>
      </c>
      <c r="CH98" s="100">
        <v>7</v>
      </c>
      <c r="CI98" s="100">
        <v>3679.2000000000003</v>
      </c>
      <c r="CJ98" s="100">
        <v>9</v>
      </c>
      <c r="CK98" s="100">
        <v>4730.4000000000005</v>
      </c>
      <c r="CL98" s="100">
        <v>9</v>
      </c>
      <c r="CM98" s="100">
        <v>4730.4000000000005</v>
      </c>
      <c r="CN98" s="100">
        <v>11</v>
      </c>
      <c r="CO98" s="100">
        <v>5781.6</v>
      </c>
      <c r="CP98" s="100">
        <v>11</v>
      </c>
      <c r="CQ98" s="100">
        <v>5781.6</v>
      </c>
      <c r="CR98" s="100">
        <v>8</v>
      </c>
      <c r="CS98" s="100">
        <v>4204.8</v>
      </c>
      <c r="CT98" s="100">
        <v>9</v>
      </c>
      <c r="CU98" s="100">
        <v>4730.4000000000005</v>
      </c>
    </row>
    <row r="99" spans="2:99">
      <c r="C99" s="99" t="s">
        <v>265</v>
      </c>
      <c r="D99" s="100">
        <v>5</v>
      </c>
      <c r="E99" s="100">
        <v>21042</v>
      </c>
      <c r="F99" s="100">
        <v>8</v>
      </c>
      <c r="G99" s="100">
        <v>33667.199999999997</v>
      </c>
      <c r="H99" s="100">
        <v>8</v>
      </c>
      <c r="I99" s="100">
        <v>33667.199999999997</v>
      </c>
      <c r="J99" s="100">
        <v>7</v>
      </c>
      <c r="K99" s="100">
        <v>29458.799999999996</v>
      </c>
      <c r="L99" s="100">
        <v>7</v>
      </c>
      <c r="M99" s="100">
        <v>29458.799999999996</v>
      </c>
      <c r="N99" s="100">
        <v>4</v>
      </c>
      <c r="O99" s="100">
        <v>16833.599999999999</v>
      </c>
      <c r="P99" s="100">
        <v>8</v>
      </c>
      <c r="Q99" s="100">
        <v>33667.199999999997</v>
      </c>
      <c r="R99" s="100">
        <v>5</v>
      </c>
      <c r="S99" s="100">
        <v>21042</v>
      </c>
      <c r="T99" s="100">
        <v>8</v>
      </c>
      <c r="U99" s="100">
        <v>33667.199999999997</v>
      </c>
      <c r="V99" s="100">
        <v>6</v>
      </c>
      <c r="W99" s="100">
        <v>25250.399999999998</v>
      </c>
      <c r="X99" s="100">
        <v>5</v>
      </c>
      <c r="Y99" s="100">
        <v>21042</v>
      </c>
      <c r="Z99" s="100">
        <v>4</v>
      </c>
      <c r="AA99" s="100">
        <v>16833.599999999999</v>
      </c>
      <c r="AB99" s="100">
        <v>6</v>
      </c>
      <c r="AC99" s="100">
        <v>25250.399999999998</v>
      </c>
      <c r="AD99" s="100">
        <v>7</v>
      </c>
      <c r="AE99" s="100">
        <v>29458.799999999996</v>
      </c>
      <c r="AF99" s="100">
        <v>7</v>
      </c>
      <c r="AG99" s="100">
        <v>29458.799999999996</v>
      </c>
      <c r="AH99" s="100">
        <v>5</v>
      </c>
      <c r="AI99" s="100">
        <v>21042</v>
      </c>
      <c r="AJ99" s="100">
        <v>5</v>
      </c>
      <c r="AK99" s="100">
        <v>21042</v>
      </c>
      <c r="AL99" s="100">
        <v>7</v>
      </c>
      <c r="AM99" s="100">
        <v>29458.799999999996</v>
      </c>
      <c r="AN99" s="100">
        <v>7</v>
      </c>
      <c r="AO99" s="100">
        <v>29458.799999999996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8</v>
      </c>
      <c r="AU99" s="100">
        <v>33667.199999999997</v>
      </c>
      <c r="AV99" s="100">
        <v>6</v>
      </c>
      <c r="AW99" s="100">
        <v>25250.399999999998</v>
      </c>
      <c r="AX99" s="100">
        <v>7</v>
      </c>
      <c r="AY99" s="100">
        <v>29458.799999999996</v>
      </c>
      <c r="AZ99" s="100">
        <v>4</v>
      </c>
      <c r="BA99" s="100">
        <v>16833.599999999999</v>
      </c>
      <c r="BB99" s="100">
        <v>5</v>
      </c>
      <c r="BC99" s="100">
        <v>21042</v>
      </c>
      <c r="BD99" s="100">
        <v>6</v>
      </c>
      <c r="BE99" s="100">
        <v>25250.399999999998</v>
      </c>
      <c r="BF99" s="100">
        <v>7</v>
      </c>
      <c r="BG99" s="100">
        <v>29458.799999999996</v>
      </c>
      <c r="BH99" s="100">
        <v>7</v>
      </c>
      <c r="BI99" s="100">
        <v>29458.799999999996</v>
      </c>
      <c r="BJ99" s="100">
        <v>9</v>
      </c>
      <c r="BK99" s="100">
        <v>37875.599999999999</v>
      </c>
      <c r="BL99" s="100">
        <v>5</v>
      </c>
      <c r="BM99" s="100">
        <v>21042</v>
      </c>
      <c r="BN99" s="100">
        <v>7</v>
      </c>
      <c r="BO99" s="100">
        <v>29458.799999999996</v>
      </c>
      <c r="BP99" s="100">
        <v>7</v>
      </c>
      <c r="BQ99" s="100">
        <v>29458.799999999996</v>
      </c>
      <c r="BR99" s="100">
        <v>9</v>
      </c>
      <c r="BS99" s="100">
        <v>37875.599999999999</v>
      </c>
      <c r="BT99" s="100">
        <v>7</v>
      </c>
      <c r="BU99" s="100">
        <v>29458.799999999996</v>
      </c>
      <c r="BV99" s="100">
        <v>7</v>
      </c>
      <c r="BW99" s="100">
        <v>29458.799999999996</v>
      </c>
      <c r="BX99" s="100">
        <v>8</v>
      </c>
      <c r="BY99" s="100">
        <v>33667.199999999997</v>
      </c>
      <c r="BZ99" s="100">
        <v>7</v>
      </c>
      <c r="CA99" s="100">
        <v>29458.799999999996</v>
      </c>
      <c r="CB99" s="100">
        <v>7</v>
      </c>
      <c r="CC99" s="100">
        <v>29458.799999999996</v>
      </c>
      <c r="CD99" s="100">
        <v>6</v>
      </c>
      <c r="CE99" s="100">
        <v>25250.399999999998</v>
      </c>
      <c r="CF99" s="100">
        <v>9</v>
      </c>
      <c r="CG99" s="100">
        <v>37875.599999999999</v>
      </c>
      <c r="CH99" s="100">
        <v>5</v>
      </c>
      <c r="CI99" s="100">
        <v>21042</v>
      </c>
      <c r="CJ99" s="100">
        <v>7</v>
      </c>
      <c r="CK99" s="100">
        <v>29458.799999999996</v>
      </c>
      <c r="CL99" s="100">
        <v>7</v>
      </c>
      <c r="CM99" s="100">
        <v>29458.799999999996</v>
      </c>
      <c r="CN99" s="100">
        <v>9</v>
      </c>
      <c r="CO99" s="100">
        <v>37875.599999999999</v>
      </c>
      <c r="CP99" s="100">
        <v>9</v>
      </c>
      <c r="CQ99" s="100">
        <v>37875.599999999999</v>
      </c>
      <c r="CR99" s="100">
        <v>6</v>
      </c>
      <c r="CS99" s="100">
        <v>25250.399999999998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6</v>
      </c>
      <c r="E100" s="100">
        <v>1944</v>
      </c>
      <c r="F100" s="100">
        <v>11</v>
      </c>
      <c r="G100" s="100">
        <v>3564</v>
      </c>
      <c r="H100" s="100">
        <v>11</v>
      </c>
      <c r="I100" s="100">
        <v>3564</v>
      </c>
      <c r="J100" s="100">
        <v>9</v>
      </c>
      <c r="K100" s="100">
        <v>2916</v>
      </c>
      <c r="L100" s="100">
        <v>10</v>
      </c>
      <c r="M100" s="100">
        <v>3240</v>
      </c>
      <c r="N100" s="100">
        <v>7</v>
      </c>
      <c r="O100" s="100">
        <v>2268</v>
      </c>
      <c r="P100" s="100">
        <v>11</v>
      </c>
      <c r="Q100" s="100">
        <v>3564</v>
      </c>
      <c r="R100" s="100">
        <v>6</v>
      </c>
      <c r="S100" s="100">
        <v>1944</v>
      </c>
      <c r="T100" s="100">
        <v>9</v>
      </c>
      <c r="U100" s="100">
        <v>2916</v>
      </c>
      <c r="V100" s="100">
        <v>8</v>
      </c>
      <c r="W100" s="100">
        <v>2592</v>
      </c>
      <c r="X100" s="100">
        <v>7</v>
      </c>
      <c r="Y100" s="100">
        <v>2268</v>
      </c>
      <c r="Z100" s="100">
        <v>6</v>
      </c>
      <c r="AA100" s="100">
        <v>1944</v>
      </c>
      <c r="AB100" s="100">
        <v>8</v>
      </c>
      <c r="AC100" s="100">
        <v>2592</v>
      </c>
      <c r="AD100" s="100">
        <v>10</v>
      </c>
      <c r="AE100" s="100">
        <v>3240</v>
      </c>
      <c r="AF100" s="100">
        <v>11</v>
      </c>
      <c r="AG100" s="100">
        <v>3564</v>
      </c>
      <c r="AH100" s="100">
        <v>7</v>
      </c>
      <c r="AI100" s="100">
        <v>2268</v>
      </c>
      <c r="AJ100" s="100">
        <v>6</v>
      </c>
      <c r="AK100" s="100">
        <v>1944</v>
      </c>
      <c r="AL100" s="100">
        <v>10</v>
      </c>
      <c r="AM100" s="100">
        <v>3240</v>
      </c>
      <c r="AN100" s="100">
        <v>9</v>
      </c>
      <c r="AO100" s="100">
        <v>2916</v>
      </c>
      <c r="AP100" s="100">
        <v>9</v>
      </c>
      <c r="AQ100" s="100">
        <v>2916</v>
      </c>
      <c r="AR100" s="100">
        <v>6</v>
      </c>
      <c r="AS100" s="100">
        <v>1944</v>
      </c>
      <c r="AT100" s="100">
        <v>12</v>
      </c>
      <c r="AU100" s="100">
        <v>3888</v>
      </c>
      <c r="AV100" s="100">
        <v>9</v>
      </c>
      <c r="AW100" s="100">
        <v>2916</v>
      </c>
      <c r="AX100" s="100">
        <v>9</v>
      </c>
      <c r="AY100" s="100">
        <v>2916</v>
      </c>
      <c r="AZ100" s="100">
        <v>6</v>
      </c>
      <c r="BA100" s="100">
        <v>1944</v>
      </c>
      <c r="BB100" s="100">
        <v>6</v>
      </c>
      <c r="BC100" s="100">
        <v>1944</v>
      </c>
      <c r="BD100" s="100">
        <v>10</v>
      </c>
      <c r="BE100" s="100">
        <v>3240</v>
      </c>
      <c r="BF100" s="100">
        <v>9</v>
      </c>
      <c r="BG100" s="100">
        <v>2916</v>
      </c>
      <c r="BH100" s="100">
        <v>10</v>
      </c>
      <c r="BI100" s="100">
        <v>3240</v>
      </c>
      <c r="BJ100" s="100">
        <v>11</v>
      </c>
      <c r="BK100" s="100">
        <v>3564</v>
      </c>
      <c r="BL100" s="100">
        <v>7</v>
      </c>
      <c r="BM100" s="100">
        <v>2268</v>
      </c>
      <c r="BN100" s="100">
        <v>10</v>
      </c>
      <c r="BO100" s="100">
        <v>3240</v>
      </c>
      <c r="BP100" s="100">
        <v>10</v>
      </c>
      <c r="BQ100" s="100">
        <v>3240</v>
      </c>
      <c r="BR100" s="100">
        <v>12</v>
      </c>
      <c r="BS100" s="100">
        <v>3888</v>
      </c>
      <c r="BT100" s="100">
        <v>10</v>
      </c>
      <c r="BU100" s="100">
        <v>3240</v>
      </c>
      <c r="BV100" s="100">
        <v>10</v>
      </c>
      <c r="BW100" s="100">
        <v>3240</v>
      </c>
      <c r="BX100" s="100">
        <v>10</v>
      </c>
      <c r="BY100" s="100">
        <v>3240</v>
      </c>
      <c r="BZ100" s="100">
        <v>9</v>
      </c>
      <c r="CA100" s="100">
        <v>2916</v>
      </c>
      <c r="CB100" s="100">
        <v>10</v>
      </c>
      <c r="CC100" s="100">
        <v>3240</v>
      </c>
      <c r="CD100" s="100">
        <v>8</v>
      </c>
      <c r="CE100" s="100">
        <v>2592</v>
      </c>
      <c r="CF100" s="100">
        <v>12</v>
      </c>
      <c r="CG100" s="100">
        <v>3888</v>
      </c>
      <c r="CH100" s="100">
        <v>7</v>
      </c>
      <c r="CI100" s="100">
        <v>2268</v>
      </c>
      <c r="CJ100" s="100">
        <v>9</v>
      </c>
      <c r="CK100" s="100">
        <v>2916</v>
      </c>
      <c r="CL100" s="100">
        <v>9</v>
      </c>
      <c r="CM100" s="100">
        <v>2916</v>
      </c>
      <c r="CN100" s="100">
        <v>11</v>
      </c>
      <c r="CO100" s="100">
        <v>3564</v>
      </c>
      <c r="CP100" s="100">
        <v>11</v>
      </c>
      <c r="CQ100" s="100">
        <v>3564</v>
      </c>
      <c r="CR100" s="100">
        <v>9</v>
      </c>
      <c r="CS100" s="100">
        <v>2916</v>
      </c>
      <c r="CT100" s="100">
        <v>9</v>
      </c>
      <c r="CU100" s="100">
        <v>2916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9</v>
      </c>
      <c r="G101" s="100">
        <v>6512.4000000000005</v>
      </c>
      <c r="H101" s="100">
        <v>11</v>
      </c>
      <c r="I101" s="100">
        <v>7959.6</v>
      </c>
      <c r="J101" s="100">
        <v>8</v>
      </c>
      <c r="K101" s="100">
        <v>5788.8</v>
      </c>
      <c r="L101" s="100">
        <v>9</v>
      </c>
      <c r="M101" s="100">
        <v>6512.4000000000005</v>
      </c>
      <c r="N101" s="100">
        <v>5</v>
      </c>
      <c r="O101" s="100">
        <v>3618</v>
      </c>
      <c r="P101" s="100">
        <v>10</v>
      </c>
      <c r="Q101" s="100">
        <v>7236</v>
      </c>
      <c r="R101" s="100">
        <v>7</v>
      </c>
      <c r="S101" s="100">
        <v>5065.2</v>
      </c>
      <c r="T101" s="100">
        <v>10</v>
      </c>
      <c r="U101" s="100">
        <v>7236</v>
      </c>
      <c r="V101" s="100">
        <v>7</v>
      </c>
      <c r="W101" s="100">
        <v>5065.2</v>
      </c>
      <c r="X101" s="100">
        <v>8</v>
      </c>
      <c r="Y101" s="100">
        <v>5788.8</v>
      </c>
      <c r="Z101" s="100">
        <v>6</v>
      </c>
      <c r="AA101" s="100">
        <v>4341.6000000000004</v>
      </c>
      <c r="AB101" s="100">
        <v>8</v>
      </c>
      <c r="AC101" s="100">
        <v>5788.8</v>
      </c>
      <c r="AD101" s="100">
        <v>10</v>
      </c>
      <c r="AE101" s="100">
        <v>7236</v>
      </c>
      <c r="AF101" s="100">
        <v>10</v>
      </c>
      <c r="AG101" s="100">
        <v>7236</v>
      </c>
      <c r="AH101" s="100">
        <v>6</v>
      </c>
      <c r="AI101" s="100">
        <v>4341.6000000000004</v>
      </c>
      <c r="AJ101" s="100">
        <v>6</v>
      </c>
      <c r="AK101" s="100">
        <v>4341.6000000000004</v>
      </c>
      <c r="AL101" s="100">
        <v>11</v>
      </c>
      <c r="AM101" s="100">
        <v>7959.6</v>
      </c>
      <c r="AN101" s="100">
        <v>9</v>
      </c>
      <c r="AO101" s="100">
        <v>6512.4000000000005</v>
      </c>
      <c r="AP101" s="100">
        <v>9</v>
      </c>
      <c r="AQ101" s="100">
        <v>6512.4000000000005</v>
      </c>
      <c r="AR101" s="100">
        <v>7</v>
      </c>
      <c r="AS101" s="100">
        <v>5065.2</v>
      </c>
      <c r="AT101" s="100">
        <v>11</v>
      </c>
      <c r="AU101" s="100">
        <v>7959.6</v>
      </c>
      <c r="AV101" s="100">
        <v>8</v>
      </c>
      <c r="AW101" s="100">
        <v>5788.8</v>
      </c>
      <c r="AX101" s="100">
        <v>9</v>
      </c>
      <c r="AY101" s="100">
        <v>6512.4000000000005</v>
      </c>
      <c r="AZ101" s="100">
        <v>6</v>
      </c>
      <c r="BA101" s="100">
        <v>4341.6000000000004</v>
      </c>
      <c r="BB101" s="100">
        <v>7</v>
      </c>
      <c r="BC101" s="100">
        <v>5065.2</v>
      </c>
      <c r="BD101" s="100">
        <v>8</v>
      </c>
      <c r="BE101" s="100">
        <v>5788.8</v>
      </c>
      <c r="BF101" s="100">
        <v>9</v>
      </c>
      <c r="BG101" s="100">
        <v>6512.4000000000005</v>
      </c>
      <c r="BH101" s="100">
        <v>9</v>
      </c>
      <c r="BI101" s="100">
        <v>6512.4000000000005</v>
      </c>
      <c r="BJ101" s="100">
        <v>11</v>
      </c>
      <c r="BK101" s="100">
        <v>7959.6</v>
      </c>
      <c r="BL101" s="100">
        <v>6</v>
      </c>
      <c r="BM101" s="100">
        <v>4341.6000000000004</v>
      </c>
      <c r="BN101" s="100">
        <v>9</v>
      </c>
      <c r="BO101" s="100">
        <v>6512.4000000000005</v>
      </c>
      <c r="BP101" s="100">
        <v>10</v>
      </c>
      <c r="BQ101" s="100">
        <v>7236</v>
      </c>
      <c r="BR101" s="100">
        <v>12</v>
      </c>
      <c r="BS101" s="100">
        <v>8683.2000000000007</v>
      </c>
      <c r="BT101" s="100">
        <v>10</v>
      </c>
      <c r="BU101" s="100">
        <v>7236</v>
      </c>
      <c r="BV101" s="100">
        <v>10</v>
      </c>
      <c r="BW101" s="100">
        <v>7236</v>
      </c>
      <c r="BX101" s="100">
        <v>11</v>
      </c>
      <c r="BY101" s="100">
        <v>7959.6</v>
      </c>
      <c r="BZ101" s="100">
        <v>9</v>
      </c>
      <c r="CA101" s="100">
        <v>6512.4000000000005</v>
      </c>
      <c r="CB101" s="100">
        <v>9</v>
      </c>
      <c r="CC101" s="100">
        <v>6512.4000000000005</v>
      </c>
      <c r="CD101" s="100">
        <v>7</v>
      </c>
      <c r="CE101" s="100">
        <v>5065.2</v>
      </c>
      <c r="CF101" s="100">
        <v>11</v>
      </c>
      <c r="CG101" s="100">
        <v>7959.6</v>
      </c>
      <c r="CH101" s="100">
        <v>6</v>
      </c>
      <c r="CI101" s="100">
        <v>4341.6000000000004</v>
      </c>
      <c r="CJ101" s="100">
        <v>8</v>
      </c>
      <c r="CK101" s="100">
        <v>5788.8</v>
      </c>
      <c r="CL101" s="100">
        <v>9</v>
      </c>
      <c r="CM101" s="100">
        <v>6512.4000000000005</v>
      </c>
      <c r="CN101" s="100">
        <v>11</v>
      </c>
      <c r="CO101" s="100">
        <v>7959.6</v>
      </c>
      <c r="CP101" s="100">
        <v>11</v>
      </c>
      <c r="CQ101" s="100">
        <v>7959.6</v>
      </c>
      <c r="CR101" s="100">
        <v>10</v>
      </c>
      <c r="CS101" s="100">
        <v>7236</v>
      </c>
      <c r="CT101" s="100">
        <v>9</v>
      </c>
      <c r="CU101" s="100">
        <v>6512.4000000000005</v>
      </c>
    </row>
    <row r="102" spans="2:99">
      <c r="C102" s="99" t="s">
        <v>268</v>
      </c>
      <c r="D102" s="100">
        <v>6</v>
      </c>
      <c r="E102" s="100">
        <v>3189.6000000000004</v>
      </c>
      <c r="F102" s="100">
        <v>10</v>
      </c>
      <c r="G102" s="100">
        <v>5316</v>
      </c>
      <c r="H102" s="100">
        <v>11</v>
      </c>
      <c r="I102" s="100">
        <v>5847.6</v>
      </c>
      <c r="J102" s="100">
        <v>9</v>
      </c>
      <c r="K102" s="100">
        <v>4784.4000000000005</v>
      </c>
      <c r="L102" s="100">
        <v>8</v>
      </c>
      <c r="M102" s="100">
        <v>4252.8</v>
      </c>
      <c r="N102" s="100">
        <v>5</v>
      </c>
      <c r="O102" s="100">
        <v>2658</v>
      </c>
      <c r="P102" s="100">
        <v>10</v>
      </c>
      <c r="Q102" s="100">
        <v>5316</v>
      </c>
      <c r="R102" s="100">
        <v>7</v>
      </c>
      <c r="S102" s="100">
        <v>3721.2000000000003</v>
      </c>
      <c r="T102" s="100">
        <v>10</v>
      </c>
      <c r="U102" s="100">
        <v>5316</v>
      </c>
      <c r="V102" s="100">
        <v>7</v>
      </c>
      <c r="W102" s="100">
        <v>3721.2000000000003</v>
      </c>
      <c r="X102" s="100">
        <v>8</v>
      </c>
      <c r="Y102" s="100">
        <v>4252.8</v>
      </c>
      <c r="Z102" s="100">
        <v>6</v>
      </c>
      <c r="AA102" s="100">
        <v>3189.6000000000004</v>
      </c>
      <c r="AB102" s="100">
        <v>7</v>
      </c>
      <c r="AC102" s="100">
        <v>3721.2000000000003</v>
      </c>
      <c r="AD102" s="100">
        <v>11</v>
      </c>
      <c r="AE102" s="100">
        <v>5847.6</v>
      </c>
      <c r="AF102" s="100">
        <v>11</v>
      </c>
      <c r="AG102" s="100">
        <v>5847.6</v>
      </c>
      <c r="AH102" s="100">
        <v>7</v>
      </c>
      <c r="AI102" s="100">
        <v>3721.2000000000003</v>
      </c>
      <c r="AJ102" s="100">
        <v>6</v>
      </c>
      <c r="AK102" s="100">
        <v>3189.6000000000004</v>
      </c>
      <c r="AL102" s="100">
        <v>11</v>
      </c>
      <c r="AM102" s="100">
        <v>5847.6</v>
      </c>
      <c r="AN102" s="100">
        <v>9</v>
      </c>
      <c r="AO102" s="100">
        <v>4784.4000000000005</v>
      </c>
      <c r="AP102" s="100">
        <v>9</v>
      </c>
      <c r="AQ102" s="100">
        <v>4784.4000000000005</v>
      </c>
      <c r="AR102" s="100">
        <v>6</v>
      </c>
      <c r="AS102" s="100">
        <v>3189.6000000000004</v>
      </c>
      <c r="AT102" s="100">
        <v>11</v>
      </c>
      <c r="AU102" s="100">
        <v>5847.6</v>
      </c>
      <c r="AV102" s="100">
        <v>9</v>
      </c>
      <c r="AW102" s="100">
        <v>4784.4000000000005</v>
      </c>
      <c r="AX102" s="100">
        <v>10</v>
      </c>
      <c r="AY102" s="100">
        <v>5316</v>
      </c>
      <c r="AZ102" s="100">
        <v>6</v>
      </c>
      <c r="BA102" s="100">
        <v>3189.6000000000004</v>
      </c>
      <c r="BB102" s="100">
        <v>6</v>
      </c>
      <c r="BC102" s="100">
        <v>3189.6000000000004</v>
      </c>
      <c r="BD102" s="100">
        <v>10</v>
      </c>
      <c r="BE102" s="100">
        <v>5316</v>
      </c>
      <c r="BF102" s="100">
        <v>10</v>
      </c>
      <c r="BG102" s="100">
        <v>5316</v>
      </c>
      <c r="BH102" s="100">
        <v>11</v>
      </c>
      <c r="BI102" s="100">
        <v>5847.6</v>
      </c>
      <c r="BJ102" s="100">
        <v>12</v>
      </c>
      <c r="BK102" s="100">
        <v>6379.2000000000007</v>
      </c>
      <c r="BL102" s="100">
        <v>7</v>
      </c>
      <c r="BM102" s="100">
        <v>3721.2000000000003</v>
      </c>
      <c r="BN102" s="100">
        <v>10</v>
      </c>
      <c r="BO102" s="100">
        <v>5316</v>
      </c>
      <c r="BP102" s="100">
        <v>8</v>
      </c>
      <c r="BQ102" s="100">
        <v>4252.8</v>
      </c>
      <c r="BR102" s="100">
        <v>12</v>
      </c>
      <c r="BS102" s="100">
        <v>6379.2000000000007</v>
      </c>
      <c r="BT102" s="100">
        <v>9</v>
      </c>
      <c r="BU102" s="100">
        <v>4784.4000000000005</v>
      </c>
      <c r="BV102" s="100">
        <v>10</v>
      </c>
      <c r="BW102" s="100">
        <v>5316</v>
      </c>
      <c r="BX102" s="100">
        <v>10</v>
      </c>
      <c r="BY102" s="100">
        <v>5316</v>
      </c>
      <c r="BZ102" s="100">
        <v>10</v>
      </c>
      <c r="CA102" s="100">
        <v>5316</v>
      </c>
      <c r="CB102" s="100">
        <v>10</v>
      </c>
      <c r="CC102" s="100">
        <v>5316</v>
      </c>
      <c r="CD102" s="100">
        <v>7</v>
      </c>
      <c r="CE102" s="100">
        <v>3721.2000000000003</v>
      </c>
      <c r="CF102" s="100">
        <v>11</v>
      </c>
      <c r="CG102" s="100">
        <v>5847.6</v>
      </c>
      <c r="CH102" s="100">
        <v>6</v>
      </c>
      <c r="CI102" s="100">
        <v>3189.6000000000004</v>
      </c>
      <c r="CJ102" s="100">
        <v>10</v>
      </c>
      <c r="CK102" s="100">
        <v>5316</v>
      </c>
      <c r="CL102" s="100">
        <v>10</v>
      </c>
      <c r="CM102" s="100">
        <v>5316</v>
      </c>
      <c r="CN102" s="100">
        <v>10</v>
      </c>
      <c r="CO102" s="100">
        <v>5316</v>
      </c>
      <c r="CP102" s="100">
        <v>11</v>
      </c>
      <c r="CQ102" s="100">
        <v>5847.6</v>
      </c>
      <c r="CR102" s="100">
        <v>9</v>
      </c>
      <c r="CS102" s="100">
        <v>4784.4000000000005</v>
      </c>
      <c r="CT102" s="100">
        <v>10</v>
      </c>
      <c r="CU102" s="100">
        <v>5316</v>
      </c>
    </row>
    <row r="103" spans="2:99">
      <c r="C103" s="99" t="s">
        <v>269</v>
      </c>
      <c r="D103" s="100">
        <v>6</v>
      </c>
      <c r="E103" s="100">
        <v>3535.2</v>
      </c>
      <c r="F103" s="100">
        <v>11</v>
      </c>
      <c r="G103" s="100">
        <v>6481.1999999999989</v>
      </c>
      <c r="H103" s="100">
        <v>12</v>
      </c>
      <c r="I103" s="100">
        <v>7070.4</v>
      </c>
      <c r="J103" s="100">
        <v>8</v>
      </c>
      <c r="K103" s="100">
        <v>4713.5999999999995</v>
      </c>
      <c r="L103" s="100">
        <v>9</v>
      </c>
      <c r="M103" s="100">
        <v>5302.7999999999993</v>
      </c>
      <c r="N103" s="100">
        <v>6</v>
      </c>
      <c r="O103" s="100">
        <v>3535.2</v>
      </c>
      <c r="P103" s="100">
        <v>11</v>
      </c>
      <c r="Q103" s="100">
        <v>6481.1999999999989</v>
      </c>
      <c r="R103" s="100">
        <v>6</v>
      </c>
      <c r="S103" s="100">
        <v>3535.2</v>
      </c>
      <c r="T103" s="100">
        <v>9</v>
      </c>
      <c r="U103" s="100">
        <v>5302.7999999999993</v>
      </c>
      <c r="V103" s="100">
        <v>7</v>
      </c>
      <c r="W103" s="100">
        <v>4124.3999999999996</v>
      </c>
      <c r="X103" s="100">
        <v>7</v>
      </c>
      <c r="Y103" s="100">
        <v>4124.3999999999996</v>
      </c>
      <c r="Z103" s="100">
        <v>6</v>
      </c>
      <c r="AA103" s="100">
        <v>3535.2</v>
      </c>
      <c r="AB103" s="100">
        <v>7</v>
      </c>
      <c r="AC103" s="100">
        <v>4124.3999999999996</v>
      </c>
      <c r="AD103" s="100">
        <v>10</v>
      </c>
      <c r="AE103" s="100">
        <v>5891.9999999999991</v>
      </c>
      <c r="AF103" s="100">
        <v>10</v>
      </c>
      <c r="AG103" s="100">
        <v>5891.9999999999991</v>
      </c>
      <c r="AH103" s="100">
        <v>6</v>
      </c>
      <c r="AI103" s="100">
        <v>3535.2</v>
      </c>
      <c r="AJ103" s="100">
        <v>6</v>
      </c>
      <c r="AK103" s="100">
        <v>3535.2</v>
      </c>
      <c r="AL103" s="100">
        <v>10</v>
      </c>
      <c r="AM103" s="100">
        <v>5891.9999999999991</v>
      </c>
      <c r="AN103" s="100">
        <v>9</v>
      </c>
      <c r="AO103" s="100">
        <v>5302.7999999999993</v>
      </c>
      <c r="AP103" s="100">
        <v>9</v>
      </c>
      <c r="AQ103" s="100">
        <v>5302.7999999999993</v>
      </c>
      <c r="AR103" s="100">
        <v>6</v>
      </c>
      <c r="AS103" s="100">
        <v>3535.2</v>
      </c>
      <c r="AT103" s="100">
        <v>11</v>
      </c>
      <c r="AU103" s="100">
        <v>6481.1999999999989</v>
      </c>
      <c r="AV103" s="100">
        <v>8</v>
      </c>
      <c r="AW103" s="100">
        <v>4713.5999999999995</v>
      </c>
      <c r="AX103" s="100">
        <v>10</v>
      </c>
      <c r="AY103" s="100">
        <v>5891.9999999999991</v>
      </c>
      <c r="AZ103" s="100">
        <v>5</v>
      </c>
      <c r="BA103" s="100">
        <v>2945.9999999999995</v>
      </c>
      <c r="BB103" s="100">
        <v>6</v>
      </c>
      <c r="BC103" s="100">
        <v>3535.2</v>
      </c>
      <c r="BD103" s="100">
        <v>9</v>
      </c>
      <c r="BE103" s="100">
        <v>5302.7999999999993</v>
      </c>
      <c r="BF103" s="100">
        <v>8</v>
      </c>
      <c r="BG103" s="100">
        <v>4713.5999999999995</v>
      </c>
      <c r="BH103" s="100">
        <v>11</v>
      </c>
      <c r="BI103" s="100">
        <v>6481.1999999999989</v>
      </c>
      <c r="BJ103" s="100">
        <v>10</v>
      </c>
      <c r="BK103" s="100">
        <v>5891.9999999999991</v>
      </c>
      <c r="BL103" s="100">
        <v>7</v>
      </c>
      <c r="BM103" s="100">
        <v>4124.3999999999996</v>
      </c>
      <c r="BN103" s="100">
        <v>9</v>
      </c>
      <c r="BO103" s="100">
        <v>5302.7999999999993</v>
      </c>
      <c r="BP103" s="100">
        <v>8</v>
      </c>
      <c r="BQ103" s="100">
        <v>4713.5999999999995</v>
      </c>
      <c r="BR103" s="100">
        <v>11</v>
      </c>
      <c r="BS103" s="100">
        <v>6481.1999999999989</v>
      </c>
      <c r="BT103" s="100">
        <v>9</v>
      </c>
      <c r="BU103" s="100">
        <v>5302.7999999999993</v>
      </c>
      <c r="BV103" s="100">
        <v>11</v>
      </c>
      <c r="BW103" s="100">
        <v>6481.1999999999989</v>
      </c>
      <c r="BX103" s="100">
        <v>10</v>
      </c>
      <c r="BY103" s="100">
        <v>5891.9999999999991</v>
      </c>
      <c r="BZ103" s="100">
        <v>10</v>
      </c>
      <c r="CA103" s="100">
        <v>5891.9999999999991</v>
      </c>
      <c r="CB103" s="100">
        <v>10</v>
      </c>
      <c r="CC103" s="100">
        <v>5891.9999999999991</v>
      </c>
      <c r="CD103" s="100">
        <v>6</v>
      </c>
      <c r="CE103" s="100">
        <v>3535.2</v>
      </c>
      <c r="CF103" s="100">
        <v>12</v>
      </c>
      <c r="CG103" s="100">
        <v>7070.4</v>
      </c>
      <c r="CH103" s="100">
        <v>6</v>
      </c>
      <c r="CI103" s="100">
        <v>3535.2</v>
      </c>
      <c r="CJ103" s="100">
        <v>10</v>
      </c>
      <c r="CK103" s="100">
        <v>5891.9999999999991</v>
      </c>
      <c r="CL103" s="100">
        <v>10</v>
      </c>
      <c r="CM103" s="100">
        <v>5891.9999999999991</v>
      </c>
      <c r="CN103" s="100">
        <v>10</v>
      </c>
      <c r="CO103" s="100">
        <v>5891.9999999999991</v>
      </c>
      <c r="CP103" s="100">
        <v>10</v>
      </c>
      <c r="CQ103" s="100">
        <v>5891.9999999999991</v>
      </c>
      <c r="CR103" s="100">
        <v>9</v>
      </c>
      <c r="CS103" s="100">
        <v>5302.7999999999993</v>
      </c>
      <c r="CT103" s="100">
        <v>10</v>
      </c>
      <c r="CU103" s="100">
        <v>5891.9999999999991</v>
      </c>
    </row>
    <row r="104" spans="2:99">
      <c r="C104" s="99" t="s">
        <v>270</v>
      </c>
      <c r="D104" s="100">
        <v>6</v>
      </c>
      <c r="E104" s="100">
        <v>3794.3999999999996</v>
      </c>
      <c r="F104" s="100">
        <v>10</v>
      </c>
      <c r="G104" s="100">
        <v>6324</v>
      </c>
      <c r="H104" s="100">
        <v>11</v>
      </c>
      <c r="I104" s="100">
        <v>6956.4</v>
      </c>
      <c r="J104" s="100">
        <v>9</v>
      </c>
      <c r="K104" s="100">
        <v>5691.5999999999995</v>
      </c>
      <c r="L104" s="100">
        <v>10</v>
      </c>
      <c r="M104" s="100">
        <v>6324</v>
      </c>
      <c r="N104" s="100">
        <v>6</v>
      </c>
      <c r="O104" s="100">
        <v>3794.3999999999996</v>
      </c>
      <c r="P104" s="100">
        <v>11</v>
      </c>
      <c r="Q104" s="100">
        <v>6956.4</v>
      </c>
      <c r="R104" s="100">
        <v>6</v>
      </c>
      <c r="S104" s="100">
        <v>3794.3999999999996</v>
      </c>
      <c r="T104" s="100">
        <v>10</v>
      </c>
      <c r="U104" s="100">
        <v>6324</v>
      </c>
      <c r="V104" s="100">
        <v>7</v>
      </c>
      <c r="W104" s="100">
        <v>4426.8</v>
      </c>
      <c r="X104" s="100">
        <v>8</v>
      </c>
      <c r="Y104" s="100">
        <v>5059.2</v>
      </c>
      <c r="Z104" s="100">
        <v>6</v>
      </c>
      <c r="AA104" s="100">
        <v>3794.3999999999996</v>
      </c>
      <c r="AB104" s="100">
        <v>8</v>
      </c>
      <c r="AC104" s="100">
        <v>5059.2</v>
      </c>
      <c r="AD104" s="100">
        <v>9</v>
      </c>
      <c r="AE104" s="100">
        <v>5691.5999999999995</v>
      </c>
      <c r="AF104" s="100">
        <v>10</v>
      </c>
      <c r="AG104" s="100">
        <v>6324</v>
      </c>
      <c r="AH104" s="100">
        <v>7</v>
      </c>
      <c r="AI104" s="100">
        <v>4426.8</v>
      </c>
      <c r="AJ104" s="100">
        <v>6</v>
      </c>
      <c r="AK104" s="100">
        <v>3794.3999999999996</v>
      </c>
      <c r="AL104" s="100">
        <v>10</v>
      </c>
      <c r="AM104" s="100">
        <v>6324</v>
      </c>
      <c r="AN104" s="100">
        <v>9</v>
      </c>
      <c r="AO104" s="100">
        <v>5691.5999999999995</v>
      </c>
      <c r="AP104" s="100">
        <v>10</v>
      </c>
      <c r="AQ104" s="100">
        <v>6324</v>
      </c>
      <c r="AR104" s="100">
        <v>7</v>
      </c>
      <c r="AS104" s="100">
        <v>4426.8</v>
      </c>
      <c r="AT104" s="100">
        <v>11</v>
      </c>
      <c r="AU104" s="100">
        <v>6956.4</v>
      </c>
      <c r="AV104" s="100">
        <v>8</v>
      </c>
      <c r="AW104" s="100">
        <v>5059.2</v>
      </c>
      <c r="AX104" s="100">
        <v>9</v>
      </c>
      <c r="AY104" s="100">
        <v>5691.5999999999995</v>
      </c>
      <c r="AZ104" s="100">
        <v>5</v>
      </c>
      <c r="BA104" s="100">
        <v>3162</v>
      </c>
      <c r="BB104" s="100">
        <v>6</v>
      </c>
      <c r="BC104" s="100">
        <v>3794.3999999999996</v>
      </c>
      <c r="BD104" s="100">
        <v>10</v>
      </c>
      <c r="BE104" s="100">
        <v>6324</v>
      </c>
      <c r="BF104" s="100">
        <v>8</v>
      </c>
      <c r="BG104" s="100">
        <v>5059.2</v>
      </c>
      <c r="BH104" s="100">
        <v>9</v>
      </c>
      <c r="BI104" s="100">
        <v>5691.5999999999995</v>
      </c>
      <c r="BJ104" s="100">
        <v>11</v>
      </c>
      <c r="BK104" s="100">
        <v>6956.4</v>
      </c>
      <c r="BL104" s="100">
        <v>7</v>
      </c>
      <c r="BM104" s="100">
        <v>4426.8</v>
      </c>
      <c r="BN104" s="100">
        <v>10</v>
      </c>
      <c r="BO104" s="100">
        <v>6324</v>
      </c>
      <c r="BP104" s="100">
        <v>9</v>
      </c>
      <c r="BQ104" s="100">
        <v>5691.5999999999995</v>
      </c>
      <c r="BR104" s="100">
        <v>11</v>
      </c>
      <c r="BS104" s="100">
        <v>6956.4</v>
      </c>
      <c r="BT104" s="100">
        <v>9</v>
      </c>
      <c r="BU104" s="100">
        <v>5691.5999999999995</v>
      </c>
      <c r="BV104" s="100">
        <v>10</v>
      </c>
      <c r="BW104" s="100">
        <v>6324</v>
      </c>
      <c r="BX104" s="100">
        <v>10</v>
      </c>
      <c r="BY104" s="100">
        <v>6324</v>
      </c>
      <c r="BZ104" s="100">
        <v>9</v>
      </c>
      <c r="CA104" s="100">
        <v>5691.5999999999995</v>
      </c>
      <c r="CB104" s="100">
        <v>11</v>
      </c>
      <c r="CC104" s="100">
        <v>6956.4</v>
      </c>
      <c r="CD104" s="100">
        <v>7</v>
      </c>
      <c r="CE104" s="100">
        <v>4426.8</v>
      </c>
      <c r="CF104" s="100">
        <v>12</v>
      </c>
      <c r="CG104" s="100">
        <v>7588.7999999999993</v>
      </c>
      <c r="CH104" s="100">
        <v>7</v>
      </c>
      <c r="CI104" s="100">
        <v>4426.8</v>
      </c>
      <c r="CJ104" s="100">
        <v>9</v>
      </c>
      <c r="CK104" s="100">
        <v>5691.5999999999995</v>
      </c>
      <c r="CL104" s="100">
        <v>9</v>
      </c>
      <c r="CM104" s="100">
        <v>5691.5999999999995</v>
      </c>
      <c r="CN104" s="100">
        <v>10</v>
      </c>
      <c r="CO104" s="100">
        <v>6324</v>
      </c>
      <c r="CP104" s="100">
        <v>11</v>
      </c>
      <c r="CQ104" s="100">
        <v>6956.4</v>
      </c>
      <c r="CR104" s="100">
        <v>9</v>
      </c>
      <c r="CS104" s="100">
        <v>5691.5999999999995</v>
      </c>
      <c r="CT104" s="100">
        <v>10</v>
      </c>
      <c r="CU104" s="100">
        <v>6324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11</v>
      </c>
      <c r="G105" s="100">
        <v>6124.7999999999993</v>
      </c>
      <c r="H105" s="100">
        <v>10</v>
      </c>
      <c r="I105" s="100">
        <v>5568</v>
      </c>
      <c r="J105" s="100">
        <v>9</v>
      </c>
      <c r="K105" s="100">
        <v>5011.2</v>
      </c>
      <c r="L105" s="100">
        <v>9</v>
      </c>
      <c r="M105" s="100">
        <v>5011.2</v>
      </c>
      <c r="N105" s="100">
        <v>6</v>
      </c>
      <c r="O105" s="100">
        <v>3340.7999999999997</v>
      </c>
      <c r="P105" s="100">
        <v>10</v>
      </c>
      <c r="Q105" s="100">
        <v>5568</v>
      </c>
      <c r="R105" s="100">
        <v>6</v>
      </c>
      <c r="S105" s="100">
        <v>3340.7999999999997</v>
      </c>
      <c r="T105" s="100">
        <v>11</v>
      </c>
      <c r="U105" s="100">
        <v>6124.7999999999993</v>
      </c>
      <c r="V105" s="100">
        <v>6</v>
      </c>
      <c r="W105" s="100">
        <v>3340.7999999999997</v>
      </c>
      <c r="X105" s="100">
        <v>8</v>
      </c>
      <c r="Y105" s="100">
        <v>4454.3999999999996</v>
      </c>
      <c r="Z105" s="100">
        <v>6</v>
      </c>
      <c r="AA105" s="100">
        <v>3340.7999999999997</v>
      </c>
      <c r="AB105" s="100">
        <v>7</v>
      </c>
      <c r="AC105" s="100">
        <v>3897.5999999999995</v>
      </c>
      <c r="AD105" s="100">
        <v>11</v>
      </c>
      <c r="AE105" s="100">
        <v>6124.7999999999993</v>
      </c>
      <c r="AF105" s="100">
        <v>11</v>
      </c>
      <c r="AG105" s="100">
        <v>6124.7999999999993</v>
      </c>
      <c r="AH105" s="100">
        <v>6</v>
      </c>
      <c r="AI105" s="100">
        <v>3340.7999999999997</v>
      </c>
      <c r="AJ105" s="100">
        <v>6</v>
      </c>
      <c r="AK105" s="100">
        <v>3340.7999999999997</v>
      </c>
      <c r="AL105" s="100">
        <v>10</v>
      </c>
      <c r="AM105" s="100">
        <v>5568</v>
      </c>
      <c r="AN105" s="100">
        <v>10</v>
      </c>
      <c r="AO105" s="100">
        <v>5568</v>
      </c>
      <c r="AP105" s="100">
        <v>8</v>
      </c>
      <c r="AQ105" s="100">
        <v>4454.3999999999996</v>
      </c>
      <c r="AR105" s="100">
        <v>7</v>
      </c>
      <c r="AS105" s="100">
        <v>3897.5999999999995</v>
      </c>
      <c r="AT105" s="100">
        <v>11</v>
      </c>
      <c r="AU105" s="100">
        <v>6124.7999999999993</v>
      </c>
      <c r="AV105" s="100">
        <v>9</v>
      </c>
      <c r="AW105" s="100">
        <v>5011.2</v>
      </c>
      <c r="AX105" s="100">
        <v>10</v>
      </c>
      <c r="AY105" s="100">
        <v>5568</v>
      </c>
      <c r="AZ105" s="100">
        <v>6</v>
      </c>
      <c r="BA105" s="100">
        <v>3340.7999999999997</v>
      </c>
      <c r="BB105" s="100">
        <v>6</v>
      </c>
      <c r="BC105" s="100">
        <v>3340.7999999999997</v>
      </c>
      <c r="BD105" s="100">
        <v>10</v>
      </c>
      <c r="BE105" s="100">
        <v>5568</v>
      </c>
      <c r="BF105" s="100">
        <v>9</v>
      </c>
      <c r="BG105" s="100">
        <v>5011.2</v>
      </c>
      <c r="BH105" s="100">
        <v>11</v>
      </c>
      <c r="BI105" s="100">
        <v>6124.7999999999993</v>
      </c>
      <c r="BJ105" s="100">
        <v>11</v>
      </c>
      <c r="BK105" s="100">
        <v>6124.7999999999993</v>
      </c>
      <c r="BL105" s="100">
        <v>6</v>
      </c>
      <c r="BM105" s="100">
        <v>3340.7999999999997</v>
      </c>
      <c r="BN105" s="100">
        <v>10</v>
      </c>
      <c r="BO105" s="100">
        <v>5568</v>
      </c>
      <c r="BP105" s="100">
        <v>8</v>
      </c>
      <c r="BQ105" s="100">
        <v>4454.3999999999996</v>
      </c>
      <c r="BR105" s="100">
        <v>12</v>
      </c>
      <c r="BS105" s="100">
        <v>6681.5999999999995</v>
      </c>
      <c r="BT105" s="100">
        <v>9</v>
      </c>
      <c r="BU105" s="100">
        <v>5011.2</v>
      </c>
      <c r="BV105" s="100">
        <v>11</v>
      </c>
      <c r="BW105" s="100">
        <v>6124.7999999999993</v>
      </c>
      <c r="BX105" s="100">
        <v>11</v>
      </c>
      <c r="BY105" s="100">
        <v>6124.7999999999993</v>
      </c>
      <c r="BZ105" s="100">
        <v>10</v>
      </c>
      <c r="CA105" s="100">
        <v>5568</v>
      </c>
      <c r="CB105" s="100">
        <v>10</v>
      </c>
      <c r="CC105" s="100">
        <v>5568</v>
      </c>
      <c r="CD105" s="100">
        <v>7</v>
      </c>
      <c r="CE105" s="100">
        <v>3897.5999999999995</v>
      </c>
      <c r="CF105" s="100">
        <v>10</v>
      </c>
      <c r="CG105" s="100">
        <v>5568</v>
      </c>
      <c r="CH105" s="100">
        <v>6</v>
      </c>
      <c r="CI105" s="100">
        <v>3340.7999999999997</v>
      </c>
      <c r="CJ105" s="100">
        <v>10</v>
      </c>
      <c r="CK105" s="100">
        <v>5568</v>
      </c>
      <c r="CL105" s="100">
        <v>9</v>
      </c>
      <c r="CM105" s="100">
        <v>5011.2</v>
      </c>
      <c r="CN105" s="100">
        <v>11</v>
      </c>
      <c r="CO105" s="100">
        <v>6124.7999999999993</v>
      </c>
      <c r="CP105" s="100">
        <v>12</v>
      </c>
      <c r="CQ105" s="100">
        <v>6681.5999999999995</v>
      </c>
      <c r="CR105" s="100">
        <v>9</v>
      </c>
      <c r="CS105" s="100">
        <v>5011.2</v>
      </c>
      <c r="CT105" s="100">
        <v>9</v>
      </c>
      <c r="CU105" s="100">
        <v>5011.2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711.64589953651296</v>
      </c>
      <c r="E109" s="100">
        <f>SUM(L$6:L$19)+SUM(N$6:N$19)+SUM(P$6:P$19)+SUM(R$6:R$19)</f>
        <v>804.36712750826484</v>
      </c>
      <c r="F109" s="100">
        <f>SUM(T$6:T$19)+SUM(V$6:V$19)+SUM(X$6:X$19)+SUM(Z$6:Z$19)</f>
        <v>820.09481538601688</v>
      </c>
      <c r="G109" s="100">
        <f>SUM(AB$6:AB$19)+SUM(AD$6:AD$19)+SUM(AF$6:AF$19)+SUM(AH$6:AH$19)</f>
        <v>1207.5803464096739</v>
      </c>
      <c r="H109" s="100">
        <f>SUM(AJ$6:AJ$19)+SUM(AL$6:AL$19)+SUM(AN$6:AN$19)+SUM(AP$6:AP$19)</f>
        <v>1072.1784981483884</v>
      </c>
      <c r="I109" s="100">
        <f>SUM(AR$6:AR$19)+SUM(AT$6:AT$19)+SUM(AV$6:AV$19)+SUM(AX$6:AX$19)</f>
        <v>1314.4224764036301</v>
      </c>
      <c r="J109" s="100">
        <f>SUM(AZ$6:AZ$19)+SUM(BB$6:BB$19)+SUM(BD$6:BD$19)+SUM(BF$6:BF$19)</f>
        <v>1087.5693303258911</v>
      </c>
      <c r="K109" s="100">
        <f>SUM(BH$6:BH$19)+SUM(BJ$6:BJ$19)+SUM(BL$6:BL$19)+SUM(BN$6:BN$19)</f>
        <v>984</v>
      </c>
      <c r="L109" s="100">
        <f>SUM(BP$6:BP$19)+SUM(BR$6:BR$19)+SUM(BT$6:BT$19)+SUM(BV$6:BV$19)</f>
        <v>1329</v>
      </c>
      <c r="M109" s="100">
        <f>SUM(BX$6:BX$19)+SUM(BZ$6:BZ$19)+SUM(CB$6:CB$19)+SUM(CD$6:CD$19)</f>
        <v>1423</v>
      </c>
      <c r="N109" s="100">
        <f>SUM(CF$6:CF$19)+SUM(CH$6:CH$19)+SUM(CJ$6:CJ$19)+SUM(CL$6:CL$19)</f>
        <v>1102</v>
      </c>
      <c r="O109" s="100">
        <f>SUM(CN$6:CN$19)+SUM(CP$6:CP$19)+SUM(CR$6:CR$19)+SUM(CT$6:CT$19)</f>
        <v>1203</v>
      </c>
    </row>
    <row r="110" spans="2:99">
      <c r="C110" s="99" t="s">
        <v>127</v>
      </c>
      <c r="D110" s="100">
        <f>SUM(D$20:D$36)+SUM(F$20:F$36)+SUM(H$20:H$36)+SUM(J$20:J$36)</f>
        <v>1345.678132814405</v>
      </c>
      <c r="E110" s="100">
        <f>SUM(L$20:L$36)+SUM(N$20:N$36)+SUM(P$20:P$36)+SUM(R$20:R$36)</f>
        <v>1166.4002297446214</v>
      </c>
      <c r="F110" s="100">
        <f>SUM(T$20:T$36)+SUM(V$20:V$36)+SUM(X$20:X$36)+SUM(Z$20:Z$36)</f>
        <v>1199.3655329270082</v>
      </c>
      <c r="G110" s="100">
        <f>SUM(AB$20:AB$36)+SUM(AD$20:AD$36)+SUM(AF$20:AF$36)+SUM(AH$20:AH$36)</f>
        <v>1300.3459736212558</v>
      </c>
      <c r="H110" s="100">
        <f>SUM(AJ$20:AJ$36)+SUM(AL$20:AL$36)+SUM(AN$20:AN$36)+SUM(AP$20:AP$36)</f>
        <v>1121.2010136131521</v>
      </c>
      <c r="I110" s="100">
        <f>SUM(AR$20:AR$36)+SUM(AT$20:AT$36)+SUM(AV$20:AV$36)+SUM(AX$20:AX$36)</f>
        <v>1525.2062618639507</v>
      </c>
      <c r="J110" s="100">
        <f>SUM(AZ$20:AZ$36)+SUM(BB$20:BB$36)+SUM(BD$20:BD$36)+SUM(BF$20:BF$36)</f>
        <v>1572.0854015923433</v>
      </c>
      <c r="K110" s="100">
        <f>SUM(BH$20:BH$36)+SUM(BJ$20:BJ$36)+SUM(BL$20:BL$36)+SUM(BN$20:BN$36)</f>
        <v>1439</v>
      </c>
      <c r="L110" s="100">
        <f>SUM(BP$20:BP$36)+SUM(BR$20:BR$36)+SUM(BT$20:BT$36)+SUM(BV$20:BV$36)</f>
        <v>1323</v>
      </c>
      <c r="M110" s="100">
        <f>SUM(BX$20:BX$36)+SUM(BZ$20:BZ$36)+SUM(CB$20:CB$36)+SUM(CD$20:CD$36)</f>
        <v>1789</v>
      </c>
      <c r="N110" s="100">
        <f>SUM(CF$20:CF$36)+SUM(CH$20:CH$36)+SUM(CJ$20:CJ$36)+SUM(CL$20:CL$36)</f>
        <v>1483</v>
      </c>
      <c r="O110" s="100">
        <f>SUM(CN$20:CN$36)+SUM(CP$20:CP$36)+SUM(CR$20:CR$36)+SUM(CT$20:CT$36)</f>
        <v>1602</v>
      </c>
    </row>
    <row r="111" spans="2:99">
      <c r="C111" s="99" t="s">
        <v>128</v>
      </c>
      <c r="D111" s="100">
        <f>SUM(D$37:D$48)+SUM(F$37:F$48)+SUM(H$37:H$48)+SUM(J$37:J$48)</f>
        <v>392.74344915618798</v>
      </c>
      <c r="E111" s="100">
        <f>SUM(L$37:L$48)+SUM(N$37:N$48)+SUM(P$37:P$48)+SUM(R$37:R$48)</f>
        <v>607.48811946720309</v>
      </c>
      <c r="F111" s="100">
        <f>SUM(T$37:T$48)+SUM(V$37:V$48)+SUM(X$37:X$48)+SUM(Z$37:Z$48)</f>
        <v>399.36347633907104</v>
      </c>
      <c r="G111" s="100">
        <f>SUM(AB$37:AB$48)+SUM(AD$37:AD$48)+SUM(AF$37:AF$48)+SUM(AH$37:AH$48)</f>
        <v>644.74224607616657</v>
      </c>
      <c r="H111" s="100">
        <f>SUM(AJ$37:AJ$48)+SUM(AL$37:AL$48)+SUM(AN$37:AN$48)+SUM(AP$37:AP$48)</f>
        <v>491.70711565219676</v>
      </c>
      <c r="I111" s="100">
        <f>SUM(AR$37:AR$48)+SUM(AT$37:AT$48)+SUM(AV$37:AV$48)+SUM(AX$37:AX$48)</f>
        <v>590.88315287399826</v>
      </c>
      <c r="J111" s="100">
        <f>SUM(AZ$37:AZ$48)+SUM(BB$37:BB$48)+SUM(BD$37:BD$48)+SUM(BF$37:BF$48)</f>
        <v>603.57944321912237</v>
      </c>
      <c r="K111" s="100">
        <f>SUM(BH$37:BH$48)+SUM(BJ$37:BJ$48)+SUM(BL$37:BL$48)+SUM(BN$37:BN$48)</f>
        <v>637</v>
      </c>
      <c r="L111" s="100">
        <f>SUM(BP$37:BP$48)+SUM(BR$37:BR$48)+SUM(BT$37:BT$48)+SUM(BV$37:BV$48)</f>
        <v>709</v>
      </c>
      <c r="M111" s="100">
        <f>SUM(BX$37:BX$48)+SUM(BZ$37:BZ$48)+SUM(CB$37:CB$48)+SUM(CD$37:CD$48)</f>
        <v>787</v>
      </c>
      <c r="N111" s="100">
        <f>SUM(CF$37:CF$48)+SUM(CH$37:CH$48)+SUM(CJ$37:CJ$48)+SUM(CL$37:CL$48)</f>
        <v>536</v>
      </c>
      <c r="O111" s="100">
        <f>SUM(CN$37:CN$48)+SUM(CP$37:CP$48)+SUM(CR$37:CR$48)+SUM(CT$37:CT$48)</f>
        <v>701</v>
      </c>
    </row>
    <row r="112" spans="2:99">
      <c r="C112" s="99" t="s">
        <v>129</v>
      </c>
      <c r="D112" s="100">
        <f>SUM(D$49:D$70)+SUM(F$49:F$70)+SUM(H$49:H$70)+SUM(J$49:J$70)</f>
        <v>916.37516442241542</v>
      </c>
      <c r="E112" s="100">
        <f>SUM(L$49:L$70)+SUM(N$49:N$70)+SUM(P$49:P$70)+SUM(R$49:R$70)</f>
        <v>887.07860395944112</v>
      </c>
      <c r="F112" s="100">
        <f>SUM(T$49:T$70)+SUM(V$49:V$70)+SUM(X$49:X$70)+SUM(Z$49:Z$70)</f>
        <v>822.58629016683278</v>
      </c>
      <c r="G112" s="100">
        <f>SUM(AB$49:AB$70)+SUM(AD$49:AD$70)+SUM(AF$49:AF$70)+SUM(AH$49:AH$70)</f>
        <v>1135.2881242062904</v>
      </c>
      <c r="H112" s="100">
        <f>SUM(AJ$49:AJ$70)+SUM(AL$49:AL$70)+SUM(AN$49:AN$70)+SUM(AP$49:AP$70)</f>
        <v>926.46601715961117</v>
      </c>
      <c r="I112" s="100">
        <f>SUM(AR$49:AR$70)+SUM(AT$49:AT$70)+SUM(AV$49:AV$70)+SUM(AX$49:AX$70)</f>
        <v>953.18040679186606</v>
      </c>
      <c r="J112" s="100">
        <f>SUM(AZ$49:AZ$70)+SUM(BB$49:BB$70)+SUM(BD$49:BD$70)+SUM(BF$49:BF$70)</f>
        <v>1076.422155114315</v>
      </c>
      <c r="K112" s="100">
        <f>SUM(BH$49:BH$70)+SUM(BJ$49:BJ$70)+SUM(BL$49:BL$70)+SUM(BN$49:BN$70)</f>
        <v>1085</v>
      </c>
      <c r="L112" s="100">
        <f>SUM(BP$49:BP$70)+SUM(BR$49:BR$70)+SUM(BT$49:BT$70)+SUM(BV$49:BV$70)</f>
        <v>943</v>
      </c>
      <c r="M112" s="100">
        <f>SUM(BX$49:BX$70)+SUM(BZ$49:BZ$70)+SUM(CB$49:CB$70)+SUM(CD$49:CD$70)</f>
        <v>1273</v>
      </c>
      <c r="N112" s="100">
        <f>SUM(CF$49:CF$70)+SUM(CH$49:CH$70)+SUM(CJ$49:CJ$70)+SUM(CL$49:CL$70)</f>
        <v>1007</v>
      </c>
      <c r="O112" s="100">
        <f>SUM(CN$49:CN$70)+SUM(CP$49:CP$70)+SUM(CR$49:CR$70)+SUM(CT$49:CT$70)</f>
        <v>1191</v>
      </c>
    </row>
    <row r="113" spans="2:15">
      <c r="C113" s="99" t="s">
        <v>130</v>
      </c>
      <c r="D113" s="100">
        <f>SUM(D$71:D$86)+SUM(F$71:F$86)+SUM(H$71:H$86)+SUM(J$71:J$86)</f>
        <v>524</v>
      </c>
      <c r="E113" s="100">
        <f>SUM(L$71:L$86)+SUM(N$71:N$86)+SUM(P$71:P$86)+SUM(R$71:R$86)</f>
        <v>386</v>
      </c>
      <c r="F113" s="100">
        <f>SUM(T$71:T$86)+SUM(V$71:V$86)+SUM(X$71:X$86)+SUM(Z$71:Z$86)</f>
        <v>539</v>
      </c>
      <c r="G113" s="100">
        <f>SUM(AB$71:AB$86)+SUM(AD$71:AD$86)+SUM(AF$71:AF$86)+SUM(AH$71:AH$86)</f>
        <v>510</v>
      </c>
      <c r="H113" s="100">
        <f>SUM(AJ$71:AJ$86)+SUM(AL$71:AL$86)+SUM(AN$71:AN$86)+SUM(AP$71:AP$86)</f>
        <v>540</v>
      </c>
      <c r="I113" s="100">
        <f>SUM(AR$71:AR$86)+SUM(AT$71:AT$86)+SUM(AV$71:AV$86)+SUM(AX$71:AX$86)</f>
        <v>422</v>
      </c>
      <c r="J113" s="100">
        <f>SUM(AZ$71:AZ$86)+SUM(BB$71:BB$86)+SUM(BD$71:BD$86)+SUM(BF$71:BF$86)</f>
        <v>212.82016159113195</v>
      </c>
      <c r="K113" s="100">
        <f>SUM(BH$71:BH$86)+SUM(BJ$71:BJ$86)+SUM(BL$71:BL$86)+SUM(BN$71:BN$86)</f>
        <v>505</v>
      </c>
      <c r="L113" s="100">
        <f>SUM(BP$71:BP$86)+SUM(BR$71:BR$86)+SUM(BT$71:BT$86)+SUM(BV$71:BV$86)</f>
        <v>439</v>
      </c>
      <c r="M113" s="100">
        <f>SUM(BX$71:BX$86)+SUM(BZ$71:BZ$86)+SUM(CB$71:CB$86)+SUM(CD$71:CD$86)</f>
        <v>502</v>
      </c>
      <c r="N113" s="100">
        <f>SUM(CF$71:CF$86)+SUM(CH$71:CH$86)+SUM(CJ$71:CJ$86)+SUM(CL$71:CL$86)</f>
        <v>529</v>
      </c>
      <c r="O113" s="100">
        <f>SUM(CN$71:CN$86)+SUM(CP$71:CP$86)+SUM(CR$71:CR$86)+SUM(CT$71:CT$86)</f>
        <v>586</v>
      </c>
    </row>
    <row r="114" spans="2:15">
      <c r="C114" s="99" t="s">
        <v>131</v>
      </c>
      <c r="D114" s="100">
        <f>SUM(D$87:D$94)+SUM(F$87:F$94)+SUM(H$87:H$94)+SUM(J$87:J$94)</f>
        <v>308</v>
      </c>
      <c r="E114" s="100">
        <f>SUM(L$87:L$94)+SUM(N$87:N$94)+SUM(P$87:P$94)+SUM(R$87:R$94)</f>
        <v>338</v>
      </c>
      <c r="F114" s="100">
        <f>SUM(T$87:T$94)+SUM(V$87:V$94)+SUM(X$87:X$94)+SUM(Z$87:Z$94)</f>
        <v>290</v>
      </c>
      <c r="G114" s="100">
        <f>SUM(AB$87:AB$94)+SUM(AD$87:AD$94)+SUM(AF$87:AF$94)+SUM(AH$87:AH$94)</f>
        <v>261</v>
      </c>
      <c r="H114" s="100">
        <f>SUM(AJ$87:AJ$94)+SUM(AL$87:AL$94)+SUM(AN$87:AN$94)+SUM(AP$87:AP$94)</f>
        <v>322</v>
      </c>
      <c r="I114" s="100">
        <f>SUM(AR$87:AR$94)+SUM(AT$87:AT$94)+SUM(AV$87:AV$94)+SUM(AX$87:AX$94)</f>
        <v>321</v>
      </c>
      <c r="J114" s="100">
        <f>SUM(AZ$87:AZ$94)+SUM(BB$87:BB$94)+SUM(BD$87:BD$94)+SUM(BF$87:BF$94)</f>
        <v>346</v>
      </c>
      <c r="K114" s="100">
        <f>SUM(BH$87:BH$94)+SUM(BJ$87:BJ$94)+SUM(BL$87:BL$94)+SUM(BN$87:BN$94)</f>
        <v>328</v>
      </c>
      <c r="L114" s="100">
        <f>SUM(BP$87:BP$94)+SUM(BR$87:BR$94)+SUM(BT$87:BT$94)+SUM(BV$87:BV$94)</f>
        <v>251</v>
      </c>
      <c r="M114" s="100">
        <f>SUM(BX$87:BX$94)+SUM(BZ$87:BZ$94)+SUM(CB$87:CB$94)+SUM(CD$87:CD$94)</f>
        <v>299</v>
      </c>
      <c r="N114" s="100">
        <f>SUM(CF$87:CF$94)+SUM(CH$87:CH$94)+SUM(CJ$87:CJ$94)+SUM(CL$87:CL$94)</f>
        <v>368</v>
      </c>
      <c r="O114" s="100">
        <f>SUM(CN$87:CN$94)+SUM(CP$87:CP$94)+SUM(CR$87:CR$94)+SUM(CT$87:CT$94)</f>
        <v>359</v>
      </c>
    </row>
    <row r="115" spans="2:15">
      <c r="C115" s="99" t="s">
        <v>132</v>
      </c>
      <c r="D115" s="100">
        <f>SUM(D$95:D$105)+SUM(F$95:F$105)+SUM(H$95:H$105)+SUM(J$95:J$105)</f>
        <v>388</v>
      </c>
      <c r="E115" s="100">
        <f>SUM(L$95:L$105)+SUM(N$95:N$105)+SUM(P$95:P$105)+SUM(R$95:R$105)</f>
        <v>343</v>
      </c>
      <c r="F115" s="100">
        <f>SUM(T$95:T$105)+SUM(V$95:V$105)+SUM(X$95:X$105)+SUM(Z$95:Z$105)</f>
        <v>327</v>
      </c>
      <c r="G115" s="100">
        <f>SUM(AB$95:AB$105)+SUM(AD$95:AD$105)+SUM(AF$95:AF$105)+SUM(AH$95:AH$105)</f>
        <v>373</v>
      </c>
      <c r="H115" s="100">
        <f>SUM(AJ$95:AJ$105)+SUM(AL$95:AL$105)+SUM(AN$95:AN$105)+SUM(AP$95:AP$105)</f>
        <v>370</v>
      </c>
      <c r="I115" s="100">
        <f>SUM(AR$95:AR$105)+SUM(AT$95:AT$105)+SUM(AV$95:AV$105)+SUM(AX$95:AX$105)</f>
        <v>382</v>
      </c>
      <c r="J115" s="100">
        <f>SUM(AZ$95:AZ$105)+SUM(BB$95:BB$105)+SUM(BD$95:BD$105)+SUM(BF$95:BF$105)</f>
        <v>324</v>
      </c>
      <c r="K115" s="100">
        <f>SUM(BH$95:BH$105)+SUM(BJ$95:BJ$105)+SUM(BL$95:BL$105)+SUM(BN$95:BN$105)</f>
        <v>405</v>
      </c>
      <c r="L115" s="100">
        <f>SUM(BP$95:BP$105)+SUM(BR$95:BR$105)+SUM(BT$95:BT$105)+SUM(BV$95:BV$105)</f>
        <v>434</v>
      </c>
      <c r="M115" s="100">
        <f>SUM(BX$95:BX$105)+SUM(BZ$95:BZ$105)+SUM(CB$95:CB$105)+SUM(CD$95:CD$105)</f>
        <v>400</v>
      </c>
      <c r="N115" s="100">
        <f>SUM(CF$95:CF$105)+SUM(CH$95:CH$105)+SUM(CJ$95:CJ$105)+SUM(CL$95:CL$105)</f>
        <v>390</v>
      </c>
      <c r="O115" s="100">
        <f>SUM(CN$95:CN$105)+SUM(CP$95:CP$105)+SUM(CR$95:CR$105)+SUM(CT$95:CT$105)</f>
        <v>433</v>
      </c>
    </row>
    <row r="116" spans="2:15">
      <c r="C116" s="99" t="s">
        <v>278</v>
      </c>
      <c r="D116" s="100">
        <f t="shared" ref="D116:O116" si="0">SUM(D$109:D$115)</f>
        <v>4586.4426459295209</v>
      </c>
      <c r="E116" s="100">
        <f t="shared" si="0"/>
        <v>4532.3340806795304</v>
      </c>
      <c r="F116" s="100">
        <f t="shared" si="0"/>
        <v>4397.4101148189293</v>
      </c>
      <c r="G116" s="100">
        <f t="shared" si="0"/>
        <v>5431.9566903133864</v>
      </c>
      <c r="H116" s="100">
        <f t="shared" si="0"/>
        <v>4843.5526445733485</v>
      </c>
      <c r="I116" s="100">
        <f t="shared" si="0"/>
        <v>5508.6922979334449</v>
      </c>
      <c r="J116" s="100">
        <f t="shared" si="0"/>
        <v>5222.4764918428036</v>
      </c>
      <c r="K116" s="100">
        <f t="shared" si="0"/>
        <v>5383</v>
      </c>
      <c r="L116" s="100">
        <f t="shared" si="0"/>
        <v>5428</v>
      </c>
      <c r="M116" s="100">
        <f t="shared" si="0"/>
        <v>6473</v>
      </c>
      <c r="N116" s="100">
        <f t="shared" si="0"/>
        <v>5415</v>
      </c>
      <c r="O116" s="100">
        <f t="shared" si="0"/>
        <v>6075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2419596.0584241441</v>
      </c>
      <c r="E120" s="100">
        <f>E109*pricing!E6*2000</f>
        <v>2734848.2335281004</v>
      </c>
      <c r="F120" s="100">
        <f>F109*pricing!F6*2000</f>
        <v>2788322.3723124573</v>
      </c>
      <c r="G120" s="100">
        <f>G109*pricing!G6*2000</f>
        <v>4105773.1777928909</v>
      </c>
      <c r="H120" s="100">
        <f>H109*pricing!H6*2000</f>
        <v>3645406.8937045205</v>
      </c>
      <c r="I120" s="100">
        <f>I109*pricing!I6*2000</f>
        <v>4469036.4197723418</v>
      </c>
      <c r="J120" s="100">
        <f>J109*pricing!J6*2000</f>
        <v>3697735.7231080295</v>
      </c>
      <c r="K120" s="100">
        <f>K109*pricing!K6*2000</f>
        <v>3345600</v>
      </c>
      <c r="L120" s="100">
        <f>L109*pricing!L6*2000</f>
        <v>4518599.9999999991</v>
      </c>
      <c r="M120" s="100">
        <f>M109*pricing!M6*2000</f>
        <v>4838200</v>
      </c>
      <c r="N120" s="100">
        <f>N109*pricing!N6*2000</f>
        <v>3746799.9999999995</v>
      </c>
      <c r="O120" s="100">
        <f>O109*pricing!O6*2000</f>
        <v>4090200</v>
      </c>
    </row>
    <row r="121" spans="2:15">
      <c r="C121" s="99" t="s">
        <v>127</v>
      </c>
      <c r="D121" s="100">
        <f>D110*pricing!D7*2000</f>
        <v>5382712.5312576201</v>
      </c>
      <c r="E121" s="100">
        <f>E110*pricing!E7*2000</f>
        <v>4665600.9189784853</v>
      </c>
      <c r="F121" s="100">
        <f>F110*pricing!F7*2000</f>
        <v>4797462.1317080325</v>
      </c>
      <c r="G121" s="100">
        <f>G110*pricing!G7*2000</f>
        <v>5201383.8944850229</v>
      </c>
      <c r="H121" s="100">
        <f>H110*pricing!H7*2000</f>
        <v>4484804.0544526083</v>
      </c>
      <c r="I121" s="100">
        <f>I110*pricing!I7*2000</f>
        <v>6100825.0474558026</v>
      </c>
      <c r="J121" s="100">
        <f>J110*pricing!J7*2000</f>
        <v>6288341.6063693734</v>
      </c>
      <c r="K121" s="100">
        <f>K110*pricing!K7*2000</f>
        <v>5756000</v>
      </c>
      <c r="L121" s="100">
        <f>L110*pricing!L7*2000</f>
        <v>5292000</v>
      </c>
      <c r="M121" s="100">
        <f>M110*pricing!M7*2000</f>
        <v>7156000</v>
      </c>
      <c r="N121" s="100">
        <f>N110*pricing!N7*2000</f>
        <v>5932000</v>
      </c>
      <c r="O121" s="100">
        <f>O110*pricing!O7*2000</f>
        <v>6408000</v>
      </c>
    </row>
    <row r="122" spans="2:15">
      <c r="C122" s="99" t="s">
        <v>128</v>
      </c>
      <c r="D122" s="100">
        <f>D111*pricing!D8*2000</f>
        <v>1767345.521202846</v>
      </c>
      <c r="E122" s="100">
        <f>E111*pricing!E8*2000</f>
        <v>2733696.5376024139</v>
      </c>
      <c r="F122" s="100">
        <f>F111*pricing!F8*2000</f>
        <v>1797135.6435258198</v>
      </c>
      <c r="G122" s="100">
        <f>G111*pricing!G8*2000</f>
        <v>2901340.1073427494</v>
      </c>
      <c r="H122" s="100">
        <f>H111*pricing!H8*2000</f>
        <v>2212682.0204348858</v>
      </c>
      <c r="I122" s="100">
        <f>I111*pricing!I8*2000</f>
        <v>2658974.1879329924</v>
      </c>
      <c r="J122" s="100">
        <f>J111*pricing!J8*2000</f>
        <v>2716107.4944860507</v>
      </c>
      <c r="K122" s="100">
        <f>K111*pricing!K8*2000</f>
        <v>2866500</v>
      </c>
      <c r="L122" s="100">
        <f>L111*pricing!L8*2000</f>
        <v>3190500</v>
      </c>
      <c r="M122" s="100">
        <f>M111*pricing!M8*2000</f>
        <v>3541500</v>
      </c>
      <c r="N122" s="100">
        <f>N111*pricing!N8*2000</f>
        <v>2412000</v>
      </c>
      <c r="O122" s="100">
        <f>O111*pricing!O8*2000</f>
        <v>3154500</v>
      </c>
    </row>
    <row r="123" spans="2:15">
      <c r="C123" s="99" t="s">
        <v>129</v>
      </c>
      <c r="D123" s="100">
        <f>D112*pricing!D9*2000</f>
        <v>4123688.2399008693</v>
      </c>
      <c r="E123" s="100">
        <f>E112*pricing!E9*2000</f>
        <v>3991853.7178174853</v>
      </c>
      <c r="F123" s="100">
        <f>F112*pricing!F9*2000</f>
        <v>3701638.3057507472</v>
      </c>
      <c r="G123" s="100">
        <f>G112*pricing!G9*2000</f>
        <v>5108796.5589283071</v>
      </c>
      <c r="H123" s="100">
        <f>H112*pricing!H9*2000</f>
        <v>4169097.0772182499</v>
      </c>
      <c r="I123" s="100">
        <f>I112*pricing!I9*2000</f>
        <v>4289311.8305633971</v>
      </c>
      <c r="J123" s="100">
        <f>J112*pricing!J9*2000</f>
        <v>4843899.6980144177</v>
      </c>
      <c r="K123" s="100">
        <f>K112*pricing!K9*2000</f>
        <v>4882500</v>
      </c>
      <c r="L123" s="100">
        <f>L112*pricing!L9*2000</f>
        <v>4243500</v>
      </c>
      <c r="M123" s="100">
        <f>M112*pricing!M9*2000</f>
        <v>5728500</v>
      </c>
      <c r="N123" s="100">
        <f>N112*pricing!N9*2000</f>
        <v>4531500</v>
      </c>
      <c r="O123" s="100">
        <f>O112*pricing!O9*2000</f>
        <v>5359500</v>
      </c>
    </row>
    <row r="124" spans="2:15">
      <c r="C124" s="99" t="s">
        <v>130</v>
      </c>
      <c r="D124" s="100">
        <f>D113*pricing!D10*2000</f>
        <v>2620000</v>
      </c>
      <c r="E124" s="100">
        <f>E113*pricing!E10*2000</f>
        <v>1930000</v>
      </c>
      <c r="F124" s="100">
        <f>F113*pricing!F10*2000</f>
        <v>2695000</v>
      </c>
      <c r="G124" s="100">
        <f>G113*pricing!G10*2000</f>
        <v>2550000</v>
      </c>
      <c r="H124" s="100">
        <f>H113*pricing!H10*2000</f>
        <v>2700000</v>
      </c>
      <c r="I124" s="100">
        <f>I113*pricing!I10*2000</f>
        <v>2110000</v>
      </c>
      <c r="J124" s="100">
        <f>J113*pricing!J10*2000</f>
        <v>1064100.8079556597</v>
      </c>
      <c r="K124" s="100">
        <f>K113*pricing!K10*2000</f>
        <v>2525000</v>
      </c>
      <c r="L124" s="100">
        <f>L113*pricing!L10*2000</f>
        <v>2195000</v>
      </c>
      <c r="M124" s="100">
        <f>M113*pricing!M10*2000</f>
        <v>2510000</v>
      </c>
      <c r="N124" s="100">
        <f>N113*pricing!N10*2000</f>
        <v>2645000</v>
      </c>
      <c r="O124" s="100">
        <f>O113*pricing!O10*2000</f>
        <v>2930000</v>
      </c>
    </row>
    <row r="125" spans="2:15">
      <c r="C125" s="99" t="s">
        <v>131</v>
      </c>
      <c r="D125" s="100">
        <f>D114*pricing!D11*2000</f>
        <v>1601600.0000000002</v>
      </c>
      <c r="E125" s="100">
        <f>E114*pricing!E11*2000</f>
        <v>1757600.0000000002</v>
      </c>
      <c r="F125" s="100">
        <f>F114*pricing!F11*2000</f>
        <v>1508000</v>
      </c>
      <c r="G125" s="100">
        <f>G114*pricing!G11*2000</f>
        <v>1357200</v>
      </c>
      <c r="H125" s="100">
        <f>H114*pricing!H11*2000</f>
        <v>1674400</v>
      </c>
      <c r="I125" s="100">
        <f>I114*pricing!I11*2000</f>
        <v>1669200</v>
      </c>
      <c r="J125" s="100">
        <f>J114*pricing!J11*2000</f>
        <v>1799200</v>
      </c>
      <c r="K125" s="100">
        <f>K114*pricing!K11*2000</f>
        <v>1705600.0000000002</v>
      </c>
      <c r="L125" s="100">
        <f>L114*pricing!L11*2000</f>
        <v>1305200</v>
      </c>
      <c r="M125" s="100">
        <f>M114*pricing!M11*2000</f>
        <v>1554800</v>
      </c>
      <c r="N125" s="100">
        <f>N114*pricing!N11*2000</f>
        <v>1913600.0000000002</v>
      </c>
      <c r="O125" s="100">
        <f>O114*pricing!O11*2000</f>
        <v>1866800</v>
      </c>
    </row>
    <row r="126" spans="2:15">
      <c r="C126" s="99" t="s">
        <v>132</v>
      </c>
      <c r="D126" s="100">
        <f>D115*pricing!D12*2000</f>
        <v>2095200.0000000002</v>
      </c>
      <c r="E126" s="100">
        <f>E115*pricing!E12*2000</f>
        <v>1852200</v>
      </c>
      <c r="F126" s="100">
        <f>F115*pricing!F12*2000</f>
        <v>1765800.0000000002</v>
      </c>
      <c r="G126" s="100">
        <f>G115*pricing!G12*2000</f>
        <v>2014200</v>
      </c>
      <c r="H126" s="100">
        <f>H115*pricing!H12*2000</f>
        <v>1998000.0000000002</v>
      </c>
      <c r="I126" s="100">
        <f>I115*pricing!I12*2000</f>
        <v>2062800.0000000002</v>
      </c>
      <c r="J126" s="100">
        <f>J115*pricing!J12*2000</f>
        <v>1749600.0000000002</v>
      </c>
      <c r="K126" s="100">
        <f>K115*pricing!K12*2000</f>
        <v>2187000</v>
      </c>
      <c r="L126" s="100">
        <f>L115*pricing!L12*2000</f>
        <v>2343600.0000000005</v>
      </c>
      <c r="M126" s="100">
        <f>M115*pricing!M12*2000</f>
        <v>2160000</v>
      </c>
      <c r="N126" s="100">
        <f>N115*pricing!N12*2000</f>
        <v>2106000</v>
      </c>
      <c r="O126" s="100">
        <f>O115*pricing!O12*2000</f>
        <v>2338200.0000000005</v>
      </c>
    </row>
    <row r="127" spans="2:15">
      <c r="C127" s="99" t="s">
        <v>278</v>
      </c>
      <c r="D127" s="100">
        <f t="shared" ref="D127:O127" si="1">SUM(D$120:D$126)</f>
        <v>20010142.350785479</v>
      </c>
      <c r="E127" s="100">
        <f t="shared" si="1"/>
        <v>19665799.407926485</v>
      </c>
      <c r="F127" s="100">
        <f t="shared" si="1"/>
        <v>19053358.453297056</v>
      </c>
      <c r="G127" s="100">
        <f t="shared" si="1"/>
        <v>23238693.738548972</v>
      </c>
      <c r="H127" s="100">
        <f t="shared" si="1"/>
        <v>20884390.045810264</v>
      </c>
      <c r="I127" s="100">
        <f t="shared" si="1"/>
        <v>23360147.485724535</v>
      </c>
      <c r="J127" s="100">
        <f t="shared" si="1"/>
        <v>22158985.329933532</v>
      </c>
      <c r="K127" s="100">
        <f t="shared" si="1"/>
        <v>23268200</v>
      </c>
      <c r="L127" s="100">
        <f t="shared" si="1"/>
        <v>23088400</v>
      </c>
      <c r="M127" s="100">
        <f t="shared" si="1"/>
        <v>27489000</v>
      </c>
      <c r="N127" s="100">
        <f t="shared" si="1"/>
        <v>23286900</v>
      </c>
      <c r="O127" s="100">
        <f t="shared" si="1"/>
        <v>26147200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356393.96516664734</v>
      </c>
      <c r="E131" s="106">
        <f>SUM(M$6:M$19)+SUM(O$6:O$19)+SUM(Q$6:Q$19)+SUM(S$6:S$19)</f>
        <v>405030.83282042103</v>
      </c>
      <c r="F131" s="106">
        <f>SUM(U$6:U$19)+SUM(W$6:W$19)+SUM(Y$6:Y$19)+SUM(AA$6:AA$19)</f>
        <v>412364.91267512669</v>
      </c>
      <c r="G131" s="106">
        <f>SUM(AC$6:AC$19)+SUM(AE$6:AE$19)+SUM(AG$6:AG$19)+SUM(AI$6:AI$19)</f>
        <v>602714.38644751022</v>
      </c>
      <c r="H131" s="106">
        <f>SUM(AK$6:AK$19)+SUM(AM$6:AM$19)+SUM(AO$6:AO$19)+SUM(AQ$6:AQ$19)</f>
        <v>537874.98979227513</v>
      </c>
      <c r="I131" s="106">
        <f>SUM(AS$6:AS$19)+SUM(AU$6:AU$19)+SUM(AW$6:AW$19)+SUM(AY$6:AY$19)</f>
        <v>661923.37146861048</v>
      </c>
      <c r="J131" s="106">
        <f>SUM(BA$6:BA$19)+SUM(BC$6:BC$19)+SUM(BE$6:BE$19)+SUM(BG$6:BG$19)</f>
        <v>546451.26372544828</v>
      </c>
      <c r="K131" s="106">
        <f>SUM(BI$6:BI$19)+SUM(BK$6:BK$19)+SUM(BM$6:BM$19)+SUM(BO$6:BO$19)</f>
        <v>493279.19999999995</v>
      </c>
      <c r="L131" s="106">
        <f>SUM(BQ$6:BQ$19)+SUM(BS$6:BS$19)+SUM(BU$6:BU$19)+SUM(BW$6:BW$19)</f>
        <v>664438.80000000005</v>
      </c>
      <c r="M131" s="106">
        <f>SUM(BY$6:BY$19)+SUM(CA$6:CA$19)+SUM(CC$6:CC$19)+SUM(CE$6:CE$19)</f>
        <v>717973.2</v>
      </c>
      <c r="N131" s="106">
        <f>SUM(CG$6:CG$19)+SUM(CI$6:CI$19)+SUM(CK$6:CK$19)+SUM(CM$6:CM$19)</f>
        <v>554834.4</v>
      </c>
      <c r="O131" s="106">
        <f>SUM(CO$6:CO$19)+SUM(CQ$6:CQ$19)+SUM(CS$6:CS$19)+SUM(CU$6:CU$19)</f>
        <v>605107.19999999995</v>
      </c>
    </row>
    <row r="132" spans="2:15">
      <c r="C132" s="105" t="s">
        <v>127</v>
      </c>
      <c r="D132" s="106">
        <f>SUM(E$20:E$36)+SUM(G$20:G$36)+SUM(I$20:I$36)+SUM(K$20:K$36)</f>
        <v>576106.83886563743</v>
      </c>
      <c r="E132" s="106">
        <f>SUM(M$20:M$36)+SUM(O$20:O$36)+SUM(Q$20:Q$36)+SUM(S$20:S$36)</f>
        <v>494432.613169813</v>
      </c>
      <c r="F132" s="106">
        <f>SUM(U$20:U$36)+SUM(W$20:W$36)+SUM(Y$20:Y$36)+SUM(AA$20:AA$36)</f>
        <v>512592.30241285131</v>
      </c>
      <c r="G132" s="106">
        <f>SUM(AC$20:AC$36)+SUM(AE$20:AE$36)+SUM(AG$20:AG$36)+SUM(AI$20:AI$36)</f>
        <v>549704.27183117555</v>
      </c>
      <c r="H132" s="106">
        <f>SUM(AK$20:AK$36)+SUM(AM$20:AM$36)+SUM(AO$20:AO$36)+SUM(AQ$20:AQ$36)</f>
        <v>479455.18551727361</v>
      </c>
      <c r="I132" s="106">
        <f>SUM(AS$20:AS$36)+SUM(AU$20:AU$36)+SUM(AW$20:AW$36)+SUM(AY$20:AY$36)</f>
        <v>651734.23872344254</v>
      </c>
      <c r="J132" s="106">
        <f>SUM(BA$20:BA$36)+SUM(BC$20:BC$36)+SUM(BE$20:BE$36)+SUM(BG$20:BG$36)</f>
        <v>670782.83208643983</v>
      </c>
      <c r="K132" s="106">
        <f>SUM(BI$20:BI$36)+SUM(BK$20:BK$36)+SUM(BM$20:BM$36)+SUM(BO$20:BO$36)</f>
        <v>615693.59999999986</v>
      </c>
      <c r="L132" s="106">
        <f>SUM(BQ$20:BQ$36)+SUM(BS$20:BS$36)+SUM(BU$20:BU$36)+SUM(BW$20:BW$36)</f>
        <v>561532.80000000005</v>
      </c>
      <c r="M132" s="106">
        <f>SUM(BY$20:BY$36)+SUM(CA$20:CA$36)+SUM(CC$20:CC$36)+SUM(CE$20:CE$36)</f>
        <v>764392.8</v>
      </c>
      <c r="N132" s="106">
        <f>SUM(CG$20:CG$36)+SUM(CI$20:CI$36)+SUM(CK$20:CK$36)+SUM(CM$20:CM$36)</f>
        <v>631692</v>
      </c>
      <c r="O132" s="106">
        <f>SUM(CO$20:CO$36)+SUM(CQ$20:CQ$36)+SUM(CS$20:CS$36)+SUM(CU$20:CU$36)</f>
        <v>685604.39999999991</v>
      </c>
    </row>
    <row r="133" spans="2:15">
      <c r="C133" s="105" t="s">
        <v>128</v>
      </c>
      <c r="D133" s="106">
        <f>SUM(E$37:E$48)+SUM(G$37:G$48)+SUM(I$37:I$48)+SUM(K$37:K$48)</f>
        <v>410075.50106219115</v>
      </c>
      <c r="E133" s="106">
        <f>SUM(M$37:M$48)+SUM(O$37:O$48)+SUM(Q$37:Q$48)+SUM(S$37:S$48)</f>
        <v>634974.59201587294</v>
      </c>
      <c r="F133" s="106">
        <f>SUM(U$37:U$48)+SUM(W$37:W$48)+SUM(Y$37:Y$48)+SUM(AA$37:AA$48)</f>
        <v>418508.08421447518</v>
      </c>
      <c r="G133" s="106">
        <f>SUM(AC$37:AC$48)+SUM(AE$37:AE$48)+SUM(AG$37:AG$48)+SUM(AI$37:AI$48)</f>
        <v>675435.13308996288</v>
      </c>
      <c r="H133" s="106">
        <f>SUM(AK$37:AK$48)+SUM(AM$37:AM$48)+SUM(AO$37:AO$48)+SUM(AQ$37:AQ$48)</f>
        <v>516257.1897559677</v>
      </c>
      <c r="I133" s="106">
        <f>SUM(AS$37:AS$48)+SUM(AU$37:AU$48)+SUM(AW$37:AW$48)+SUM(AY$37:AY$48)</f>
        <v>618962.74600219529</v>
      </c>
      <c r="J133" s="106">
        <f>SUM(BA$37:BA$48)+SUM(BC$37:BC$48)+SUM(BE$37:BE$48)+SUM(BG$37:BG$48)</f>
        <v>630495.51286371867</v>
      </c>
      <c r="K133" s="106">
        <f>SUM(BI$37:BI$48)+SUM(BK$37:BK$48)+SUM(BM$37:BM$48)+SUM(BO$37:BO$48)</f>
        <v>666265.19999999995</v>
      </c>
      <c r="L133" s="106">
        <f>SUM(BQ$37:BQ$48)+SUM(BS$37:BS$48)+SUM(BU$37:BU$48)+SUM(BW$37:BW$48)</f>
        <v>744966</v>
      </c>
      <c r="M133" s="106">
        <f>SUM(BY$37:BY$48)+SUM(CA$37:CA$48)+SUM(CC$37:CC$48)+SUM(CE$37:CE$48)</f>
        <v>820500</v>
      </c>
      <c r="N133" s="106">
        <f>SUM(CG$37:CG$48)+SUM(CI$37:CI$48)+SUM(CK$37:CK$48)+SUM(CM$37:CM$48)</f>
        <v>560941.19999999995</v>
      </c>
      <c r="O133" s="106">
        <f>SUM(CO$37:CO$48)+SUM(CQ$37:CQ$48)+SUM(CS$37:CS$48)+SUM(CU$37:CU$48)</f>
        <v>734761.2</v>
      </c>
    </row>
    <row r="134" spans="2:15">
      <c r="C134" s="105" t="s">
        <v>129</v>
      </c>
      <c r="D134" s="106">
        <f>SUM(E$49:E$70)+SUM(G$49:G$70)+SUM(I$49:I$70)+SUM(K$49:K$70)</f>
        <v>777369.68652789807</v>
      </c>
      <c r="E134" s="106">
        <f>SUM(M$49:M$70)+SUM(O$49:O$70)+SUM(Q$49:Q$70)+SUM(S$49:S$70)</f>
        <v>750026.08403627051</v>
      </c>
      <c r="F134" s="106">
        <f>SUM(U$49:U$70)+SUM(W$49:W$70)+SUM(Y$49:Y$70)+SUM(AA$49:AA$70)</f>
        <v>716123.06171095674</v>
      </c>
      <c r="G134" s="106">
        <f>SUM(AC$49:AC$70)+SUM(AE$49:AE$70)+SUM(AG$49:AG$70)+SUM(AI$49:AI$70)</f>
        <v>951005.77256659954</v>
      </c>
      <c r="H134" s="106">
        <f>SUM(AK$49:AK$70)+SUM(AM$49:AM$70)+SUM(AO$49:AO$70)+SUM(AQ$49:AQ$70)</f>
        <v>793659.64811381733</v>
      </c>
      <c r="I134" s="106">
        <f>SUM(AS$49:AS$70)+SUM(AU$49:AU$70)+SUM(AW$49:AW$70)+SUM(AY$49:AY$70)</f>
        <v>803964.49874032813</v>
      </c>
      <c r="J134" s="106">
        <f>SUM(BA$49:BA$70)+SUM(BC$49:BC$70)+SUM(BE$49:BE$70)+SUM(BG$49:BG$70)</f>
        <v>885532.92801231076</v>
      </c>
      <c r="K134" s="106">
        <f>SUM(BI$49:BI$70)+SUM(BK$49:BK$70)+SUM(BM$49:BM$70)+SUM(BO$49:BO$70)</f>
        <v>909927.59999999986</v>
      </c>
      <c r="L134" s="106">
        <f>SUM(BQ$49:BQ$70)+SUM(BS$49:BS$70)+SUM(BU$49:BU$70)+SUM(BW$49:BW$70)</f>
        <v>784662</v>
      </c>
      <c r="M134" s="106">
        <f>SUM(BY$49:BY$70)+SUM(CA$49:CA$70)+SUM(CC$49:CC$70)+SUM(CE$49:CE$70)</f>
        <v>1066257.6000000001</v>
      </c>
      <c r="N134" s="106">
        <f>SUM(CG$49:CG$70)+SUM(CI$49:CI$70)+SUM(CK$49:CK$70)+SUM(CM$49:CM$70)</f>
        <v>844230</v>
      </c>
      <c r="O134" s="106">
        <f>SUM(CO$49:CO$70)+SUM(CQ$49:CQ$70)+SUM(CS$49:CS$70)+SUM(CU$49:CU$70)</f>
        <v>997832.39999999991</v>
      </c>
    </row>
    <row r="135" spans="2:15">
      <c r="C135" s="105" t="s">
        <v>130</v>
      </c>
      <c r="D135" s="106">
        <f>SUM(E$71:E$86)+SUM(G$71:G$86)+SUM(I$71:I$86)+SUM(K$71:K$86)</f>
        <v>293533.19999999995</v>
      </c>
      <c r="E135" s="106">
        <f>SUM(M$71:M$86)+SUM(O$71:O$86)+SUM(Q$71:Q$86)+SUM(S$71:S$86)</f>
        <v>215450.39999999997</v>
      </c>
      <c r="F135" s="106">
        <f>SUM(U$71:U$86)+SUM(W$71:W$86)+SUM(Y$71:Y$86)+SUM(AA$71:AA$86)</f>
        <v>300303.59999999998</v>
      </c>
      <c r="G135" s="106">
        <f>SUM(AC$71:AC$86)+SUM(AE$71:AE$86)+SUM(AG$71:AG$86)+SUM(AI$71:AI$86)</f>
        <v>283077.60000000003</v>
      </c>
      <c r="H135" s="106">
        <f>SUM(AK$71:AK$86)+SUM(AM$71:AM$86)+SUM(AO$71:AO$86)+SUM(AQ$71:AQ$86)</f>
        <v>302094</v>
      </c>
      <c r="I135" s="106">
        <f>SUM(AS$71:AS$86)+SUM(AU$71:AU$86)+SUM(AW$71:AW$86)+SUM(AY$71:AY$86)</f>
        <v>235623.6</v>
      </c>
      <c r="J135" s="106">
        <f>SUM(BA$71:BA$86)+SUM(BC$71:BC$86)+SUM(BE$71:BE$86)+SUM(BG$71:BG$86)</f>
        <v>119175.86123293036</v>
      </c>
      <c r="K135" s="106">
        <f>SUM(BI$71:BI$86)+SUM(BK$71:BK$86)+SUM(BM$71:BM$86)+SUM(BO$71:BO$86)</f>
        <v>280899.59999999998</v>
      </c>
      <c r="L135" s="106">
        <f>SUM(BQ$71:BQ$86)+SUM(BS$71:BS$86)+SUM(BU$71:BU$86)+SUM(BW$71:BW$86)</f>
        <v>244040.40000000002</v>
      </c>
      <c r="M135" s="106">
        <f>SUM(BY$71:BY$86)+SUM(CA$71:CA$86)+SUM(CC$71:CC$86)+SUM(CE$71:CE$86)</f>
        <v>280120.8</v>
      </c>
      <c r="N135" s="106">
        <f>SUM(CG$71:CG$86)+SUM(CI$71:CI$86)+SUM(CK$71:CK$86)+SUM(CM$71:CM$86)</f>
        <v>294908.40000000002</v>
      </c>
      <c r="O135" s="106">
        <f>SUM(CO$71:CO$86)+SUM(CQ$71:CQ$86)+SUM(CS$71:CS$86)+SUM(CU$71:CU$86)</f>
        <v>327487.2</v>
      </c>
    </row>
    <row r="136" spans="2:15">
      <c r="C136" s="105" t="s">
        <v>131</v>
      </c>
      <c r="D136" s="106">
        <f>SUM(E$87:E$94)+SUM(G$87:G$94)+SUM(I$87:I$94)+SUM(K$87:K$94)</f>
        <v>308079.59999999998</v>
      </c>
      <c r="E136" s="106">
        <f>SUM(M$87:M$94)+SUM(O$87:O$94)+SUM(Q$87:Q$94)+SUM(S$87:S$94)</f>
        <v>339567.6</v>
      </c>
      <c r="F136" s="106">
        <f>SUM(U$87:U$94)+SUM(W$87:W$94)+SUM(Y$87:Y$94)+SUM(AA$87:AA$94)</f>
        <v>291084</v>
      </c>
      <c r="G136" s="106">
        <f>SUM(AC$87:AC$94)+SUM(AE$87:AE$94)+SUM(AG$87:AG$94)+SUM(AI$87:AI$94)</f>
        <v>262441.19999999995</v>
      </c>
      <c r="H136" s="106">
        <f>SUM(AK$87:AK$94)+SUM(AM$87:AM$94)+SUM(AO$87:AO$94)+SUM(AQ$87:AQ$94)</f>
        <v>324194.40000000002</v>
      </c>
      <c r="I136" s="106">
        <f>SUM(AS$87:AS$94)+SUM(AU$87:AU$94)+SUM(AW$87:AW$94)+SUM(AY$87:AY$94)</f>
        <v>321927.59999999998</v>
      </c>
      <c r="J136" s="106">
        <f>SUM(BA$87:BA$94)+SUM(BC$87:BC$94)+SUM(BE$87:BE$94)+SUM(BG$87:BG$94)</f>
        <v>347197.19999999995</v>
      </c>
      <c r="K136" s="106">
        <f>SUM(BI$87:BI$94)+SUM(BK$87:BK$94)+SUM(BM$87:BM$94)+SUM(BO$87:BO$94)</f>
        <v>328843.19999999995</v>
      </c>
      <c r="L136" s="106">
        <f>SUM(BQ$87:BQ$94)+SUM(BS$87:BS$94)+SUM(BU$87:BU$94)+SUM(BW$87:BW$94)</f>
        <v>252544.8</v>
      </c>
      <c r="M136" s="106">
        <f>SUM(BY$87:BY$94)+SUM(CA$87:CA$94)+SUM(CC$87:CC$94)+SUM(CE$87:CE$94)</f>
        <v>300004.80000000005</v>
      </c>
      <c r="N136" s="106">
        <f>SUM(CG$87:CG$94)+SUM(CI$87:CI$94)+SUM(CK$87:CK$94)+SUM(CM$87:CM$94)</f>
        <v>368187.6</v>
      </c>
      <c r="O136" s="106">
        <f>SUM(CO$87:CO$94)+SUM(CQ$87:CQ$94)+SUM(CS$87:CS$94)+SUM(CU$87:CU$94)</f>
        <v>359740.8</v>
      </c>
    </row>
    <row r="137" spans="2:15">
      <c r="C137" s="105" t="s">
        <v>132</v>
      </c>
      <c r="D137" s="106">
        <f>SUM(E$95:E$105)+SUM(G$95:G$105)+SUM(I$95:I$105)+SUM(K$95:K$105)</f>
        <v>307966.8</v>
      </c>
      <c r="E137" s="106">
        <f>SUM(M$95:M$105)+SUM(O$95:O$105)+SUM(Q$95:Q$105)+SUM(S$95:S$105)</f>
        <v>268950</v>
      </c>
      <c r="F137" s="106">
        <f>SUM(U$95:U$105)+SUM(W$95:W$105)+SUM(Y$95:Y$105)+SUM(AA$95:AA$105)</f>
        <v>258255.59999999998</v>
      </c>
      <c r="G137" s="106">
        <f>SUM(AC$95:AC$105)+SUM(AE$95:AE$105)+SUM(AG$95:AG$105)+SUM(AI$95:AI$105)</f>
        <v>289003.2</v>
      </c>
      <c r="H137" s="106">
        <f>SUM(AK$95:AK$105)+SUM(AM$95:AM$105)+SUM(AO$95:AO$105)+SUM(AQ$95:AQ$105)</f>
        <v>292068</v>
      </c>
      <c r="I137" s="106">
        <f>SUM(AS$95:AS$105)+SUM(AU$95:AU$105)+SUM(AW$95:AW$105)+SUM(AY$95:AY$105)</f>
        <v>297411.59999999998</v>
      </c>
      <c r="J137" s="106">
        <f>SUM(BA$95:BA$105)+SUM(BC$95:BC$105)+SUM(BE$95:BE$105)+SUM(BG$95:BG$105)</f>
        <v>251692.79999999999</v>
      </c>
      <c r="K137" s="106">
        <f>SUM(BI$95:BI$105)+SUM(BK$95:BK$105)+SUM(BM$95:BM$105)+SUM(BO$95:BO$105)</f>
        <v>316981.2</v>
      </c>
      <c r="L137" s="106">
        <f>SUM(BQ$95:BQ$105)+SUM(BS$95:BS$105)+SUM(BU$95:BU$105)+SUM(BW$95:BW$105)</f>
        <v>339612</v>
      </c>
      <c r="M137" s="106">
        <f>SUM(BY$95:BY$105)+SUM(CA$95:CA$105)+SUM(CC$95:CC$105)+SUM(CE$95:CE$105)</f>
        <v>314396.39999999997</v>
      </c>
      <c r="N137" s="106">
        <f>SUM(CG$95:CG$105)+SUM(CI$95:CI$105)+SUM(CK$95:CK$105)+SUM(CM$95:CM$105)</f>
        <v>308902.80000000005</v>
      </c>
      <c r="O137" s="106">
        <f>SUM(CO$95:CO$105)+SUM(CQ$95:CQ$105)+SUM(CS$95:CS$105)+SUM(CU$95:CU$105)</f>
        <v>347497.2</v>
      </c>
    </row>
    <row r="138" spans="2:15">
      <c r="C138" s="105" t="s">
        <v>278</v>
      </c>
      <c r="D138" s="100">
        <f t="shared" ref="D138:O138" si="2">SUM(D$131:D$137)</f>
        <v>3029525.5916223736</v>
      </c>
      <c r="E138" s="100">
        <f t="shared" si="2"/>
        <v>3108432.1220423775</v>
      </c>
      <c r="F138" s="100">
        <f t="shared" si="2"/>
        <v>2909231.5610134099</v>
      </c>
      <c r="G138" s="100">
        <f t="shared" si="2"/>
        <v>3613381.5639352482</v>
      </c>
      <c r="H138" s="100">
        <f t="shared" si="2"/>
        <v>3245603.4131793338</v>
      </c>
      <c r="I138" s="100">
        <f t="shared" si="2"/>
        <v>3591547.6549345767</v>
      </c>
      <c r="J138" s="100">
        <f t="shared" si="2"/>
        <v>3451328.3979208479</v>
      </c>
      <c r="K138" s="100">
        <f t="shared" si="2"/>
        <v>3611889.5999999996</v>
      </c>
      <c r="L138" s="100">
        <f t="shared" si="2"/>
        <v>3591796.8</v>
      </c>
      <c r="M138" s="100">
        <f t="shared" si="2"/>
        <v>4263645.6000000006</v>
      </c>
      <c r="N138" s="100">
        <f t="shared" si="2"/>
        <v>3563696.3999999994</v>
      </c>
      <c r="O138" s="100">
        <f t="shared" si="2"/>
        <v>4058030.4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9</v>
      </c>
      <c r="E6" s="100">
        <v>5205.5999999999995</v>
      </c>
      <c r="F6" s="100">
        <v>10</v>
      </c>
      <c r="G6" s="100">
        <v>5784</v>
      </c>
      <c r="H6" s="100">
        <v>10</v>
      </c>
      <c r="I6" s="100">
        <v>5784</v>
      </c>
      <c r="J6" s="100">
        <v>9</v>
      </c>
      <c r="K6" s="100">
        <v>5205.5999999999995</v>
      </c>
      <c r="L6" s="100">
        <v>11</v>
      </c>
      <c r="M6" s="100">
        <v>6362.4</v>
      </c>
      <c r="N6" s="100">
        <v>7</v>
      </c>
      <c r="O6" s="100">
        <v>4048.7999999999997</v>
      </c>
      <c r="P6" s="100">
        <v>7</v>
      </c>
      <c r="Q6" s="100">
        <v>4048.7999999999997</v>
      </c>
      <c r="R6" s="100">
        <v>9</v>
      </c>
      <c r="S6" s="100">
        <v>5205.5999999999995</v>
      </c>
      <c r="T6" s="100">
        <v>10</v>
      </c>
      <c r="U6" s="100">
        <v>5784</v>
      </c>
      <c r="V6" s="100">
        <v>6</v>
      </c>
      <c r="W6" s="100">
        <v>3470.3999999999996</v>
      </c>
      <c r="X6" s="100">
        <v>11</v>
      </c>
      <c r="Y6" s="100">
        <v>6362.4</v>
      </c>
      <c r="Z6" s="100">
        <v>9</v>
      </c>
      <c r="AA6" s="100">
        <v>5205.5999999999995</v>
      </c>
      <c r="AB6" s="100">
        <v>6</v>
      </c>
      <c r="AC6" s="100">
        <v>3470.3999999999996</v>
      </c>
      <c r="AD6" s="100">
        <v>8</v>
      </c>
      <c r="AE6" s="100">
        <v>4627.2</v>
      </c>
      <c r="AF6" s="100">
        <v>10</v>
      </c>
      <c r="AG6" s="100">
        <v>5784</v>
      </c>
      <c r="AH6" s="100">
        <v>7.5004584368902618</v>
      </c>
      <c r="AI6" s="100">
        <v>4338.2651598973271</v>
      </c>
      <c r="AJ6" s="100">
        <v>7</v>
      </c>
      <c r="AK6" s="100">
        <v>4048.7999999999997</v>
      </c>
      <c r="AL6" s="100">
        <v>12</v>
      </c>
      <c r="AM6" s="100">
        <v>6940.7999999999993</v>
      </c>
      <c r="AN6" s="100">
        <v>7.4665729736245554</v>
      </c>
      <c r="AO6" s="100">
        <v>4318.6658079444423</v>
      </c>
      <c r="AP6" s="100">
        <v>7.1732660259516727</v>
      </c>
      <c r="AQ6" s="100">
        <v>4149.0170694104472</v>
      </c>
      <c r="AR6" s="100">
        <v>7.5966879788724313</v>
      </c>
      <c r="AS6" s="100">
        <v>4393.9243269798144</v>
      </c>
      <c r="AT6" s="100">
        <v>0</v>
      </c>
      <c r="AU6" s="100">
        <v>0</v>
      </c>
      <c r="AV6" s="100">
        <v>6</v>
      </c>
      <c r="AW6" s="100">
        <v>3470.3999999999996</v>
      </c>
      <c r="AX6" s="100">
        <v>5.3536972592002607</v>
      </c>
      <c r="AY6" s="100">
        <v>3096.5784947214306</v>
      </c>
      <c r="AZ6" s="100">
        <v>9</v>
      </c>
      <c r="BA6" s="100">
        <v>5205.5999999999995</v>
      </c>
      <c r="BB6" s="100">
        <v>8.5133280147689891</v>
      </c>
      <c r="BC6" s="100">
        <v>4924.108923742383</v>
      </c>
      <c r="BD6" s="100">
        <v>7</v>
      </c>
      <c r="BE6" s="100">
        <v>4048.7999999999997</v>
      </c>
      <c r="BF6" s="100">
        <v>7</v>
      </c>
      <c r="BG6" s="100">
        <v>4048.7999999999997</v>
      </c>
      <c r="BH6" s="100">
        <v>3.1350470642396107</v>
      </c>
      <c r="BI6" s="100">
        <v>1813.3112219561908</v>
      </c>
      <c r="BJ6" s="100">
        <v>6</v>
      </c>
      <c r="BK6" s="100">
        <v>3470.3999999999996</v>
      </c>
      <c r="BL6" s="100">
        <v>8</v>
      </c>
      <c r="BM6" s="100">
        <v>4627.2</v>
      </c>
      <c r="BN6" s="100">
        <v>10</v>
      </c>
      <c r="BO6" s="100">
        <v>5784</v>
      </c>
      <c r="BP6" s="100">
        <v>6</v>
      </c>
      <c r="BQ6" s="100">
        <v>3470.3999999999996</v>
      </c>
      <c r="BR6" s="100">
        <v>8</v>
      </c>
      <c r="BS6" s="100">
        <v>4627.2</v>
      </c>
      <c r="BT6" s="100">
        <v>12</v>
      </c>
      <c r="BU6" s="100">
        <v>6940.7999999999993</v>
      </c>
      <c r="BV6" s="100">
        <v>9.6560270497440932</v>
      </c>
      <c r="BW6" s="100">
        <v>5585.0460455719831</v>
      </c>
      <c r="BX6" s="100">
        <v>9</v>
      </c>
      <c r="BY6" s="100">
        <v>5205.5999999999995</v>
      </c>
      <c r="BZ6" s="100">
        <v>7</v>
      </c>
      <c r="CA6" s="100">
        <v>4048.7999999999997</v>
      </c>
      <c r="CB6" s="100">
        <v>12</v>
      </c>
      <c r="CC6" s="100">
        <v>6940.7999999999993</v>
      </c>
      <c r="CD6" s="100">
        <v>6.6895768941836726</v>
      </c>
      <c r="CE6" s="100">
        <v>3869.251275595836</v>
      </c>
      <c r="CF6" s="100">
        <v>7</v>
      </c>
      <c r="CG6" s="100">
        <v>4048.7999999999997</v>
      </c>
      <c r="CH6" s="100">
        <v>9</v>
      </c>
      <c r="CI6" s="100">
        <v>5205.5999999999995</v>
      </c>
      <c r="CJ6" s="100">
        <v>13</v>
      </c>
      <c r="CK6" s="100">
        <v>7519.2</v>
      </c>
      <c r="CL6" s="100">
        <v>10</v>
      </c>
      <c r="CM6" s="100">
        <v>5784</v>
      </c>
      <c r="CN6" s="100">
        <v>5.6606593339298694</v>
      </c>
      <c r="CO6" s="100">
        <v>3274.1253587450365</v>
      </c>
      <c r="CP6" s="100">
        <v>8</v>
      </c>
      <c r="CQ6" s="100">
        <v>4627.2</v>
      </c>
      <c r="CR6" s="100">
        <v>5.7358151384795075</v>
      </c>
      <c r="CS6" s="100">
        <v>3317.5954760965469</v>
      </c>
      <c r="CT6" s="100">
        <v>2.7672641114853676</v>
      </c>
      <c r="CU6" s="100">
        <v>1600.5855620831364</v>
      </c>
    </row>
    <row r="7" spans="1:99">
      <c r="C7" s="99" t="s">
        <v>173</v>
      </c>
      <c r="D7" s="100">
        <v>8</v>
      </c>
      <c r="E7" s="100">
        <v>6307.2</v>
      </c>
      <c r="F7" s="100">
        <v>9</v>
      </c>
      <c r="G7" s="100">
        <v>7095.5999999999995</v>
      </c>
      <c r="H7" s="100">
        <v>10</v>
      </c>
      <c r="I7" s="100">
        <v>7884</v>
      </c>
      <c r="J7" s="100">
        <v>9</v>
      </c>
      <c r="K7" s="100">
        <v>7095.5999999999995</v>
      </c>
      <c r="L7" s="100">
        <v>11</v>
      </c>
      <c r="M7" s="100">
        <v>8672.4</v>
      </c>
      <c r="N7" s="100">
        <v>6</v>
      </c>
      <c r="O7" s="100">
        <v>4730.3999999999996</v>
      </c>
      <c r="P7" s="100">
        <v>7</v>
      </c>
      <c r="Q7" s="100">
        <v>5518.8</v>
      </c>
      <c r="R7" s="100">
        <v>10</v>
      </c>
      <c r="S7" s="100">
        <v>7884</v>
      </c>
      <c r="T7" s="100">
        <v>10</v>
      </c>
      <c r="U7" s="100">
        <v>7884</v>
      </c>
      <c r="V7" s="100">
        <v>6</v>
      </c>
      <c r="W7" s="100">
        <v>4730.3999999999996</v>
      </c>
      <c r="X7" s="100">
        <v>11</v>
      </c>
      <c r="Y7" s="100">
        <v>8672.4</v>
      </c>
      <c r="Z7" s="100">
        <v>8</v>
      </c>
      <c r="AA7" s="100">
        <v>6307.2</v>
      </c>
      <c r="AB7" s="100">
        <v>7</v>
      </c>
      <c r="AC7" s="100">
        <v>5518.8</v>
      </c>
      <c r="AD7" s="100">
        <v>8</v>
      </c>
      <c r="AE7" s="100">
        <v>6307.2</v>
      </c>
      <c r="AF7" s="100">
        <v>12</v>
      </c>
      <c r="AG7" s="100">
        <v>9460.7999999999993</v>
      </c>
      <c r="AH7" s="100">
        <v>7.5004584368902618</v>
      </c>
      <c r="AI7" s="100">
        <v>5913.3614316442827</v>
      </c>
      <c r="AJ7" s="100">
        <v>7</v>
      </c>
      <c r="AK7" s="100">
        <v>5518.8</v>
      </c>
      <c r="AL7" s="100">
        <v>11</v>
      </c>
      <c r="AM7" s="100">
        <v>8672.4</v>
      </c>
      <c r="AN7" s="100">
        <v>7.4665729736245554</v>
      </c>
      <c r="AO7" s="100">
        <v>5886.646132405599</v>
      </c>
      <c r="AP7" s="100">
        <v>7.9702955843907484</v>
      </c>
      <c r="AQ7" s="100">
        <v>6283.7810387336658</v>
      </c>
      <c r="AR7" s="100">
        <v>7.5966879788724313</v>
      </c>
      <c r="AS7" s="100">
        <v>5989.2288025430244</v>
      </c>
      <c r="AT7" s="100">
        <v>0</v>
      </c>
      <c r="AU7" s="100">
        <v>0</v>
      </c>
      <c r="AV7" s="100">
        <v>6</v>
      </c>
      <c r="AW7" s="100">
        <v>4730.3999999999996</v>
      </c>
      <c r="AX7" s="100">
        <v>5.8403970100366491</v>
      </c>
      <c r="AY7" s="100">
        <v>4604.569002712894</v>
      </c>
      <c r="AZ7" s="100">
        <v>10</v>
      </c>
      <c r="BA7" s="100">
        <v>7884</v>
      </c>
      <c r="BB7" s="100">
        <v>7.8038840135382408</v>
      </c>
      <c r="BC7" s="100">
        <v>6152.5821562735491</v>
      </c>
      <c r="BD7" s="100">
        <v>8</v>
      </c>
      <c r="BE7" s="100">
        <v>6307.2</v>
      </c>
      <c r="BF7" s="100">
        <v>6</v>
      </c>
      <c r="BG7" s="100">
        <v>4730.3999999999996</v>
      </c>
      <c r="BH7" s="100">
        <v>3.4833856269329013</v>
      </c>
      <c r="BI7" s="100">
        <v>2746.3012282738991</v>
      </c>
      <c r="BJ7" s="100">
        <v>6</v>
      </c>
      <c r="BK7" s="100">
        <v>4730.3999999999996</v>
      </c>
      <c r="BL7" s="100">
        <v>8</v>
      </c>
      <c r="BM7" s="100">
        <v>6307.2</v>
      </c>
      <c r="BN7" s="100">
        <v>9</v>
      </c>
      <c r="BO7" s="100">
        <v>7095.5999999999995</v>
      </c>
      <c r="BP7" s="100">
        <v>6</v>
      </c>
      <c r="BQ7" s="100">
        <v>4730.3999999999996</v>
      </c>
      <c r="BR7" s="100">
        <v>9</v>
      </c>
      <c r="BS7" s="100">
        <v>7095.5999999999995</v>
      </c>
      <c r="BT7" s="100">
        <v>13</v>
      </c>
      <c r="BU7" s="100">
        <v>10249.199999999999</v>
      </c>
      <c r="BV7" s="100">
        <v>8.8513581289320857</v>
      </c>
      <c r="BW7" s="100">
        <v>6978.4107488500558</v>
      </c>
      <c r="BX7" s="100">
        <v>11</v>
      </c>
      <c r="BY7" s="100">
        <v>8672.4</v>
      </c>
      <c r="BZ7" s="100">
        <v>7</v>
      </c>
      <c r="CA7" s="100">
        <v>5518.8</v>
      </c>
      <c r="CB7" s="100">
        <v>11</v>
      </c>
      <c r="CC7" s="100">
        <v>8672.4</v>
      </c>
      <c r="CD7" s="100">
        <v>7.2977202482003714</v>
      </c>
      <c r="CE7" s="100">
        <v>5753.5226436811727</v>
      </c>
      <c r="CF7" s="100">
        <v>8</v>
      </c>
      <c r="CG7" s="100">
        <v>6307.2</v>
      </c>
      <c r="CH7" s="100">
        <v>10</v>
      </c>
      <c r="CI7" s="100">
        <v>7884</v>
      </c>
      <c r="CJ7" s="100">
        <v>11</v>
      </c>
      <c r="CK7" s="100">
        <v>8672.4</v>
      </c>
      <c r="CL7" s="100">
        <v>10</v>
      </c>
      <c r="CM7" s="100">
        <v>7884</v>
      </c>
      <c r="CN7" s="100">
        <v>4.9530769171886355</v>
      </c>
      <c r="CO7" s="100">
        <v>3905.00584151152</v>
      </c>
      <c r="CP7" s="100">
        <v>9</v>
      </c>
      <c r="CQ7" s="100">
        <v>7095.5999999999995</v>
      </c>
      <c r="CR7" s="100">
        <v>5.7358151384795075</v>
      </c>
      <c r="CS7" s="100">
        <v>4522.116655177244</v>
      </c>
      <c r="CT7" s="100">
        <v>2.5156946468048798</v>
      </c>
      <c r="CU7" s="100">
        <v>1983.3736595409671</v>
      </c>
    </row>
    <row r="8" spans="1:99">
      <c r="C8" s="99" t="s">
        <v>174</v>
      </c>
      <c r="D8" s="100">
        <v>9</v>
      </c>
      <c r="E8" s="100">
        <v>2786.3999999999996</v>
      </c>
      <c r="F8" s="100">
        <v>11</v>
      </c>
      <c r="G8" s="100">
        <v>3405.5999999999995</v>
      </c>
      <c r="H8" s="100">
        <v>11</v>
      </c>
      <c r="I8" s="100">
        <v>3405.5999999999995</v>
      </c>
      <c r="J8" s="100">
        <v>9</v>
      </c>
      <c r="K8" s="100">
        <v>2786.3999999999996</v>
      </c>
      <c r="L8" s="100">
        <v>11</v>
      </c>
      <c r="M8" s="100">
        <v>3405.5999999999995</v>
      </c>
      <c r="N8" s="100">
        <v>7</v>
      </c>
      <c r="O8" s="100">
        <v>2167.1999999999998</v>
      </c>
      <c r="P8" s="100">
        <v>8</v>
      </c>
      <c r="Q8" s="100">
        <v>2476.7999999999997</v>
      </c>
      <c r="R8" s="100">
        <v>9</v>
      </c>
      <c r="S8" s="100">
        <v>2786.3999999999996</v>
      </c>
      <c r="T8" s="100">
        <v>10</v>
      </c>
      <c r="U8" s="100">
        <v>3095.9999999999995</v>
      </c>
      <c r="V8" s="100">
        <v>7</v>
      </c>
      <c r="W8" s="100">
        <v>2167.1999999999998</v>
      </c>
      <c r="X8" s="100">
        <v>11</v>
      </c>
      <c r="Y8" s="100">
        <v>3405.5999999999995</v>
      </c>
      <c r="Z8" s="100">
        <v>9</v>
      </c>
      <c r="AA8" s="100">
        <v>2786.3999999999996</v>
      </c>
      <c r="AB8" s="100">
        <v>6</v>
      </c>
      <c r="AC8" s="100">
        <v>1857.6</v>
      </c>
      <c r="AD8" s="100">
        <v>7</v>
      </c>
      <c r="AE8" s="100">
        <v>2167.1999999999998</v>
      </c>
      <c r="AF8" s="100">
        <v>12</v>
      </c>
      <c r="AG8" s="100">
        <v>3715.2</v>
      </c>
      <c r="AH8" s="100">
        <v>8.1823182947893773</v>
      </c>
      <c r="AI8" s="100">
        <v>2533.2457440667908</v>
      </c>
      <c r="AJ8" s="100">
        <v>7</v>
      </c>
      <c r="AK8" s="100">
        <v>2167.1999999999998</v>
      </c>
      <c r="AL8" s="100">
        <v>10</v>
      </c>
      <c r="AM8" s="100">
        <v>3095.9999999999995</v>
      </c>
      <c r="AN8" s="100">
        <v>8.3998945953276252</v>
      </c>
      <c r="AO8" s="100">
        <v>2600.6073667134324</v>
      </c>
      <c r="AP8" s="100">
        <v>6.376236467512598</v>
      </c>
      <c r="AQ8" s="100">
        <v>1974.0828103419001</v>
      </c>
      <c r="AR8" s="100">
        <v>6.9060799807931188</v>
      </c>
      <c r="AS8" s="100">
        <v>2138.1223620535493</v>
      </c>
      <c r="AT8" s="100">
        <v>0</v>
      </c>
      <c r="AU8" s="100">
        <v>0</v>
      </c>
      <c r="AV8" s="100">
        <v>5</v>
      </c>
      <c r="AW8" s="100">
        <v>1547.9999999999998</v>
      </c>
      <c r="AX8" s="100">
        <v>5.3536972592002607</v>
      </c>
      <c r="AY8" s="100">
        <v>1657.5046714484006</v>
      </c>
      <c r="AZ8" s="100">
        <v>11</v>
      </c>
      <c r="BA8" s="100">
        <v>3405.5999999999995</v>
      </c>
      <c r="BB8" s="100">
        <v>8.5133280147689891</v>
      </c>
      <c r="BC8" s="100">
        <v>2635.7263533724786</v>
      </c>
      <c r="BD8" s="100">
        <v>7</v>
      </c>
      <c r="BE8" s="100">
        <v>2167.1999999999998</v>
      </c>
      <c r="BF8" s="100">
        <v>6</v>
      </c>
      <c r="BG8" s="100">
        <v>1857.6</v>
      </c>
      <c r="BH8" s="100">
        <v>3.1350470642396107</v>
      </c>
      <c r="BI8" s="100">
        <v>970.61057108858336</v>
      </c>
      <c r="BJ8" s="100">
        <v>7</v>
      </c>
      <c r="BK8" s="100">
        <v>2167.1999999999998</v>
      </c>
      <c r="BL8" s="100">
        <v>7</v>
      </c>
      <c r="BM8" s="100">
        <v>2167.1999999999998</v>
      </c>
      <c r="BN8" s="100">
        <v>10</v>
      </c>
      <c r="BO8" s="100">
        <v>3095.9999999999995</v>
      </c>
      <c r="BP8" s="100">
        <v>6</v>
      </c>
      <c r="BQ8" s="100">
        <v>1857.6</v>
      </c>
      <c r="BR8" s="100">
        <v>9</v>
      </c>
      <c r="BS8" s="100">
        <v>2786.3999999999996</v>
      </c>
      <c r="BT8" s="100">
        <v>11</v>
      </c>
      <c r="BU8" s="100">
        <v>3405.5999999999995</v>
      </c>
      <c r="BV8" s="100">
        <v>8.8513581289320857</v>
      </c>
      <c r="BW8" s="100">
        <v>2740.3804767173733</v>
      </c>
      <c r="BX8" s="100">
        <v>11</v>
      </c>
      <c r="BY8" s="100">
        <v>3405.5999999999995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6.0814335401669748</v>
      </c>
      <c r="CE8" s="100">
        <v>1882.8118240356953</v>
      </c>
      <c r="CF8" s="100">
        <v>7</v>
      </c>
      <c r="CG8" s="100">
        <v>2167.1999999999998</v>
      </c>
      <c r="CH8" s="100">
        <v>10</v>
      </c>
      <c r="CI8" s="100">
        <v>3095.9999999999995</v>
      </c>
      <c r="CJ8" s="100">
        <v>12</v>
      </c>
      <c r="CK8" s="100">
        <v>3715.2</v>
      </c>
      <c r="CL8" s="100">
        <v>10</v>
      </c>
      <c r="CM8" s="100">
        <v>3095.9999999999995</v>
      </c>
      <c r="CN8" s="100">
        <v>5.6606593339298694</v>
      </c>
      <c r="CO8" s="100">
        <v>1752.5401297846875</v>
      </c>
      <c r="CP8" s="100">
        <v>10</v>
      </c>
      <c r="CQ8" s="100">
        <v>3095.9999999999995</v>
      </c>
      <c r="CR8" s="100">
        <v>5.7358151384795075</v>
      </c>
      <c r="CS8" s="100">
        <v>1775.8083668732554</v>
      </c>
      <c r="CT8" s="100">
        <v>2.5156946468048798</v>
      </c>
      <c r="CU8" s="100">
        <v>778.85906265079063</v>
      </c>
    </row>
    <row r="9" spans="1:99">
      <c r="C9" s="99" t="s">
        <v>175</v>
      </c>
      <c r="D9" s="100">
        <v>9</v>
      </c>
      <c r="E9" s="100">
        <v>6318</v>
      </c>
      <c r="F9" s="100">
        <v>9</v>
      </c>
      <c r="G9" s="100">
        <v>6318</v>
      </c>
      <c r="H9" s="100">
        <v>10</v>
      </c>
      <c r="I9" s="100">
        <v>7020</v>
      </c>
      <c r="J9" s="100">
        <v>10</v>
      </c>
      <c r="K9" s="100">
        <v>7020</v>
      </c>
      <c r="L9" s="100">
        <v>11</v>
      </c>
      <c r="M9" s="100">
        <v>7722</v>
      </c>
      <c r="N9" s="100">
        <v>7</v>
      </c>
      <c r="O9" s="100">
        <v>4914</v>
      </c>
      <c r="P9" s="100">
        <v>8</v>
      </c>
      <c r="Q9" s="100">
        <v>5616</v>
      </c>
      <c r="R9" s="100">
        <v>10</v>
      </c>
      <c r="S9" s="100">
        <v>7020</v>
      </c>
      <c r="T9" s="100">
        <v>10</v>
      </c>
      <c r="U9" s="100">
        <v>7020</v>
      </c>
      <c r="V9" s="100">
        <v>7</v>
      </c>
      <c r="W9" s="100">
        <v>4914</v>
      </c>
      <c r="X9" s="100">
        <v>11</v>
      </c>
      <c r="Y9" s="100">
        <v>7722</v>
      </c>
      <c r="Z9" s="100">
        <v>8</v>
      </c>
      <c r="AA9" s="100">
        <v>5616</v>
      </c>
      <c r="AB9" s="100">
        <v>7</v>
      </c>
      <c r="AC9" s="100">
        <v>4914</v>
      </c>
      <c r="AD9" s="100">
        <v>8</v>
      </c>
      <c r="AE9" s="100">
        <v>5616</v>
      </c>
      <c r="AF9" s="100">
        <v>11</v>
      </c>
      <c r="AG9" s="100">
        <v>7722</v>
      </c>
      <c r="AH9" s="100">
        <v>8.1823182947893773</v>
      </c>
      <c r="AI9" s="100">
        <v>5743.9874429421425</v>
      </c>
      <c r="AJ9" s="100">
        <v>7</v>
      </c>
      <c r="AK9" s="100">
        <v>4914</v>
      </c>
      <c r="AL9" s="100">
        <v>10</v>
      </c>
      <c r="AM9" s="100">
        <v>7020</v>
      </c>
      <c r="AN9" s="100">
        <v>8.3998945953276252</v>
      </c>
      <c r="AO9" s="100">
        <v>5896.7260059199925</v>
      </c>
      <c r="AP9" s="100">
        <v>7.1732660259516727</v>
      </c>
      <c r="AQ9" s="100">
        <v>5035.6327502180739</v>
      </c>
      <c r="AR9" s="100">
        <v>7.5966879788724313</v>
      </c>
      <c r="AS9" s="100">
        <v>5332.874961168447</v>
      </c>
      <c r="AT9" s="100">
        <v>0</v>
      </c>
      <c r="AU9" s="100">
        <v>0</v>
      </c>
      <c r="AV9" s="100">
        <v>6</v>
      </c>
      <c r="AW9" s="100">
        <v>4212</v>
      </c>
      <c r="AX9" s="100">
        <v>5.3536972592002607</v>
      </c>
      <c r="AY9" s="100">
        <v>3758.2954759585832</v>
      </c>
      <c r="AZ9" s="100">
        <v>9</v>
      </c>
      <c r="BA9" s="100">
        <v>6318</v>
      </c>
      <c r="BB9" s="100">
        <v>7.8038840135382408</v>
      </c>
      <c r="BC9" s="100">
        <v>5478.3265775038453</v>
      </c>
      <c r="BD9" s="100">
        <v>6</v>
      </c>
      <c r="BE9" s="100">
        <v>4212</v>
      </c>
      <c r="BF9" s="100">
        <v>6</v>
      </c>
      <c r="BG9" s="100">
        <v>4212</v>
      </c>
      <c r="BH9" s="100">
        <v>3.1350470642396107</v>
      </c>
      <c r="BI9" s="100">
        <v>2200.8030390962067</v>
      </c>
      <c r="BJ9" s="100">
        <v>6</v>
      </c>
      <c r="BK9" s="100">
        <v>4212</v>
      </c>
      <c r="BL9" s="100">
        <v>7</v>
      </c>
      <c r="BM9" s="100">
        <v>4914</v>
      </c>
      <c r="BN9" s="100">
        <v>10</v>
      </c>
      <c r="BO9" s="100">
        <v>7020</v>
      </c>
      <c r="BP9" s="100">
        <v>6</v>
      </c>
      <c r="BQ9" s="100">
        <v>4212</v>
      </c>
      <c r="BR9" s="100">
        <v>9</v>
      </c>
      <c r="BS9" s="100">
        <v>6318</v>
      </c>
      <c r="BT9" s="100">
        <v>13</v>
      </c>
      <c r="BU9" s="100">
        <v>9126</v>
      </c>
      <c r="BV9" s="100">
        <v>8.0466892081200765</v>
      </c>
      <c r="BW9" s="100">
        <v>5648.7758241002939</v>
      </c>
      <c r="BX9" s="100">
        <v>9</v>
      </c>
      <c r="BY9" s="100">
        <v>6318</v>
      </c>
      <c r="BZ9" s="100">
        <v>7</v>
      </c>
      <c r="CA9" s="100">
        <v>4914</v>
      </c>
      <c r="CB9" s="100">
        <v>12</v>
      </c>
      <c r="CC9" s="100">
        <v>8424</v>
      </c>
      <c r="CD9" s="100">
        <v>7.2977202482003714</v>
      </c>
      <c r="CE9" s="100">
        <v>5122.9996142366608</v>
      </c>
      <c r="CF9" s="100">
        <v>7</v>
      </c>
      <c r="CG9" s="100">
        <v>4914</v>
      </c>
      <c r="CH9" s="100">
        <v>9</v>
      </c>
      <c r="CI9" s="100">
        <v>6318</v>
      </c>
      <c r="CJ9" s="100">
        <v>13</v>
      </c>
      <c r="CK9" s="100">
        <v>9126</v>
      </c>
      <c r="CL9" s="100">
        <v>9</v>
      </c>
      <c r="CM9" s="100">
        <v>6318</v>
      </c>
      <c r="CN9" s="100">
        <v>5.6606593339298694</v>
      </c>
      <c r="CO9" s="100">
        <v>3973.7828524187685</v>
      </c>
      <c r="CP9" s="100">
        <v>9</v>
      </c>
      <c r="CQ9" s="100">
        <v>6318</v>
      </c>
      <c r="CR9" s="100">
        <v>5.7358151384795075</v>
      </c>
      <c r="CS9" s="100">
        <v>4026.5422272126143</v>
      </c>
      <c r="CT9" s="100">
        <v>2.7672641114853676</v>
      </c>
      <c r="CU9" s="100">
        <v>1942.619406262728</v>
      </c>
    </row>
    <row r="10" spans="1:99">
      <c r="C10" s="99" t="s">
        <v>176</v>
      </c>
      <c r="D10" s="100">
        <v>10</v>
      </c>
      <c r="E10" s="100">
        <v>5448</v>
      </c>
      <c r="F10" s="100">
        <v>9</v>
      </c>
      <c r="G10" s="100">
        <v>4903.2</v>
      </c>
      <c r="H10" s="100">
        <v>11</v>
      </c>
      <c r="I10" s="100">
        <v>5992.7999999999993</v>
      </c>
      <c r="J10" s="100">
        <v>10</v>
      </c>
      <c r="K10" s="100">
        <v>5448</v>
      </c>
      <c r="L10" s="100">
        <v>10</v>
      </c>
      <c r="M10" s="100">
        <v>5448</v>
      </c>
      <c r="N10" s="100">
        <v>8</v>
      </c>
      <c r="O10" s="100">
        <v>4358.3999999999996</v>
      </c>
      <c r="P10" s="100">
        <v>7</v>
      </c>
      <c r="Q10" s="100">
        <v>3813.5999999999995</v>
      </c>
      <c r="R10" s="100">
        <v>9</v>
      </c>
      <c r="S10" s="100">
        <v>4903.2</v>
      </c>
      <c r="T10" s="100">
        <v>10</v>
      </c>
      <c r="U10" s="100">
        <v>5448</v>
      </c>
      <c r="V10" s="100">
        <v>7</v>
      </c>
      <c r="W10" s="100">
        <v>3813.5999999999995</v>
      </c>
      <c r="X10" s="100">
        <v>10</v>
      </c>
      <c r="Y10" s="100">
        <v>5448</v>
      </c>
      <c r="Z10" s="100">
        <v>9</v>
      </c>
      <c r="AA10" s="100">
        <v>4903.2</v>
      </c>
      <c r="AB10" s="100">
        <v>6</v>
      </c>
      <c r="AC10" s="100">
        <v>3268.7999999999997</v>
      </c>
      <c r="AD10" s="100">
        <v>7</v>
      </c>
      <c r="AE10" s="100">
        <v>3813.5999999999995</v>
      </c>
      <c r="AF10" s="100">
        <v>11</v>
      </c>
      <c r="AG10" s="100">
        <v>5992.7999999999993</v>
      </c>
      <c r="AH10" s="100">
        <v>6.8185985789911481</v>
      </c>
      <c r="AI10" s="100">
        <v>3714.7725058343772</v>
      </c>
      <c r="AJ10" s="100">
        <v>8</v>
      </c>
      <c r="AK10" s="100">
        <v>4358.3999999999996</v>
      </c>
      <c r="AL10" s="100">
        <v>11</v>
      </c>
      <c r="AM10" s="100">
        <v>5992.7999999999993</v>
      </c>
      <c r="AN10" s="100">
        <v>7.4665729736245554</v>
      </c>
      <c r="AO10" s="100">
        <v>4067.7889560306576</v>
      </c>
      <c r="AP10" s="100">
        <v>7.1732660259516727</v>
      </c>
      <c r="AQ10" s="100">
        <v>3907.9953309384709</v>
      </c>
      <c r="AR10" s="100">
        <v>6.2154719827138081</v>
      </c>
      <c r="AS10" s="100">
        <v>3386.1891361824823</v>
      </c>
      <c r="AT10" s="100">
        <v>0</v>
      </c>
      <c r="AU10" s="100">
        <v>0</v>
      </c>
      <c r="AV10" s="100">
        <v>6</v>
      </c>
      <c r="AW10" s="100">
        <v>3268.7999999999997</v>
      </c>
      <c r="AX10" s="100">
        <v>5.8403970100366491</v>
      </c>
      <c r="AY10" s="100">
        <v>3181.8482910679663</v>
      </c>
      <c r="AZ10" s="100">
        <v>10</v>
      </c>
      <c r="BA10" s="100">
        <v>5448</v>
      </c>
      <c r="BB10" s="100">
        <v>7.8038840135382408</v>
      </c>
      <c r="BC10" s="100">
        <v>4251.5560105756331</v>
      </c>
      <c r="BD10" s="100">
        <v>7</v>
      </c>
      <c r="BE10" s="100">
        <v>3813.5999999999995</v>
      </c>
      <c r="BF10" s="100">
        <v>6</v>
      </c>
      <c r="BG10" s="100">
        <v>3268.7999999999997</v>
      </c>
      <c r="BH10" s="100">
        <v>3.4833856269329013</v>
      </c>
      <c r="BI10" s="100">
        <v>1897.7484895530445</v>
      </c>
      <c r="BJ10" s="100">
        <v>7</v>
      </c>
      <c r="BK10" s="100">
        <v>3813.5999999999995</v>
      </c>
      <c r="BL10" s="100">
        <v>8</v>
      </c>
      <c r="BM10" s="100">
        <v>4358.3999999999996</v>
      </c>
      <c r="BN10" s="100">
        <v>9</v>
      </c>
      <c r="BO10" s="100">
        <v>4903.2</v>
      </c>
      <c r="BP10" s="100">
        <v>6</v>
      </c>
      <c r="BQ10" s="100">
        <v>3268.7999999999997</v>
      </c>
      <c r="BR10" s="100">
        <v>10</v>
      </c>
      <c r="BS10" s="100">
        <v>5448</v>
      </c>
      <c r="BT10" s="100">
        <v>14</v>
      </c>
      <c r="BU10" s="100">
        <v>7627.1999999999989</v>
      </c>
      <c r="BV10" s="100">
        <v>8.8513581289320857</v>
      </c>
      <c r="BW10" s="100">
        <v>4822.2199086421997</v>
      </c>
      <c r="BX10" s="100">
        <v>11</v>
      </c>
      <c r="BY10" s="100">
        <v>5992.7999999999993</v>
      </c>
      <c r="BZ10" s="100">
        <v>7</v>
      </c>
      <c r="CA10" s="100">
        <v>3813.5999999999995</v>
      </c>
      <c r="CB10" s="100">
        <v>12</v>
      </c>
      <c r="CC10" s="100">
        <v>6537.5999999999995</v>
      </c>
      <c r="CD10" s="100">
        <v>6.0814335401669748</v>
      </c>
      <c r="CE10" s="100">
        <v>3313.1649926829677</v>
      </c>
      <c r="CF10" s="100">
        <v>7</v>
      </c>
      <c r="CG10" s="100">
        <v>3813.5999999999995</v>
      </c>
      <c r="CH10" s="100">
        <v>10</v>
      </c>
      <c r="CI10" s="100">
        <v>5448</v>
      </c>
      <c r="CJ10" s="100">
        <v>12</v>
      </c>
      <c r="CK10" s="100">
        <v>6537.5999999999995</v>
      </c>
      <c r="CL10" s="100">
        <v>11</v>
      </c>
      <c r="CM10" s="100">
        <v>5992.7999999999993</v>
      </c>
      <c r="CN10" s="100">
        <v>5.6606593339298694</v>
      </c>
      <c r="CO10" s="100">
        <v>3083.9272051249927</v>
      </c>
      <c r="CP10" s="100">
        <v>9</v>
      </c>
      <c r="CQ10" s="100">
        <v>4903.2</v>
      </c>
      <c r="CR10" s="100">
        <v>6.3731279316438965</v>
      </c>
      <c r="CS10" s="100">
        <v>3472.0800971595945</v>
      </c>
      <c r="CT10" s="100">
        <v>2.5156946468048798</v>
      </c>
      <c r="CU10" s="100">
        <v>1370.5504435792984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9</v>
      </c>
      <c r="G11" s="100">
        <v>4795.2</v>
      </c>
      <c r="H11" s="100">
        <v>10</v>
      </c>
      <c r="I11" s="100">
        <v>5328</v>
      </c>
      <c r="J11" s="100">
        <v>9</v>
      </c>
      <c r="K11" s="100">
        <v>4795.2</v>
      </c>
      <c r="L11" s="100">
        <v>9</v>
      </c>
      <c r="M11" s="100">
        <v>4795.2</v>
      </c>
      <c r="N11" s="100">
        <v>7</v>
      </c>
      <c r="O11" s="100">
        <v>3729.5999999999995</v>
      </c>
      <c r="P11" s="100">
        <v>7</v>
      </c>
      <c r="Q11" s="100">
        <v>3729.5999999999995</v>
      </c>
      <c r="R11" s="100">
        <v>10</v>
      </c>
      <c r="S11" s="100">
        <v>5328</v>
      </c>
      <c r="T11" s="100">
        <v>10</v>
      </c>
      <c r="U11" s="100">
        <v>5328</v>
      </c>
      <c r="V11" s="100">
        <v>7</v>
      </c>
      <c r="W11" s="100">
        <v>3729.5999999999995</v>
      </c>
      <c r="X11" s="100">
        <v>11</v>
      </c>
      <c r="Y11" s="100">
        <v>5860.7999999999993</v>
      </c>
      <c r="Z11" s="100">
        <v>9</v>
      </c>
      <c r="AA11" s="100">
        <v>4795.2</v>
      </c>
      <c r="AB11" s="100">
        <v>7</v>
      </c>
      <c r="AC11" s="100">
        <v>3729.5999999999995</v>
      </c>
      <c r="AD11" s="100">
        <v>7</v>
      </c>
      <c r="AE11" s="100">
        <v>3729.5999999999995</v>
      </c>
      <c r="AF11" s="100">
        <v>11</v>
      </c>
      <c r="AG11" s="100">
        <v>5860.7999999999993</v>
      </c>
      <c r="AH11" s="100">
        <v>7.5004584368902618</v>
      </c>
      <c r="AI11" s="100">
        <v>3996.244255175131</v>
      </c>
      <c r="AJ11" s="100">
        <v>8</v>
      </c>
      <c r="AK11" s="100">
        <v>4262.3999999999996</v>
      </c>
      <c r="AL11" s="100">
        <v>12</v>
      </c>
      <c r="AM11" s="100">
        <v>6393.5999999999995</v>
      </c>
      <c r="AN11" s="100">
        <v>7.4665729736245554</v>
      </c>
      <c r="AO11" s="100">
        <v>3978.1900803471626</v>
      </c>
      <c r="AP11" s="100">
        <v>7.1732660259516727</v>
      </c>
      <c r="AQ11" s="100">
        <v>3821.9161386270507</v>
      </c>
      <c r="AR11" s="100">
        <v>6.2154719827138081</v>
      </c>
      <c r="AS11" s="100">
        <v>3311.6034723899165</v>
      </c>
      <c r="AT11" s="100">
        <v>0</v>
      </c>
      <c r="AU11" s="100">
        <v>0</v>
      </c>
      <c r="AV11" s="100">
        <v>6</v>
      </c>
      <c r="AW11" s="100">
        <v>3196.7999999999997</v>
      </c>
      <c r="AX11" s="100">
        <v>5.3536972592002607</v>
      </c>
      <c r="AY11" s="100">
        <v>2852.4498997018986</v>
      </c>
      <c r="AZ11" s="100">
        <v>10</v>
      </c>
      <c r="BA11" s="100">
        <v>5328</v>
      </c>
      <c r="BB11" s="100">
        <v>7.0944400123074915</v>
      </c>
      <c r="BC11" s="100">
        <v>3779.917638557431</v>
      </c>
      <c r="BD11" s="100">
        <v>7</v>
      </c>
      <c r="BE11" s="100">
        <v>3729.5999999999995</v>
      </c>
      <c r="BF11" s="100">
        <v>6</v>
      </c>
      <c r="BG11" s="100">
        <v>3196.7999999999997</v>
      </c>
      <c r="BH11" s="100">
        <v>3.1350470642396107</v>
      </c>
      <c r="BI11" s="100">
        <v>1670.3530758268644</v>
      </c>
      <c r="BJ11" s="100">
        <v>6</v>
      </c>
      <c r="BK11" s="100">
        <v>3196.7999999999997</v>
      </c>
      <c r="BL11" s="100">
        <v>8</v>
      </c>
      <c r="BM11" s="100">
        <v>4262.3999999999996</v>
      </c>
      <c r="BN11" s="100">
        <v>8</v>
      </c>
      <c r="BO11" s="100">
        <v>4262.3999999999996</v>
      </c>
      <c r="BP11" s="100">
        <v>7</v>
      </c>
      <c r="BQ11" s="100">
        <v>3729.5999999999995</v>
      </c>
      <c r="BR11" s="100">
        <v>9</v>
      </c>
      <c r="BS11" s="100">
        <v>4795.2</v>
      </c>
      <c r="BT11" s="100">
        <v>13</v>
      </c>
      <c r="BU11" s="100">
        <v>6926.4</v>
      </c>
      <c r="BV11" s="100">
        <v>8.8513581289320857</v>
      </c>
      <c r="BW11" s="100">
        <v>4716.003611095015</v>
      </c>
      <c r="BX11" s="100">
        <v>10</v>
      </c>
      <c r="BY11" s="100">
        <v>5328</v>
      </c>
      <c r="BZ11" s="100">
        <v>7</v>
      </c>
      <c r="CA11" s="100">
        <v>3729.5999999999995</v>
      </c>
      <c r="CB11" s="100">
        <v>10</v>
      </c>
      <c r="CC11" s="100">
        <v>5328</v>
      </c>
      <c r="CD11" s="100">
        <v>6.0814335401669748</v>
      </c>
      <c r="CE11" s="100">
        <v>3240.1877902009637</v>
      </c>
      <c r="CF11" s="100">
        <v>7</v>
      </c>
      <c r="CG11" s="100">
        <v>3729.5999999999995</v>
      </c>
      <c r="CH11" s="100">
        <v>9</v>
      </c>
      <c r="CI11" s="100">
        <v>4795.2</v>
      </c>
      <c r="CJ11" s="100">
        <v>13</v>
      </c>
      <c r="CK11" s="100">
        <v>6926.4</v>
      </c>
      <c r="CL11" s="100">
        <v>11</v>
      </c>
      <c r="CM11" s="100">
        <v>5860.7999999999993</v>
      </c>
      <c r="CN11" s="100">
        <v>4.9530769171886355</v>
      </c>
      <c r="CO11" s="100">
        <v>2638.9993814781046</v>
      </c>
      <c r="CP11" s="100">
        <v>8</v>
      </c>
      <c r="CQ11" s="100">
        <v>4262.3999999999996</v>
      </c>
      <c r="CR11" s="100">
        <v>5.7358151384795075</v>
      </c>
      <c r="CS11" s="100">
        <v>3056.0423057818812</v>
      </c>
      <c r="CT11" s="100">
        <v>2.5156946468048798</v>
      </c>
      <c r="CU11" s="100">
        <v>1340.3621078176398</v>
      </c>
    </row>
    <row r="12" spans="1:99">
      <c r="C12" s="99" t="s">
        <v>178</v>
      </c>
      <c r="D12" s="100">
        <v>9</v>
      </c>
      <c r="E12" s="100">
        <v>5065.2</v>
      </c>
      <c r="F12" s="100">
        <v>10</v>
      </c>
      <c r="G12" s="100">
        <v>5628</v>
      </c>
      <c r="H12" s="100">
        <v>10</v>
      </c>
      <c r="I12" s="100">
        <v>5628</v>
      </c>
      <c r="J12" s="100">
        <v>11</v>
      </c>
      <c r="K12" s="100">
        <v>6190.7999999999993</v>
      </c>
      <c r="L12" s="100">
        <v>10</v>
      </c>
      <c r="M12" s="100">
        <v>5628</v>
      </c>
      <c r="N12" s="100">
        <v>7</v>
      </c>
      <c r="O12" s="100">
        <v>3939.5999999999995</v>
      </c>
      <c r="P12" s="100">
        <v>8</v>
      </c>
      <c r="Q12" s="100">
        <v>4502.3999999999996</v>
      </c>
      <c r="R12" s="100">
        <v>9</v>
      </c>
      <c r="S12" s="100">
        <v>5065.2</v>
      </c>
      <c r="T12" s="100">
        <v>11</v>
      </c>
      <c r="U12" s="100">
        <v>6190.7999999999993</v>
      </c>
      <c r="V12" s="100">
        <v>7</v>
      </c>
      <c r="W12" s="100">
        <v>3939.5999999999995</v>
      </c>
      <c r="X12" s="100">
        <v>11</v>
      </c>
      <c r="Y12" s="100">
        <v>6190.7999999999993</v>
      </c>
      <c r="Z12" s="100">
        <v>8</v>
      </c>
      <c r="AA12" s="100">
        <v>4502.3999999999996</v>
      </c>
      <c r="AB12" s="100">
        <v>6</v>
      </c>
      <c r="AC12" s="100">
        <v>3376.7999999999997</v>
      </c>
      <c r="AD12" s="100">
        <v>7</v>
      </c>
      <c r="AE12" s="100">
        <v>3939.5999999999995</v>
      </c>
      <c r="AF12" s="100">
        <v>12</v>
      </c>
      <c r="AG12" s="100">
        <v>6753.5999999999995</v>
      </c>
      <c r="AH12" s="100">
        <v>7.5004584368902618</v>
      </c>
      <c r="AI12" s="100">
        <v>4221.2580082818386</v>
      </c>
      <c r="AJ12" s="100">
        <v>7</v>
      </c>
      <c r="AK12" s="100">
        <v>3939.5999999999995</v>
      </c>
      <c r="AL12" s="100">
        <v>10</v>
      </c>
      <c r="AM12" s="100">
        <v>5628</v>
      </c>
      <c r="AN12" s="100">
        <v>8.3998945953276252</v>
      </c>
      <c r="AO12" s="100">
        <v>4727.460678250387</v>
      </c>
      <c r="AP12" s="100">
        <v>7.9702955843907484</v>
      </c>
      <c r="AQ12" s="100">
        <v>4485.6823548951124</v>
      </c>
      <c r="AR12" s="100">
        <v>6.2154719827138081</v>
      </c>
      <c r="AS12" s="100">
        <v>3498.0676318713308</v>
      </c>
      <c r="AT12" s="100">
        <v>0</v>
      </c>
      <c r="AU12" s="100">
        <v>0</v>
      </c>
      <c r="AV12" s="100">
        <v>6</v>
      </c>
      <c r="AW12" s="100">
        <v>3376.7999999999997</v>
      </c>
      <c r="AX12" s="100">
        <v>5.3536972592002607</v>
      </c>
      <c r="AY12" s="100">
        <v>3013.0608174779063</v>
      </c>
      <c r="AZ12" s="100">
        <v>10</v>
      </c>
      <c r="BA12" s="100">
        <v>5628</v>
      </c>
      <c r="BB12" s="100">
        <v>7.8038840135382408</v>
      </c>
      <c r="BC12" s="100">
        <v>4392.0259228193217</v>
      </c>
      <c r="BD12" s="100">
        <v>7</v>
      </c>
      <c r="BE12" s="100">
        <v>3939.5999999999995</v>
      </c>
      <c r="BF12" s="100">
        <v>6</v>
      </c>
      <c r="BG12" s="100">
        <v>3376.7999999999997</v>
      </c>
      <c r="BH12" s="100">
        <v>3.1350470642396107</v>
      </c>
      <c r="BI12" s="100">
        <v>1764.4044877540528</v>
      </c>
      <c r="BJ12" s="100">
        <v>6</v>
      </c>
      <c r="BK12" s="100">
        <v>3376.7999999999997</v>
      </c>
      <c r="BL12" s="100">
        <v>7</v>
      </c>
      <c r="BM12" s="100">
        <v>3939.5999999999995</v>
      </c>
      <c r="BN12" s="100">
        <v>9</v>
      </c>
      <c r="BO12" s="100">
        <v>5065.2</v>
      </c>
      <c r="BP12" s="100">
        <v>6</v>
      </c>
      <c r="BQ12" s="100">
        <v>3376.7999999999997</v>
      </c>
      <c r="BR12" s="100">
        <v>8</v>
      </c>
      <c r="BS12" s="100">
        <v>4502.3999999999996</v>
      </c>
      <c r="BT12" s="100">
        <v>12</v>
      </c>
      <c r="BU12" s="100">
        <v>6753.5999999999995</v>
      </c>
      <c r="BV12" s="100">
        <v>9.6560270497440932</v>
      </c>
      <c r="BW12" s="100">
        <v>5434.4120235959754</v>
      </c>
      <c r="BX12" s="100">
        <v>11</v>
      </c>
      <c r="BY12" s="100">
        <v>6190.7999999999993</v>
      </c>
      <c r="BZ12" s="100">
        <v>8</v>
      </c>
      <c r="CA12" s="100">
        <v>4502.3999999999996</v>
      </c>
      <c r="CB12" s="100">
        <v>10</v>
      </c>
      <c r="CC12" s="100">
        <v>5628</v>
      </c>
      <c r="CD12" s="100">
        <v>6.6895768941836726</v>
      </c>
      <c r="CE12" s="100">
        <v>3764.8938760465708</v>
      </c>
      <c r="CF12" s="100">
        <v>7</v>
      </c>
      <c r="CG12" s="100">
        <v>3939.5999999999995</v>
      </c>
      <c r="CH12" s="100">
        <v>10</v>
      </c>
      <c r="CI12" s="100">
        <v>5628</v>
      </c>
      <c r="CJ12" s="100">
        <v>13</v>
      </c>
      <c r="CK12" s="100">
        <v>7316.4</v>
      </c>
      <c r="CL12" s="100">
        <v>11</v>
      </c>
      <c r="CM12" s="100">
        <v>6190.7999999999993</v>
      </c>
      <c r="CN12" s="100">
        <v>5.6606593339298694</v>
      </c>
      <c r="CO12" s="100">
        <v>3185.8190731357304</v>
      </c>
      <c r="CP12" s="100">
        <v>10</v>
      </c>
      <c r="CQ12" s="100">
        <v>5628</v>
      </c>
      <c r="CR12" s="100">
        <v>5.7358151384795075</v>
      </c>
      <c r="CS12" s="100">
        <v>3228.1167599362666</v>
      </c>
      <c r="CT12" s="100">
        <v>2.7672641114853676</v>
      </c>
      <c r="CU12" s="100">
        <v>1557.4162419439647</v>
      </c>
    </row>
    <row r="13" spans="1:99">
      <c r="C13" s="99" t="s">
        <v>179</v>
      </c>
      <c r="D13" s="100">
        <v>9</v>
      </c>
      <c r="E13" s="100">
        <v>766.80000000000007</v>
      </c>
      <c r="F13" s="100">
        <v>9</v>
      </c>
      <c r="G13" s="100">
        <v>766.80000000000007</v>
      </c>
      <c r="H13" s="100">
        <v>10</v>
      </c>
      <c r="I13" s="100">
        <v>852</v>
      </c>
      <c r="J13" s="100">
        <v>10</v>
      </c>
      <c r="K13" s="100">
        <v>852</v>
      </c>
      <c r="L13" s="100">
        <v>11</v>
      </c>
      <c r="M13" s="100">
        <v>937.2</v>
      </c>
      <c r="N13" s="100">
        <v>7</v>
      </c>
      <c r="O13" s="100">
        <v>596.4</v>
      </c>
      <c r="P13" s="100">
        <v>7</v>
      </c>
      <c r="Q13" s="100">
        <v>596.4</v>
      </c>
      <c r="R13" s="100">
        <v>9</v>
      </c>
      <c r="S13" s="100">
        <v>766.80000000000007</v>
      </c>
      <c r="T13" s="100">
        <v>10</v>
      </c>
      <c r="U13" s="100">
        <v>852</v>
      </c>
      <c r="V13" s="100">
        <v>7</v>
      </c>
      <c r="W13" s="100">
        <v>596.4</v>
      </c>
      <c r="X13" s="100">
        <v>10</v>
      </c>
      <c r="Y13" s="100">
        <v>852</v>
      </c>
      <c r="Z13" s="100">
        <v>9</v>
      </c>
      <c r="AA13" s="100">
        <v>766.80000000000007</v>
      </c>
      <c r="AB13" s="100">
        <v>7</v>
      </c>
      <c r="AC13" s="100">
        <v>596.4</v>
      </c>
      <c r="AD13" s="100">
        <v>8</v>
      </c>
      <c r="AE13" s="100">
        <v>681.6</v>
      </c>
      <c r="AF13" s="100">
        <v>11</v>
      </c>
      <c r="AG13" s="100">
        <v>937.2</v>
      </c>
      <c r="AH13" s="100">
        <v>8.1823182947893773</v>
      </c>
      <c r="AI13" s="100">
        <v>697.13351871605494</v>
      </c>
      <c r="AJ13" s="100">
        <v>8</v>
      </c>
      <c r="AK13" s="100">
        <v>681.6</v>
      </c>
      <c r="AL13" s="100">
        <v>12</v>
      </c>
      <c r="AM13" s="100">
        <v>1022.4000000000001</v>
      </c>
      <c r="AN13" s="100">
        <v>7.4665729736245554</v>
      </c>
      <c r="AO13" s="100">
        <v>636.15201735281209</v>
      </c>
      <c r="AP13" s="100">
        <v>7.9702955843907484</v>
      </c>
      <c r="AQ13" s="100">
        <v>679.06918379009176</v>
      </c>
      <c r="AR13" s="100">
        <v>7.5966879788724313</v>
      </c>
      <c r="AS13" s="100">
        <v>647.23781579993113</v>
      </c>
      <c r="AT13" s="100">
        <v>0</v>
      </c>
      <c r="AU13" s="100">
        <v>0</v>
      </c>
      <c r="AV13" s="100">
        <v>6</v>
      </c>
      <c r="AW13" s="100">
        <v>511.20000000000005</v>
      </c>
      <c r="AX13" s="100">
        <v>5.3536972592002607</v>
      </c>
      <c r="AY13" s="100">
        <v>456.13500648386224</v>
      </c>
      <c r="AZ13" s="100">
        <v>9</v>
      </c>
      <c r="BA13" s="100">
        <v>766.80000000000007</v>
      </c>
      <c r="BB13" s="100">
        <v>8.5133280147689891</v>
      </c>
      <c r="BC13" s="100">
        <v>725.33554685831791</v>
      </c>
      <c r="BD13" s="100">
        <v>7</v>
      </c>
      <c r="BE13" s="100">
        <v>596.4</v>
      </c>
      <c r="BF13" s="100">
        <v>6</v>
      </c>
      <c r="BG13" s="100">
        <v>511.20000000000005</v>
      </c>
      <c r="BH13" s="100">
        <v>3.4833856269329013</v>
      </c>
      <c r="BI13" s="100">
        <v>296.78445541468318</v>
      </c>
      <c r="BJ13" s="100">
        <v>6</v>
      </c>
      <c r="BK13" s="100">
        <v>511.20000000000005</v>
      </c>
      <c r="BL13" s="100">
        <v>7</v>
      </c>
      <c r="BM13" s="100">
        <v>596.4</v>
      </c>
      <c r="BN13" s="100">
        <v>10</v>
      </c>
      <c r="BO13" s="100">
        <v>852</v>
      </c>
      <c r="BP13" s="100">
        <v>7</v>
      </c>
      <c r="BQ13" s="100">
        <v>596.4</v>
      </c>
      <c r="BR13" s="100">
        <v>10</v>
      </c>
      <c r="BS13" s="100">
        <v>852</v>
      </c>
      <c r="BT13" s="100">
        <v>12</v>
      </c>
      <c r="BU13" s="100">
        <v>1022.4000000000001</v>
      </c>
      <c r="BV13" s="100">
        <v>9.6560270497440932</v>
      </c>
      <c r="BW13" s="100">
        <v>822.69350463819671</v>
      </c>
      <c r="BX13" s="100">
        <v>11</v>
      </c>
      <c r="BY13" s="100">
        <v>937.2</v>
      </c>
      <c r="BZ13" s="100">
        <v>7</v>
      </c>
      <c r="CA13" s="100">
        <v>596.4</v>
      </c>
      <c r="CB13" s="100">
        <v>11</v>
      </c>
      <c r="CC13" s="100">
        <v>937.2</v>
      </c>
      <c r="CD13" s="100">
        <v>6.6895768941836726</v>
      </c>
      <c r="CE13" s="100">
        <v>569.95195138444888</v>
      </c>
      <c r="CF13" s="100">
        <v>7</v>
      </c>
      <c r="CG13" s="100">
        <v>596.4</v>
      </c>
      <c r="CH13" s="100">
        <v>9</v>
      </c>
      <c r="CI13" s="100">
        <v>766.80000000000007</v>
      </c>
      <c r="CJ13" s="100">
        <v>14</v>
      </c>
      <c r="CK13" s="100">
        <v>1192.8</v>
      </c>
      <c r="CL13" s="100">
        <v>11</v>
      </c>
      <c r="CM13" s="100">
        <v>937.2</v>
      </c>
      <c r="CN13" s="100">
        <v>4.9530769171886355</v>
      </c>
      <c r="CO13" s="100">
        <v>422.00215334447176</v>
      </c>
      <c r="CP13" s="100">
        <v>10</v>
      </c>
      <c r="CQ13" s="100">
        <v>852</v>
      </c>
      <c r="CR13" s="100">
        <v>5.7358151384795075</v>
      </c>
      <c r="CS13" s="100">
        <v>488.69144979845407</v>
      </c>
      <c r="CT13" s="100">
        <v>2.7672641114853676</v>
      </c>
      <c r="CU13" s="100">
        <v>235.77090229855332</v>
      </c>
    </row>
    <row r="14" spans="1:99">
      <c r="C14" s="99" t="s">
        <v>180</v>
      </c>
      <c r="D14" s="100">
        <v>8</v>
      </c>
      <c r="E14" s="100">
        <v>3907.2</v>
      </c>
      <c r="F14" s="100">
        <v>10</v>
      </c>
      <c r="G14" s="100">
        <v>4884</v>
      </c>
      <c r="H14" s="100">
        <v>10</v>
      </c>
      <c r="I14" s="100">
        <v>4884</v>
      </c>
      <c r="J14" s="100">
        <v>10</v>
      </c>
      <c r="K14" s="100">
        <v>4884</v>
      </c>
      <c r="L14" s="100">
        <v>10</v>
      </c>
      <c r="M14" s="100">
        <v>4884</v>
      </c>
      <c r="N14" s="100">
        <v>7</v>
      </c>
      <c r="O14" s="100">
        <v>3418.7999999999997</v>
      </c>
      <c r="P14" s="100">
        <v>7</v>
      </c>
      <c r="Q14" s="100">
        <v>3418.7999999999997</v>
      </c>
      <c r="R14" s="100">
        <v>9</v>
      </c>
      <c r="S14" s="100">
        <v>4395.5999999999995</v>
      </c>
      <c r="T14" s="100">
        <v>11</v>
      </c>
      <c r="U14" s="100">
        <v>5372.4</v>
      </c>
      <c r="V14" s="100">
        <v>6</v>
      </c>
      <c r="W14" s="100">
        <v>2930.3999999999996</v>
      </c>
      <c r="X14" s="100">
        <v>10</v>
      </c>
      <c r="Y14" s="100">
        <v>4884</v>
      </c>
      <c r="Z14" s="100">
        <v>9</v>
      </c>
      <c r="AA14" s="100">
        <v>4395.5999999999995</v>
      </c>
      <c r="AB14" s="100">
        <v>6</v>
      </c>
      <c r="AC14" s="100">
        <v>2930.3999999999996</v>
      </c>
      <c r="AD14" s="100">
        <v>7</v>
      </c>
      <c r="AE14" s="100">
        <v>3418.7999999999997</v>
      </c>
      <c r="AF14" s="100">
        <v>12</v>
      </c>
      <c r="AG14" s="100">
        <v>5860.7999999999993</v>
      </c>
      <c r="AH14" s="100">
        <v>6.8185985789911481</v>
      </c>
      <c r="AI14" s="100">
        <v>3330.2035459792764</v>
      </c>
      <c r="AJ14" s="100">
        <v>8</v>
      </c>
      <c r="AK14" s="100">
        <v>3907.2</v>
      </c>
      <c r="AL14" s="100">
        <v>10</v>
      </c>
      <c r="AM14" s="100">
        <v>4884</v>
      </c>
      <c r="AN14" s="100">
        <v>8.3998945953276252</v>
      </c>
      <c r="AO14" s="100">
        <v>4102.508520358012</v>
      </c>
      <c r="AP14" s="100">
        <v>7.1732660259516727</v>
      </c>
      <c r="AQ14" s="100">
        <v>3503.4231270747969</v>
      </c>
      <c r="AR14" s="100">
        <v>6.9060799807931188</v>
      </c>
      <c r="AS14" s="100">
        <v>3372.9294626193591</v>
      </c>
      <c r="AT14" s="100">
        <v>0</v>
      </c>
      <c r="AU14" s="100">
        <v>0</v>
      </c>
      <c r="AV14" s="100">
        <v>6</v>
      </c>
      <c r="AW14" s="100">
        <v>2930.3999999999996</v>
      </c>
      <c r="AX14" s="100">
        <v>5.8403970100366491</v>
      </c>
      <c r="AY14" s="100">
        <v>2852.4498997018991</v>
      </c>
      <c r="AZ14" s="100">
        <v>10</v>
      </c>
      <c r="BA14" s="100">
        <v>4884</v>
      </c>
      <c r="BB14" s="100">
        <v>8.5133280147689891</v>
      </c>
      <c r="BC14" s="100">
        <v>4157.9094024131737</v>
      </c>
      <c r="BD14" s="100">
        <v>7</v>
      </c>
      <c r="BE14" s="100">
        <v>3418.7999999999997</v>
      </c>
      <c r="BF14" s="100">
        <v>7</v>
      </c>
      <c r="BG14" s="100">
        <v>3418.7999999999997</v>
      </c>
      <c r="BH14" s="100">
        <v>3.1350470642396107</v>
      </c>
      <c r="BI14" s="100">
        <v>1531.1569861746257</v>
      </c>
      <c r="BJ14" s="100">
        <v>7</v>
      </c>
      <c r="BK14" s="100">
        <v>3418.7999999999997</v>
      </c>
      <c r="BL14" s="100">
        <v>8</v>
      </c>
      <c r="BM14" s="100">
        <v>3907.2</v>
      </c>
      <c r="BN14" s="100">
        <v>9</v>
      </c>
      <c r="BO14" s="100">
        <v>4395.5999999999995</v>
      </c>
      <c r="BP14" s="100">
        <v>7</v>
      </c>
      <c r="BQ14" s="100">
        <v>3418.7999999999997</v>
      </c>
      <c r="BR14" s="100">
        <v>9</v>
      </c>
      <c r="BS14" s="100">
        <v>4395.5999999999995</v>
      </c>
      <c r="BT14" s="100">
        <v>12</v>
      </c>
      <c r="BU14" s="100">
        <v>5860.7999999999993</v>
      </c>
      <c r="BV14" s="100">
        <v>8.0466892081200765</v>
      </c>
      <c r="BW14" s="100">
        <v>3930.0030092458451</v>
      </c>
      <c r="BX14" s="100">
        <v>11</v>
      </c>
      <c r="BY14" s="100">
        <v>5372.4</v>
      </c>
      <c r="BZ14" s="100">
        <v>7</v>
      </c>
      <c r="CA14" s="100">
        <v>3418.7999999999997</v>
      </c>
      <c r="CB14" s="100">
        <v>11</v>
      </c>
      <c r="CC14" s="100">
        <v>5372.4</v>
      </c>
      <c r="CD14" s="100">
        <v>6.0814335401669748</v>
      </c>
      <c r="CE14" s="100">
        <v>2970.1721410175505</v>
      </c>
      <c r="CF14" s="100">
        <v>8</v>
      </c>
      <c r="CG14" s="100">
        <v>3907.2</v>
      </c>
      <c r="CH14" s="100">
        <v>10</v>
      </c>
      <c r="CI14" s="100">
        <v>4884</v>
      </c>
      <c r="CJ14" s="100">
        <v>11</v>
      </c>
      <c r="CK14" s="100">
        <v>5372.4</v>
      </c>
      <c r="CL14" s="100">
        <v>10</v>
      </c>
      <c r="CM14" s="100">
        <v>4884</v>
      </c>
      <c r="CN14" s="100">
        <v>5.6606593339298694</v>
      </c>
      <c r="CO14" s="100">
        <v>2764.6660186913482</v>
      </c>
      <c r="CP14" s="100">
        <v>9</v>
      </c>
      <c r="CQ14" s="100">
        <v>4395.5999999999995</v>
      </c>
      <c r="CR14" s="100">
        <v>5.7358151384795075</v>
      </c>
      <c r="CS14" s="100">
        <v>2801.3721136333916</v>
      </c>
      <c r="CT14" s="100">
        <v>2.5156946468048798</v>
      </c>
      <c r="CU14" s="100">
        <v>1228.6652654995032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10</v>
      </c>
      <c r="G15" s="100">
        <v>7631.9999999999991</v>
      </c>
      <c r="H15" s="100">
        <v>10</v>
      </c>
      <c r="I15" s="100">
        <v>7631.9999999999991</v>
      </c>
      <c r="J15" s="100">
        <v>9</v>
      </c>
      <c r="K15" s="100">
        <v>6868.7999999999993</v>
      </c>
      <c r="L15" s="100">
        <v>11</v>
      </c>
      <c r="M15" s="100">
        <v>8395.1999999999989</v>
      </c>
      <c r="N15" s="100">
        <v>6</v>
      </c>
      <c r="O15" s="100">
        <v>4579.2</v>
      </c>
      <c r="P15" s="100">
        <v>7</v>
      </c>
      <c r="Q15" s="100">
        <v>5342.4</v>
      </c>
      <c r="R15" s="100">
        <v>10</v>
      </c>
      <c r="S15" s="100">
        <v>7631.9999999999991</v>
      </c>
      <c r="T15" s="100">
        <v>11</v>
      </c>
      <c r="U15" s="100">
        <v>8395.1999999999989</v>
      </c>
      <c r="V15" s="100">
        <v>6</v>
      </c>
      <c r="W15" s="100">
        <v>4579.2</v>
      </c>
      <c r="X15" s="100">
        <v>11</v>
      </c>
      <c r="Y15" s="100">
        <v>8395.1999999999989</v>
      </c>
      <c r="Z15" s="100">
        <v>9</v>
      </c>
      <c r="AA15" s="100">
        <v>6868.7999999999993</v>
      </c>
      <c r="AB15" s="100">
        <v>7</v>
      </c>
      <c r="AC15" s="100">
        <v>5342.4</v>
      </c>
      <c r="AD15" s="100">
        <v>7</v>
      </c>
      <c r="AE15" s="100">
        <v>5342.4</v>
      </c>
      <c r="AF15" s="100">
        <v>11</v>
      </c>
      <c r="AG15" s="100">
        <v>8395.1999999999989</v>
      </c>
      <c r="AH15" s="100">
        <v>6.8185985789911481</v>
      </c>
      <c r="AI15" s="100">
        <v>5203.9544354860436</v>
      </c>
      <c r="AJ15" s="100">
        <v>7</v>
      </c>
      <c r="AK15" s="100">
        <v>5342.4</v>
      </c>
      <c r="AL15" s="100">
        <v>11</v>
      </c>
      <c r="AM15" s="100">
        <v>8395.1999999999989</v>
      </c>
      <c r="AN15" s="100">
        <v>7.4665729736245554</v>
      </c>
      <c r="AO15" s="100">
        <v>5698.4884934702604</v>
      </c>
      <c r="AP15" s="100">
        <v>7.9702955843907484</v>
      </c>
      <c r="AQ15" s="100">
        <v>6082.9295900070183</v>
      </c>
      <c r="AR15" s="100">
        <v>6.9060799807931188</v>
      </c>
      <c r="AS15" s="100">
        <v>5270.7202413413079</v>
      </c>
      <c r="AT15" s="100">
        <v>0</v>
      </c>
      <c r="AU15" s="100">
        <v>0</v>
      </c>
      <c r="AV15" s="100">
        <v>5</v>
      </c>
      <c r="AW15" s="100">
        <v>3815.9999999999995</v>
      </c>
      <c r="AX15" s="100">
        <v>5.3536972592002607</v>
      </c>
      <c r="AY15" s="100">
        <v>4085.9417482216386</v>
      </c>
      <c r="AZ15" s="100">
        <v>10</v>
      </c>
      <c r="BA15" s="100">
        <v>7631.9999999999991</v>
      </c>
      <c r="BB15" s="100">
        <v>8.5133280147689891</v>
      </c>
      <c r="BC15" s="100">
        <v>6497.3719408716915</v>
      </c>
      <c r="BD15" s="100">
        <v>8</v>
      </c>
      <c r="BE15" s="100">
        <v>6105.5999999999995</v>
      </c>
      <c r="BF15" s="100">
        <v>6</v>
      </c>
      <c r="BG15" s="100">
        <v>4579.2</v>
      </c>
      <c r="BH15" s="100">
        <v>3.1350470642396107</v>
      </c>
      <c r="BI15" s="100">
        <v>2392.6679194276708</v>
      </c>
      <c r="BJ15" s="100">
        <v>6</v>
      </c>
      <c r="BK15" s="100">
        <v>4579.2</v>
      </c>
      <c r="BL15" s="100">
        <v>8</v>
      </c>
      <c r="BM15" s="100">
        <v>6105.5999999999995</v>
      </c>
      <c r="BN15" s="100">
        <v>9</v>
      </c>
      <c r="BO15" s="100">
        <v>6868.7999999999993</v>
      </c>
      <c r="BP15" s="100">
        <v>6</v>
      </c>
      <c r="BQ15" s="100">
        <v>4579.2</v>
      </c>
      <c r="BR15" s="100">
        <v>9</v>
      </c>
      <c r="BS15" s="100">
        <v>6868.7999999999993</v>
      </c>
      <c r="BT15" s="100">
        <v>13</v>
      </c>
      <c r="BU15" s="100">
        <v>9921.5999999999985</v>
      </c>
      <c r="BV15" s="100">
        <v>8.8513581289320857</v>
      </c>
      <c r="BW15" s="100">
        <v>6755.3565240009675</v>
      </c>
      <c r="BX15" s="100">
        <v>10</v>
      </c>
      <c r="BY15" s="100">
        <v>7631.9999999999991</v>
      </c>
      <c r="BZ15" s="100">
        <v>7</v>
      </c>
      <c r="CA15" s="100">
        <v>5342.4</v>
      </c>
      <c r="CB15" s="100">
        <v>10</v>
      </c>
      <c r="CC15" s="100">
        <v>7631.9999999999991</v>
      </c>
      <c r="CD15" s="100">
        <v>6.6895768941836726</v>
      </c>
      <c r="CE15" s="100">
        <v>5105.4850856409785</v>
      </c>
      <c r="CF15" s="100">
        <v>7</v>
      </c>
      <c r="CG15" s="100">
        <v>5342.4</v>
      </c>
      <c r="CH15" s="100">
        <v>8</v>
      </c>
      <c r="CI15" s="100">
        <v>6105.5999999999995</v>
      </c>
      <c r="CJ15" s="100">
        <v>12</v>
      </c>
      <c r="CK15" s="100">
        <v>9158.4</v>
      </c>
      <c r="CL15" s="100">
        <v>11</v>
      </c>
      <c r="CM15" s="100">
        <v>8395.1999999999989</v>
      </c>
      <c r="CN15" s="100">
        <v>4.9530769171886355</v>
      </c>
      <c r="CO15" s="100">
        <v>3780.1883031983662</v>
      </c>
      <c r="CP15" s="100">
        <v>9</v>
      </c>
      <c r="CQ15" s="100">
        <v>6868.7999999999993</v>
      </c>
      <c r="CR15" s="100">
        <v>5.7358151384795075</v>
      </c>
      <c r="CS15" s="100">
        <v>4377.5741136875595</v>
      </c>
      <c r="CT15" s="100">
        <v>2.5156946468048798</v>
      </c>
      <c r="CU15" s="100">
        <v>1919.9781544414841</v>
      </c>
    </row>
    <row r="16" spans="1:99">
      <c r="C16" s="99" t="s">
        <v>182</v>
      </c>
      <c r="D16" s="100">
        <v>9</v>
      </c>
      <c r="E16" s="100">
        <v>3067.2000000000003</v>
      </c>
      <c r="F16" s="100">
        <v>10</v>
      </c>
      <c r="G16" s="100">
        <v>3408</v>
      </c>
      <c r="H16" s="100">
        <v>11</v>
      </c>
      <c r="I16" s="100">
        <v>3748.8</v>
      </c>
      <c r="J16" s="100">
        <v>10</v>
      </c>
      <c r="K16" s="100">
        <v>3408</v>
      </c>
      <c r="L16" s="100">
        <v>11</v>
      </c>
      <c r="M16" s="100">
        <v>3748.8</v>
      </c>
      <c r="N16" s="100">
        <v>7</v>
      </c>
      <c r="O16" s="100">
        <v>2385.6</v>
      </c>
      <c r="P16" s="100">
        <v>7</v>
      </c>
      <c r="Q16" s="100">
        <v>2385.6</v>
      </c>
      <c r="R16" s="100">
        <v>9</v>
      </c>
      <c r="S16" s="100">
        <v>3067.2000000000003</v>
      </c>
      <c r="T16" s="100">
        <v>10</v>
      </c>
      <c r="U16" s="100">
        <v>3408</v>
      </c>
      <c r="V16" s="100">
        <v>6</v>
      </c>
      <c r="W16" s="100">
        <v>2044.8000000000002</v>
      </c>
      <c r="X16" s="100">
        <v>10</v>
      </c>
      <c r="Y16" s="100">
        <v>3408</v>
      </c>
      <c r="Z16" s="100">
        <v>8</v>
      </c>
      <c r="AA16" s="100">
        <v>2726.4</v>
      </c>
      <c r="AB16" s="100">
        <v>6</v>
      </c>
      <c r="AC16" s="100">
        <v>2044.8000000000002</v>
      </c>
      <c r="AD16" s="100">
        <v>8</v>
      </c>
      <c r="AE16" s="100">
        <v>2726.4</v>
      </c>
      <c r="AF16" s="100">
        <v>11</v>
      </c>
      <c r="AG16" s="100">
        <v>3748.8</v>
      </c>
      <c r="AH16" s="100">
        <v>7.5004584368902618</v>
      </c>
      <c r="AI16" s="100">
        <v>2556.1562352922015</v>
      </c>
      <c r="AJ16" s="100">
        <v>8</v>
      </c>
      <c r="AK16" s="100">
        <v>2726.4</v>
      </c>
      <c r="AL16" s="100">
        <v>12</v>
      </c>
      <c r="AM16" s="100">
        <v>4089.6000000000004</v>
      </c>
      <c r="AN16" s="100">
        <v>8.3998945953276252</v>
      </c>
      <c r="AO16" s="100">
        <v>2862.6840780876546</v>
      </c>
      <c r="AP16" s="100">
        <v>7.9702955843907484</v>
      </c>
      <c r="AQ16" s="100">
        <v>2716.276735160367</v>
      </c>
      <c r="AR16" s="100">
        <v>6.9060799807931188</v>
      </c>
      <c r="AS16" s="100">
        <v>2353.5920574542952</v>
      </c>
      <c r="AT16" s="100">
        <v>0</v>
      </c>
      <c r="AU16" s="100">
        <v>0</v>
      </c>
      <c r="AV16" s="100">
        <v>6</v>
      </c>
      <c r="AW16" s="100">
        <v>2044.8000000000002</v>
      </c>
      <c r="AX16" s="100">
        <v>5.8403970100366491</v>
      </c>
      <c r="AY16" s="100">
        <v>1990.4073010204902</v>
      </c>
      <c r="AZ16" s="100">
        <v>10</v>
      </c>
      <c r="BA16" s="100">
        <v>3408</v>
      </c>
      <c r="BB16" s="100">
        <v>7.8038840135382408</v>
      </c>
      <c r="BC16" s="100">
        <v>2659.5636718138326</v>
      </c>
      <c r="BD16" s="100">
        <v>8</v>
      </c>
      <c r="BE16" s="100">
        <v>2726.4</v>
      </c>
      <c r="BF16" s="100">
        <v>6</v>
      </c>
      <c r="BG16" s="100">
        <v>2044.8000000000002</v>
      </c>
      <c r="BH16" s="100">
        <v>3.1350470642396107</v>
      </c>
      <c r="BI16" s="100">
        <v>1068.4240394928593</v>
      </c>
      <c r="BJ16" s="100">
        <v>6</v>
      </c>
      <c r="BK16" s="100">
        <v>2044.8000000000002</v>
      </c>
      <c r="BL16" s="100">
        <v>8</v>
      </c>
      <c r="BM16" s="100">
        <v>2726.4</v>
      </c>
      <c r="BN16" s="100">
        <v>10</v>
      </c>
      <c r="BO16" s="100">
        <v>3408</v>
      </c>
      <c r="BP16" s="100">
        <v>7</v>
      </c>
      <c r="BQ16" s="100">
        <v>2385.6</v>
      </c>
      <c r="BR16" s="100">
        <v>10</v>
      </c>
      <c r="BS16" s="100">
        <v>3408</v>
      </c>
      <c r="BT16" s="100">
        <v>13</v>
      </c>
      <c r="BU16" s="100">
        <v>4430.4000000000005</v>
      </c>
      <c r="BV16" s="100">
        <v>8.8513581289320857</v>
      </c>
      <c r="BW16" s="100">
        <v>3016.5428503400549</v>
      </c>
      <c r="BX16" s="100">
        <v>10</v>
      </c>
      <c r="BY16" s="100">
        <v>3408</v>
      </c>
      <c r="BZ16" s="100">
        <v>7</v>
      </c>
      <c r="CA16" s="100">
        <v>2385.6</v>
      </c>
      <c r="CB16" s="100">
        <v>11</v>
      </c>
      <c r="CC16" s="100">
        <v>3748.8</v>
      </c>
      <c r="CD16" s="100">
        <v>6.0814335401669748</v>
      </c>
      <c r="CE16" s="100">
        <v>2072.5525504889051</v>
      </c>
      <c r="CF16" s="100">
        <v>7</v>
      </c>
      <c r="CG16" s="100">
        <v>2385.6</v>
      </c>
      <c r="CH16" s="100">
        <v>10</v>
      </c>
      <c r="CI16" s="100">
        <v>3408</v>
      </c>
      <c r="CJ16" s="100">
        <v>11</v>
      </c>
      <c r="CK16" s="100">
        <v>3748.8</v>
      </c>
      <c r="CL16" s="100">
        <v>10</v>
      </c>
      <c r="CM16" s="100">
        <v>3408</v>
      </c>
      <c r="CN16" s="100">
        <v>5.6606593339298694</v>
      </c>
      <c r="CO16" s="100">
        <v>1929.1527010032996</v>
      </c>
      <c r="CP16" s="100">
        <v>9</v>
      </c>
      <c r="CQ16" s="100">
        <v>3067.2000000000003</v>
      </c>
      <c r="CR16" s="100">
        <v>5.7358151384795075</v>
      </c>
      <c r="CS16" s="100">
        <v>1954.7657991938163</v>
      </c>
      <c r="CT16" s="100">
        <v>2.7672641114853676</v>
      </c>
      <c r="CU16" s="100">
        <v>943.0836091942133</v>
      </c>
    </row>
    <row r="17" spans="2:99">
      <c r="C17" s="99" t="s">
        <v>183</v>
      </c>
      <c r="D17" s="100">
        <v>8</v>
      </c>
      <c r="E17" s="100">
        <v>3379.2</v>
      </c>
      <c r="F17" s="100">
        <v>10</v>
      </c>
      <c r="G17" s="100">
        <v>4224</v>
      </c>
      <c r="H17" s="100">
        <v>9</v>
      </c>
      <c r="I17" s="100">
        <v>3801.6</v>
      </c>
      <c r="J17" s="100">
        <v>9</v>
      </c>
      <c r="K17" s="100">
        <v>3801.6</v>
      </c>
      <c r="L17" s="100">
        <v>10</v>
      </c>
      <c r="M17" s="100">
        <v>4224</v>
      </c>
      <c r="N17" s="100">
        <v>7</v>
      </c>
      <c r="O17" s="100">
        <v>2956.7999999999997</v>
      </c>
      <c r="P17" s="100">
        <v>7</v>
      </c>
      <c r="Q17" s="100">
        <v>2956.7999999999997</v>
      </c>
      <c r="R17" s="100">
        <v>9</v>
      </c>
      <c r="S17" s="100">
        <v>3801.6</v>
      </c>
      <c r="T17" s="100">
        <v>11</v>
      </c>
      <c r="U17" s="100">
        <v>4646.3999999999996</v>
      </c>
      <c r="V17" s="100">
        <v>6</v>
      </c>
      <c r="W17" s="100">
        <v>2534.3999999999996</v>
      </c>
      <c r="X17" s="100">
        <v>11</v>
      </c>
      <c r="Y17" s="100">
        <v>4646.3999999999996</v>
      </c>
      <c r="Z17" s="100">
        <v>8</v>
      </c>
      <c r="AA17" s="100">
        <v>3379.2</v>
      </c>
      <c r="AB17" s="100">
        <v>7</v>
      </c>
      <c r="AC17" s="100">
        <v>2956.7999999999997</v>
      </c>
      <c r="AD17" s="100">
        <v>7</v>
      </c>
      <c r="AE17" s="100">
        <v>2956.7999999999997</v>
      </c>
      <c r="AF17" s="100">
        <v>10</v>
      </c>
      <c r="AG17" s="100">
        <v>4224</v>
      </c>
      <c r="AH17" s="100">
        <v>7.5004584368902618</v>
      </c>
      <c r="AI17" s="100">
        <v>3168.1936437424465</v>
      </c>
      <c r="AJ17" s="100">
        <v>7</v>
      </c>
      <c r="AK17" s="100">
        <v>2956.7999999999997</v>
      </c>
      <c r="AL17" s="100">
        <v>12</v>
      </c>
      <c r="AM17" s="100">
        <v>5068.7999999999993</v>
      </c>
      <c r="AN17" s="100">
        <v>7.4665729736245554</v>
      </c>
      <c r="AO17" s="100">
        <v>3153.8804240590121</v>
      </c>
      <c r="AP17" s="100">
        <v>7.1732660259516727</v>
      </c>
      <c r="AQ17" s="100">
        <v>3029.9875693619865</v>
      </c>
      <c r="AR17" s="100">
        <v>7.5966879788724313</v>
      </c>
      <c r="AS17" s="100">
        <v>3208.8410022757148</v>
      </c>
      <c r="AT17" s="100">
        <v>0</v>
      </c>
      <c r="AU17" s="100">
        <v>0</v>
      </c>
      <c r="AV17" s="100">
        <v>6</v>
      </c>
      <c r="AW17" s="100">
        <v>2534.3999999999996</v>
      </c>
      <c r="AX17" s="100">
        <v>5.3536972592002607</v>
      </c>
      <c r="AY17" s="100">
        <v>2261.4017222861899</v>
      </c>
      <c r="AZ17" s="100">
        <v>9</v>
      </c>
      <c r="BA17" s="100">
        <v>3801.6</v>
      </c>
      <c r="BB17" s="100">
        <v>8.5133280147689891</v>
      </c>
      <c r="BC17" s="100">
        <v>3596.0297534384208</v>
      </c>
      <c r="BD17" s="100">
        <v>8</v>
      </c>
      <c r="BE17" s="100">
        <v>3379.2</v>
      </c>
      <c r="BF17" s="100">
        <v>6</v>
      </c>
      <c r="BG17" s="100">
        <v>2534.3999999999996</v>
      </c>
      <c r="BH17" s="100">
        <v>3.8317241896261915</v>
      </c>
      <c r="BI17" s="100">
        <v>1618.5202976981031</v>
      </c>
      <c r="BJ17" s="100">
        <v>6</v>
      </c>
      <c r="BK17" s="100">
        <v>2534.3999999999996</v>
      </c>
      <c r="BL17" s="100">
        <v>8</v>
      </c>
      <c r="BM17" s="100">
        <v>3379.2</v>
      </c>
      <c r="BN17" s="100">
        <v>8</v>
      </c>
      <c r="BO17" s="100">
        <v>3379.2</v>
      </c>
      <c r="BP17" s="100">
        <v>6</v>
      </c>
      <c r="BQ17" s="100">
        <v>2534.3999999999996</v>
      </c>
      <c r="BR17" s="100">
        <v>9</v>
      </c>
      <c r="BS17" s="100">
        <v>3801.6</v>
      </c>
      <c r="BT17" s="100">
        <v>11</v>
      </c>
      <c r="BU17" s="100">
        <v>4646.3999999999996</v>
      </c>
      <c r="BV17" s="100">
        <v>8.8513581289320857</v>
      </c>
      <c r="BW17" s="100">
        <v>3738.8136736609126</v>
      </c>
      <c r="BX17" s="100">
        <v>10</v>
      </c>
      <c r="BY17" s="100">
        <v>4224</v>
      </c>
      <c r="BZ17" s="100">
        <v>7</v>
      </c>
      <c r="CA17" s="100">
        <v>2956.7999999999997</v>
      </c>
      <c r="CB17" s="100">
        <v>11</v>
      </c>
      <c r="CC17" s="100">
        <v>4646.3999999999996</v>
      </c>
      <c r="CD17" s="100">
        <v>7.2977202482003714</v>
      </c>
      <c r="CE17" s="100">
        <v>3082.5570328398367</v>
      </c>
      <c r="CF17" s="100">
        <v>7</v>
      </c>
      <c r="CG17" s="100">
        <v>2956.7999999999997</v>
      </c>
      <c r="CH17" s="100">
        <v>9</v>
      </c>
      <c r="CI17" s="100">
        <v>3801.6</v>
      </c>
      <c r="CJ17" s="100">
        <v>11</v>
      </c>
      <c r="CK17" s="100">
        <v>4646.3999999999996</v>
      </c>
      <c r="CL17" s="100">
        <v>10</v>
      </c>
      <c r="CM17" s="100">
        <v>4224</v>
      </c>
      <c r="CN17" s="100">
        <v>5.6606593339298694</v>
      </c>
      <c r="CO17" s="100">
        <v>2391.0625026519765</v>
      </c>
      <c r="CP17" s="100">
        <v>9</v>
      </c>
      <c r="CQ17" s="100">
        <v>3801.6</v>
      </c>
      <c r="CR17" s="100">
        <v>5.0985023453151177</v>
      </c>
      <c r="CS17" s="100">
        <v>2153.6073906611055</v>
      </c>
      <c r="CT17" s="100">
        <v>2.5156946468048798</v>
      </c>
      <c r="CU17" s="100">
        <v>1062.6294188103811</v>
      </c>
    </row>
    <row r="18" spans="2:99">
      <c r="C18" s="99" t="s">
        <v>184</v>
      </c>
      <c r="D18" s="100">
        <v>9</v>
      </c>
      <c r="E18" s="100">
        <v>5875.2</v>
      </c>
      <c r="F18" s="100">
        <v>9</v>
      </c>
      <c r="G18" s="100">
        <v>5875.2</v>
      </c>
      <c r="H18" s="100">
        <v>9</v>
      </c>
      <c r="I18" s="100">
        <v>5875.2</v>
      </c>
      <c r="J18" s="100">
        <v>10</v>
      </c>
      <c r="K18" s="100">
        <v>6528</v>
      </c>
      <c r="L18" s="100">
        <v>10</v>
      </c>
      <c r="M18" s="100">
        <v>6528</v>
      </c>
      <c r="N18" s="100">
        <v>7</v>
      </c>
      <c r="O18" s="100">
        <v>4569.5999999999995</v>
      </c>
      <c r="P18" s="100">
        <v>7</v>
      </c>
      <c r="Q18" s="100">
        <v>4569.5999999999995</v>
      </c>
      <c r="R18" s="100">
        <v>10</v>
      </c>
      <c r="S18" s="100">
        <v>6528</v>
      </c>
      <c r="T18" s="100">
        <v>10</v>
      </c>
      <c r="U18" s="100">
        <v>6528</v>
      </c>
      <c r="V18" s="100">
        <v>7</v>
      </c>
      <c r="W18" s="100">
        <v>4569.5999999999995</v>
      </c>
      <c r="X18" s="100">
        <v>10</v>
      </c>
      <c r="Y18" s="100">
        <v>6528</v>
      </c>
      <c r="Z18" s="100">
        <v>9</v>
      </c>
      <c r="AA18" s="100">
        <v>5875.2</v>
      </c>
      <c r="AB18" s="100">
        <v>6</v>
      </c>
      <c r="AC18" s="100">
        <v>3916.7999999999997</v>
      </c>
      <c r="AD18" s="100">
        <v>8</v>
      </c>
      <c r="AE18" s="100">
        <v>5222.3999999999996</v>
      </c>
      <c r="AF18" s="100">
        <v>11</v>
      </c>
      <c r="AG18" s="100">
        <v>7180.7999999999993</v>
      </c>
      <c r="AH18" s="100">
        <v>7.5004584368902618</v>
      </c>
      <c r="AI18" s="100">
        <v>4896.2992676019621</v>
      </c>
      <c r="AJ18" s="100">
        <v>7</v>
      </c>
      <c r="AK18" s="100">
        <v>4569.5999999999995</v>
      </c>
      <c r="AL18" s="100">
        <v>11</v>
      </c>
      <c r="AM18" s="100">
        <v>7180.7999999999993</v>
      </c>
      <c r="AN18" s="100">
        <v>8.3998945953276252</v>
      </c>
      <c r="AO18" s="100">
        <v>5483.4511918298731</v>
      </c>
      <c r="AP18" s="100">
        <v>7.9702955843907484</v>
      </c>
      <c r="AQ18" s="100">
        <v>5203.0089574902804</v>
      </c>
      <c r="AR18" s="100">
        <v>6.9060799807931188</v>
      </c>
      <c r="AS18" s="100">
        <v>4508.2890114617476</v>
      </c>
      <c r="AT18" s="100">
        <v>0</v>
      </c>
      <c r="AU18" s="100">
        <v>0</v>
      </c>
      <c r="AV18" s="100">
        <v>5</v>
      </c>
      <c r="AW18" s="100">
        <v>3264</v>
      </c>
      <c r="AX18" s="100">
        <v>4.8669975083638741</v>
      </c>
      <c r="AY18" s="100">
        <v>3177.1759734599368</v>
      </c>
      <c r="AZ18" s="100">
        <v>10</v>
      </c>
      <c r="BA18" s="100">
        <v>6528</v>
      </c>
      <c r="BB18" s="100">
        <v>7.8038840135382408</v>
      </c>
      <c r="BC18" s="100">
        <v>5094.3754840377633</v>
      </c>
      <c r="BD18" s="100">
        <v>8</v>
      </c>
      <c r="BE18" s="100">
        <v>5222.3999999999996</v>
      </c>
      <c r="BF18" s="100">
        <v>6</v>
      </c>
      <c r="BG18" s="100">
        <v>3916.7999999999997</v>
      </c>
      <c r="BH18" s="100">
        <v>3.1350470642396107</v>
      </c>
      <c r="BI18" s="100">
        <v>2046.5587235356177</v>
      </c>
      <c r="BJ18" s="100">
        <v>6</v>
      </c>
      <c r="BK18" s="100">
        <v>3916.7999999999997</v>
      </c>
      <c r="BL18" s="100">
        <v>7</v>
      </c>
      <c r="BM18" s="100">
        <v>4569.5999999999995</v>
      </c>
      <c r="BN18" s="100">
        <v>8</v>
      </c>
      <c r="BO18" s="100">
        <v>5222.3999999999996</v>
      </c>
      <c r="BP18" s="100">
        <v>6</v>
      </c>
      <c r="BQ18" s="100">
        <v>3916.7999999999997</v>
      </c>
      <c r="BR18" s="100">
        <v>10</v>
      </c>
      <c r="BS18" s="100">
        <v>6528</v>
      </c>
      <c r="BT18" s="100">
        <v>11</v>
      </c>
      <c r="BU18" s="100">
        <v>7180.7999999999993</v>
      </c>
      <c r="BV18" s="100">
        <v>9.6560270497440932</v>
      </c>
      <c r="BW18" s="100">
        <v>6303.4544580729435</v>
      </c>
      <c r="BX18" s="100">
        <v>10</v>
      </c>
      <c r="BY18" s="100">
        <v>6528</v>
      </c>
      <c r="BZ18" s="100">
        <v>6</v>
      </c>
      <c r="CA18" s="100">
        <v>3916.7999999999997</v>
      </c>
      <c r="CB18" s="100">
        <v>11</v>
      </c>
      <c r="CC18" s="100">
        <v>7180.7999999999993</v>
      </c>
      <c r="CD18" s="100">
        <v>6.0814335401669748</v>
      </c>
      <c r="CE18" s="100">
        <v>3969.9598150210008</v>
      </c>
      <c r="CF18" s="100">
        <v>7</v>
      </c>
      <c r="CG18" s="100">
        <v>4569.5999999999995</v>
      </c>
      <c r="CH18" s="100">
        <v>9</v>
      </c>
      <c r="CI18" s="100">
        <v>5875.2</v>
      </c>
      <c r="CJ18" s="100">
        <v>13</v>
      </c>
      <c r="CK18" s="100">
        <v>8486.4</v>
      </c>
      <c r="CL18" s="100">
        <v>10</v>
      </c>
      <c r="CM18" s="100">
        <v>6528</v>
      </c>
      <c r="CN18" s="100">
        <v>5.6606593339298694</v>
      </c>
      <c r="CO18" s="100">
        <v>3695.2784131894186</v>
      </c>
      <c r="CP18" s="100">
        <v>8</v>
      </c>
      <c r="CQ18" s="100">
        <v>5222.3999999999996</v>
      </c>
      <c r="CR18" s="100">
        <v>5.7358151384795075</v>
      </c>
      <c r="CS18" s="100">
        <v>3744.3401223994224</v>
      </c>
      <c r="CT18" s="100">
        <v>2.7672641114853676</v>
      </c>
      <c r="CU18" s="100">
        <v>1806.4700119776478</v>
      </c>
    </row>
    <row r="19" spans="2:99">
      <c r="C19" s="99" t="s">
        <v>185</v>
      </c>
      <c r="D19" s="100">
        <v>9</v>
      </c>
      <c r="E19" s="100">
        <v>2970</v>
      </c>
      <c r="F19" s="100">
        <v>9</v>
      </c>
      <c r="G19" s="100">
        <v>2970</v>
      </c>
      <c r="H19" s="100">
        <v>10</v>
      </c>
      <c r="I19" s="100">
        <v>3300</v>
      </c>
      <c r="J19" s="100">
        <v>10</v>
      </c>
      <c r="K19" s="100">
        <v>3300</v>
      </c>
      <c r="L19" s="100">
        <v>11</v>
      </c>
      <c r="M19" s="100">
        <v>3630</v>
      </c>
      <c r="N19" s="100">
        <v>7</v>
      </c>
      <c r="O19" s="100">
        <v>2310</v>
      </c>
      <c r="P19" s="100">
        <v>7</v>
      </c>
      <c r="Q19" s="100">
        <v>2310</v>
      </c>
      <c r="R19" s="100">
        <v>9</v>
      </c>
      <c r="S19" s="100">
        <v>2970</v>
      </c>
      <c r="T19" s="100">
        <v>10</v>
      </c>
      <c r="U19" s="100">
        <v>3300</v>
      </c>
      <c r="V19" s="100">
        <v>6</v>
      </c>
      <c r="W19" s="100">
        <v>1980</v>
      </c>
      <c r="X19" s="100">
        <v>11</v>
      </c>
      <c r="Y19" s="100">
        <v>3630</v>
      </c>
      <c r="Z19" s="100">
        <v>8</v>
      </c>
      <c r="AA19" s="100">
        <v>2640</v>
      </c>
      <c r="AB19" s="100">
        <v>7</v>
      </c>
      <c r="AC19" s="100">
        <v>2310</v>
      </c>
      <c r="AD19" s="100">
        <v>8</v>
      </c>
      <c r="AE19" s="100">
        <v>2640</v>
      </c>
      <c r="AF19" s="100">
        <v>12</v>
      </c>
      <c r="AG19" s="100">
        <v>3960</v>
      </c>
      <c r="AH19" s="100">
        <v>8.1823182947893773</v>
      </c>
      <c r="AI19" s="100">
        <v>2700.1650372804947</v>
      </c>
      <c r="AJ19" s="100">
        <v>7</v>
      </c>
      <c r="AK19" s="100">
        <v>2310</v>
      </c>
      <c r="AL19" s="100">
        <v>12</v>
      </c>
      <c r="AM19" s="100">
        <v>3960</v>
      </c>
      <c r="AN19" s="100">
        <v>7.4665729736245554</v>
      </c>
      <c r="AO19" s="100">
        <v>2463.9690812961035</v>
      </c>
      <c r="AP19" s="100">
        <v>7.9702955843907484</v>
      </c>
      <c r="AQ19" s="100">
        <v>2630.1975428489468</v>
      </c>
      <c r="AR19" s="100">
        <v>6.9060799807931188</v>
      </c>
      <c r="AS19" s="100">
        <v>2279.0063936617294</v>
      </c>
      <c r="AT19" s="100">
        <v>0</v>
      </c>
      <c r="AU19" s="100">
        <v>0</v>
      </c>
      <c r="AV19" s="100">
        <v>6</v>
      </c>
      <c r="AW19" s="100">
        <v>1980</v>
      </c>
      <c r="AX19" s="100">
        <v>6.3270967608730357</v>
      </c>
      <c r="AY19" s="100">
        <v>2087.9419310881017</v>
      </c>
      <c r="AZ19" s="100">
        <v>10</v>
      </c>
      <c r="BA19" s="100">
        <v>3300</v>
      </c>
      <c r="BB19" s="100">
        <v>7.8038840135382408</v>
      </c>
      <c r="BC19" s="100">
        <v>2575.2817244676194</v>
      </c>
      <c r="BD19" s="100">
        <v>7</v>
      </c>
      <c r="BE19" s="100">
        <v>2310</v>
      </c>
      <c r="BF19" s="100">
        <v>6</v>
      </c>
      <c r="BG19" s="100">
        <v>1980</v>
      </c>
      <c r="BH19" s="100">
        <v>3.1350470642396107</v>
      </c>
      <c r="BI19" s="100">
        <v>1034.5655311990715</v>
      </c>
      <c r="BJ19" s="100">
        <v>6</v>
      </c>
      <c r="BK19" s="100">
        <v>1980</v>
      </c>
      <c r="BL19" s="100">
        <v>8</v>
      </c>
      <c r="BM19" s="100">
        <v>2640</v>
      </c>
      <c r="BN19" s="100">
        <v>9</v>
      </c>
      <c r="BO19" s="100">
        <v>2970</v>
      </c>
      <c r="BP19" s="100">
        <v>7</v>
      </c>
      <c r="BQ19" s="100">
        <v>2310</v>
      </c>
      <c r="BR19" s="100">
        <v>9</v>
      </c>
      <c r="BS19" s="100">
        <v>2970</v>
      </c>
      <c r="BT19" s="100">
        <v>13</v>
      </c>
      <c r="BU19" s="100">
        <v>4290</v>
      </c>
      <c r="BV19" s="100">
        <v>8.8513581289320857</v>
      </c>
      <c r="BW19" s="100">
        <v>2920.9481825475882</v>
      </c>
      <c r="BX19" s="100">
        <v>10</v>
      </c>
      <c r="BY19" s="100">
        <v>3300</v>
      </c>
      <c r="BZ19" s="100">
        <v>7</v>
      </c>
      <c r="CA19" s="100">
        <v>2310</v>
      </c>
      <c r="CB19" s="100">
        <v>12</v>
      </c>
      <c r="CC19" s="100">
        <v>3960</v>
      </c>
      <c r="CD19" s="100">
        <v>7.2977202482003714</v>
      </c>
      <c r="CE19" s="100">
        <v>2408.2476819061226</v>
      </c>
      <c r="CF19" s="100">
        <v>8</v>
      </c>
      <c r="CG19" s="100">
        <v>2640</v>
      </c>
      <c r="CH19" s="100">
        <v>10</v>
      </c>
      <c r="CI19" s="100">
        <v>3300</v>
      </c>
      <c r="CJ19" s="100">
        <v>12</v>
      </c>
      <c r="CK19" s="100">
        <v>3960</v>
      </c>
      <c r="CL19" s="100">
        <v>11</v>
      </c>
      <c r="CM19" s="100">
        <v>3630</v>
      </c>
      <c r="CN19" s="100">
        <v>5.6606593339298694</v>
      </c>
      <c r="CO19" s="100">
        <v>1868.0175801968569</v>
      </c>
      <c r="CP19" s="100">
        <v>10</v>
      </c>
      <c r="CQ19" s="100">
        <v>3300</v>
      </c>
      <c r="CR19" s="100">
        <v>5.0985023453151177</v>
      </c>
      <c r="CS19" s="100">
        <v>1682.5057739539889</v>
      </c>
      <c r="CT19" s="100">
        <v>2.7672641114853676</v>
      </c>
      <c r="CU19" s="100">
        <v>913.19715679017133</v>
      </c>
    </row>
    <row r="20" spans="2:99">
      <c r="B20" s="99" t="s">
        <v>127</v>
      </c>
      <c r="C20" s="99" t="s">
        <v>186</v>
      </c>
      <c r="D20" s="100">
        <v>12</v>
      </c>
      <c r="E20" s="100">
        <v>3441.6000000000004</v>
      </c>
      <c r="F20" s="100">
        <v>12</v>
      </c>
      <c r="G20" s="100">
        <v>3441.6000000000004</v>
      </c>
      <c r="H20" s="100">
        <v>17</v>
      </c>
      <c r="I20" s="100">
        <v>4875.6000000000004</v>
      </c>
      <c r="J20" s="100">
        <v>19</v>
      </c>
      <c r="K20" s="100">
        <v>5449.2</v>
      </c>
      <c r="L20" s="100">
        <v>10</v>
      </c>
      <c r="M20" s="100">
        <v>2868</v>
      </c>
      <c r="N20" s="100">
        <v>17</v>
      </c>
      <c r="O20" s="100">
        <v>4875.6000000000004</v>
      </c>
      <c r="P20" s="100">
        <v>17</v>
      </c>
      <c r="Q20" s="100">
        <v>4875.6000000000004</v>
      </c>
      <c r="R20" s="100">
        <v>20</v>
      </c>
      <c r="S20" s="100">
        <v>5736</v>
      </c>
      <c r="T20" s="100">
        <v>14</v>
      </c>
      <c r="U20" s="100">
        <v>4015.2000000000003</v>
      </c>
      <c r="V20" s="100">
        <v>14</v>
      </c>
      <c r="W20" s="100">
        <v>4015.2000000000003</v>
      </c>
      <c r="X20" s="100">
        <v>19</v>
      </c>
      <c r="Y20" s="100">
        <v>5449.2</v>
      </c>
      <c r="Z20" s="100">
        <v>20</v>
      </c>
      <c r="AA20" s="100">
        <v>5736</v>
      </c>
      <c r="AB20" s="100">
        <v>13</v>
      </c>
      <c r="AC20" s="100">
        <v>3728.4</v>
      </c>
      <c r="AD20" s="100">
        <v>17</v>
      </c>
      <c r="AE20" s="100">
        <v>4875.6000000000004</v>
      </c>
      <c r="AF20" s="100">
        <v>15</v>
      </c>
      <c r="AG20" s="100">
        <v>4302</v>
      </c>
      <c r="AH20" s="100">
        <v>12.95533730008318</v>
      </c>
      <c r="AI20" s="100">
        <v>3715.5907376638561</v>
      </c>
      <c r="AJ20" s="100">
        <v>20</v>
      </c>
      <c r="AK20" s="100">
        <v>5736</v>
      </c>
      <c r="AL20" s="100">
        <v>21</v>
      </c>
      <c r="AM20" s="100">
        <v>6022.8</v>
      </c>
      <c r="AN20" s="100">
        <v>13.99982432554604</v>
      </c>
      <c r="AO20" s="100">
        <v>4015.1496165666044</v>
      </c>
      <c r="AP20" s="100">
        <v>11.158413818147046</v>
      </c>
      <c r="AQ20" s="100">
        <v>3200.233083044573</v>
      </c>
      <c r="AR20" s="100">
        <v>10.359119971189678</v>
      </c>
      <c r="AS20" s="100">
        <v>2970.9956077371999</v>
      </c>
      <c r="AT20" s="100">
        <v>0</v>
      </c>
      <c r="AU20" s="100">
        <v>0</v>
      </c>
      <c r="AV20" s="100">
        <v>19</v>
      </c>
      <c r="AW20" s="100">
        <v>5449.2</v>
      </c>
      <c r="AX20" s="100">
        <v>8.2738957642185849</v>
      </c>
      <c r="AY20" s="100">
        <v>2372.9533051778903</v>
      </c>
      <c r="AZ20" s="100">
        <v>12</v>
      </c>
      <c r="BA20" s="100">
        <v>3441.6000000000004</v>
      </c>
      <c r="BB20" s="100">
        <v>12.060548020922736</v>
      </c>
      <c r="BC20" s="100">
        <v>3458.9651724006408</v>
      </c>
      <c r="BD20" s="100">
        <v>12</v>
      </c>
      <c r="BE20" s="100">
        <v>3441.6000000000004</v>
      </c>
      <c r="BF20" s="100">
        <v>12</v>
      </c>
      <c r="BG20" s="100">
        <v>3441.6000000000004</v>
      </c>
      <c r="BH20" s="100">
        <v>5.921755565785932</v>
      </c>
      <c r="BI20" s="100">
        <v>1698.3594962674053</v>
      </c>
      <c r="BJ20" s="100">
        <v>13</v>
      </c>
      <c r="BK20" s="100">
        <v>3728.4</v>
      </c>
      <c r="BL20" s="100">
        <v>18</v>
      </c>
      <c r="BM20" s="100">
        <v>5162.4000000000005</v>
      </c>
      <c r="BN20" s="100">
        <v>15</v>
      </c>
      <c r="BO20" s="100">
        <v>4302</v>
      </c>
      <c r="BP20" s="100">
        <v>13</v>
      </c>
      <c r="BQ20" s="100">
        <v>3728.4</v>
      </c>
      <c r="BR20" s="100">
        <v>12</v>
      </c>
      <c r="BS20" s="100">
        <v>3441.6000000000004</v>
      </c>
      <c r="BT20" s="100">
        <v>23</v>
      </c>
      <c r="BU20" s="100">
        <v>6596.4000000000005</v>
      </c>
      <c r="BV20" s="100">
        <v>16.898047337052162</v>
      </c>
      <c r="BW20" s="100">
        <v>4846.3599762665599</v>
      </c>
      <c r="BX20" s="100">
        <v>16</v>
      </c>
      <c r="BY20" s="100">
        <v>4588.8</v>
      </c>
      <c r="BZ20" s="100">
        <v>11</v>
      </c>
      <c r="CA20" s="100">
        <v>3154.8</v>
      </c>
      <c r="CB20" s="100">
        <v>19</v>
      </c>
      <c r="CC20" s="100">
        <v>5449.2</v>
      </c>
      <c r="CD20" s="100">
        <v>14.595440496400743</v>
      </c>
      <c r="CE20" s="100">
        <v>4185.9723343677333</v>
      </c>
      <c r="CF20" s="100">
        <v>15</v>
      </c>
      <c r="CG20" s="100">
        <v>4302</v>
      </c>
      <c r="CH20" s="100">
        <v>21</v>
      </c>
      <c r="CI20" s="100">
        <v>6022.8</v>
      </c>
      <c r="CJ20" s="100">
        <v>18</v>
      </c>
      <c r="CK20" s="100">
        <v>5162.4000000000005</v>
      </c>
      <c r="CL20" s="100">
        <v>12</v>
      </c>
      <c r="CM20" s="100">
        <v>3441.6000000000004</v>
      </c>
      <c r="CN20" s="100">
        <v>10.613736251118505</v>
      </c>
      <c r="CO20" s="100">
        <v>3044.0195568207873</v>
      </c>
      <c r="CP20" s="100">
        <v>20</v>
      </c>
      <c r="CQ20" s="100">
        <v>5736</v>
      </c>
      <c r="CR20" s="100">
        <v>9.5596918974658447</v>
      </c>
      <c r="CS20" s="100">
        <v>2741.7196361932042</v>
      </c>
      <c r="CT20" s="100">
        <v>4.2766808995682952</v>
      </c>
      <c r="CU20" s="100">
        <v>1226.5520819961871</v>
      </c>
    </row>
    <row r="21" spans="2:99">
      <c r="C21" s="99" t="s">
        <v>187</v>
      </c>
      <c r="D21" s="100">
        <v>11</v>
      </c>
      <c r="E21" s="100">
        <v>686.4</v>
      </c>
      <c r="F21" s="100">
        <v>12</v>
      </c>
      <c r="G21" s="100">
        <v>748.8</v>
      </c>
      <c r="H21" s="100">
        <v>16</v>
      </c>
      <c r="I21" s="100">
        <v>998.4</v>
      </c>
      <c r="J21" s="100">
        <v>17</v>
      </c>
      <c r="K21" s="100">
        <v>1060.8</v>
      </c>
      <c r="L21" s="100">
        <v>10</v>
      </c>
      <c r="M21" s="100">
        <v>624</v>
      </c>
      <c r="N21" s="100">
        <v>16</v>
      </c>
      <c r="O21" s="100">
        <v>998.4</v>
      </c>
      <c r="P21" s="100">
        <v>18</v>
      </c>
      <c r="Q21" s="100">
        <v>1123.2</v>
      </c>
      <c r="R21" s="100">
        <v>21</v>
      </c>
      <c r="S21" s="100">
        <v>1310.3999999999999</v>
      </c>
      <c r="T21" s="100">
        <v>14</v>
      </c>
      <c r="U21" s="100">
        <v>873.6</v>
      </c>
      <c r="V21" s="100">
        <v>14</v>
      </c>
      <c r="W21" s="100">
        <v>873.6</v>
      </c>
      <c r="X21" s="100">
        <v>18</v>
      </c>
      <c r="Y21" s="100">
        <v>1123.2</v>
      </c>
      <c r="Z21" s="100">
        <v>19</v>
      </c>
      <c r="AA21" s="100">
        <v>1185.5999999999999</v>
      </c>
      <c r="AB21" s="100">
        <v>13</v>
      </c>
      <c r="AC21" s="100">
        <v>811.19999999999993</v>
      </c>
      <c r="AD21" s="100">
        <v>17</v>
      </c>
      <c r="AE21" s="100">
        <v>1060.8</v>
      </c>
      <c r="AF21" s="100">
        <v>14</v>
      </c>
      <c r="AG21" s="100">
        <v>873.6</v>
      </c>
      <c r="AH21" s="100">
        <v>15.000916873780524</v>
      </c>
      <c r="AI21" s="100">
        <v>936.05721292390467</v>
      </c>
      <c r="AJ21" s="100">
        <v>22</v>
      </c>
      <c r="AK21" s="100">
        <v>1372.8</v>
      </c>
      <c r="AL21" s="100">
        <v>22</v>
      </c>
      <c r="AM21" s="100">
        <v>1372.8</v>
      </c>
      <c r="AN21" s="100">
        <v>12.133181082139902</v>
      </c>
      <c r="AO21" s="100">
        <v>757.11049952552992</v>
      </c>
      <c r="AP21" s="100">
        <v>11.158413818147046</v>
      </c>
      <c r="AQ21" s="100">
        <v>696.28502225237571</v>
      </c>
      <c r="AR21" s="100">
        <v>11.740335967348303</v>
      </c>
      <c r="AS21" s="100">
        <v>732.5969643625341</v>
      </c>
      <c r="AT21" s="100">
        <v>0</v>
      </c>
      <c r="AU21" s="100">
        <v>0</v>
      </c>
      <c r="AV21" s="100">
        <v>22</v>
      </c>
      <c r="AW21" s="100">
        <v>1372.8</v>
      </c>
      <c r="AX21" s="100">
        <v>7.7871960133821982</v>
      </c>
      <c r="AY21" s="100">
        <v>485.92103123504916</v>
      </c>
      <c r="AZ21" s="100">
        <v>14</v>
      </c>
      <c r="BA21" s="100">
        <v>873.6</v>
      </c>
      <c r="BB21" s="100">
        <v>12.060548020922736</v>
      </c>
      <c r="BC21" s="100">
        <v>752.57819650557872</v>
      </c>
      <c r="BD21" s="100">
        <v>12</v>
      </c>
      <c r="BE21" s="100">
        <v>748.8</v>
      </c>
      <c r="BF21" s="100">
        <v>14</v>
      </c>
      <c r="BG21" s="100">
        <v>873.6</v>
      </c>
      <c r="BH21" s="100">
        <v>5.5734170030926418</v>
      </c>
      <c r="BI21" s="100">
        <v>347.78122099298082</v>
      </c>
      <c r="BJ21" s="100">
        <v>12</v>
      </c>
      <c r="BK21" s="100">
        <v>748.8</v>
      </c>
      <c r="BL21" s="100">
        <v>16</v>
      </c>
      <c r="BM21" s="100">
        <v>998.4</v>
      </c>
      <c r="BN21" s="100">
        <v>14</v>
      </c>
      <c r="BO21" s="100">
        <v>873.6</v>
      </c>
      <c r="BP21" s="100">
        <v>14</v>
      </c>
      <c r="BQ21" s="100">
        <v>873.6</v>
      </c>
      <c r="BR21" s="100">
        <v>14</v>
      </c>
      <c r="BS21" s="100">
        <v>873.6</v>
      </c>
      <c r="BT21" s="100">
        <v>25</v>
      </c>
      <c r="BU21" s="100">
        <v>1560</v>
      </c>
      <c r="BV21" s="100">
        <v>16.093378416240153</v>
      </c>
      <c r="BW21" s="100">
        <v>1004.2268131733855</v>
      </c>
      <c r="BX21" s="100">
        <v>14</v>
      </c>
      <c r="BY21" s="100">
        <v>873.6</v>
      </c>
      <c r="BZ21" s="100">
        <v>12</v>
      </c>
      <c r="CA21" s="100">
        <v>748.8</v>
      </c>
      <c r="CB21" s="100">
        <v>20</v>
      </c>
      <c r="CC21" s="100">
        <v>1248</v>
      </c>
      <c r="CD21" s="100">
        <v>13.987297142384044</v>
      </c>
      <c r="CE21" s="100">
        <v>872.80734168476431</v>
      </c>
      <c r="CF21" s="100">
        <v>14</v>
      </c>
      <c r="CG21" s="100">
        <v>873.6</v>
      </c>
      <c r="CH21" s="100">
        <v>21</v>
      </c>
      <c r="CI21" s="100">
        <v>1310.3999999999999</v>
      </c>
      <c r="CJ21" s="100">
        <v>18</v>
      </c>
      <c r="CK21" s="100">
        <v>1123.2</v>
      </c>
      <c r="CL21" s="100">
        <v>12</v>
      </c>
      <c r="CM21" s="100">
        <v>748.8</v>
      </c>
      <c r="CN21" s="100">
        <v>12.028901084600973</v>
      </c>
      <c r="CO21" s="100">
        <v>750.60342767910072</v>
      </c>
      <c r="CP21" s="100">
        <v>21</v>
      </c>
      <c r="CQ21" s="100">
        <v>1310.3999999999999</v>
      </c>
      <c r="CR21" s="100">
        <v>10.834317483794626</v>
      </c>
      <c r="CS21" s="100">
        <v>676.0614109887847</v>
      </c>
      <c r="CT21" s="100">
        <v>4.0251114348878074</v>
      </c>
      <c r="CU21" s="100">
        <v>251.16695353699919</v>
      </c>
    </row>
    <row r="22" spans="2:99">
      <c r="C22" s="99" t="s">
        <v>188</v>
      </c>
      <c r="D22" s="100">
        <v>13</v>
      </c>
      <c r="E22" s="100">
        <v>2433.6</v>
      </c>
      <c r="F22" s="100">
        <v>12</v>
      </c>
      <c r="G22" s="100">
        <v>2246.3999999999996</v>
      </c>
      <c r="H22" s="100">
        <v>15</v>
      </c>
      <c r="I22" s="100">
        <v>2808</v>
      </c>
      <c r="J22" s="100">
        <v>18</v>
      </c>
      <c r="K22" s="100">
        <v>3369.6</v>
      </c>
      <c r="L22" s="100">
        <v>10</v>
      </c>
      <c r="M22" s="100">
        <v>1872</v>
      </c>
      <c r="N22" s="100">
        <v>17</v>
      </c>
      <c r="O22" s="100">
        <v>3182.3999999999996</v>
      </c>
      <c r="P22" s="100">
        <v>18</v>
      </c>
      <c r="Q22" s="100">
        <v>3369.6</v>
      </c>
      <c r="R22" s="100">
        <v>20</v>
      </c>
      <c r="S22" s="100">
        <v>3744</v>
      </c>
      <c r="T22" s="100">
        <v>14</v>
      </c>
      <c r="U22" s="100">
        <v>2620.7999999999997</v>
      </c>
      <c r="V22" s="100">
        <v>14</v>
      </c>
      <c r="W22" s="100">
        <v>2620.7999999999997</v>
      </c>
      <c r="X22" s="100">
        <v>19</v>
      </c>
      <c r="Y22" s="100">
        <v>3556.7999999999997</v>
      </c>
      <c r="Z22" s="100">
        <v>20</v>
      </c>
      <c r="AA22" s="100">
        <v>3744</v>
      </c>
      <c r="AB22" s="100">
        <v>13</v>
      </c>
      <c r="AC22" s="100">
        <v>2433.6</v>
      </c>
      <c r="AD22" s="100">
        <v>16</v>
      </c>
      <c r="AE22" s="100">
        <v>2995.2</v>
      </c>
      <c r="AF22" s="100">
        <v>15</v>
      </c>
      <c r="AG22" s="100">
        <v>2808</v>
      </c>
      <c r="AH22" s="100">
        <v>12.95533730008318</v>
      </c>
      <c r="AI22" s="100">
        <v>2425.2391425755709</v>
      </c>
      <c r="AJ22" s="100">
        <v>22</v>
      </c>
      <c r="AK22" s="100">
        <v>4118.3999999999996</v>
      </c>
      <c r="AL22" s="100">
        <v>19</v>
      </c>
      <c r="AM22" s="100">
        <v>3556.7999999999997</v>
      </c>
      <c r="AN22" s="100">
        <v>12.133181082139902</v>
      </c>
      <c r="AO22" s="100">
        <v>2271.3314985765896</v>
      </c>
      <c r="AP22" s="100">
        <v>11.955443376586121</v>
      </c>
      <c r="AQ22" s="100">
        <v>2238.0590000969219</v>
      </c>
      <c r="AR22" s="100">
        <v>11.740335967348303</v>
      </c>
      <c r="AS22" s="100">
        <v>2197.7908930876019</v>
      </c>
      <c r="AT22" s="100">
        <v>0</v>
      </c>
      <c r="AU22" s="100">
        <v>0</v>
      </c>
      <c r="AV22" s="100">
        <v>21</v>
      </c>
      <c r="AW22" s="100">
        <v>3931.2</v>
      </c>
      <c r="AX22" s="100">
        <v>7.7871960133821982</v>
      </c>
      <c r="AY22" s="100">
        <v>1457.7630937051474</v>
      </c>
      <c r="AZ22" s="100">
        <v>14</v>
      </c>
      <c r="BA22" s="100">
        <v>2620.7999999999997</v>
      </c>
      <c r="BB22" s="100">
        <v>11.351104019691986</v>
      </c>
      <c r="BC22" s="100">
        <v>2124.9266724863396</v>
      </c>
      <c r="BD22" s="100">
        <v>14</v>
      </c>
      <c r="BE22" s="100">
        <v>2620.7999999999997</v>
      </c>
      <c r="BF22" s="100">
        <v>14</v>
      </c>
      <c r="BG22" s="100">
        <v>2620.7999999999997</v>
      </c>
      <c r="BH22" s="100">
        <v>5.921755565785932</v>
      </c>
      <c r="BI22" s="100">
        <v>1108.5526419151263</v>
      </c>
      <c r="BJ22" s="100">
        <v>13</v>
      </c>
      <c r="BK22" s="100">
        <v>2433.6</v>
      </c>
      <c r="BL22" s="100">
        <v>17</v>
      </c>
      <c r="BM22" s="100">
        <v>3182.3999999999996</v>
      </c>
      <c r="BN22" s="100">
        <v>15</v>
      </c>
      <c r="BO22" s="100">
        <v>2808</v>
      </c>
      <c r="BP22" s="100">
        <v>12</v>
      </c>
      <c r="BQ22" s="100">
        <v>2246.3999999999996</v>
      </c>
      <c r="BR22" s="100">
        <v>14</v>
      </c>
      <c r="BS22" s="100">
        <v>2620.7999999999997</v>
      </c>
      <c r="BT22" s="100">
        <v>22</v>
      </c>
      <c r="BU22" s="100">
        <v>4118.3999999999996</v>
      </c>
      <c r="BV22" s="100">
        <v>15.288709495428147</v>
      </c>
      <c r="BW22" s="100">
        <v>2862.0464175441489</v>
      </c>
      <c r="BX22" s="100">
        <v>15</v>
      </c>
      <c r="BY22" s="100">
        <v>2808</v>
      </c>
      <c r="BZ22" s="100">
        <v>13</v>
      </c>
      <c r="CA22" s="100">
        <v>2433.6</v>
      </c>
      <c r="CB22" s="100">
        <v>19</v>
      </c>
      <c r="CC22" s="100">
        <v>3556.7999999999997</v>
      </c>
      <c r="CD22" s="100">
        <v>13.987297142384044</v>
      </c>
      <c r="CE22" s="100">
        <v>2618.422025054293</v>
      </c>
      <c r="CF22" s="100">
        <v>14</v>
      </c>
      <c r="CG22" s="100">
        <v>2620.7999999999997</v>
      </c>
      <c r="CH22" s="100">
        <v>24</v>
      </c>
      <c r="CI22" s="100">
        <v>4492.7999999999993</v>
      </c>
      <c r="CJ22" s="100">
        <v>18</v>
      </c>
      <c r="CK22" s="100">
        <v>3369.6</v>
      </c>
      <c r="CL22" s="100">
        <v>13</v>
      </c>
      <c r="CM22" s="100">
        <v>2433.6</v>
      </c>
      <c r="CN22" s="100">
        <v>11.321318667859739</v>
      </c>
      <c r="CO22" s="100">
        <v>2119.3508546233429</v>
      </c>
      <c r="CP22" s="100">
        <v>19</v>
      </c>
      <c r="CQ22" s="100">
        <v>3556.7999999999997</v>
      </c>
      <c r="CR22" s="100">
        <v>10.834317483794626</v>
      </c>
      <c r="CS22" s="100">
        <v>2028.1842329663539</v>
      </c>
      <c r="CT22" s="100">
        <v>4.7798198289292717</v>
      </c>
      <c r="CU22" s="100">
        <v>894.78227197555964</v>
      </c>
    </row>
    <row r="23" spans="2:99">
      <c r="C23" s="99" t="s">
        <v>189</v>
      </c>
      <c r="D23" s="100">
        <v>12</v>
      </c>
      <c r="E23" s="100">
        <v>3528</v>
      </c>
      <c r="F23" s="100">
        <v>10</v>
      </c>
      <c r="G23" s="100">
        <v>2940</v>
      </c>
      <c r="H23" s="100">
        <v>15</v>
      </c>
      <c r="I23" s="100">
        <v>4410</v>
      </c>
      <c r="J23" s="100">
        <v>18</v>
      </c>
      <c r="K23" s="100">
        <v>5292</v>
      </c>
      <c r="L23" s="100">
        <v>11</v>
      </c>
      <c r="M23" s="100">
        <v>3234</v>
      </c>
      <c r="N23" s="100">
        <v>16</v>
      </c>
      <c r="O23" s="100">
        <v>4704</v>
      </c>
      <c r="P23" s="100">
        <v>17</v>
      </c>
      <c r="Q23" s="100">
        <v>4998</v>
      </c>
      <c r="R23" s="100">
        <v>20</v>
      </c>
      <c r="S23" s="100">
        <v>5880</v>
      </c>
      <c r="T23" s="100">
        <v>12</v>
      </c>
      <c r="U23" s="100">
        <v>3528</v>
      </c>
      <c r="V23" s="100">
        <v>13</v>
      </c>
      <c r="W23" s="100">
        <v>3822</v>
      </c>
      <c r="X23" s="100">
        <v>19</v>
      </c>
      <c r="Y23" s="100">
        <v>5586</v>
      </c>
      <c r="Z23" s="100">
        <v>21</v>
      </c>
      <c r="AA23" s="100">
        <v>6174</v>
      </c>
      <c r="AB23" s="100">
        <v>13</v>
      </c>
      <c r="AC23" s="100">
        <v>3822</v>
      </c>
      <c r="AD23" s="100">
        <v>16</v>
      </c>
      <c r="AE23" s="100">
        <v>4704</v>
      </c>
      <c r="AF23" s="100">
        <v>15</v>
      </c>
      <c r="AG23" s="100">
        <v>4410</v>
      </c>
      <c r="AH23" s="100">
        <v>13.637197157982296</v>
      </c>
      <c r="AI23" s="100">
        <v>4009.3359644467951</v>
      </c>
      <c r="AJ23" s="100">
        <v>20</v>
      </c>
      <c r="AK23" s="100">
        <v>5880</v>
      </c>
      <c r="AL23" s="100">
        <v>21</v>
      </c>
      <c r="AM23" s="100">
        <v>6174</v>
      </c>
      <c r="AN23" s="100">
        <v>13.066502703842971</v>
      </c>
      <c r="AO23" s="100">
        <v>3841.5517949298337</v>
      </c>
      <c r="AP23" s="100">
        <v>11.955443376586121</v>
      </c>
      <c r="AQ23" s="100">
        <v>3514.9003527163195</v>
      </c>
      <c r="AR23" s="100">
        <v>11.049727969268991</v>
      </c>
      <c r="AS23" s="100">
        <v>3248.6200229650835</v>
      </c>
      <c r="AT23" s="100">
        <v>0</v>
      </c>
      <c r="AU23" s="100">
        <v>0</v>
      </c>
      <c r="AV23" s="100">
        <v>20</v>
      </c>
      <c r="AW23" s="100">
        <v>5880</v>
      </c>
      <c r="AX23" s="100">
        <v>8.2738957642185849</v>
      </c>
      <c r="AY23" s="100">
        <v>2432.5253546802642</v>
      </c>
      <c r="AZ23" s="100">
        <v>12</v>
      </c>
      <c r="BA23" s="100">
        <v>3528</v>
      </c>
      <c r="BB23" s="100">
        <v>12.769992022153485</v>
      </c>
      <c r="BC23" s="100">
        <v>3754.3776545131245</v>
      </c>
      <c r="BD23" s="100">
        <v>13</v>
      </c>
      <c r="BE23" s="100">
        <v>3822</v>
      </c>
      <c r="BF23" s="100">
        <v>14</v>
      </c>
      <c r="BG23" s="100">
        <v>4116</v>
      </c>
      <c r="BH23" s="100">
        <v>6.2700941284792213</v>
      </c>
      <c r="BI23" s="100">
        <v>1843.407673772891</v>
      </c>
      <c r="BJ23" s="100">
        <v>11</v>
      </c>
      <c r="BK23" s="100">
        <v>3234</v>
      </c>
      <c r="BL23" s="100">
        <v>18</v>
      </c>
      <c r="BM23" s="100">
        <v>5292</v>
      </c>
      <c r="BN23" s="100">
        <v>15</v>
      </c>
      <c r="BO23" s="100">
        <v>4410</v>
      </c>
      <c r="BP23" s="100">
        <v>14</v>
      </c>
      <c r="BQ23" s="100">
        <v>4116</v>
      </c>
      <c r="BR23" s="100">
        <v>13</v>
      </c>
      <c r="BS23" s="100">
        <v>3822</v>
      </c>
      <c r="BT23" s="100">
        <v>21</v>
      </c>
      <c r="BU23" s="100">
        <v>6174</v>
      </c>
      <c r="BV23" s="100">
        <v>18.507385178676177</v>
      </c>
      <c r="BW23" s="100">
        <v>5441.171242530796</v>
      </c>
      <c r="BX23" s="100">
        <v>16</v>
      </c>
      <c r="BY23" s="100">
        <v>4704</v>
      </c>
      <c r="BZ23" s="100">
        <v>11</v>
      </c>
      <c r="CA23" s="100">
        <v>3234</v>
      </c>
      <c r="CB23" s="100">
        <v>20</v>
      </c>
      <c r="CC23" s="100">
        <v>5880</v>
      </c>
      <c r="CD23" s="100">
        <v>12.771010434350648</v>
      </c>
      <c r="CE23" s="100">
        <v>3754.6770676990905</v>
      </c>
      <c r="CF23" s="100">
        <v>14</v>
      </c>
      <c r="CG23" s="100">
        <v>4116</v>
      </c>
      <c r="CH23" s="100">
        <v>23</v>
      </c>
      <c r="CI23" s="100">
        <v>6762</v>
      </c>
      <c r="CJ23" s="100">
        <v>18</v>
      </c>
      <c r="CK23" s="100">
        <v>5292</v>
      </c>
      <c r="CL23" s="100">
        <v>13</v>
      </c>
      <c r="CM23" s="100">
        <v>3822</v>
      </c>
      <c r="CN23" s="100">
        <v>12.028901084600973</v>
      </c>
      <c r="CO23" s="100">
        <v>3536.4969188726859</v>
      </c>
      <c r="CP23" s="100">
        <v>20</v>
      </c>
      <c r="CQ23" s="100">
        <v>5880</v>
      </c>
      <c r="CR23" s="100">
        <v>10.834317483794626</v>
      </c>
      <c r="CS23" s="100">
        <v>3185.2893402356199</v>
      </c>
      <c r="CT23" s="100">
        <v>4.7798198289292717</v>
      </c>
      <c r="CU23" s="100">
        <v>1405.2670297052059</v>
      </c>
    </row>
    <row r="24" spans="2:99">
      <c r="C24" s="99" t="s">
        <v>190</v>
      </c>
      <c r="D24" s="100">
        <v>11</v>
      </c>
      <c r="E24" s="100">
        <v>4039.2</v>
      </c>
      <c r="F24" s="100">
        <v>11</v>
      </c>
      <c r="G24" s="100">
        <v>4039.2</v>
      </c>
      <c r="H24" s="100">
        <v>18</v>
      </c>
      <c r="I24" s="100">
        <v>6609.5999999999995</v>
      </c>
      <c r="J24" s="100">
        <v>18</v>
      </c>
      <c r="K24" s="100">
        <v>6609.5999999999995</v>
      </c>
      <c r="L24" s="100">
        <v>10</v>
      </c>
      <c r="M24" s="100">
        <v>3672</v>
      </c>
      <c r="N24" s="100">
        <v>16</v>
      </c>
      <c r="O24" s="100">
        <v>5875.2</v>
      </c>
      <c r="P24" s="100">
        <v>16</v>
      </c>
      <c r="Q24" s="100">
        <v>5875.2</v>
      </c>
      <c r="R24" s="100">
        <v>21</v>
      </c>
      <c r="S24" s="100">
        <v>7711.2</v>
      </c>
      <c r="T24" s="100">
        <v>13</v>
      </c>
      <c r="U24" s="100">
        <v>4773.5999999999995</v>
      </c>
      <c r="V24" s="100">
        <v>15</v>
      </c>
      <c r="W24" s="100">
        <v>5508</v>
      </c>
      <c r="X24" s="100">
        <v>17</v>
      </c>
      <c r="Y24" s="100">
        <v>6242.4</v>
      </c>
      <c r="Z24" s="100">
        <v>20</v>
      </c>
      <c r="AA24" s="100">
        <v>7344</v>
      </c>
      <c r="AB24" s="100">
        <v>12</v>
      </c>
      <c r="AC24" s="100">
        <v>4406.3999999999996</v>
      </c>
      <c r="AD24" s="100">
        <v>18</v>
      </c>
      <c r="AE24" s="100">
        <v>6609.5999999999995</v>
      </c>
      <c r="AF24" s="100">
        <v>15</v>
      </c>
      <c r="AG24" s="100">
        <v>5508</v>
      </c>
      <c r="AH24" s="100">
        <v>15.000916873780524</v>
      </c>
      <c r="AI24" s="100">
        <v>5508.3366760522085</v>
      </c>
      <c r="AJ24" s="100">
        <v>21</v>
      </c>
      <c r="AK24" s="100">
        <v>7711.2</v>
      </c>
      <c r="AL24" s="100">
        <v>20</v>
      </c>
      <c r="AM24" s="100">
        <v>7344</v>
      </c>
      <c r="AN24" s="100">
        <v>13.066502703842971</v>
      </c>
      <c r="AO24" s="100">
        <v>4798.0197928511388</v>
      </c>
      <c r="AP24" s="100">
        <v>10.361384259707972</v>
      </c>
      <c r="AQ24" s="100">
        <v>3804.7003001647672</v>
      </c>
      <c r="AR24" s="100">
        <v>10.359119971189678</v>
      </c>
      <c r="AS24" s="100">
        <v>3803.8688534208495</v>
      </c>
      <c r="AT24" s="100">
        <v>0</v>
      </c>
      <c r="AU24" s="100">
        <v>0</v>
      </c>
      <c r="AV24" s="100">
        <v>21</v>
      </c>
      <c r="AW24" s="100">
        <v>7711.2</v>
      </c>
      <c r="AX24" s="100">
        <v>7.7871960133821982</v>
      </c>
      <c r="AY24" s="100">
        <v>2859.4583761139429</v>
      </c>
      <c r="AZ24" s="100">
        <v>12</v>
      </c>
      <c r="BA24" s="100">
        <v>4406.3999999999996</v>
      </c>
      <c r="BB24" s="100">
        <v>11.351104019691986</v>
      </c>
      <c r="BC24" s="100">
        <v>4168.1253960308968</v>
      </c>
      <c r="BD24" s="100">
        <v>13</v>
      </c>
      <c r="BE24" s="100">
        <v>4773.5999999999995</v>
      </c>
      <c r="BF24" s="100">
        <v>13</v>
      </c>
      <c r="BG24" s="100">
        <v>4773.5999999999995</v>
      </c>
      <c r="BH24" s="100">
        <v>5.5734170030926418</v>
      </c>
      <c r="BI24" s="100">
        <v>2046.5587235356179</v>
      </c>
      <c r="BJ24" s="100">
        <v>12</v>
      </c>
      <c r="BK24" s="100">
        <v>4406.3999999999996</v>
      </c>
      <c r="BL24" s="100">
        <v>17</v>
      </c>
      <c r="BM24" s="100">
        <v>6242.4</v>
      </c>
      <c r="BN24" s="100">
        <v>14</v>
      </c>
      <c r="BO24" s="100">
        <v>5140.8</v>
      </c>
      <c r="BP24" s="100">
        <v>12</v>
      </c>
      <c r="BQ24" s="100">
        <v>4406.3999999999996</v>
      </c>
      <c r="BR24" s="100">
        <v>12</v>
      </c>
      <c r="BS24" s="100">
        <v>4406.3999999999996</v>
      </c>
      <c r="BT24" s="100">
        <v>23</v>
      </c>
      <c r="BU24" s="100">
        <v>8445.6</v>
      </c>
      <c r="BV24" s="100">
        <v>16.898047337052162</v>
      </c>
      <c r="BW24" s="100">
        <v>6204.9629821655535</v>
      </c>
      <c r="BX24" s="100">
        <v>14</v>
      </c>
      <c r="BY24" s="100">
        <v>5140.8</v>
      </c>
      <c r="BZ24" s="100">
        <v>12</v>
      </c>
      <c r="CA24" s="100">
        <v>4406.3999999999996</v>
      </c>
      <c r="CB24" s="100">
        <v>20</v>
      </c>
      <c r="CC24" s="100">
        <v>7344</v>
      </c>
      <c r="CD24" s="100">
        <v>13.379153788367345</v>
      </c>
      <c r="CE24" s="100">
        <v>4912.825271088489</v>
      </c>
      <c r="CF24" s="100">
        <v>14</v>
      </c>
      <c r="CG24" s="100">
        <v>5140.8</v>
      </c>
      <c r="CH24" s="100">
        <v>22</v>
      </c>
      <c r="CI24" s="100">
        <v>8078.4</v>
      </c>
      <c r="CJ24" s="100">
        <v>18</v>
      </c>
      <c r="CK24" s="100">
        <v>6609.5999999999995</v>
      </c>
      <c r="CL24" s="100">
        <v>13</v>
      </c>
      <c r="CM24" s="100">
        <v>4773.5999999999995</v>
      </c>
      <c r="CN24" s="100">
        <v>10.613736251118505</v>
      </c>
      <c r="CO24" s="100">
        <v>3897.3639514107149</v>
      </c>
      <c r="CP24" s="100">
        <v>19</v>
      </c>
      <c r="CQ24" s="100">
        <v>6976.8</v>
      </c>
      <c r="CR24" s="100">
        <v>9.5596918974658447</v>
      </c>
      <c r="CS24" s="100">
        <v>3510.318864749458</v>
      </c>
      <c r="CT24" s="100">
        <v>4.528250364248783</v>
      </c>
      <c r="CU24" s="100">
        <v>1662.7735337521531</v>
      </c>
    </row>
    <row r="25" spans="2:99">
      <c r="C25" s="99" t="s">
        <v>191</v>
      </c>
      <c r="D25" s="100">
        <v>13</v>
      </c>
      <c r="E25" s="100">
        <v>6895.2</v>
      </c>
      <c r="F25" s="100">
        <v>12</v>
      </c>
      <c r="G25" s="100">
        <v>6364.7999999999993</v>
      </c>
      <c r="H25" s="100">
        <v>15</v>
      </c>
      <c r="I25" s="100">
        <v>7956</v>
      </c>
      <c r="J25" s="100">
        <v>20</v>
      </c>
      <c r="K25" s="100">
        <v>10608</v>
      </c>
      <c r="L25" s="100">
        <v>11</v>
      </c>
      <c r="M25" s="100">
        <v>5834.4</v>
      </c>
      <c r="N25" s="100">
        <v>14</v>
      </c>
      <c r="O25" s="100">
        <v>7425.5999999999995</v>
      </c>
      <c r="P25" s="100">
        <v>16</v>
      </c>
      <c r="Q25" s="100">
        <v>8486.4</v>
      </c>
      <c r="R25" s="100">
        <v>21</v>
      </c>
      <c r="S25" s="100">
        <v>11138.4</v>
      </c>
      <c r="T25" s="100">
        <v>12</v>
      </c>
      <c r="U25" s="100">
        <v>6364.7999999999993</v>
      </c>
      <c r="V25" s="100">
        <v>14</v>
      </c>
      <c r="W25" s="100">
        <v>7425.5999999999995</v>
      </c>
      <c r="X25" s="100">
        <v>18</v>
      </c>
      <c r="Y25" s="100">
        <v>9547.1999999999989</v>
      </c>
      <c r="Z25" s="100">
        <v>19</v>
      </c>
      <c r="AA25" s="100">
        <v>10077.6</v>
      </c>
      <c r="AB25" s="100">
        <v>12</v>
      </c>
      <c r="AC25" s="100">
        <v>6364.7999999999993</v>
      </c>
      <c r="AD25" s="100">
        <v>17</v>
      </c>
      <c r="AE25" s="100">
        <v>9016.7999999999993</v>
      </c>
      <c r="AF25" s="100">
        <v>13</v>
      </c>
      <c r="AG25" s="100">
        <v>6895.2</v>
      </c>
      <c r="AH25" s="100">
        <v>15.000916873780524</v>
      </c>
      <c r="AI25" s="100">
        <v>7956.4863098531896</v>
      </c>
      <c r="AJ25" s="100">
        <v>19</v>
      </c>
      <c r="AK25" s="100">
        <v>10077.6</v>
      </c>
      <c r="AL25" s="100">
        <v>19</v>
      </c>
      <c r="AM25" s="100">
        <v>10077.6</v>
      </c>
      <c r="AN25" s="100">
        <v>13.066502703842971</v>
      </c>
      <c r="AO25" s="100">
        <v>6930.4730341183113</v>
      </c>
      <c r="AP25" s="100">
        <v>10.361384259707972</v>
      </c>
      <c r="AQ25" s="100">
        <v>5495.6782113491081</v>
      </c>
      <c r="AR25" s="100">
        <v>11.740335967348303</v>
      </c>
      <c r="AS25" s="100">
        <v>6227.0741970815398</v>
      </c>
      <c r="AT25" s="100">
        <v>0</v>
      </c>
      <c r="AU25" s="100">
        <v>0</v>
      </c>
      <c r="AV25" s="100">
        <v>19</v>
      </c>
      <c r="AW25" s="100">
        <v>10077.6</v>
      </c>
      <c r="AX25" s="100">
        <v>7.7871960133821982</v>
      </c>
      <c r="AY25" s="100">
        <v>4130.3287654979176</v>
      </c>
      <c r="AZ25" s="100">
        <v>14</v>
      </c>
      <c r="BA25" s="100">
        <v>7425.5999999999995</v>
      </c>
      <c r="BB25" s="100">
        <v>10.641660018461238</v>
      </c>
      <c r="BC25" s="100">
        <v>5644.33647379184</v>
      </c>
      <c r="BD25" s="100">
        <v>13</v>
      </c>
      <c r="BE25" s="100">
        <v>6895.2</v>
      </c>
      <c r="BF25" s="100">
        <v>12</v>
      </c>
      <c r="BG25" s="100">
        <v>6364.7999999999993</v>
      </c>
      <c r="BH25" s="100">
        <v>6.6184326911725124</v>
      </c>
      <c r="BI25" s="100">
        <v>3510.4166993979006</v>
      </c>
      <c r="BJ25" s="100">
        <v>12</v>
      </c>
      <c r="BK25" s="100">
        <v>6364.7999999999993</v>
      </c>
      <c r="BL25" s="100">
        <v>18</v>
      </c>
      <c r="BM25" s="100">
        <v>9547.1999999999989</v>
      </c>
      <c r="BN25" s="100">
        <v>14</v>
      </c>
      <c r="BO25" s="100">
        <v>7425.5999999999995</v>
      </c>
      <c r="BP25" s="100">
        <v>13</v>
      </c>
      <c r="BQ25" s="100">
        <v>6895.2</v>
      </c>
      <c r="BR25" s="100">
        <v>13</v>
      </c>
      <c r="BS25" s="100">
        <v>6895.2</v>
      </c>
      <c r="BT25" s="100">
        <v>21</v>
      </c>
      <c r="BU25" s="100">
        <v>11138.4</v>
      </c>
      <c r="BV25" s="100">
        <v>16.898047337052162</v>
      </c>
      <c r="BW25" s="100">
        <v>8962.7243075724673</v>
      </c>
      <c r="BX25" s="100">
        <v>14</v>
      </c>
      <c r="BY25" s="100">
        <v>7425.5999999999995</v>
      </c>
      <c r="BZ25" s="100">
        <v>11</v>
      </c>
      <c r="CA25" s="100">
        <v>5834.4</v>
      </c>
      <c r="CB25" s="100">
        <v>18</v>
      </c>
      <c r="CC25" s="100">
        <v>9547.1999999999989</v>
      </c>
      <c r="CD25" s="100">
        <v>13.379153788367345</v>
      </c>
      <c r="CE25" s="100">
        <v>7096.3031693500398</v>
      </c>
      <c r="CF25" s="100">
        <v>13</v>
      </c>
      <c r="CG25" s="100">
        <v>6895.2</v>
      </c>
      <c r="CH25" s="100">
        <v>23</v>
      </c>
      <c r="CI25" s="100">
        <v>12199.199999999999</v>
      </c>
      <c r="CJ25" s="100">
        <v>19</v>
      </c>
      <c r="CK25" s="100">
        <v>10077.6</v>
      </c>
      <c r="CL25" s="100">
        <v>12</v>
      </c>
      <c r="CM25" s="100">
        <v>6364.7999999999993</v>
      </c>
      <c r="CN25" s="100">
        <v>9.906153834377271</v>
      </c>
      <c r="CO25" s="100">
        <v>5254.2239937537042</v>
      </c>
      <c r="CP25" s="100">
        <v>19</v>
      </c>
      <c r="CQ25" s="100">
        <v>10077.6</v>
      </c>
      <c r="CR25" s="100">
        <v>9.5596918974658447</v>
      </c>
      <c r="CS25" s="100">
        <v>5070.4605824158834</v>
      </c>
      <c r="CT25" s="100">
        <v>4.2766808995682952</v>
      </c>
      <c r="CU25" s="100">
        <v>2268.3515491310236</v>
      </c>
    </row>
    <row r="26" spans="2:99">
      <c r="C26" s="99" t="s">
        <v>192</v>
      </c>
      <c r="D26" s="100">
        <v>12</v>
      </c>
      <c r="E26" s="100">
        <v>5832</v>
      </c>
      <c r="F26" s="100">
        <v>10</v>
      </c>
      <c r="G26" s="100">
        <v>4860</v>
      </c>
      <c r="H26" s="100">
        <v>17</v>
      </c>
      <c r="I26" s="100">
        <v>8262</v>
      </c>
      <c r="J26" s="100">
        <v>19</v>
      </c>
      <c r="K26" s="100">
        <v>9234</v>
      </c>
      <c r="L26" s="100">
        <v>10</v>
      </c>
      <c r="M26" s="100">
        <v>4860</v>
      </c>
      <c r="N26" s="100">
        <v>14</v>
      </c>
      <c r="O26" s="100">
        <v>6804</v>
      </c>
      <c r="P26" s="100">
        <v>17</v>
      </c>
      <c r="Q26" s="100">
        <v>8262</v>
      </c>
      <c r="R26" s="100">
        <v>22</v>
      </c>
      <c r="S26" s="100">
        <v>10692</v>
      </c>
      <c r="T26" s="100">
        <v>13</v>
      </c>
      <c r="U26" s="100">
        <v>6318</v>
      </c>
      <c r="V26" s="100">
        <v>15</v>
      </c>
      <c r="W26" s="100">
        <v>7290</v>
      </c>
      <c r="X26" s="100">
        <v>19</v>
      </c>
      <c r="Y26" s="100">
        <v>9234</v>
      </c>
      <c r="Z26" s="100">
        <v>20</v>
      </c>
      <c r="AA26" s="100">
        <v>9720</v>
      </c>
      <c r="AB26" s="100">
        <v>13</v>
      </c>
      <c r="AC26" s="100">
        <v>6318</v>
      </c>
      <c r="AD26" s="100">
        <v>16</v>
      </c>
      <c r="AE26" s="100">
        <v>7776</v>
      </c>
      <c r="AF26" s="100">
        <v>15</v>
      </c>
      <c r="AG26" s="100">
        <v>7290</v>
      </c>
      <c r="AH26" s="100">
        <v>12.95533730008318</v>
      </c>
      <c r="AI26" s="100">
        <v>6296.2939278404256</v>
      </c>
      <c r="AJ26" s="100">
        <v>21</v>
      </c>
      <c r="AK26" s="100">
        <v>10206</v>
      </c>
      <c r="AL26" s="100">
        <v>21</v>
      </c>
      <c r="AM26" s="100">
        <v>10206</v>
      </c>
      <c r="AN26" s="100">
        <v>12.133181082139902</v>
      </c>
      <c r="AO26" s="100">
        <v>5896.7260059199925</v>
      </c>
      <c r="AP26" s="100">
        <v>11.158413818147046</v>
      </c>
      <c r="AQ26" s="100">
        <v>5422.9891156194644</v>
      </c>
      <c r="AR26" s="100">
        <v>10.359119971189678</v>
      </c>
      <c r="AS26" s="100">
        <v>5034.5323059981838</v>
      </c>
      <c r="AT26" s="100">
        <v>0</v>
      </c>
      <c r="AU26" s="100">
        <v>0</v>
      </c>
      <c r="AV26" s="100">
        <v>21</v>
      </c>
      <c r="AW26" s="100">
        <v>10206</v>
      </c>
      <c r="AX26" s="100">
        <v>7.3004962625458116</v>
      </c>
      <c r="AY26" s="100">
        <v>3548.0411835972645</v>
      </c>
      <c r="AZ26" s="100">
        <v>12</v>
      </c>
      <c r="BA26" s="100">
        <v>5832</v>
      </c>
      <c r="BB26" s="100">
        <v>12.769992022153485</v>
      </c>
      <c r="BC26" s="100">
        <v>6206.2161227665938</v>
      </c>
      <c r="BD26" s="100">
        <v>12</v>
      </c>
      <c r="BE26" s="100">
        <v>5832</v>
      </c>
      <c r="BF26" s="100">
        <v>12</v>
      </c>
      <c r="BG26" s="100">
        <v>5832</v>
      </c>
      <c r="BH26" s="100">
        <v>5.921755565785932</v>
      </c>
      <c r="BI26" s="100">
        <v>2877.9732049719628</v>
      </c>
      <c r="BJ26" s="100">
        <v>12</v>
      </c>
      <c r="BK26" s="100">
        <v>5832</v>
      </c>
      <c r="BL26" s="100">
        <v>17</v>
      </c>
      <c r="BM26" s="100">
        <v>8262</v>
      </c>
      <c r="BN26" s="100">
        <v>15</v>
      </c>
      <c r="BO26" s="100">
        <v>7290</v>
      </c>
      <c r="BP26" s="100">
        <v>12</v>
      </c>
      <c r="BQ26" s="100">
        <v>5832</v>
      </c>
      <c r="BR26" s="100">
        <v>12</v>
      </c>
      <c r="BS26" s="100">
        <v>5832</v>
      </c>
      <c r="BT26" s="100">
        <v>23</v>
      </c>
      <c r="BU26" s="100">
        <v>11178</v>
      </c>
      <c r="BV26" s="100">
        <v>15.288709495428147</v>
      </c>
      <c r="BW26" s="100">
        <v>7430.3128147780799</v>
      </c>
      <c r="BX26" s="100">
        <v>16</v>
      </c>
      <c r="BY26" s="100">
        <v>7776</v>
      </c>
      <c r="BZ26" s="100">
        <v>12</v>
      </c>
      <c r="CA26" s="100">
        <v>5832</v>
      </c>
      <c r="CB26" s="100">
        <v>19</v>
      </c>
      <c r="CC26" s="100">
        <v>9234</v>
      </c>
      <c r="CD26" s="100">
        <v>12.16286708033395</v>
      </c>
      <c r="CE26" s="100">
        <v>5911.1534010422993</v>
      </c>
      <c r="CF26" s="100">
        <v>15</v>
      </c>
      <c r="CG26" s="100">
        <v>7290</v>
      </c>
      <c r="CH26" s="100">
        <v>23</v>
      </c>
      <c r="CI26" s="100">
        <v>11178</v>
      </c>
      <c r="CJ26" s="100">
        <v>19</v>
      </c>
      <c r="CK26" s="100">
        <v>9234</v>
      </c>
      <c r="CL26" s="100">
        <v>14</v>
      </c>
      <c r="CM26" s="100">
        <v>6804</v>
      </c>
      <c r="CN26" s="100">
        <v>10.613736251118505</v>
      </c>
      <c r="CO26" s="100">
        <v>5158.2758180435931</v>
      </c>
      <c r="CP26" s="100">
        <v>19</v>
      </c>
      <c r="CQ26" s="100">
        <v>9234</v>
      </c>
      <c r="CR26" s="100">
        <v>10.197004690630235</v>
      </c>
      <c r="CS26" s="100">
        <v>4955.7442796462947</v>
      </c>
      <c r="CT26" s="100">
        <v>4.7798198289292717</v>
      </c>
      <c r="CU26" s="100">
        <v>2322.9924368596262</v>
      </c>
    </row>
    <row r="27" spans="2:99">
      <c r="C27" s="99" t="s">
        <v>193</v>
      </c>
      <c r="D27" s="100">
        <v>11</v>
      </c>
      <c r="E27" s="100">
        <v>4699.2</v>
      </c>
      <c r="F27" s="100">
        <v>12</v>
      </c>
      <c r="G27" s="100">
        <v>5126.3999999999996</v>
      </c>
      <c r="H27" s="100">
        <v>17</v>
      </c>
      <c r="I27" s="100">
        <v>7262.4</v>
      </c>
      <c r="J27" s="100">
        <v>20</v>
      </c>
      <c r="K27" s="100">
        <v>8544</v>
      </c>
      <c r="L27" s="100">
        <v>11</v>
      </c>
      <c r="M27" s="100">
        <v>4699.2</v>
      </c>
      <c r="N27" s="100">
        <v>17</v>
      </c>
      <c r="O27" s="100">
        <v>7262.4</v>
      </c>
      <c r="P27" s="100">
        <v>15</v>
      </c>
      <c r="Q27" s="100">
        <v>6408</v>
      </c>
      <c r="R27" s="100">
        <v>20</v>
      </c>
      <c r="S27" s="100">
        <v>8544</v>
      </c>
      <c r="T27" s="100">
        <v>12</v>
      </c>
      <c r="U27" s="100">
        <v>5126.3999999999996</v>
      </c>
      <c r="V27" s="100">
        <v>13</v>
      </c>
      <c r="W27" s="100">
        <v>5553.5999999999995</v>
      </c>
      <c r="X27" s="100">
        <v>18</v>
      </c>
      <c r="Y27" s="100">
        <v>7689.5999999999995</v>
      </c>
      <c r="Z27" s="100">
        <v>19</v>
      </c>
      <c r="AA27" s="100">
        <v>8116.8</v>
      </c>
      <c r="AB27" s="100">
        <v>12</v>
      </c>
      <c r="AC27" s="100">
        <v>5126.3999999999996</v>
      </c>
      <c r="AD27" s="100">
        <v>17</v>
      </c>
      <c r="AE27" s="100">
        <v>7262.4</v>
      </c>
      <c r="AF27" s="100">
        <v>15</v>
      </c>
      <c r="AG27" s="100">
        <v>6408</v>
      </c>
      <c r="AH27" s="100">
        <v>12.95533730008318</v>
      </c>
      <c r="AI27" s="100">
        <v>5534.5200945955339</v>
      </c>
      <c r="AJ27" s="100">
        <v>18</v>
      </c>
      <c r="AK27" s="100">
        <v>7689.5999999999995</v>
      </c>
      <c r="AL27" s="100">
        <v>18</v>
      </c>
      <c r="AM27" s="100">
        <v>7689.5999999999995</v>
      </c>
      <c r="AN27" s="100">
        <v>13.99982432554604</v>
      </c>
      <c r="AO27" s="100">
        <v>5980.7249518732679</v>
      </c>
      <c r="AP27" s="100">
        <v>11.158413818147046</v>
      </c>
      <c r="AQ27" s="100">
        <v>4766.8743831124184</v>
      </c>
      <c r="AR27" s="100">
        <v>9.6685119731103661</v>
      </c>
      <c r="AS27" s="100">
        <v>4130.3883149127487</v>
      </c>
      <c r="AT27" s="100">
        <v>0</v>
      </c>
      <c r="AU27" s="100">
        <v>0</v>
      </c>
      <c r="AV27" s="100">
        <v>20</v>
      </c>
      <c r="AW27" s="100">
        <v>8544</v>
      </c>
      <c r="AX27" s="100">
        <v>7.3004962625458116</v>
      </c>
      <c r="AY27" s="100">
        <v>3118.7720033595706</v>
      </c>
      <c r="AZ27" s="100">
        <v>12</v>
      </c>
      <c r="BA27" s="100">
        <v>5126.3999999999996</v>
      </c>
      <c r="BB27" s="100">
        <v>10.641660018461238</v>
      </c>
      <c r="BC27" s="100">
        <v>4546.1171598866404</v>
      </c>
      <c r="BD27" s="100">
        <v>13</v>
      </c>
      <c r="BE27" s="100">
        <v>5553.5999999999995</v>
      </c>
      <c r="BF27" s="100">
        <v>14</v>
      </c>
      <c r="BG27" s="100">
        <v>5980.8</v>
      </c>
      <c r="BH27" s="100">
        <v>5.5734170030926418</v>
      </c>
      <c r="BI27" s="100">
        <v>2380.9637437211763</v>
      </c>
      <c r="BJ27" s="100">
        <v>13</v>
      </c>
      <c r="BK27" s="100">
        <v>5553.5999999999995</v>
      </c>
      <c r="BL27" s="100">
        <v>18</v>
      </c>
      <c r="BM27" s="100">
        <v>7689.5999999999995</v>
      </c>
      <c r="BN27" s="100">
        <v>15</v>
      </c>
      <c r="BO27" s="100">
        <v>6408</v>
      </c>
      <c r="BP27" s="100">
        <v>12</v>
      </c>
      <c r="BQ27" s="100">
        <v>5126.3999999999996</v>
      </c>
      <c r="BR27" s="100">
        <v>14</v>
      </c>
      <c r="BS27" s="100">
        <v>5980.8</v>
      </c>
      <c r="BT27" s="100">
        <v>21</v>
      </c>
      <c r="BU27" s="100">
        <v>8971.1999999999989</v>
      </c>
      <c r="BV27" s="100">
        <v>17.702716257864171</v>
      </c>
      <c r="BW27" s="100">
        <v>7562.6003853595739</v>
      </c>
      <c r="BX27" s="100">
        <v>15</v>
      </c>
      <c r="BY27" s="100">
        <v>6408</v>
      </c>
      <c r="BZ27" s="100">
        <v>11</v>
      </c>
      <c r="CA27" s="100">
        <v>4699.2</v>
      </c>
      <c r="CB27" s="100">
        <v>20</v>
      </c>
      <c r="CC27" s="100">
        <v>8544</v>
      </c>
      <c r="CD27" s="100">
        <v>13.379153788367345</v>
      </c>
      <c r="CE27" s="100">
        <v>5715.5744983905297</v>
      </c>
      <c r="CF27" s="100">
        <v>14</v>
      </c>
      <c r="CG27" s="100">
        <v>5980.8</v>
      </c>
      <c r="CH27" s="100">
        <v>21</v>
      </c>
      <c r="CI27" s="100">
        <v>8971.1999999999989</v>
      </c>
      <c r="CJ27" s="100">
        <v>18</v>
      </c>
      <c r="CK27" s="100">
        <v>7689.5999999999995</v>
      </c>
      <c r="CL27" s="100">
        <v>14</v>
      </c>
      <c r="CM27" s="100">
        <v>5980.8</v>
      </c>
      <c r="CN27" s="100">
        <v>11.321318667859739</v>
      </c>
      <c r="CO27" s="100">
        <v>4836.4673349096802</v>
      </c>
      <c r="CP27" s="100">
        <v>19</v>
      </c>
      <c r="CQ27" s="100">
        <v>8116.8</v>
      </c>
      <c r="CR27" s="100">
        <v>10.834317483794626</v>
      </c>
      <c r="CS27" s="100">
        <v>4628.420429077064</v>
      </c>
      <c r="CT27" s="100">
        <v>4.0251114348878074</v>
      </c>
      <c r="CU27" s="100">
        <v>1719.5276049840713</v>
      </c>
    </row>
    <row r="28" spans="2:99">
      <c r="C28" s="99" t="s">
        <v>194</v>
      </c>
      <c r="D28" s="100">
        <v>12</v>
      </c>
      <c r="E28" s="100">
        <v>8856</v>
      </c>
      <c r="F28" s="100">
        <v>12</v>
      </c>
      <c r="G28" s="100">
        <v>8856</v>
      </c>
      <c r="H28" s="100">
        <v>16</v>
      </c>
      <c r="I28" s="100">
        <v>11808</v>
      </c>
      <c r="J28" s="100">
        <v>20</v>
      </c>
      <c r="K28" s="100">
        <v>14760</v>
      </c>
      <c r="L28" s="100">
        <v>11</v>
      </c>
      <c r="M28" s="100">
        <v>8118</v>
      </c>
      <c r="N28" s="100">
        <v>17</v>
      </c>
      <c r="O28" s="100">
        <v>12546</v>
      </c>
      <c r="P28" s="100">
        <v>18</v>
      </c>
      <c r="Q28" s="100">
        <v>13284</v>
      </c>
      <c r="R28" s="100">
        <v>18</v>
      </c>
      <c r="S28" s="100">
        <v>13284</v>
      </c>
      <c r="T28" s="100">
        <v>13</v>
      </c>
      <c r="U28" s="100">
        <v>9594</v>
      </c>
      <c r="V28" s="100">
        <v>15</v>
      </c>
      <c r="W28" s="100">
        <v>11070</v>
      </c>
      <c r="X28" s="100">
        <v>17</v>
      </c>
      <c r="Y28" s="100">
        <v>12546</v>
      </c>
      <c r="Z28" s="100">
        <v>20</v>
      </c>
      <c r="AA28" s="100">
        <v>14760</v>
      </c>
      <c r="AB28" s="100">
        <v>11</v>
      </c>
      <c r="AC28" s="100">
        <v>8118</v>
      </c>
      <c r="AD28" s="100">
        <v>15</v>
      </c>
      <c r="AE28" s="100">
        <v>11070</v>
      </c>
      <c r="AF28" s="100">
        <v>14</v>
      </c>
      <c r="AG28" s="100">
        <v>10332</v>
      </c>
      <c r="AH28" s="100">
        <v>13.637197157982296</v>
      </c>
      <c r="AI28" s="100">
        <v>10064.251502590934</v>
      </c>
      <c r="AJ28" s="100">
        <v>20</v>
      </c>
      <c r="AK28" s="100">
        <v>14760</v>
      </c>
      <c r="AL28" s="100">
        <v>20</v>
      </c>
      <c r="AM28" s="100">
        <v>14760</v>
      </c>
      <c r="AN28" s="100">
        <v>11.199859460436832</v>
      </c>
      <c r="AO28" s="100">
        <v>8265.4962818023814</v>
      </c>
      <c r="AP28" s="100">
        <v>10.361384259707972</v>
      </c>
      <c r="AQ28" s="100">
        <v>7646.7015836644832</v>
      </c>
      <c r="AR28" s="100">
        <v>9.6685119731103661</v>
      </c>
      <c r="AS28" s="100">
        <v>7135.36183615545</v>
      </c>
      <c r="AT28" s="100">
        <v>0</v>
      </c>
      <c r="AU28" s="100">
        <v>0</v>
      </c>
      <c r="AV28" s="100">
        <v>19</v>
      </c>
      <c r="AW28" s="100">
        <v>14022</v>
      </c>
      <c r="AX28" s="100">
        <v>7.3004962625458116</v>
      </c>
      <c r="AY28" s="100">
        <v>5387.766241758809</v>
      </c>
      <c r="AZ28" s="100">
        <v>12</v>
      </c>
      <c r="BA28" s="100">
        <v>8856</v>
      </c>
      <c r="BB28" s="100">
        <v>12.060548020922736</v>
      </c>
      <c r="BC28" s="100">
        <v>8900.68443944098</v>
      </c>
      <c r="BD28" s="100">
        <v>13</v>
      </c>
      <c r="BE28" s="100">
        <v>9594</v>
      </c>
      <c r="BF28" s="100">
        <v>12</v>
      </c>
      <c r="BG28" s="100">
        <v>8856</v>
      </c>
      <c r="BH28" s="100">
        <v>6.6184326911725124</v>
      </c>
      <c r="BI28" s="100">
        <v>4884.4033260853139</v>
      </c>
      <c r="BJ28" s="100">
        <v>12</v>
      </c>
      <c r="BK28" s="100">
        <v>8856</v>
      </c>
      <c r="BL28" s="100">
        <v>17</v>
      </c>
      <c r="BM28" s="100">
        <v>12546</v>
      </c>
      <c r="BN28" s="100">
        <v>15</v>
      </c>
      <c r="BO28" s="100">
        <v>11070</v>
      </c>
      <c r="BP28" s="100">
        <v>12</v>
      </c>
      <c r="BQ28" s="100">
        <v>8856</v>
      </c>
      <c r="BR28" s="100">
        <v>13</v>
      </c>
      <c r="BS28" s="100">
        <v>9594</v>
      </c>
      <c r="BT28" s="100">
        <v>23</v>
      </c>
      <c r="BU28" s="100">
        <v>16974</v>
      </c>
      <c r="BV28" s="100">
        <v>16.898047337052162</v>
      </c>
      <c r="BW28" s="100">
        <v>12470.758934744495</v>
      </c>
      <c r="BX28" s="100">
        <v>15</v>
      </c>
      <c r="BY28" s="100">
        <v>11070</v>
      </c>
      <c r="BZ28" s="100">
        <v>12</v>
      </c>
      <c r="CA28" s="100">
        <v>8856</v>
      </c>
      <c r="CB28" s="100">
        <v>20</v>
      </c>
      <c r="CC28" s="100">
        <v>14760</v>
      </c>
      <c r="CD28" s="100">
        <v>12.16286708033395</v>
      </c>
      <c r="CE28" s="100">
        <v>8976.1959052864549</v>
      </c>
      <c r="CF28" s="100">
        <v>13</v>
      </c>
      <c r="CG28" s="100">
        <v>9594</v>
      </c>
      <c r="CH28" s="100">
        <v>21</v>
      </c>
      <c r="CI28" s="100">
        <v>15498</v>
      </c>
      <c r="CJ28" s="100">
        <v>18</v>
      </c>
      <c r="CK28" s="100">
        <v>13284</v>
      </c>
      <c r="CL28" s="100">
        <v>13</v>
      </c>
      <c r="CM28" s="100">
        <v>9594</v>
      </c>
      <c r="CN28" s="100">
        <v>9.906153834377271</v>
      </c>
      <c r="CO28" s="100">
        <v>7310.7415297704256</v>
      </c>
      <c r="CP28" s="100">
        <v>21</v>
      </c>
      <c r="CQ28" s="100">
        <v>15498</v>
      </c>
      <c r="CR28" s="100">
        <v>9.5596918974658447</v>
      </c>
      <c r="CS28" s="100">
        <v>7055.0526203297932</v>
      </c>
      <c r="CT28" s="100">
        <v>4.7798198289292717</v>
      </c>
      <c r="CU28" s="100">
        <v>3527.5070337498023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12</v>
      </c>
      <c r="G29" s="100">
        <v>4060.7999999999997</v>
      </c>
      <c r="H29" s="100">
        <v>17</v>
      </c>
      <c r="I29" s="100">
        <v>5752.7999999999993</v>
      </c>
      <c r="J29" s="100">
        <v>20</v>
      </c>
      <c r="K29" s="100">
        <v>6768</v>
      </c>
      <c r="L29" s="100">
        <v>11</v>
      </c>
      <c r="M29" s="100">
        <v>3722.3999999999996</v>
      </c>
      <c r="N29" s="100">
        <v>15</v>
      </c>
      <c r="O29" s="100">
        <v>5076</v>
      </c>
      <c r="P29" s="100">
        <v>16</v>
      </c>
      <c r="Q29" s="100">
        <v>5414.4</v>
      </c>
      <c r="R29" s="100">
        <v>19</v>
      </c>
      <c r="S29" s="100">
        <v>6429.5999999999995</v>
      </c>
      <c r="T29" s="100">
        <v>12</v>
      </c>
      <c r="U29" s="100">
        <v>4060.7999999999997</v>
      </c>
      <c r="V29" s="100">
        <v>14</v>
      </c>
      <c r="W29" s="100">
        <v>4737.5999999999995</v>
      </c>
      <c r="X29" s="100">
        <v>19</v>
      </c>
      <c r="Y29" s="100">
        <v>6429.5999999999995</v>
      </c>
      <c r="Z29" s="100">
        <v>19</v>
      </c>
      <c r="AA29" s="100">
        <v>6429.5999999999995</v>
      </c>
      <c r="AB29" s="100">
        <v>12</v>
      </c>
      <c r="AC29" s="100">
        <v>4060.7999999999997</v>
      </c>
      <c r="AD29" s="100">
        <v>15</v>
      </c>
      <c r="AE29" s="100">
        <v>5076</v>
      </c>
      <c r="AF29" s="100">
        <v>14</v>
      </c>
      <c r="AG29" s="100">
        <v>4737.5999999999995</v>
      </c>
      <c r="AH29" s="100">
        <v>12.95533730008318</v>
      </c>
      <c r="AI29" s="100">
        <v>4384.0861423481474</v>
      </c>
      <c r="AJ29" s="100">
        <v>18</v>
      </c>
      <c r="AK29" s="100">
        <v>6091.2</v>
      </c>
      <c r="AL29" s="100">
        <v>21</v>
      </c>
      <c r="AM29" s="100">
        <v>7106.4</v>
      </c>
      <c r="AN29" s="100">
        <v>13.99982432554604</v>
      </c>
      <c r="AO29" s="100">
        <v>4737.5405517647796</v>
      </c>
      <c r="AP29" s="100">
        <v>10.361384259707972</v>
      </c>
      <c r="AQ29" s="100">
        <v>3506.2924334851773</v>
      </c>
      <c r="AR29" s="100">
        <v>11.049727969268991</v>
      </c>
      <c r="AS29" s="100">
        <v>3739.2279448006266</v>
      </c>
      <c r="AT29" s="100">
        <v>0</v>
      </c>
      <c r="AU29" s="100">
        <v>0</v>
      </c>
      <c r="AV29" s="100">
        <v>21</v>
      </c>
      <c r="AW29" s="100">
        <v>7106.4</v>
      </c>
      <c r="AX29" s="100">
        <v>8.7605955150549715</v>
      </c>
      <c r="AY29" s="100">
        <v>2964.585522294602</v>
      </c>
      <c r="AZ29" s="100">
        <v>13</v>
      </c>
      <c r="BA29" s="100">
        <v>4399.2</v>
      </c>
      <c r="BB29" s="100">
        <v>11.351104019691986</v>
      </c>
      <c r="BC29" s="100">
        <v>3841.2136002637681</v>
      </c>
      <c r="BD29" s="100">
        <v>12</v>
      </c>
      <c r="BE29" s="100">
        <v>4060.7999999999997</v>
      </c>
      <c r="BF29" s="100">
        <v>13</v>
      </c>
      <c r="BG29" s="100">
        <v>4399.2</v>
      </c>
      <c r="BH29" s="100">
        <v>6.2700941284792213</v>
      </c>
      <c r="BI29" s="100">
        <v>2121.7998530773684</v>
      </c>
      <c r="BJ29" s="100">
        <v>12</v>
      </c>
      <c r="BK29" s="100">
        <v>4060.7999999999997</v>
      </c>
      <c r="BL29" s="100">
        <v>18</v>
      </c>
      <c r="BM29" s="100">
        <v>6091.2</v>
      </c>
      <c r="BN29" s="100">
        <v>15</v>
      </c>
      <c r="BO29" s="100">
        <v>5076</v>
      </c>
      <c r="BP29" s="100">
        <v>12</v>
      </c>
      <c r="BQ29" s="100">
        <v>4060.7999999999997</v>
      </c>
      <c r="BR29" s="100">
        <v>13</v>
      </c>
      <c r="BS29" s="100">
        <v>4399.2</v>
      </c>
      <c r="BT29" s="100">
        <v>24</v>
      </c>
      <c r="BU29" s="100">
        <v>8121.5999999999995</v>
      </c>
      <c r="BV29" s="100">
        <v>16.898047337052162</v>
      </c>
      <c r="BW29" s="100">
        <v>5718.2992188584512</v>
      </c>
      <c r="BX29" s="100">
        <v>16</v>
      </c>
      <c r="BY29" s="100">
        <v>5414.4</v>
      </c>
      <c r="BZ29" s="100">
        <v>12</v>
      </c>
      <c r="CA29" s="100">
        <v>4060.7999999999997</v>
      </c>
      <c r="CB29" s="100">
        <v>20</v>
      </c>
      <c r="CC29" s="100">
        <v>6768</v>
      </c>
      <c r="CD29" s="100">
        <v>13.379153788367345</v>
      </c>
      <c r="CE29" s="100">
        <v>4527.5056419835091</v>
      </c>
      <c r="CF29" s="100">
        <v>14</v>
      </c>
      <c r="CG29" s="100">
        <v>4737.5999999999995</v>
      </c>
      <c r="CH29" s="100">
        <v>21</v>
      </c>
      <c r="CI29" s="100">
        <v>7106.4</v>
      </c>
      <c r="CJ29" s="100">
        <v>19</v>
      </c>
      <c r="CK29" s="100">
        <v>6429.5999999999995</v>
      </c>
      <c r="CL29" s="100">
        <v>12</v>
      </c>
      <c r="CM29" s="100">
        <v>4060.7999999999997</v>
      </c>
      <c r="CN29" s="100">
        <v>10.613736251118505</v>
      </c>
      <c r="CO29" s="100">
        <v>3591.6883473785019</v>
      </c>
      <c r="CP29" s="100">
        <v>21</v>
      </c>
      <c r="CQ29" s="100">
        <v>7106.4</v>
      </c>
      <c r="CR29" s="100">
        <v>10.197004690630235</v>
      </c>
      <c r="CS29" s="100">
        <v>3450.6663873092716</v>
      </c>
      <c r="CT29" s="100">
        <v>4.7798198289292717</v>
      </c>
      <c r="CU29" s="100">
        <v>1617.4910301096654</v>
      </c>
    </row>
    <row r="30" spans="2:99">
      <c r="C30" s="99" t="s">
        <v>196</v>
      </c>
      <c r="D30" s="100">
        <v>12</v>
      </c>
      <c r="E30" s="100">
        <v>1670.3999999999999</v>
      </c>
      <c r="F30" s="100">
        <v>12</v>
      </c>
      <c r="G30" s="100">
        <v>1670.3999999999999</v>
      </c>
      <c r="H30" s="100">
        <v>16</v>
      </c>
      <c r="I30" s="100">
        <v>2227.1999999999998</v>
      </c>
      <c r="J30" s="100">
        <v>20</v>
      </c>
      <c r="K30" s="100">
        <v>2784</v>
      </c>
      <c r="L30" s="100">
        <v>10</v>
      </c>
      <c r="M30" s="100">
        <v>1392</v>
      </c>
      <c r="N30" s="100">
        <v>14</v>
      </c>
      <c r="O30" s="100">
        <v>1948.7999999999997</v>
      </c>
      <c r="P30" s="100">
        <v>17</v>
      </c>
      <c r="Q30" s="100">
        <v>2366.3999999999996</v>
      </c>
      <c r="R30" s="100">
        <v>20</v>
      </c>
      <c r="S30" s="100">
        <v>2784</v>
      </c>
      <c r="T30" s="100">
        <v>13</v>
      </c>
      <c r="U30" s="100">
        <v>1809.6</v>
      </c>
      <c r="V30" s="100">
        <v>13</v>
      </c>
      <c r="W30" s="100">
        <v>1809.6</v>
      </c>
      <c r="X30" s="100">
        <v>17</v>
      </c>
      <c r="Y30" s="100">
        <v>2366.3999999999996</v>
      </c>
      <c r="Z30" s="100">
        <v>18</v>
      </c>
      <c r="AA30" s="100">
        <v>2505.6</v>
      </c>
      <c r="AB30" s="100">
        <v>13</v>
      </c>
      <c r="AC30" s="100">
        <v>1809.6</v>
      </c>
      <c r="AD30" s="100">
        <v>17</v>
      </c>
      <c r="AE30" s="100">
        <v>2366.3999999999996</v>
      </c>
      <c r="AF30" s="100">
        <v>13</v>
      </c>
      <c r="AG30" s="100">
        <v>1809.6</v>
      </c>
      <c r="AH30" s="100">
        <v>12.95533730008318</v>
      </c>
      <c r="AI30" s="100">
        <v>1803.3829521715784</v>
      </c>
      <c r="AJ30" s="100">
        <v>22</v>
      </c>
      <c r="AK30" s="100">
        <v>3062.3999999999996</v>
      </c>
      <c r="AL30" s="100">
        <v>18</v>
      </c>
      <c r="AM30" s="100">
        <v>2505.6</v>
      </c>
      <c r="AN30" s="100">
        <v>13.066502703842971</v>
      </c>
      <c r="AO30" s="100">
        <v>1818.8571763749414</v>
      </c>
      <c r="AP30" s="100">
        <v>10.361384259707972</v>
      </c>
      <c r="AQ30" s="100">
        <v>1442.3046889513496</v>
      </c>
      <c r="AR30" s="100">
        <v>9.6685119731103661</v>
      </c>
      <c r="AS30" s="100">
        <v>1345.8568666569629</v>
      </c>
      <c r="AT30" s="100">
        <v>0</v>
      </c>
      <c r="AU30" s="100">
        <v>0</v>
      </c>
      <c r="AV30" s="100">
        <v>22</v>
      </c>
      <c r="AW30" s="100">
        <v>3062.3999999999996</v>
      </c>
      <c r="AX30" s="100">
        <v>7.7871960133821982</v>
      </c>
      <c r="AY30" s="100">
        <v>1083.9776850628018</v>
      </c>
      <c r="AZ30" s="100">
        <v>12</v>
      </c>
      <c r="BA30" s="100">
        <v>1670.3999999999999</v>
      </c>
      <c r="BB30" s="100">
        <v>12.769992022153485</v>
      </c>
      <c r="BC30" s="100">
        <v>1777.5828894837648</v>
      </c>
      <c r="BD30" s="100">
        <v>12</v>
      </c>
      <c r="BE30" s="100">
        <v>1670.3999999999999</v>
      </c>
      <c r="BF30" s="100">
        <v>13</v>
      </c>
      <c r="BG30" s="100">
        <v>1809.6</v>
      </c>
      <c r="BH30" s="100">
        <v>5.921755565785932</v>
      </c>
      <c r="BI30" s="100">
        <v>824.30837475740168</v>
      </c>
      <c r="BJ30" s="100">
        <v>11</v>
      </c>
      <c r="BK30" s="100">
        <v>1531.1999999999998</v>
      </c>
      <c r="BL30" s="100">
        <v>18</v>
      </c>
      <c r="BM30" s="100">
        <v>2505.6</v>
      </c>
      <c r="BN30" s="100">
        <v>14</v>
      </c>
      <c r="BO30" s="100">
        <v>1948.7999999999997</v>
      </c>
      <c r="BP30" s="100">
        <v>12</v>
      </c>
      <c r="BQ30" s="100">
        <v>1670.3999999999999</v>
      </c>
      <c r="BR30" s="100">
        <v>14</v>
      </c>
      <c r="BS30" s="100">
        <v>1948.7999999999997</v>
      </c>
      <c r="BT30" s="100">
        <v>22</v>
      </c>
      <c r="BU30" s="100">
        <v>3062.3999999999996</v>
      </c>
      <c r="BV30" s="100">
        <v>18.507385178676177</v>
      </c>
      <c r="BW30" s="100">
        <v>2576.2280168717239</v>
      </c>
      <c r="BX30" s="100">
        <v>15</v>
      </c>
      <c r="BY30" s="100">
        <v>2088</v>
      </c>
      <c r="BZ30" s="100">
        <v>11</v>
      </c>
      <c r="CA30" s="100">
        <v>1531.1999999999998</v>
      </c>
      <c r="CB30" s="100">
        <v>18</v>
      </c>
      <c r="CC30" s="100">
        <v>2505.6</v>
      </c>
      <c r="CD30" s="100">
        <v>14.595440496400743</v>
      </c>
      <c r="CE30" s="100">
        <v>2031.6853170989832</v>
      </c>
      <c r="CF30" s="100">
        <v>14</v>
      </c>
      <c r="CG30" s="100">
        <v>1948.7999999999997</v>
      </c>
      <c r="CH30" s="100">
        <v>23</v>
      </c>
      <c r="CI30" s="100">
        <v>3201.6</v>
      </c>
      <c r="CJ30" s="100">
        <v>21</v>
      </c>
      <c r="CK30" s="100">
        <v>2923.2</v>
      </c>
      <c r="CL30" s="100">
        <v>13</v>
      </c>
      <c r="CM30" s="100">
        <v>1809.6</v>
      </c>
      <c r="CN30" s="100">
        <v>11.321318667859739</v>
      </c>
      <c r="CO30" s="100">
        <v>1575.9275585660755</v>
      </c>
      <c r="CP30" s="100">
        <v>19</v>
      </c>
      <c r="CQ30" s="100">
        <v>2644.7999999999997</v>
      </c>
      <c r="CR30" s="100">
        <v>10.834317483794626</v>
      </c>
      <c r="CS30" s="100">
        <v>1508.1369937442118</v>
      </c>
      <c r="CT30" s="100">
        <v>4.528250364248783</v>
      </c>
      <c r="CU30" s="100">
        <v>630.3324507034306</v>
      </c>
    </row>
    <row r="31" spans="2:99">
      <c r="C31" s="99" t="s">
        <v>197</v>
      </c>
      <c r="D31" s="100">
        <v>13</v>
      </c>
      <c r="E31" s="100">
        <v>4430.4000000000005</v>
      </c>
      <c r="F31" s="100">
        <v>12</v>
      </c>
      <c r="G31" s="100">
        <v>4089.6000000000004</v>
      </c>
      <c r="H31" s="100">
        <v>15</v>
      </c>
      <c r="I31" s="100">
        <v>5112</v>
      </c>
      <c r="J31" s="100">
        <v>20</v>
      </c>
      <c r="K31" s="100">
        <v>6816</v>
      </c>
      <c r="L31" s="100">
        <v>10</v>
      </c>
      <c r="M31" s="100">
        <v>3408</v>
      </c>
      <c r="N31" s="100">
        <v>14</v>
      </c>
      <c r="O31" s="100">
        <v>4771.2</v>
      </c>
      <c r="P31" s="100">
        <v>17</v>
      </c>
      <c r="Q31" s="100">
        <v>5793.6</v>
      </c>
      <c r="R31" s="100">
        <v>21</v>
      </c>
      <c r="S31" s="100">
        <v>7156.8</v>
      </c>
      <c r="T31" s="100">
        <v>13</v>
      </c>
      <c r="U31" s="100">
        <v>4430.4000000000005</v>
      </c>
      <c r="V31" s="100">
        <v>14</v>
      </c>
      <c r="W31" s="100">
        <v>4771.2</v>
      </c>
      <c r="X31" s="100">
        <v>18</v>
      </c>
      <c r="Y31" s="100">
        <v>6134.4000000000005</v>
      </c>
      <c r="Z31" s="100">
        <v>20</v>
      </c>
      <c r="AA31" s="100">
        <v>6816</v>
      </c>
      <c r="AB31" s="100">
        <v>13</v>
      </c>
      <c r="AC31" s="100">
        <v>4430.4000000000005</v>
      </c>
      <c r="AD31" s="100">
        <v>16</v>
      </c>
      <c r="AE31" s="100">
        <v>5452.8</v>
      </c>
      <c r="AF31" s="100">
        <v>16</v>
      </c>
      <c r="AG31" s="100">
        <v>5452.8</v>
      </c>
      <c r="AH31" s="100">
        <v>13.637197157982296</v>
      </c>
      <c r="AI31" s="100">
        <v>4647.5567914403664</v>
      </c>
      <c r="AJ31" s="100">
        <v>22</v>
      </c>
      <c r="AK31" s="100">
        <v>7497.6</v>
      </c>
      <c r="AL31" s="100">
        <v>21</v>
      </c>
      <c r="AM31" s="100">
        <v>7156.8</v>
      </c>
      <c r="AN31" s="100">
        <v>13.066502703842971</v>
      </c>
      <c r="AO31" s="100">
        <v>4453.0641214696843</v>
      </c>
      <c r="AP31" s="100">
        <v>11.158413818147046</v>
      </c>
      <c r="AQ31" s="100">
        <v>3802.7874292245137</v>
      </c>
      <c r="AR31" s="100">
        <v>11.049727969268991</v>
      </c>
      <c r="AS31" s="100">
        <v>3765.7472919268721</v>
      </c>
      <c r="AT31" s="100">
        <v>0</v>
      </c>
      <c r="AU31" s="100">
        <v>0</v>
      </c>
      <c r="AV31" s="100">
        <v>19</v>
      </c>
      <c r="AW31" s="100">
        <v>6475.2</v>
      </c>
      <c r="AX31" s="100">
        <v>8.2738957642185849</v>
      </c>
      <c r="AY31" s="100">
        <v>2819.7436764456938</v>
      </c>
      <c r="AZ31" s="100">
        <v>13</v>
      </c>
      <c r="BA31" s="100">
        <v>4430.4000000000005</v>
      </c>
      <c r="BB31" s="100">
        <v>10.641660018461238</v>
      </c>
      <c r="BC31" s="100">
        <v>3626.6777342915898</v>
      </c>
      <c r="BD31" s="100">
        <v>12</v>
      </c>
      <c r="BE31" s="100">
        <v>4089.6000000000004</v>
      </c>
      <c r="BF31" s="100">
        <v>14</v>
      </c>
      <c r="BG31" s="100">
        <v>4771.2</v>
      </c>
      <c r="BH31" s="100">
        <v>5.921755565785932</v>
      </c>
      <c r="BI31" s="100">
        <v>2018.1342968198458</v>
      </c>
      <c r="BJ31" s="100">
        <v>12</v>
      </c>
      <c r="BK31" s="100">
        <v>4089.6000000000004</v>
      </c>
      <c r="BL31" s="100">
        <v>17</v>
      </c>
      <c r="BM31" s="100">
        <v>5793.6</v>
      </c>
      <c r="BN31" s="100">
        <v>15</v>
      </c>
      <c r="BO31" s="100">
        <v>5112</v>
      </c>
      <c r="BP31" s="100">
        <v>12</v>
      </c>
      <c r="BQ31" s="100">
        <v>4089.6000000000004</v>
      </c>
      <c r="BR31" s="100">
        <v>12</v>
      </c>
      <c r="BS31" s="100">
        <v>4089.6000000000004</v>
      </c>
      <c r="BT31" s="100">
        <v>24</v>
      </c>
      <c r="BU31" s="100">
        <v>8179.2000000000007</v>
      </c>
      <c r="BV31" s="100">
        <v>15.288709495428147</v>
      </c>
      <c r="BW31" s="100">
        <v>5210.3921960419129</v>
      </c>
      <c r="BX31" s="100">
        <v>15</v>
      </c>
      <c r="BY31" s="100">
        <v>5112</v>
      </c>
      <c r="BZ31" s="100">
        <v>11</v>
      </c>
      <c r="CA31" s="100">
        <v>3748.8</v>
      </c>
      <c r="CB31" s="100">
        <v>19</v>
      </c>
      <c r="CC31" s="100">
        <v>6475.2</v>
      </c>
      <c r="CD31" s="100">
        <v>12.771010434350648</v>
      </c>
      <c r="CE31" s="100">
        <v>4352.3603560267011</v>
      </c>
      <c r="CF31" s="100">
        <v>13</v>
      </c>
      <c r="CG31" s="100">
        <v>4430.4000000000005</v>
      </c>
      <c r="CH31" s="100">
        <v>21</v>
      </c>
      <c r="CI31" s="100">
        <v>7156.8</v>
      </c>
      <c r="CJ31" s="100">
        <v>19</v>
      </c>
      <c r="CK31" s="100">
        <v>6475.2</v>
      </c>
      <c r="CL31" s="100">
        <v>12</v>
      </c>
      <c r="CM31" s="100">
        <v>4089.6000000000004</v>
      </c>
      <c r="CN31" s="100">
        <v>10.613736251118505</v>
      </c>
      <c r="CO31" s="100">
        <v>3617.1613143811865</v>
      </c>
      <c r="CP31" s="100">
        <v>20</v>
      </c>
      <c r="CQ31" s="100">
        <v>6816</v>
      </c>
      <c r="CR31" s="100">
        <v>10.834317483794626</v>
      </c>
      <c r="CS31" s="100">
        <v>3692.3353984772089</v>
      </c>
      <c r="CT31" s="100">
        <v>4.528250364248783</v>
      </c>
      <c r="CU31" s="100">
        <v>1543.2277241359852</v>
      </c>
    </row>
    <row r="32" spans="2:99">
      <c r="C32" s="99" t="s">
        <v>198</v>
      </c>
      <c r="D32" s="100">
        <v>12</v>
      </c>
      <c r="E32" s="100">
        <v>10080</v>
      </c>
      <c r="F32" s="100">
        <v>12</v>
      </c>
      <c r="G32" s="100">
        <v>10080</v>
      </c>
      <c r="H32" s="100">
        <v>16</v>
      </c>
      <c r="I32" s="100">
        <v>13440</v>
      </c>
      <c r="J32" s="100">
        <v>18</v>
      </c>
      <c r="K32" s="100">
        <v>15120</v>
      </c>
      <c r="L32" s="100">
        <v>9</v>
      </c>
      <c r="M32" s="100">
        <v>7560</v>
      </c>
      <c r="N32" s="100">
        <v>17</v>
      </c>
      <c r="O32" s="100">
        <v>14280</v>
      </c>
      <c r="P32" s="100">
        <v>16</v>
      </c>
      <c r="Q32" s="100">
        <v>13440</v>
      </c>
      <c r="R32" s="100">
        <v>20</v>
      </c>
      <c r="S32" s="100">
        <v>16800</v>
      </c>
      <c r="T32" s="100">
        <v>14</v>
      </c>
      <c r="U32" s="100">
        <v>11760</v>
      </c>
      <c r="V32" s="100">
        <v>12</v>
      </c>
      <c r="W32" s="100">
        <v>10080</v>
      </c>
      <c r="X32" s="100">
        <v>18</v>
      </c>
      <c r="Y32" s="100">
        <v>15120</v>
      </c>
      <c r="Z32" s="100">
        <v>18</v>
      </c>
      <c r="AA32" s="100">
        <v>15120</v>
      </c>
      <c r="AB32" s="100">
        <v>12</v>
      </c>
      <c r="AC32" s="100">
        <v>10080</v>
      </c>
      <c r="AD32" s="100">
        <v>15</v>
      </c>
      <c r="AE32" s="100">
        <v>12600</v>
      </c>
      <c r="AF32" s="100">
        <v>12</v>
      </c>
      <c r="AG32" s="100">
        <v>10080</v>
      </c>
      <c r="AH32" s="100">
        <v>14.319057015881409</v>
      </c>
      <c r="AI32" s="100">
        <v>12028.007893340384</v>
      </c>
      <c r="AJ32" s="100">
        <v>21</v>
      </c>
      <c r="AK32" s="100">
        <v>17640</v>
      </c>
      <c r="AL32" s="100">
        <v>17</v>
      </c>
      <c r="AM32" s="100">
        <v>14280</v>
      </c>
      <c r="AN32" s="100">
        <v>12.133181082139902</v>
      </c>
      <c r="AO32" s="100">
        <v>10191.872108997519</v>
      </c>
      <c r="AP32" s="100">
        <v>9.5643547012688988</v>
      </c>
      <c r="AQ32" s="100">
        <v>8034.0579490658747</v>
      </c>
      <c r="AR32" s="100">
        <v>10.359119971189678</v>
      </c>
      <c r="AS32" s="100">
        <v>8701.6607757993297</v>
      </c>
      <c r="AT32" s="100">
        <v>0</v>
      </c>
      <c r="AU32" s="100">
        <v>0</v>
      </c>
      <c r="AV32" s="100">
        <v>20</v>
      </c>
      <c r="AW32" s="100">
        <v>16800</v>
      </c>
      <c r="AX32" s="100">
        <v>7.3004962625458116</v>
      </c>
      <c r="AY32" s="100">
        <v>6132.4168605384821</v>
      </c>
      <c r="AZ32" s="100">
        <v>12</v>
      </c>
      <c r="BA32" s="100">
        <v>10080</v>
      </c>
      <c r="BB32" s="100">
        <v>10.641660018461238</v>
      </c>
      <c r="BC32" s="100">
        <v>8938.994415507439</v>
      </c>
      <c r="BD32" s="100">
        <v>12</v>
      </c>
      <c r="BE32" s="100">
        <v>10080</v>
      </c>
      <c r="BF32" s="100">
        <v>13</v>
      </c>
      <c r="BG32" s="100">
        <v>10920</v>
      </c>
      <c r="BH32" s="100">
        <v>5.5734170030926418</v>
      </c>
      <c r="BI32" s="100">
        <v>4681.6702825978191</v>
      </c>
      <c r="BJ32" s="100">
        <v>11</v>
      </c>
      <c r="BK32" s="100">
        <v>9240</v>
      </c>
      <c r="BL32" s="100">
        <v>16</v>
      </c>
      <c r="BM32" s="100">
        <v>13440</v>
      </c>
      <c r="BN32" s="100">
        <v>14</v>
      </c>
      <c r="BO32" s="100">
        <v>11760</v>
      </c>
      <c r="BP32" s="100">
        <v>12</v>
      </c>
      <c r="BQ32" s="100">
        <v>10080</v>
      </c>
      <c r="BR32" s="100">
        <v>13</v>
      </c>
      <c r="BS32" s="100">
        <v>10920</v>
      </c>
      <c r="BT32" s="100">
        <v>21</v>
      </c>
      <c r="BU32" s="100">
        <v>17640</v>
      </c>
      <c r="BV32" s="100">
        <v>14.484040574616138</v>
      </c>
      <c r="BW32" s="100">
        <v>12166.594082677557</v>
      </c>
      <c r="BX32" s="100">
        <v>14</v>
      </c>
      <c r="BY32" s="100">
        <v>11760</v>
      </c>
      <c r="BZ32" s="100">
        <v>11</v>
      </c>
      <c r="CA32" s="100">
        <v>9240</v>
      </c>
      <c r="CB32" s="100">
        <v>17</v>
      </c>
      <c r="CC32" s="100">
        <v>14280</v>
      </c>
      <c r="CD32" s="100">
        <v>13.379153788367345</v>
      </c>
      <c r="CE32" s="100">
        <v>11238.48918222857</v>
      </c>
      <c r="CF32" s="100">
        <v>15</v>
      </c>
      <c r="CG32" s="100">
        <v>12600</v>
      </c>
      <c r="CH32" s="100">
        <v>22</v>
      </c>
      <c r="CI32" s="100">
        <v>18480</v>
      </c>
      <c r="CJ32" s="100">
        <v>19</v>
      </c>
      <c r="CK32" s="100">
        <v>15960</v>
      </c>
      <c r="CL32" s="100">
        <v>13</v>
      </c>
      <c r="CM32" s="100">
        <v>10920</v>
      </c>
      <c r="CN32" s="100">
        <v>9.906153834377271</v>
      </c>
      <c r="CO32" s="100">
        <v>8321.1692208769073</v>
      </c>
      <c r="CP32" s="100">
        <v>21</v>
      </c>
      <c r="CQ32" s="100">
        <v>17640</v>
      </c>
      <c r="CR32" s="100">
        <v>10.197004690630235</v>
      </c>
      <c r="CS32" s="100">
        <v>8565.4839401293975</v>
      </c>
      <c r="CT32" s="100">
        <v>4.2766808995682952</v>
      </c>
      <c r="CU32" s="100">
        <v>3592.411955637368</v>
      </c>
    </row>
    <row r="33" spans="2:99">
      <c r="C33" s="99" t="s">
        <v>199</v>
      </c>
      <c r="D33" s="100">
        <v>12</v>
      </c>
      <c r="E33" s="100">
        <v>5688</v>
      </c>
      <c r="F33" s="100">
        <v>11</v>
      </c>
      <c r="G33" s="100">
        <v>5214</v>
      </c>
      <c r="H33" s="100">
        <v>17</v>
      </c>
      <c r="I33" s="100">
        <v>8058</v>
      </c>
      <c r="J33" s="100">
        <v>19</v>
      </c>
      <c r="K33" s="100">
        <v>9006</v>
      </c>
      <c r="L33" s="100">
        <v>11</v>
      </c>
      <c r="M33" s="100">
        <v>5214</v>
      </c>
      <c r="N33" s="100">
        <v>14</v>
      </c>
      <c r="O33" s="100">
        <v>6636</v>
      </c>
      <c r="P33" s="100">
        <v>16</v>
      </c>
      <c r="Q33" s="100">
        <v>7584</v>
      </c>
      <c r="R33" s="100">
        <v>18</v>
      </c>
      <c r="S33" s="100">
        <v>8532</v>
      </c>
      <c r="T33" s="100">
        <v>12</v>
      </c>
      <c r="U33" s="100">
        <v>5688</v>
      </c>
      <c r="V33" s="100">
        <v>14</v>
      </c>
      <c r="W33" s="100">
        <v>6636</v>
      </c>
      <c r="X33" s="100">
        <v>19</v>
      </c>
      <c r="Y33" s="100">
        <v>9006</v>
      </c>
      <c r="Z33" s="100">
        <v>19</v>
      </c>
      <c r="AA33" s="100">
        <v>9006</v>
      </c>
      <c r="AB33" s="100">
        <v>14</v>
      </c>
      <c r="AC33" s="100">
        <v>6636</v>
      </c>
      <c r="AD33" s="100">
        <v>17</v>
      </c>
      <c r="AE33" s="100">
        <v>8058</v>
      </c>
      <c r="AF33" s="100">
        <v>13</v>
      </c>
      <c r="AG33" s="100">
        <v>6162</v>
      </c>
      <c r="AH33" s="100">
        <v>12.95533730008318</v>
      </c>
      <c r="AI33" s="100">
        <v>6140.8298802394274</v>
      </c>
      <c r="AJ33" s="100">
        <v>21</v>
      </c>
      <c r="AK33" s="100">
        <v>9954</v>
      </c>
      <c r="AL33" s="100">
        <v>21</v>
      </c>
      <c r="AM33" s="100">
        <v>9954</v>
      </c>
      <c r="AN33" s="100">
        <v>13.066502703842971</v>
      </c>
      <c r="AO33" s="100">
        <v>6193.5222816215683</v>
      </c>
      <c r="AP33" s="100">
        <v>11.955443376586121</v>
      </c>
      <c r="AQ33" s="100">
        <v>5666.8801605018216</v>
      </c>
      <c r="AR33" s="100">
        <v>11.049727969268991</v>
      </c>
      <c r="AS33" s="100">
        <v>5237.5710574335017</v>
      </c>
      <c r="AT33" s="100">
        <v>0</v>
      </c>
      <c r="AU33" s="100">
        <v>0</v>
      </c>
      <c r="AV33" s="100">
        <v>18</v>
      </c>
      <c r="AW33" s="100">
        <v>8532</v>
      </c>
      <c r="AX33" s="100">
        <v>8.2738957642185849</v>
      </c>
      <c r="AY33" s="100">
        <v>3921.826592239609</v>
      </c>
      <c r="AZ33" s="100">
        <v>13</v>
      </c>
      <c r="BA33" s="100">
        <v>6162</v>
      </c>
      <c r="BB33" s="100">
        <v>12.769992022153485</v>
      </c>
      <c r="BC33" s="100">
        <v>6052.9762185007521</v>
      </c>
      <c r="BD33" s="100">
        <v>13</v>
      </c>
      <c r="BE33" s="100">
        <v>6162</v>
      </c>
      <c r="BF33" s="100">
        <v>13</v>
      </c>
      <c r="BG33" s="100">
        <v>6162</v>
      </c>
      <c r="BH33" s="100">
        <v>5.921755565785932</v>
      </c>
      <c r="BI33" s="100">
        <v>2806.9121381825316</v>
      </c>
      <c r="BJ33" s="100">
        <v>12</v>
      </c>
      <c r="BK33" s="100">
        <v>5688</v>
      </c>
      <c r="BL33" s="100">
        <v>16</v>
      </c>
      <c r="BM33" s="100">
        <v>7584</v>
      </c>
      <c r="BN33" s="100">
        <v>15</v>
      </c>
      <c r="BO33" s="100">
        <v>7110</v>
      </c>
      <c r="BP33" s="100">
        <v>11</v>
      </c>
      <c r="BQ33" s="100">
        <v>5214</v>
      </c>
      <c r="BR33" s="100">
        <v>12</v>
      </c>
      <c r="BS33" s="100">
        <v>5688</v>
      </c>
      <c r="BT33" s="100">
        <v>24</v>
      </c>
      <c r="BU33" s="100">
        <v>11376</v>
      </c>
      <c r="BV33" s="100">
        <v>16.093378416240153</v>
      </c>
      <c r="BW33" s="100">
        <v>7628.2613692978321</v>
      </c>
      <c r="BX33" s="100">
        <v>16</v>
      </c>
      <c r="BY33" s="100">
        <v>7584</v>
      </c>
      <c r="BZ33" s="100">
        <v>11</v>
      </c>
      <c r="CA33" s="100">
        <v>5214</v>
      </c>
      <c r="CB33" s="100">
        <v>20</v>
      </c>
      <c r="CC33" s="100">
        <v>9480</v>
      </c>
      <c r="CD33" s="100">
        <v>12.16286708033395</v>
      </c>
      <c r="CE33" s="100">
        <v>5765.1989960782921</v>
      </c>
      <c r="CF33" s="100">
        <v>15</v>
      </c>
      <c r="CG33" s="100">
        <v>7110</v>
      </c>
      <c r="CH33" s="100">
        <v>22</v>
      </c>
      <c r="CI33" s="100">
        <v>10428</v>
      </c>
      <c r="CJ33" s="100">
        <v>20</v>
      </c>
      <c r="CK33" s="100">
        <v>9480</v>
      </c>
      <c r="CL33" s="100">
        <v>12</v>
      </c>
      <c r="CM33" s="100">
        <v>5688</v>
      </c>
      <c r="CN33" s="100">
        <v>10.613736251118505</v>
      </c>
      <c r="CO33" s="100">
        <v>5030.9109830301713</v>
      </c>
      <c r="CP33" s="100">
        <v>18</v>
      </c>
      <c r="CQ33" s="100">
        <v>8532</v>
      </c>
      <c r="CR33" s="100">
        <v>10.834317483794626</v>
      </c>
      <c r="CS33" s="100">
        <v>5135.466487318653</v>
      </c>
      <c r="CT33" s="100">
        <v>4.2766808995682952</v>
      </c>
      <c r="CU33" s="100">
        <v>2027.146746395372</v>
      </c>
    </row>
    <row r="34" spans="2:99">
      <c r="C34" s="99" t="s">
        <v>200</v>
      </c>
      <c r="D34" s="100">
        <v>12</v>
      </c>
      <c r="E34" s="100">
        <v>6580.7999999999993</v>
      </c>
      <c r="F34" s="100">
        <v>11</v>
      </c>
      <c r="G34" s="100">
        <v>6032.4</v>
      </c>
      <c r="H34" s="100">
        <v>17</v>
      </c>
      <c r="I34" s="100">
        <v>9322.7999999999993</v>
      </c>
      <c r="J34" s="100">
        <v>18</v>
      </c>
      <c r="K34" s="100">
        <v>9871.1999999999989</v>
      </c>
      <c r="L34" s="100">
        <v>11</v>
      </c>
      <c r="M34" s="100">
        <v>6032.4</v>
      </c>
      <c r="N34" s="100">
        <v>15</v>
      </c>
      <c r="O34" s="100">
        <v>8226</v>
      </c>
      <c r="P34" s="100">
        <v>16</v>
      </c>
      <c r="Q34" s="100">
        <v>8774.4</v>
      </c>
      <c r="R34" s="100">
        <v>19</v>
      </c>
      <c r="S34" s="100">
        <v>10419.6</v>
      </c>
      <c r="T34" s="100">
        <v>14</v>
      </c>
      <c r="U34" s="100">
        <v>7677.5999999999995</v>
      </c>
      <c r="V34" s="100">
        <v>14</v>
      </c>
      <c r="W34" s="100">
        <v>7677.5999999999995</v>
      </c>
      <c r="X34" s="100">
        <v>18</v>
      </c>
      <c r="Y34" s="100">
        <v>9871.1999999999989</v>
      </c>
      <c r="Z34" s="100">
        <v>20</v>
      </c>
      <c r="AA34" s="100">
        <v>10968</v>
      </c>
      <c r="AB34" s="100">
        <v>13</v>
      </c>
      <c r="AC34" s="100">
        <v>7129.2</v>
      </c>
      <c r="AD34" s="100">
        <v>18</v>
      </c>
      <c r="AE34" s="100">
        <v>9871.1999999999989</v>
      </c>
      <c r="AF34" s="100">
        <v>15</v>
      </c>
      <c r="AG34" s="100">
        <v>8226</v>
      </c>
      <c r="AH34" s="100">
        <v>12.95533730008318</v>
      </c>
      <c r="AI34" s="100">
        <v>7104.7069753656151</v>
      </c>
      <c r="AJ34" s="100">
        <v>20</v>
      </c>
      <c r="AK34" s="100">
        <v>10968</v>
      </c>
      <c r="AL34" s="100">
        <v>21</v>
      </c>
      <c r="AM34" s="100">
        <v>11516.4</v>
      </c>
      <c r="AN34" s="100">
        <v>13.99982432554604</v>
      </c>
      <c r="AO34" s="100">
        <v>7677.5036601294478</v>
      </c>
      <c r="AP34" s="100">
        <v>10.361384259707972</v>
      </c>
      <c r="AQ34" s="100">
        <v>5682.1831280238512</v>
      </c>
      <c r="AR34" s="100">
        <v>11.049727969268991</v>
      </c>
      <c r="AS34" s="100">
        <v>6059.6708183471146</v>
      </c>
      <c r="AT34" s="100">
        <v>0</v>
      </c>
      <c r="AU34" s="100">
        <v>0</v>
      </c>
      <c r="AV34" s="100">
        <v>21</v>
      </c>
      <c r="AW34" s="100">
        <v>11516.4</v>
      </c>
      <c r="AX34" s="100">
        <v>7.3004962625458116</v>
      </c>
      <c r="AY34" s="100">
        <v>4003.5921503801228</v>
      </c>
      <c r="AZ34" s="100">
        <v>12</v>
      </c>
      <c r="BA34" s="100">
        <v>6580.7999999999993</v>
      </c>
      <c r="BB34" s="100">
        <v>12.769992022153485</v>
      </c>
      <c r="BC34" s="100">
        <v>7003.0636249489708</v>
      </c>
      <c r="BD34" s="100">
        <v>12</v>
      </c>
      <c r="BE34" s="100">
        <v>6580.7999999999993</v>
      </c>
      <c r="BF34" s="100">
        <v>13</v>
      </c>
      <c r="BG34" s="100">
        <v>7129.2</v>
      </c>
      <c r="BH34" s="100">
        <v>5.921755565785932</v>
      </c>
      <c r="BI34" s="100">
        <v>3247.490752277005</v>
      </c>
      <c r="BJ34" s="100">
        <v>12</v>
      </c>
      <c r="BK34" s="100">
        <v>6580.7999999999993</v>
      </c>
      <c r="BL34" s="100">
        <v>16</v>
      </c>
      <c r="BM34" s="100">
        <v>8774.4</v>
      </c>
      <c r="BN34" s="100">
        <v>12</v>
      </c>
      <c r="BO34" s="100">
        <v>6580.7999999999993</v>
      </c>
      <c r="BP34" s="100">
        <v>13</v>
      </c>
      <c r="BQ34" s="100">
        <v>7129.2</v>
      </c>
      <c r="BR34" s="100">
        <v>13</v>
      </c>
      <c r="BS34" s="100">
        <v>7129.2</v>
      </c>
      <c r="BT34" s="100">
        <v>23</v>
      </c>
      <c r="BU34" s="100">
        <v>12613.199999999999</v>
      </c>
      <c r="BV34" s="100">
        <v>17.702716257864171</v>
      </c>
      <c r="BW34" s="100">
        <v>9708.1695958127111</v>
      </c>
      <c r="BX34" s="100">
        <v>15</v>
      </c>
      <c r="BY34" s="100">
        <v>8226</v>
      </c>
      <c r="BZ34" s="100">
        <v>11</v>
      </c>
      <c r="CA34" s="100">
        <v>6032.4</v>
      </c>
      <c r="CB34" s="100">
        <v>20</v>
      </c>
      <c r="CC34" s="100">
        <v>10968</v>
      </c>
      <c r="CD34" s="100">
        <v>14.595440496400743</v>
      </c>
      <c r="CE34" s="100">
        <v>8004.1395682261673</v>
      </c>
      <c r="CF34" s="100">
        <v>15</v>
      </c>
      <c r="CG34" s="100">
        <v>8226</v>
      </c>
      <c r="CH34" s="100">
        <v>22</v>
      </c>
      <c r="CI34" s="100">
        <v>12064.8</v>
      </c>
      <c r="CJ34" s="100">
        <v>17</v>
      </c>
      <c r="CK34" s="100">
        <v>9322.7999999999993</v>
      </c>
      <c r="CL34" s="100">
        <v>14</v>
      </c>
      <c r="CM34" s="100">
        <v>7677.5999999999995</v>
      </c>
      <c r="CN34" s="100">
        <v>11.321318667859739</v>
      </c>
      <c r="CO34" s="100">
        <v>6208.6111574542801</v>
      </c>
      <c r="CP34" s="100">
        <v>20</v>
      </c>
      <c r="CQ34" s="100">
        <v>10968</v>
      </c>
      <c r="CR34" s="100">
        <v>10.197004690630235</v>
      </c>
      <c r="CS34" s="100">
        <v>5592.0373723416205</v>
      </c>
      <c r="CT34" s="100">
        <v>4.7798198289292717</v>
      </c>
      <c r="CU34" s="100">
        <v>2621.2531941848124</v>
      </c>
    </row>
    <row r="35" spans="2:99">
      <c r="C35" s="99" t="s">
        <v>201</v>
      </c>
      <c r="D35" s="100">
        <v>11</v>
      </c>
      <c r="E35" s="100">
        <v>5530.7999999999993</v>
      </c>
      <c r="F35" s="100">
        <v>10</v>
      </c>
      <c r="G35" s="100">
        <v>5027.9999999999991</v>
      </c>
      <c r="H35" s="100">
        <v>17</v>
      </c>
      <c r="I35" s="100">
        <v>8547.5999999999985</v>
      </c>
      <c r="J35" s="100">
        <v>18</v>
      </c>
      <c r="K35" s="100">
        <v>9050.3999999999978</v>
      </c>
      <c r="L35" s="100">
        <v>11</v>
      </c>
      <c r="M35" s="100">
        <v>5530.7999999999993</v>
      </c>
      <c r="N35" s="100">
        <v>16</v>
      </c>
      <c r="O35" s="100">
        <v>8044.7999999999984</v>
      </c>
      <c r="P35" s="100">
        <v>17</v>
      </c>
      <c r="Q35" s="100">
        <v>8547.5999999999985</v>
      </c>
      <c r="R35" s="100">
        <v>20</v>
      </c>
      <c r="S35" s="100">
        <v>10055.999999999998</v>
      </c>
      <c r="T35" s="100">
        <v>12</v>
      </c>
      <c r="U35" s="100">
        <v>6033.5999999999985</v>
      </c>
      <c r="V35" s="100">
        <v>13</v>
      </c>
      <c r="W35" s="100">
        <v>6536.3999999999987</v>
      </c>
      <c r="X35" s="100">
        <v>18</v>
      </c>
      <c r="Y35" s="100">
        <v>9050.3999999999978</v>
      </c>
      <c r="Z35" s="100">
        <v>20</v>
      </c>
      <c r="AA35" s="100">
        <v>10055.999999999998</v>
      </c>
      <c r="AB35" s="100">
        <v>12</v>
      </c>
      <c r="AC35" s="100">
        <v>6033.5999999999985</v>
      </c>
      <c r="AD35" s="100">
        <v>16</v>
      </c>
      <c r="AE35" s="100">
        <v>8044.7999999999984</v>
      </c>
      <c r="AF35" s="100">
        <v>13</v>
      </c>
      <c r="AG35" s="100">
        <v>6536.3999999999987</v>
      </c>
      <c r="AH35" s="100">
        <v>12.95533730008318</v>
      </c>
      <c r="AI35" s="100">
        <v>6513.9435944818215</v>
      </c>
      <c r="AJ35" s="100">
        <v>21</v>
      </c>
      <c r="AK35" s="100">
        <v>10558.799999999997</v>
      </c>
      <c r="AL35" s="100">
        <v>21</v>
      </c>
      <c r="AM35" s="100">
        <v>10558.799999999997</v>
      </c>
      <c r="AN35" s="100">
        <v>13.066502703842971</v>
      </c>
      <c r="AO35" s="100">
        <v>6569.8375594922445</v>
      </c>
      <c r="AP35" s="100">
        <v>11.158413818147046</v>
      </c>
      <c r="AQ35" s="100">
        <v>5610.4504677643336</v>
      </c>
      <c r="AR35" s="100">
        <v>11.049727969268991</v>
      </c>
      <c r="AS35" s="100">
        <v>5555.8032229484479</v>
      </c>
      <c r="AT35" s="100">
        <v>0</v>
      </c>
      <c r="AU35" s="100">
        <v>0</v>
      </c>
      <c r="AV35" s="100">
        <v>21</v>
      </c>
      <c r="AW35" s="100">
        <v>10558.799999999997</v>
      </c>
      <c r="AX35" s="100">
        <v>7.7871960133821982</v>
      </c>
      <c r="AY35" s="100">
        <v>3915.4021555285685</v>
      </c>
      <c r="AZ35" s="100">
        <v>12</v>
      </c>
      <c r="BA35" s="100">
        <v>6033.5999999999985</v>
      </c>
      <c r="BB35" s="100">
        <v>11.351104019691986</v>
      </c>
      <c r="BC35" s="100">
        <v>5707.3351011011291</v>
      </c>
      <c r="BD35" s="100">
        <v>13</v>
      </c>
      <c r="BE35" s="100">
        <v>6536.3999999999987</v>
      </c>
      <c r="BF35" s="100">
        <v>13</v>
      </c>
      <c r="BG35" s="100">
        <v>6536.3999999999987</v>
      </c>
      <c r="BH35" s="100">
        <v>5.5734170030926418</v>
      </c>
      <c r="BI35" s="100">
        <v>2802.3140691549797</v>
      </c>
      <c r="BJ35" s="100">
        <v>13</v>
      </c>
      <c r="BK35" s="100">
        <v>6536.3999999999987</v>
      </c>
      <c r="BL35" s="100">
        <v>18</v>
      </c>
      <c r="BM35" s="100">
        <v>9050.3999999999978</v>
      </c>
      <c r="BN35" s="100">
        <v>13</v>
      </c>
      <c r="BO35" s="100">
        <v>6536.3999999999987</v>
      </c>
      <c r="BP35" s="100">
        <v>11</v>
      </c>
      <c r="BQ35" s="100">
        <v>5530.7999999999993</v>
      </c>
      <c r="BR35" s="100">
        <v>13</v>
      </c>
      <c r="BS35" s="100">
        <v>6536.3999999999987</v>
      </c>
      <c r="BT35" s="100">
        <v>22</v>
      </c>
      <c r="BU35" s="100">
        <v>11061.599999999999</v>
      </c>
      <c r="BV35" s="100">
        <v>16.093378416240153</v>
      </c>
      <c r="BW35" s="100">
        <v>8091.7506676855473</v>
      </c>
      <c r="BX35" s="100">
        <v>14</v>
      </c>
      <c r="BY35" s="100">
        <v>7039.1999999999989</v>
      </c>
      <c r="BZ35" s="100">
        <v>13</v>
      </c>
      <c r="CA35" s="100">
        <v>6536.3999999999987</v>
      </c>
      <c r="CB35" s="100">
        <v>18</v>
      </c>
      <c r="CC35" s="100">
        <v>9050.3999999999978</v>
      </c>
      <c r="CD35" s="100">
        <v>13.987297142384044</v>
      </c>
      <c r="CE35" s="100">
        <v>7032.8130031906958</v>
      </c>
      <c r="CF35" s="100">
        <v>15</v>
      </c>
      <c r="CG35" s="100">
        <v>7541.9999999999982</v>
      </c>
      <c r="CH35" s="100">
        <v>21</v>
      </c>
      <c r="CI35" s="100">
        <v>10558.799999999997</v>
      </c>
      <c r="CJ35" s="100">
        <v>19</v>
      </c>
      <c r="CK35" s="100">
        <v>9553.1999999999989</v>
      </c>
      <c r="CL35" s="100">
        <v>13</v>
      </c>
      <c r="CM35" s="100">
        <v>6536.3999999999987</v>
      </c>
      <c r="CN35" s="100">
        <v>12.028901084600973</v>
      </c>
      <c r="CO35" s="100">
        <v>6048.1314653373674</v>
      </c>
      <c r="CP35" s="100">
        <v>18</v>
      </c>
      <c r="CQ35" s="100">
        <v>9050.3999999999978</v>
      </c>
      <c r="CR35" s="100">
        <v>11.471630276959015</v>
      </c>
      <c r="CS35" s="100">
        <v>5767.9357032549915</v>
      </c>
      <c r="CT35" s="100">
        <v>4.0251114348878074</v>
      </c>
      <c r="CU35" s="100">
        <v>2023.8260294615891</v>
      </c>
    </row>
    <row r="36" spans="2:99">
      <c r="C36" s="99" t="s">
        <v>202</v>
      </c>
      <c r="D36" s="100">
        <v>13</v>
      </c>
      <c r="E36" s="100">
        <v>9890.4</v>
      </c>
      <c r="F36" s="100">
        <v>12</v>
      </c>
      <c r="G36" s="100">
        <v>9129.5999999999985</v>
      </c>
      <c r="H36" s="100">
        <v>15</v>
      </c>
      <c r="I36" s="100">
        <v>11412</v>
      </c>
      <c r="J36" s="100">
        <v>18</v>
      </c>
      <c r="K36" s="100">
        <v>13694.4</v>
      </c>
      <c r="L36" s="100">
        <v>10</v>
      </c>
      <c r="M36" s="100">
        <v>7608</v>
      </c>
      <c r="N36" s="100">
        <v>16</v>
      </c>
      <c r="O36" s="100">
        <v>12172.8</v>
      </c>
      <c r="P36" s="100">
        <v>15</v>
      </c>
      <c r="Q36" s="100">
        <v>11412</v>
      </c>
      <c r="R36" s="100">
        <v>18</v>
      </c>
      <c r="S36" s="100">
        <v>13694.4</v>
      </c>
      <c r="T36" s="100">
        <v>12</v>
      </c>
      <c r="U36" s="100">
        <v>9129.5999999999985</v>
      </c>
      <c r="V36" s="100">
        <v>13</v>
      </c>
      <c r="W36" s="100">
        <v>9890.4</v>
      </c>
      <c r="X36" s="100">
        <v>16</v>
      </c>
      <c r="Y36" s="100">
        <v>12172.8</v>
      </c>
      <c r="Z36" s="100">
        <v>18</v>
      </c>
      <c r="AA36" s="100">
        <v>13694.4</v>
      </c>
      <c r="AB36" s="100">
        <v>13</v>
      </c>
      <c r="AC36" s="100">
        <v>9890.4</v>
      </c>
      <c r="AD36" s="100">
        <v>15</v>
      </c>
      <c r="AE36" s="100">
        <v>11412</v>
      </c>
      <c r="AF36" s="100">
        <v>14</v>
      </c>
      <c r="AG36" s="100">
        <v>10651.199999999999</v>
      </c>
      <c r="AH36" s="100">
        <v>13.637197157982296</v>
      </c>
      <c r="AI36" s="100">
        <v>10375.179597792931</v>
      </c>
      <c r="AJ36" s="100">
        <v>18</v>
      </c>
      <c r="AK36" s="100">
        <v>13694.4</v>
      </c>
      <c r="AL36" s="100">
        <v>18</v>
      </c>
      <c r="AM36" s="100">
        <v>13694.4</v>
      </c>
      <c r="AN36" s="100">
        <v>12.133181082139902</v>
      </c>
      <c r="AO36" s="100">
        <v>9230.924167292038</v>
      </c>
      <c r="AP36" s="100">
        <v>10.361384259707972</v>
      </c>
      <c r="AQ36" s="100">
        <v>7882.9411447858247</v>
      </c>
      <c r="AR36" s="100">
        <v>11.049727969268991</v>
      </c>
      <c r="AS36" s="100">
        <v>8406.6330390198473</v>
      </c>
      <c r="AT36" s="100">
        <v>0</v>
      </c>
      <c r="AU36" s="100">
        <v>0</v>
      </c>
      <c r="AV36" s="100">
        <v>18</v>
      </c>
      <c r="AW36" s="100">
        <v>13694.4</v>
      </c>
      <c r="AX36" s="100">
        <v>8.2738957642185849</v>
      </c>
      <c r="AY36" s="100">
        <v>6294.7798974174993</v>
      </c>
      <c r="AZ36" s="100">
        <v>13</v>
      </c>
      <c r="BA36" s="100">
        <v>9890.4</v>
      </c>
      <c r="BB36" s="100">
        <v>12.060548020922736</v>
      </c>
      <c r="BC36" s="100">
        <v>9175.6649343180179</v>
      </c>
      <c r="BD36" s="100">
        <v>12</v>
      </c>
      <c r="BE36" s="100">
        <v>9129.5999999999985</v>
      </c>
      <c r="BF36" s="100">
        <v>13</v>
      </c>
      <c r="BG36" s="100">
        <v>9890.4</v>
      </c>
      <c r="BH36" s="100">
        <v>6.2700941284792213</v>
      </c>
      <c r="BI36" s="100">
        <v>4770.2876129469914</v>
      </c>
      <c r="BJ36" s="100">
        <v>13</v>
      </c>
      <c r="BK36" s="100">
        <v>9890.4</v>
      </c>
      <c r="BL36" s="100">
        <v>16</v>
      </c>
      <c r="BM36" s="100">
        <v>12172.8</v>
      </c>
      <c r="BN36" s="100">
        <v>14</v>
      </c>
      <c r="BO36" s="100">
        <v>10651.199999999999</v>
      </c>
      <c r="BP36" s="100">
        <v>13</v>
      </c>
      <c r="BQ36" s="100">
        <v>9890.4</v>
      </c>
      <c r="BR36" s="100">
        <v>13</v>
      </c>
      <c r="BS36" s="100">
        <v>9890.4</v>
      </c>
      <c r="BT36" s="100">
        <v>21</v>
      </c>
      <c r="BU36" s="100">
        <v>15976.8</v>
      </c>
      <c r="BV36" s="100">
        <v>17.702716257864171</v>
      </c>
      <c r="BW36" s="100">
        <v>13468.226528983061</v>
      </c>
      <c r="BX36" s="100">
        <v>14</v>
      </c>
      <c r="BY36" s="100">
        <v>10651.199999999999</v>
      </c>
      <c r="BZ36" s="100">
        <v>12</v>
      </c>
      <c r="CA36" s="100">
        <v>9129.5999999999985</v>
      </c>
      <c r="CB36" s="100">
        <v>20</v>
      </c>
      <c r="CC36" s="100">
        <v>15216</v>
      </c>
      <c r="CD36" s="100">
        <v>12.771010434350648</v>
      </c>
      <c r="CE36" s="100">
        <v>9716.1847384539724</v>
      </c>
      <c r="CF36" s="100">
        <v>14</v>
      </c>
      <c r="CG36" s="100">
        <v>10651.199999999999</v>
      </c>
      <c r="CH36" s="100">
        <v>22</v>
      </c>
      <c r="CI36" s="100">
        <v>16737.599999999999</v>
      </c>
      <c r="CJ36" s="100">
        <v>20</v>
      </c>
      <c r="CK36" s="100">
        <v>15216</v>
      </c>
      <c r="CL36" s="100">
        <v>13</v>
      </c>
      <c r="CM36" s="100">
        <v>9890.4</v>
      </c>
      <c r="CN36" s="100">
        <v>9.906153834377271</v>
      </c>
      <c r="CO36" s="100">
        <v>7536.6018371942273</v>
      </c>
      <c r="CP36" s="100">
        <v>19</v>
      </c>
      <c r="CQ36" s="100">
        <v>14455.199999999999</v>
      </c>
      <c r="CR36" s="100">
        <v>9.5596918974658447</v>
      </c>
      <c r="CS36" s="100">
        <v>7273.0135955920141</v>
      </c>
      <c r="CT36" s="100">
        <v>4.7798198289292717</v>
      </c>
      <c r="CU36" s="100">
        <v>3636.4869258493895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11</v>
      </c>
      <c r="G37" s="100">
        <v>9464.4</v>
      </c>
      <c r="H37" s="100">
        <v>15</v>
      </c>
      <c r="I37" s="100">
        <v>12906</v>
      </c>
      <c r="J37" s="100">
        <v>11</v>
      </c>
      <c r="K37" s="100">
        <v>9464.4</v>
      </c>
      <c r="L37" s="100">
        <v>12</v>
      </c>
      <c r="M37" s="100">
        <v>10324.799999999999</v>
      </c>
      <c r="N37" s="100">
        <v>10</v>
      </c>
      <c r="O37" s="100">
        <v>8604</v>
      </c>
      <c r="P37" s="100">
        <v>10</v>
      </c>
      <c r="Q37" s="100">
        <v>8604</v>
      </c>
      <c r="R37" s="100">
        <v>10</v>
      </c>
      <c r="S37" s="100">
        <v>8604</v>
      </c>
      <c r="T37" s="100">
        <v>7</v>
      </c>
      <c r="U37" s="100">
        <v>6022.8</v>
      </c>
      <c r="V37" s="100">
        <v>14</v>
      </c>
      <c r="W37" s="100">
        <v>12045.6</v>
      </c>
      <c r="X37" s="100">
        <v>11</v>
      </c>
      <c r="Y37" s="100">
        <v>9464.4</v>
      </c>
      <c r="Z37" s="100">
        <v>10</v>
      </c>
      <c r="AA37" s="100">
        <v>8604</v>
      </c>
      <c r="AB37" s="100">
        <v>12</v>
      </c>
      <c r="AC37" s="100">
        <v>10324.799999999999</v>
      </c>
      <c r="AD37" s="100">
        <v>8</v>
      </c>
      <c r="AE37" s="100">
        <v>6883.2</v>
      </c>
      <c r="AF37" s="100">
        <v>12</v>
      </c>
      <c r="AG37" s="100">
        <v>10324.799999999999</v>
      </c>
      <c r="AH37" s="100">
        <v>6.8185985789911481</v>
      </c>
      <c r="AI37" s="100">
        <v>5866.7222173639839</v>
      </c>
      <c r="AJ37" s="100">
        <v>11</v>
      </c>
      <c r="AK37" s="100">
        <v>9464.4</v>
      </c>
      <c r="AL37" s="100">
        <v>9</v>
      </c>
      <c r="AM37" s="100">
        <v>7743.5999999999995</v>
      </c>
      <c r="AN37" s="100">
        <v>14.933145947249111</v>
      </c>
      <c r="AO37" s="100">
        <v>12848.478773013134</v>
      </c>
      <c r="AP37" s="100">
        <v>6.376236467512598</v>
      </c>
      <c r="AQ37" s="100">
        <v>5486.1138566478394</v>
      </c>
      <c r="AR37" s="100">
        <v>8.9779039750310563</v>
      </c>
      <c r="AS37" s="100">
        <v>7724.5885801167205</v>
      </c>
      <c r="AT37" s="100">
        <v>0</v>
      </c>
      <c r="AU37" s="100">
        <v>0</v>
      </c>
      <c r="AV37" s="100">
        <v>10</v>
      </c>
      <c r="AW37" s="100">
        <v>8604</v>
      </c>
      <c r="AX37" s="100">
        <v>5.3536972592002607</v>
      </c>
      <c r="AY37" s="100">
        <v>4606.321121815904</v>
      </c>
      <c r="AZ37" s="100">
        <v>15</v>
      </c>
      <c r="BA37" s="100">
        <v>12906</v>
      </c>
      <c r="BB37" s="100">
        <v>9.9322160172304894</v>
      </c>
      <c r="BC37" s="100">
        <v>8545.6786612251126</v>
      </c>
      <c r="BD37" s="100">
        <v>9</v>
      </c>
      <c r="BE37" s="100">
        <v>7743.5999999999995</v>
      </c>
      <c r="BF37" s="100">
        <v>8</v>
      </c>
      <c r="BG37" s="100">
        <v>6883.2</v>
      </c>
      <c r="BH37" s="100">
        <v>4.5284013150127711</v>
      </c>
      <c r="BI37" s="100">
        <v>3896.2364914369882</v>
      </c>
      <c r="BJ37" s="100">
        <v>10</v>
      </c>
      <c r="BK37" s="100">
        <v>8604</v>
      </c>
      <c r="BL37" s="100">
        <v>10</v>
      </c>
      <c r="BM37" s="100">
        <v>8604</v>
      </c>
      <c r="BN37" s="100">
        <v>13</v>
      </c>
      <c r="BO37" s="100">
        <v>11185.199999999999</v>
      </c>
      <c r="BP37" s="100">
        <v>9</v>
      </c>
      <c r="BQ37" s="100">
        <v>7743.5999999999995</v>
      </c>
      <c r="BR37" s="100">
        <v>16</v>
      </c>
      <c r="BS37" s="100">
        <v>13766.4</v>
      </c>
      <c r="BT37" s="100">
        <v>11</v>
      </c>
      <c r="BU37" s="100">
        <v>9464.4</v>
      </c>
      <c r="BV37" s="100">
        <v>8.8513581289320857</v>
      </c>
      <c r="BW37" s="100">
        <v>7615.7085341331667</v>
      </c>
      <c r="BX37" s="100">
        <v>8</v>
      </c>
      <c r="BY37" s="100">
        <v>6883.2</v>
      </c>
      <c r="BZ37" s="100">
        <v>10</v>
      </c>
      <c r="CA37" s="100">
        <v>8604</v>
      </c>
      <c r="CB37" s="100">
        <v>11</v>
      </c>
      <c r="CC37" s="100">
        <v>9464.4</v>
      </c>
      <c r="CD37" s="100">
        <v>9.1221503102504631</v>
      </c>
      <c r="CE37" s="100">
        <v>7848.6981269394983</v>
      </c>
      <c r="CF37" s="100">
        <v>13</v>
      </c>
      <c r="CG37" s="100">
        <v>11185.199999999999</v>
      </c>
      <c r="CH37" s="100">
        <v>10</v>
      </c>
      <c r="CI37" s="100">
        <v>8604</v>
      </c>
      <c r="CJ37" s="100">
        <v>14</v>
      </c>
      <c r="CK37" s="100">
        <v>12045.6</v>
      </c>
      <c r="CL37" s="100">
        <v>10</v>
      </c>
      <c r="CM37" s="100">
        <v>8604</v>
      </c>
      <c r="CN37" s="100">
        <v>9.906153834377271</v>
      </c>
      <c r="CO37" s="100">
        <v>8523.2547590982031</v>
      </c>
      <c r="CP37" s="100">
        <v>12</v>
      </c>
      <c r="CQ37" s="100">
        <v>10324.799999999999</v>
      </c>
      <c r="CR37" s="100">
        <v>6.3731279316438965</v>
      </c>
      <c r="CS37" s="100">
        <v>5483.4392723864084</v>
      </c>
      <c r="CT37" s="100">
        <v>3.0188335761658553</v>
      </c>
      <c r="CU37" s="100">
        <v>2597.4044089331019</v>
      </c>
    </row>
    <row r="38" spans="2:99">
      <c r="C38" s="99" t="s">
        <v>204</v>
      </c>
      <c r="D38" s="100">
        <v>11</v>
      </c>
      <c r="E38" s="100">
        <v>13662</v>
      </c>
      <c r="F38" s="100">
        <v>9</v>
      </c>
      <c r="G38" s="100">
        <v>11178</v>
      </c>
      <c r="H38" s="100">
        <v>14</v>
      </c>
      <c r="I38" s="100">
        <v>17388</v>
      </c>
      <c r="J38" s="100">
        <v>10</v>
      </c>
      <c r="K38" s="100">
        <v>12420</v>
      </c>
      <c r="L38" s="100">
        <v>12</v>
      </c>
      <c r="M38" s="100">
        <v>14904</v>
      </c>
      <c r="N38" s="100">
        <v>11</v>
      </c>
      <c r="O38" s="100">
        <v>13662</v>
      </c>
      <c r="P38" s="100">
        <v>9</v>
      </c>
      <c r="Q38" s="100">
        <v>11178</v>
      </c>
      <c r="R38" s="100">
        <v>10</v>
      </c>
      <c r="S38" s="100">
        <v>12420</v>
      </c>
      <c r="T38" s="100">
        <v>8</v>
      </c>
      <c r="U38" s="100">
        <v>9936</v>
      </c>
      <c r="V38" s="100">
        <v>13</v>
      </c>
      <c r="W38" s="100">
        <v>16146</v>
      </c>
      <c r="X38" s="100">
        <v>12</v>
      </c>
      <c r="Y38" s="100">
        <v>14904</v>
      </c>
      <c r="Z38" s="100">
        <v>9</v>
      </c>
      <c r="AA38" s="100">
        <v>11178</v>
      </c>
      <c r="AB38" s="100">
        <v>11</v>
      </c>
      <c r="AC38" s="100">
        <v>13662</v>
      </c>
      <c r="AD38" s="100">
        <v>8</v>
      </c>
      <c r="AE38" s="100">
        <v>9936</v>
      </c>
      <c r="AF38" s="100">
        <v>14</v>
      </c>
      <c r="AG38" s="100">
        <v>17388</v>
      </c>
      <c r="AH38" s="100">
        <v>6.8185985789911481</v>
      </c>
      <c r="AI38" s="100">
        <v>8468.6994351070061</v>
      </c>
      <c r="AJ38" s="100">
        <v>12</v>
      </c>
      <c r="AK38" s="100">
        <v>14904</v>
      </c>
      <c r="AL38" s="100">
        <v>8</v>
      </c>
      <c r="AM38" s="100">
        <v>9936</v>
      </c>
      <c r="AN38" s="100">
        <v>13.066502703842971</v>
      </c>
      <c r="AO38" s="100">
        <v>16228.59635817297</v>
      </c>
      <c r="AP38" s="100">
        <v>5.5792069090735232</v>
      </c>
      <c r="AQ38" s="100">
        <v>6929.3749810693162</v>
      </c>
      <c r="AR38" s="100">
        <v>7.5966879788724313</v>
      </c>
      <c r="AS38" s="100">
        <v>9435.0864697595589</v>
      </c>
      <c r="AT38" s="100">
        <v>0</v>
      </c>
      <c r="AU38" s="100">
        <v>0</v>
      </c>
      <c r="AV38" s="100">
        <v>10</v>
      </c>
      <c r="AW38" s="100">
        <v>12420</v>
      </c>
      <c r="AX38" s="100">
        <v>5.3536972592002607</v>
      </c>
      <c r="AY38" s="100">
        <v>6649.2919959267238</v>
      </c>
      <c r="AZ38" s="100">
        <v>15</v>
      </c>
      <c r="BA38" s="100">
        <v>18630</v>
      </c>
      <c r="BB38" s="100">
        <v>10.641660018461238</v>
      </c>
      <c r="BC38" s="100">
        <v>13216.941742928857</v>
      </c>
      <c r="BD38" s="100">
        <v>9</v>
      </c>
      <c r="BE38" s="100">
        <v>11178</v>
      </c>
      <c r="BF38" s="100">
        <v>8</v>
      </c>
      <c r="BG38" s="100">
        <v>9936</v>
      </c>
      <c r="BH38" s="100">
        <v>4.8767398777060613</v>
      </c>
      <c r="BI38" s="100">
        <v>6056.9109281109286</v>
      </c>
      <c r="BJ38" s="100">
        <v>11</v>
      </c>
      <c r="BK38" s="100">
        <v>13662</v>
      </c>
      <c r="BL38" s="100">
        <v>9</v>
      </c>
      <c r="BM38" s="100">
        <v>11178</v>
      </c>
      <c r="BN38" s="100">
        <v>13</v>
      </c>
      <c r="BO38" s="100">
        <v>16146</v>
      </c>
      <c r="BP38" s="100">
        <v>9</v>
      </c>
      <c r="BQ38" s="100">
        <v>11178</v>
      </c>
      <c r="BR38" s="100">
        <v>16</v>
      </c>
      <c r="BS38" s="100">
        <v>19872</v>
      </c>
      <c r="BT38" s="100">
        <v>12</v>
      </c>
      <c r="BU38" s="100">
        <v>14904</v>
      </c>
      <c r="BV38" s="100">
        <v>8.8513581289320857</v>
      </c>
      <c r="BW38" s="100">
        <v>10993.386796133651</v>
      </c>
      <c r="BX38" s="100">
        <v>8</v>
      </c>
      <c r="BY38" s="100">
        <v>9936</v>
      </c>
      <c r="BZ38" s="100">
        <v>10</v>
      </c>
      <c r="CA38" s="100">
        <v>12420</v>
      </c>
      <c r="CB38" s="100">
        <v>11</v>
      </c>
      <c r="CC38" s="100">
        <v>13662</v>
      </c>
      <c r="CD38" s="100">
        <v>9.1221503102504631</v>
      </c>
      <c r="CE38" s="100">
        <v>11329.710685331074</v>
      </c>
      <c r="CF38" s="100">
        <v>13</v>
      </c>
      <c r="CG38" s="100">
        <v>16146</v>
      </c>
      <c r="CH38" s="100">
        <v>10</v>
      </c>
      <c r="CI38" s="100">
        <v>12420</v>
      </c>
      <c r="CJ38" s="100">
        <v>13</v>
      </c>
      <c r="CK38" s="100">
        <v>16146</v>
      </c>
      <c r="CL38" s="100">
        <v>11</v>
      </c>
      <c r="CM38" s="100">
        <v>13662</v>
      </c>
      <c r="CN38" s="100">
        <v>8.4909890008948032</v>
      </c>
      <c r="CO38" s="100">
        <v>10545.808339111345</v>
      </c>
      <c r="CP38" s="100">
        <v>12</v>
      </c>
      <c r="CQ38" s="100">
        <v>14904</v>
      </c>
      <c r="CR38" s="100">
        <v>6.3731279316438965</v>
      </c>
      <c r="CS38" s="100">
        <v>7915.4248911017194</v>
      </c>
      <c r="CT38" s="100">
        <v>3.0188335761658553</v>
      </c>
      <c r="CU38" s="100">
        <v>3749.3913015979924</v>
      </c>
    </row>
    <row r="39" spans="2:99">
      <c r="C39" s="99" t="s">
        <v>205</v>
      </c>
      <c r="D39" s="100">
        <v>10</v>
      </c>
      <c r="E39" s="100">
        <v>14232</v>
      </c>
      <c r="F39" s="100">
        <v>10</v>
      </c>
      <c r="G39" s="100">
        <v>14232</v>
      </c>
      <c r="H39" s="100">
        <v>15</v>
      </c>
      <c r="I39" s="100">
        <v>21348</v>
      </c>
      <c r="J39" s="100">
        <v>10</v>
      </c>
      <c r="K39" s="100">
        <v>14232</v>
      </c>
      <c r="L39" s="100">
        <v>12</v>
      </c>
      <c r="M39" s="100">
        <v>17078.400000000001</v>
      </c>
      <c r="N39" s="100">
        <v>10</v>
      </c>
      <c r="O39" s="100">
        <v>14232</v>
      </c>
      <c r="P39" s="100">
        <v>9</v>
      </c>
      <c r="Q39" s="100">
        <v>12808.800000000001</v>
      </c>
      <c r="R39" s="100">
        <v>10</v>
      </c>
      <c r="S39" s="100">
        <v>14232</v>
      </c>
      <c r="T39" s="100">
        <v>8</v>
      </c>
      <c r="U39" s="100">
        <v>11385.6</v>
      </c>
      <c r="V39" s="100">
        <v>15</v>
      </c>
      <c r="W39" s="100">
        <v>21348</v>
      </c>
      <c r="X39" s="100">
        <v>13</v>
      </c>
      <c r="Y39" s="100">
        <v>18501.600000000002</v>
      </c>
      <c r="Z39" s="100">
        <v>10</v>
      </c>
      <c r="AA39" s="100">
        <v>14232</v>
      </c>
      <c r="AB39" s="100">
        <v>12</v>
      </c>
      <c r="AC39" s="100">
        <v>17078.400000000001</v>
      </c>
      <c r="AD39" s="100">
        <v>7</v>
      </c>
      <c r="AE39" s="100">
        <v>9962.4</v>
      </c>
      <c r="AF39" s="100">
        <v>14</v>
      </c>
      <c r="AG39" s="100">
        <v>19924.8</v>
      </c>
      <c r="AH39" s="100">
        <v>6.1367387210920326</v>
      </c>
      <c r="AI39" s="100">
        <v>8733.8065478581811</v>
      </c>
      <c r="AJ39" s="100">
        <v>12</v>
      </c>
      <c r="AK39" s="100">
        <v>17078.400000000001</v>
      </c>
      <c r="AL39" s="100">
        <v>8</v>
      </c>
      <c r="AM39" s="100">
        <v>11385.6</v>
      </c>
      <c r="AN39" s="100">
        <v>12.133181082139902</v>
      </c>
      <c r="AO39" s="100">
        <v>17267.943316101511</v>
      </c>
      <c r="AP39" s="100">
        <v>7.1732660259516727</v>
      </c>
      <c r="AQ39" s="100">
        <v>10208.992208134421</v>
      </c>
      <c r="AR39" s="100">
        <v>7.5966879788724313</v>
      </c>
      <c r="AS39" s="100">
        <v>10811.606331531244</v>
      </c>
      <c r="AT39" s="100">
        <v>0</v>
      </c>
      <c r="AU39" s="100">
        <v>0</v>
      </c>
      <c r="AV39" s="100">
        <v>10</v>
      </c>
      <c r="AW39" s="100">
        <v>14232</v>
      </c>
      <c r="AX39" s="100">
        <v>4.8669975083638741</v>
      </c>
      <c r="AY39" s="100">
        <v>6926.7108539034662</v>
      </c>
      <c r="AZ39" s="100">
        <v>14</v>
      </c>
      <c r="BA39" s="100">
        <v>19924.8</v>
      </c>
      <c r="BB39" s="100">
        <v>9.9322160172304894</v>
      </c>
      <c r="BC39" s="100">
        <v>14135.529835722433</v>
      </c>
      <c r="BD39" s="100">
        <v>9</v>
      </c>
      <c r="BE39" s="100">
        <v>12808.800000000001</v>
      </c>
      <c r="BF39" s="100">
        <v>8</v>
      </c>
      <c r="BG39" s="100">
        <v>11385.6</v>
      </c>
      <c r="BH39" s="100">
        <v>4.8767398777060613</v>
      </c>
      <c r="BI39" s="100">
        <v>6940.5761939512668</v>
      </c>
      <c r="BJ39" s="100">
        <v>9</v>
      </c>
      <c r="BK39" s="100">
        <v>12808.800000000001</v>
      </c>
      <c r="BL39" s="100">
        <v>9</v>
      </c>
      <c r="BM39" s="100">
        <v>12808.800000000001</v>
      </c>
      <c r="BN39" s="100">
        <v>14</v>
      </c>
      <c r="BO39" s="100">
        <v>19924.8</v>
      </c>
      <c r="BP39" s="100">
        <v>8</v>
      </c>
      <c r="BQ39" s="100">
        <v>11385.6</v>
      </c>
      <c r="BR39" s="100">
        <v>14</v>
      </c>
      <c r="BS39" s="100">
        <v>19924.8</v>
      </c>
      <c r="BT39" s="100">
        <v>11</v>
      </c>
      <c r="BU39" s="100">
        <v>15655.2</v>
      </c>
      <c r="BV39" s="100">
        <v>8.0466892081200765</v>
      </c>
      <c r="BW39" s="100">
        <v>11452.048080996494</v>
      </c>
      <c r="BX39" s="100">
        <v>7</v>
      </c>
      <c r="BY39" s="100">
        <v>9962.4</v>
      </c>
      <c r="BZ39" s="100">
        <v>10</v>
      </c>
      <c r="CA39" s="100">
        <v>14232</v>
      </c>
      <c r="CB39" s="100">
        <v>11</v>
      </c>
      <c r="CC39" s="100">
        <v>15655.2</v>
      </c>
      <c r="CD39" s="100">
        <v>9.1221503102504631</v>
      </c>
      <c r="CE39" s="100">
        <v>12982.64432154846</v>
      </c>
      <c r="CF39" s="100">
        <v>12</v>
      </c>
      <c r="CG39" s="100">
        <v>17078.400000000001</v>
      </c>
      <c r="CH39" s="100">
        <v>10</v>
      </c>
      <c r="CI39" s="100">
        <v>14232</v>
      </c>
      <c r="CJ39" s="100">
        <v>14</v>
      </c>
      <c r="CK39" s="100">
        <v>19924.8</v>
      </c>
      <c r="CL39" s="100">
        <v>10</v>
      </c>
      <c r="CM39" s="100">
        <v>14232</v>
      </c>
      <c r="CN39" s="100">
        <v>9.906153834377271</v>
      </c>
      <c r="CO39" s="100">
        <v>14098.438137085732</v>
      </c>
      <c r="CP39" s="100">
        <v>11</v>
      </c>
      <c r="CQ39" s="100">
        <v>15655.2</v>
      </c>
      <c r="CR39" s="100">
        <v>6.3731279316438965</v>
      </c>
      <c r="CS39" s="100">
        <v>9070.2356723155935</v>
      </c>
      <c r="CT39" s="100">
        <v>3.2704030408463436</v>
      </c>
      <c r="CU39" s="100">
        <v>4654.437607732516</v>
      </c>
    </row>
    <row r="40" spans="2:99">
      <c r="C40" s="99" t="s">
        <v>206</v>
      </c>
      <c r="D40" s="100">
        <v>10</v>
      </c>
      <c r="E40" s="100">
        <v>7248</v>
      </c>
      <c r="F40" s="100">
        <v>11</v>
      </c>
      <c r="G40" s="100">
        <v>7972.7999999999993</v>
      </c>
      <c r="H40" s="100">
        <v>14</v>
      </c>
      <c r="I40" s="100">
        <v>10147.199999999999</v>
      </c>
      <c r="J40" s="100">
        <v>10</v>
      </c>
      <c r="K40" s="100">
        <v>7248</v>
      </c>
      <c r="L40" s="100">
        <v>13</v>
      </c>
      <c r="M40" s="100">
        <v>9422.4</v>
      </c>
      <c r="N40" s="100">
        <v>10</v>
      </c>
      <c r="O40" s="100">
        <v>7248</v>
      </c>
      <c r="P40" s="100">
        <v>10</v>
      </c>
      <c r="Q40" s="100">
        <v>7248</v>
      </c>
      <c r="R40" s="100">
        <v>10</v>
      </c>
      <c r="S40" s="100">
        <v>7248</v>
      </c>
      <c r="T40" s="100">
        <v>7</v>
      </c>
      <c r="U40" s="100">
        <v>5073.5999999999995</v>
      </c>
      <c r="V40" s="100">
        <v>14</v>
      </c>
      <c r="W40" s="100">
        <v>10147.199999999999</v>
      </c>
      <c r="X40" s="100">
        <v>12</v>
      </c>
      <c r="Y40" s="100">
        <v>8697.5999999999985</v>
      </c>
      <c r="Z40" s="100">
        <v>11</v>
      </c>
      <c r="AA40" s="100">
        <v>7972.7999999999993</v>
      </c>
      <c r="AB40" s="100">
        <v>12</v>
      </c>
      <c r="AC40" s="100">
        <v>8697.5999999999985</v>
      </c>
      <c r="AD40" s="100">
        <v>8</v>
      </c>
      <c r="AE40" s="100">
        <v>5798.4</v>
      </c>
      <c r="AF40" s="100">
        <v>13</v>
      </c>
      <c r="AG40" s="100">
        <v>9422.4</v>
      </c>
      <c r="AH40" s="100">
        <v>6.8185985789911481</v>
      </c>
      <c r="AI40" s="100">
        <v>4942.1202500527834</v>
      </c>
      <c r="AJ40" s="100">
        <v>11</v>
      </c>
      <c r="AK40" s="100">
        <v>7972.7999999999993</v>
      </c>
      <c r="AL40" s="100">
        <v>9</v>
      </c>
      <c r="AM40" s="100">
        <v>6523.2</v>
      </c>
      <c r="AN40" s="100">
        <v>14.933145947249111</v>
      </c>
      <c r="AO40" s="100">
        <v>10823.544182566155</v>
      </c>
      <c r="AP40" s="100">
        <v>6.376236467512598</v>
      </c>
      <c r="AQ40" s="100">
        <v>4621.4961916531311</v>
      </c>
      <c r="AR40" s="100">
        <v>8.9779039750310563</v>
      </c>
      <c r="AS40" s="100">
        <v>6507.1848011025095</v>
      </c>
      <c r="AT40" s="100">
        <v>0</v>
      </c>
      <c r="AU40" s="100">
        <v>0</v>
      </c>
      <c r="AV40" s="100">
        <v>9</v>
      </c>
      <c r="AW40" s="100">
        <v>6523.2</v>
      </c>
      <c r="AX40" s="100">
        <v>4.8669975083638741</v>
      </c>
      <c r="AY40" s="100">
        <v>3527.599794062136</v>
      </c>
      <c r="AZ40" s="100">
        <v>15</v>
      </c>
      <c r="BA40" s="100">
        <v>10872</v>
      </c>
      <c r="BB40" s="100">
        <v>9.9322160172304894</v>
      </c>
      <c r="BC40" s="100">
        <v>7198.870169288658</v>
      </c>
      <c r="BD40" s="100">
        <v>9</v>
      </c>
      <c r="BE40" s="100">
        <v>6523.2</v>
      </c>
      <c r="BF40" s="100">
        <v>8</v>
      </c>
      <c r="BG40" s="100">
        <v>5798.4</v>
      </c>
      <c r="BH40" s="100">
        <v>4.8767398777060613</v>
      </c>
      <c r="BI40" s="100">
        <v>3534.6610633613532</v>
      </c>
      <c r="BJ40" s="100">
        <v>10</v>
      </c>
      <c r="BK40" s="100">
        <v>7248</v>
      </c>
      <c r="BL40" s="100">
        <v>10</v>
      </c>
      <c r="BM40" s="100">
        <v>7248</v>
      </c>
      <c r="BN40" s="100">
        <v>14</v>
      </c>
      <c r="BO40" s="100">
        <v>10147.199999999999</v>
      </c>
      <c r="BP40" s="100">
        <v>8</v>
      </c>
      <c r="BQ40" s="100">
        <v>5798.4</v>
      </c>
      <c r="BR40" s="100">
        <v>16</v>
      </c>
      <c r="BS40" s="100">
        <v>11596.8</v>
      </c>
      <c r="BT40" s="100">
        <v>12</v>
      </c>
      <c r="BU40" s="100">
        <v>8697.5999999999985</v>
      </c>
      <c r="BV40" s="100">
        <v>8.0466892081200765</v>
      </c>
      <c r="BW40" s="100">
        <v>5832.2403380454307</v>
      </c>
      <c r="BX40" s="100">
        <v>9</v>
      </c>
      <c r="BY40" s="100">
        <v>6523.2</v>
      </c>
      <c r="BZ40" s="100">
        <v>10</v>
      </c>
      <c r="CA40" s="100">
        <v>7248</v>
      </c>
      <c r="CB40" s="100">
        <v>13</v>
      </c>
      <c r="CC40" s="100">
        <v>9422.4</v>
      </c>
      <c r="CD40" s="100">
        <v>9.73029366426716</v>
      </c>
      <c r="CE40" s="100">
        <v>7052.5168478608375</v>
      </c>
      <c r="CF40" s="100">
        <v>13</v>
      </c>
      <c r="CG40" s="100">
        <v>9422.4</v>
      </c>
      <c r="CH40" s="100">
        <v>11</v>
      </c>
      <c r="CI40" s="100">
        <v>7972.7999999999993</v>
      </c>
      <c r="CJ40" s="100">
        <v>14</v>
      </c>
      <c r="CK40" s="100">
        <v>10147.199999999999</v>
      </c>
      <c r="CL40" s="100">
        <v>12</v>
      </c>
      <c r="CM40" s="100">
        <v>8697.5999999999985</v>
      </c>
      <c r="CN40" s="100">
        <v>8.4909890008948032</v>
      </c>
      <c r="CO40" s="100">
        <v>6154.268827848553</v>
      </c>
      <c r="CP40" s="100">
        <v>11</v>
      </c>
      <c r="CQ40" s="100">
        <v>7972.7999999999993</v>
      </c>
      <c r="CR40" s="100">
        <v>7.0104407248082863</v>
      </c>
      <c r="CS40" s="100">
        <v>5081.167437341046</v>
      </c>
      <c r="CT40" s="100">
        <v>2.7672641114853676</v>
      </c>
      <c r="CU40" s="100">
        <v>2005.7130280045942</v>
      </c>
    </row>
    <row r="41" spans="2:99">
      <c r="C41" s="99" t="s">
        <v>207</v>
      </c>
      <c r="D41" s="100">
        <v>10</v>
      </c>
      <c r="E41" s="100">
        <v>6600</v>
      </c>
      <c r="F41" s="100">
        <v>10</v>
      </c>
      <c r="G41" s="100">
        <v>6600</v>
      </c>
      <c r="H41" s="100">
        <v>13</v>
      </c>
      <c r="I41" s="100">
        <v>8580</v>
      </c>
      <c r="J41" s="100">
        <v>12</v>
      </c>
      <c r="K41" s="100">
        <v>7920</v>
      </c>
      <c r="L41" s="100">
        <v>12</v>
      </c>
      <c r="M41" s="100">
        <v>7920</v>
      </c>
      <c r="N41" s="100">
        <v>11</v>
      </c>
      <c r="O41" s="100">
        <v>7260</v>
      </c>
      <c r="P41" s="100">
        <v>10</v>
      </c>
      <c r="Q41" s="100">
        <v>6600</v>
      </c>
      <c r="R41" s="100">
        <v>11</v>
      </c>
      <c r="S41" s="100">
        <v>7260</v>
      </c>
      <c r="T41" s="100">
        <v>8</v>
      </c>
      <c r="U41" s="100">
        <v>5280</v>
      </c>
      <c r="V41" s="100">
        <v>15</v>
      </c>
      <c r="W41" s="100">
        <v>9900</v>
      </c>
      <c r="X41" s="100">
        <v>12</v>
      </c>
      <c r="Y41" s="100">
        <v>7920</v>
      </c>
      <c r="Z41" s="100">
        <v>9</v>
      </c>
      <c r="AA41" s="100">
        <v>5940</v>
      </c>
      <c r="AB41" s="100">
        <v>12</v>
      </c>
      <c r="AC41" s="100">
        <v>7920</v>
      </c>
      <c r="AD41" s="100">
        <v>8</v>
      </c>
      <c r="AE41" s="100">
        <v>5280</v>
      </c>
      <c r="AF41" s="100">
        <v>14</v>
      </c>
      <c r="AG41" s="100">
        <v>9240</v>
      </c>
      <c r="AH41" s="100">
        <v>6.8185985789911481</v>
      </c>
      <c r="AI41" s="100">
        <v>4500.2750621341575</v>
      </c>
      <c r="AJ41" s="100">
        <v>11</v>
      </c>
      <c r="AK41" s="100">
        <v>7260</v>
      </c>
      <c r="AL41" s="100">
        <v>9</v>
      </c>
      <c r="AM41" s="100">
        <v>5940</v>
      </c>
      <c r="AN41" s="100">
        <v>14.933145947249111</v>
      </c>
      <c r="AO41" s="100">
        <v>9855.8763251844139</v>
      </c>
      <c r="AP41" s="100">
        <v>7.1732660259516727</v>
      </c>
      <c r="AQ41" s="100">
        <v>4734.3555771281044</v>
      </c>
      <c r="AR41" s="100">
        <v>8.9779039750310563</v>
      </c>
      <c r="AS41" s="100">
        <v>5925.4166235204975</v>
      </c>
      <c r="AT41" s="100">
        <v>0</v>
      </c>
      <c r="AU41" s="100">
        <v>0</v>
      </c>
      <c r="AV41" s="100">
        <v>10</v>
      </c>
      <c r="AW41" s="100">
        <v>6600</v>
      </c>
      <c r="AX41" s="100">
        <v>5.8403970100366491</v>
      </c>
      <c r="AY41" s="100">
        <v>3854.6620266241885</v>
      </c>
      <c r="AZ41" s="100">
        <v>15</v>
      </c>
      <c r="BA41" s="100">
        <v>9900</v>
      </c>
      <c r="BB41" s="100">
        <v>11.351104019691986</v>
      </c>
      <c r="BC41" s="100">
        <v>7491.7286529967105</v>
      </c>
      <c r="BD41" s="100">
        <v>9</v>
      </c>
      <c r="BE41" s="100">
        <v>5940</v>
      </c>
      <c r="BF41" s="100">
        <v>8</v>
      </c>
      <c r="BG41" s="100">
        <v>5280</v>
      </c>
      <c r="BH41" s="100">
        <v>5.5734170030926418</v>
      </c>
      <c r="BI41" s="100">
        <v>3678.4552220411438</v>
      </c>
      <c r="BJ41" s="100">
        <v>9</v>
      </c>
      <c r="BK41" s="100">
        <v>5940</v>
      </c>
      <c r="BL41" s="100">
        <v>10</v>
      </c>
      <c r="BM41" s="100">
        <v>6600</v>
      </c>
      <c r="BN41" s="100">
        <v>14</v>
      </c>
      <c r="BO41" s="100">
        <v>9240</v>
      </c>
      <c r="BP41" s="100">
        <v>7</v>
      </c>
      <c r="BQ41" s="100">
        <v>4620</v>
      </c>
      <c r="BR41" s="100">
        <v>16</v>
      </c>
      <c r="BS41" s="100">
        <v>10560</v>
      </c>
      <c r="BT41" s="100">
        <v>11</v>
      </c>
      <c r="BU41" s="100">
        <v>7260</v>
      </c>
      <c r="BV41" s="100">
        <v>8.8513581289320857</v>
      </c>
      <c r="BW41" s="100">
        <v>5841.8963650951764</v>
      </c>
      <c r="BX41" s="100">
        <v>9</v>
      </c>
      <c r="BY41" s="100">
        <v>5940</v>
      </c>
      <c r="BZ41" s="100">
        <v>10</v>
      </c>
      <c r="CA41" s="100">
        <v>6600</v>
      </c>
      <c r="CB41" s="100">
        <v>12</v>
      </c>
      <c r="CC41" s="100">
        <v>7920</v>
      </c>
      <c r="CD41" s="100">
        <v>9.1221503102504631</v>
      </c>
      <c r="CE41" s="100">
        <v>6020.6192047653058</v>
      </c>
      <c r="CF41" s="100">
        <v>14</v>
      </c>
      <c r="CG41" s="100">
        <v>9240</v>
      </c>
      <c r="CH41" s="100">
        <v>11</v>
      </c>
      <c r="CI41" s="100">
        <v>7260</v>
      </c>
      <c r="CJ41" s="100">
        <v>15</v>
      </c>
      <c r="CK41" s="100">
        <v>9900</v>
      </c>
      <c r="CL41" s="100">
        <v>11</v>
      </c>
      <c r="CM41" s="100">
        <v>7260</v>
      </c>
      <c r="CN41" s="100">
        <v>10.613736251118505</v>
      </c>
      <c r="CO41" s="100">
        <v>7005.0659257382131</v>
      </c>
      <c r="CP41" s="100">
        <v>12</v>
      </c>
      <c r="CQ41" s="100">
        <v>7920</v>
      </c>
      <c r="CR41" s="100">
        <v>7.0104407248082863</v>
      </c>
      <c r="CS41" s="100">
        <v>4626.8908783734687</v>
      </c>
      <c r="CT41" s="100">
        <v>3.0188335761658553</v>
      </c>
      <c r="CU41" s="100">
        <v>1992.4301602694645</v>
      </c>
    </row>
    <row r="42" spans="2:99">
      <c r="C42" s="99" t="s">
        <v>208</v>
      </c>
      <c r="D42" s="100">
        <v>11</v>
      </c>
      <c r="E42" s="100">
        <v>9306</v>
      </c>
      <c r="F42" s="100">
        <v>10</v>
      </c>
      <c r="G42" s="100">
        <v>8460</v>
      </c>
      <c r="H42" s="100">
        <v>14</v>
      </c>
      <c r="I42" s="100">
        <v>11844</v>
      </c>
      <c r="J42" s="100">
        <v>12</v>
      </c>
      <c r="K42" s="100">
        <v>10152</v>
      </c>
      <c r="L42" s="100">
        <v>11</v>
      </c>
      <c r="M42" s="100">
        <v>9306</v>
      </c>
      <c r="N42" s="100">
        <v>11</v>
      </c>
      <c r="O42" s="100">
        <v>9306</v>
      </c>
      <c r="P42" s="100">
        <v>10</v>
      </c>
      <c r="Q42" s="100">
        <v>8460</v>
      </c>
      <c r="R42" s="100">
        <v>11</v>
      </c>
      <c r="S42" s="100">
        <v>9306</v>
      </c>
      <c r="T42" s="100">
        <v>9</v>
      </c>
      <c r="U42" s="100">
        <v>7614</v>
      </c>
      <c r="V42" s="100">
        <v>16</v>
      </c>
      <c r="W42" s="100">
        <v>13536</v>
      </c>
      <c r="X42" s="100">
        <v>12</v>
      </c>
      <c r="Y42" s="100">
        <v>10152</v>
      </c>
      <c r="Z42" s="100">
        <v>10</v>
      </c>
      <c r="AA42" s="100">
        <v>8460</v>
      </c>
      <c r="AB42" s="100">
        <v>13</v>
      </c>
      <c r="AC42" s="100">
        <v>10998</v>
      </c>
      <c r="AD42" s="100">
        <v>8</v>
      </c>
      <c r="AE42" s="100">
        <v>6768</v>
      </c>
      <c r="AF42" s="100">
        <v>15</v>
      </c>
      <c r="AG42" s="100">
        <v>12690</v>
      </c>
      <c r="AH42" s="100">
        <v>6.8185985789911481</v>
      </c>
      <c r="AI42" s="100">
        <v>5768.5343978265109</v>
      </c>
      <c r="AJ42" s="100">
        <v>13</v>
      </c>
      <c r="AK42" s="100">
        <v>10998</v>
      </c>
      <c r="AL42" s="100">
        <v>8</v>
      </c>
      <c r="AM42" s="100">
        <v>6768</v>
      </c>
      <c r="AN42" s="100">
        <v>12.133181082139902</v>
      </c>
      <c r="AO42" s="100">
        <v>10264.671195490357</v>
      </c>
      <c r="AP42" s="100">
        <v>7.1732660259516727</v>
      </c>
      <c r="AQ42" s="100">
        <v>6068.5830579551148</v>
      </c>
      <c r="AR42" s="100">
        <v>8.9779039750310563</v>
      </c>
      <c r="AS42" s="100">
        <v>7595.3067628762738</v>
      </c>
      <c r="AT42" s="100">
        <v>0</v>
      </c>
      <c r="AU42" s="100">
        <v>0</v>
      </c>
      <c r="AV42" s="100">
        <v>10</v>
      </c>
      <c r="AW42" s="100">
        <v>8460</v>
      </c>
      <c r="AX42" s="100">
        <v>5.3536972592002607</v>
      </c>
      <c r="AY42" s="100">
        <v>4529.2278812834202</v>
      </c>
      <c r="AZ42" s="100">
        <v>14</v>
      </c>
      <c r="BA42" s="100">
        <v>11844</v>
      </c>
      <c r="BB42" s="100">
        <v>10.641660018461238</v>
      </c>
      <c r="BC42" s="100">
        <v>9002.8443756182078</v>
      </c>
      <c r="BD42" s="100">
        <v>9</v>
      </c>
      <c r="BE42" s="100">
        <v>7614</v>
      </c>
      <c r="BF42" s="100">
        <v>7</v>
      </c>
      <c r="BG42" s="100">
        <v>5922</v>
      </c>
      <c r="BH42" s="100">
        <v>5.2250784403993515</v>
      </c>
      <c r="BI42" s="100">
        <v>4420.4163605778513</v>
      </c>
      <c r="BJ42" s="100">
        <v>9</v>
      </c>
      <c r="BK42" s="100">
        <v>7614</v>
      </c>
      <c r="BL42" s="100">
        <v>10</v>
      </c>
      <c r="BM42" s="100">
        <v>8460</v>
      </c>
      <c r="BN42" s="100">
        <v>15</v>
      </c>
      <c r="BO42" s="100">
        <v>12690</v>
      </c>
      <c r="BP42" s="100">
        <v>9</v>
      </c>
      <c r="BQ42" s="100">
        <v>7614</v>
      </c>
      <c r="BR42" s="100">
        <v>14</v>
      </c>
      <c r="BS42" s="100">
        <v>11844</v>
      </c>
      <c r="BT42" s="100">
        <v>11</v>
      </c>
      <c r="BU42" s="100">
        <v>9306</v>
      </c>
      <c r="BV42" s="100">
        <v>8.0466892081200765</v>
      </c>
      <c r="BW42" s="100">
        <v>6807.4990700695844</v>
      </c>
      <c r="BX42" s="100">
        <v>9</v>
      </c>
      <c r="BY42" s="100">
        <v>7614</v>
      </c>
      <c r="BZ42" s="100">
        <v>11</v>
      </c>
      <c r="CA42" s="100">
        <v>9306</v>
      </c>
      <c r="CB42" s="100">
        <v>11</v>
      </c>
      <c r="CC42" s="100">
        <v>9306</v>
      </c>
      <c r="CD42" s="100">
        <v>9.1221503102504631</v>
      </c>
      <c r="CE42" s="100">
        <v>7717.3391624718915</v>
      </c>
      <c r="CF42" s="100">
        <v>12</v>
      </c>
      <c r="CG42" s="100">
        <v>10152</v>
      </c>
      <c r="CH42" s="100">
        <v>10</v>
      </c>
      <c r="CI42" s="100">
        <v>8460</v>
      </c>
      <c r="CJ42" s="100">
        <v>14</v>
      </c>
      <c r="CK42" s="100">
        <v>11844</v>
      </c>
      <c r="CL42" s="100">
        <v>11</v>
      </c>
      <c r="CM42" s="100">
        <v>9306</v>
      </c>
      <c r="CN42" s="100">
        <v>8.4909890008948032</v>
      </c>
      <c r="CO42" s="100">
        <v>7183.3766947570039</v>
      </c>
      <c r="CP42" s="100">
        <v>11</v>
      </c>
      <c r="CQ42" s="100">
        <v>9306</v>
      </c>
      <c r="CR42" s="100">
        <v>7.0104407248082863</v>
      </c>
      <c r="CS42" s="100">
        <v>5930.8328531878105</v>
      </c>
      <c r="CT42" s="100">
        <v>3.2704030408463436</v>
      </c>
      <c r="CU42" s="100">
        <v>2766.7609725560069</v>
      </c>
    </row>
    <row r="43" spans="2:99">
      <c r="C43" s="99" t="s">
        <v>209</v>
      </c>
      <c r="D43" s="100">
        <v>10</v>
      </c>
      <c r="E43" s="100">
        <v>10224</v>
      </c>
      <c r="F43" s="100">
        <v>10</v>
      </c>
      <c r="G43" s="100">
        <v>10224</v>
      </c>
      <c r="H43" s="100">
        <v>13</v>
      </c>
      <c r="I43" s="100">
        <v>13291.199999999999</v>
      </c>
      <c r="J43" s="100">
        <v>10</v>
      </c>
      <c r="K43" s="100">
        <v>10224</v>
      </c>
      <c r="L43" s="100">
        <v>11</v>
      </c>
      <c r="M43" s="100">
        <v>11246.4</v>
      </c>
      <c r="N43" s="100">
        <v>11</v>
      </c>
      <c r="O43" s="100">
        <v>11246.4</v>
      </c>
      <c r="P43" s="100">
        <v>9</v>
      </c>
      <c r="Q43" s="100">
        <v>9201.6</v>
      </c>
      <c r="R43" s="100">
        <v>10</v>
      </c>
      <c r="S43" s="100">
        <v>10224</v>
      </c>
      <c r="T43" s="100">
        <v>7</v>
      </c>
      <c r="U43" s="100">
        <v>7156.8</v>
      </c>
      <c r="V43" s="100">
        <v>15</v>
      </c>
      <c r="W43" s="100">
        <v>15336</v>
      </c>
      <c r="X43" s="100">
        <v>13</v>
      </c>
      <c r="Y43" s="100">
        <v>13291.199999999999</v>
      </c>
      <c r="Z43" s="100">
        <v>9</v>
      </c>
      <c r="AA43" s="100">
        <v>9201.6</v>
      </c>
      <c r="AB43" s="100">
        <v>13</v>
      </c>
      <c r="AC43" s="100">
        <v>13291.199999999999</v>
      </c>
      <c r="AD43" s="100">
        <v>7</v>
      </c>
      <c r="AE43" s="100">
        <v>7156.8</v>
      </c>
      <c r="AF43" s="100">
        <v>14</v>
      </c>
      <c r="AG43" s="100">
        <v>14313.6</v>
      </c>
      <c r="AH43" s="100">
        <v>6.8185985789911481</v>
      </c>
      <c r="AI43" s="100">
        <v>6971.33518716055</v>
      </c>
      <c r="AJ43" s="100">
        <v>11</v>
      </c>
      <c r="AK43" s="100">
        <v>11246.4</v>
      </c>
      <c r="AL43" s="100">
        <v>9</v>
      </c>
      <c r="AM43" s="100">
        <v>9201.6</v>
      </c>
      <c r="AN43" s="100">
        <v>14.933145947249111</v>
      </c>
      <c r="AO43" s="100">
        <v>15267.648416467491</v>
      </c>
      <c r="AP43" s="100">
        <v>7.1732660259516727</v>
      </c>
      <c r="AQ43" s="100">
        <v>7333.9471849329902</v>
      </c>
      <c r="AR43" s="100">
        <v>7.5966879788724313</v>
      </c>
      <c r="AS43" s="100">
        <v>7766.853789599174</v>
      </c>
      <c r="AT43" s="100">
        <v>0</v>
      </c>
      <c r="AU43" s="100">
        <v>0</v>
      </c>
      <c r="AV43" s="100">
        <v>9</v>
      </c>
      <c r="AW43" s="100">
        <v>9201.6</v>
      </c>
      <c r="AX43" s="100">
        <v>5.3536972592002607</v>
      </c>
      <c r="AY43" s="100">
        <v>5473.6200778063467</v>
      </c>
      <c r="AZ43" s="100">
        <v>13</v>
      </c>
      <c r="BA43" s="100">
        <v>13291.199999999999</v>
      </c>
      <c r="BB43" s="100">
        <v>11.351104019691986</v>
      </c>
      <c r="BC43" s="100">
        <v>11605.368749733087</v>
      </c>
      <c r="BD43" s="100">
        <v>10</v>
      </c>
      <c r="BE43" s="100">
        <v>10224</v>
      </c>
      <c r="BF43" s="100">
        <v>8</v>
      </c>
      <c r="BG43" s="100">
        <v>8179.2</v>
      </c>
      <c r="BH43" s="100">
        <v>5.2250784403993515</v>
      </c>
      <c r="BI43" s="100">
        <v>5342.1201974642972</v>
      </c>
      <c r="BJ43" s="100">
        <v>10</v>
      </c>
      <c r="BK43" s="100">
        <v>10224</v>
      </c>
      <c r="BL43" s="100">
        <v>9</v>
      </c>
      <c r="BM43" s="100">
        <v>9201.6</v>
      </c>
      <c r="BN43" s="100">
        <v>14</v>
      </c>
      <c r="BO43" s="100">
        <v>14313.6</v>
      </c>
      <c r="BP43" s="100">
        <v>7</v>
      </c>
      <c r="BQ43" s="100">
        <v>7156.8</v>
      </c>
      <c r="BR43" s="100">
        <v>14</v>
      </c>
      <c r="BS43" s="100">
        <v>14313.6</v>
      </c>
      <c r="BT43" s="100">
        <v>12</v>
      </c>
      <c r="BU43" s="100">
        <v>12268.8</v>
      </c>
      <c r="BV43" s="100">
        <v>8.0466892081200765</v>
      </c>
      <c r="BW43" s="100">
        <v>8226.9350463819665</v>
      </c>
      <c r="BX43" s="100">
        <v>8</v>
      </c>
      <c r="BY43" s="100">
        <v>8179.2</v>
      </c>
      <c r="BZ43" s="100">
        <v>11</v>
      </c>
      <c r="CA43" s="100">
        <v>11246.4</v>
      </c>
      <c r="CB43" s="100">
        <v>10</v>
      </c>
      <c r="CC43" s="100">
        <v>10224</v>
      </c>
      <c r="CD43" s="100">
        <v>9.73029366426716</v>
      </c>
      <c r="CE43" s="100">
        <v>9948.2522423467435</v>
      </c>
      <c r="CF43" s="100">
        <v>13</v>
      </c>
      <c r="CG43" s="100">
        <v>13291.199999999999</v>
      </c>
      <c r="CH43" s="100">
        <v>11</v>
      </c>
      <c r="CI43" s="100">
        <v>11246.4</v>
      </c>
      <c r="CJ43" s="100">
        <v>15</v>
      </c>
      <c r="CK43" s="100">
        <v>15336</v>
      </c>
      <c r="CL43" s="100">
        <v>9</v>
      </c>
      <c r="CM43" s="100">
        <v>9201.6</v>
      </c>
      <c r="CN43" s="100">
        <v>8.4909890008948032</v>
      </c>
      <c r="CO43" s="100">
        <v>8681.187154514846</v>
      </c>
      <c r="CP43" s="100">
        <v>12</v>
      </c>
      <c r="CQ43" s="100">
        <v>12268.8</v>
      </c>
      <c r="CR43" s="100">
        <v>6.3731279316438965</v>
      </c>
      <c r="CS43" s="100">
        <v>6515.8859973127192</v>
      </c>
      <c r="CT43" s="100">
        <v>3.2704030408463436</v>
      </c>
      <c r="CU43" s="100">
        <v>3343.6600689613015</v>
      </c>
    </row>
    <row r="44" spans="2:99">
      <c r="C44" s="99" t="s">
        <v>210</v>
      </c>
      <c r="D44" s="100">
        <v>10</v>
      </c>
      <c r="E44" s="100">
        <v>10224</v>
      </c>
      <c r="F44" s="100">
        <v>10</v>
      </c>
      <c r="G44" s="100">
        <v>10224</v>
      </c>
      <c r="H44" s="100">
        <v>14</v>
      </c>
      <c r="I44" s="100">
        <v>14313.6</v>
      </c>
      <c r="J44" s="100">
        <v>11</v>
      </c>
      <c r="K44" s="100">
        <v>11246.4</v>
      </c>
      <c r="L44" s="100">
        <v>13</v>
      </c>
      <c r="M44" s="100">
        <v>13291.199999999999</v>
      </c>
      <c r="N44" s="100">
        <v>11</v>
      </c>
      <c r="O44" s="100">
        <v>11246.4</v>
      </c>
      <c r="P44" s="100">
        <v>10</v>
      </c>
      <c r="Q44" s="100">
        <v>10224</v>
      </c>
      <c r="R44" s="100">
        <v>11</v>
      </c>
      <c r="S44" s="100">
        <v>11246.4</v>
      </c>
      <c r="T44" s="100">
        <v>8</v>
      </c>
      <c r="U44" s="100">
        <v>8179.2</v>
      </c>
      <c r="V44" s="100">
        <v>15</v>
      </c>
      <c r="W44" s="100">
        <v>15336</v>
      </c>
      <c r="X44" s="100">
        <v>13</v>
      </c>
      <c r="Y44" s="100">
        <v>13291.199999999999</v>
      </c>
      <c r="Z44" s="100">
        <v>10</v>
      </c>
      <c r="AA44" s="100">
        <v>10224</v>
      </c>
      <c r="AB44" s="100">
        <v>12</v>
      </c>
      <c r="AC44" s="100">
        <v>12268.8</v>
      </c>
      <c r="AD44" s="100">
        <v>7</v>
      </c>
      <c r="AE44" s="100">
        <v>7156.8</v>
      </c>
      <c r="AF44" s="100">
        <v>12</v>
      </c>
      <c r="AG44" s="100">
        <v>12268.8</v>
      </c>
      <c r="AH44" s="100">
        <v>6.8185985789911481</v>
      </c>
      <c r="AI44" s="100">
        <v>6971.33518716055</v>
      </c>
      <c r="AJ44" s="100">
        <v>13</v>
      </c>
      <c r="AK44" s="100">
        <v>13291.199999999999</v>
      </c>
      <c r="AL44" s="100">
        <v>9</v>
      </c>
      <c r="AM44" s="100">
        <v>9201.6</v>
      </c>
      <c r="AN44" s="100">
        <v>13.066502703842971</v>
      </c>
      <c r="AO44" s="100">
        <v>13359.192364409053</v>
      </c>
      <c r="AP44" s="100">
        <v>6.376236467512598</v>
      </c>
      <c r="AQ44" s="100">
        <v>6519.0641643848803</v>
      </c>
      <c r="AR44" s="100">
        <v>7.5966879788724313</v>
      </c>
      <c r="AS44" s="100">
        <v>7766.853789599174</v>
      </c>
      <c r="AT44" s="100">
        <v>0</v>
      </c>
      <c r="AU44" s="100">
        <v>0</v>
      </c>
      <c r="AV44" s="100">
        <v>11</v>
      </c>
      <c r="AW44" s="100">
        <v>11246.4</v>
      </c>
      <c r="AX44" s="100">
        <v>4.8669975083638741</v>
      </c>
      <c r="AY44" s="100">
        <v>4976.0182525512246</v>
      </c>
      <c r="AZ44" s="100">
        <v>14</v>
      </c>
      <c r="BA44" s="100">
        <v>14313.6</v>
      </c>
      <c r="BB44" s="100">
        <v>10.641660018461238</v>
      </c>
      <c r="BC44" s="100">
        <v>10880.033202874769</v>
      </c>
      <c r="BD44" s="100">
        <v>10</v>
      </c>
      <c r="BE44" s="100">
        <v>10224</v>
      </c>
      <c r="BF44" s="100">
        <v>7</v>
      </c>
      <c r="BG44" s="100">
        <v>7156.8</v>
      </c>
      <c r="BH44" s="100">
        <v>5.2250784403993515</v>
      </c>
      <c r="BI44" s="100">
        <v>5342.1201974642972</v>
      </c>
      <c r="BJ44" s="100">
        <v>10</v>
      </c>
      <c r="BK44" s="100">
        <v>10224</v>
      </c>
      <c r="BL44" s="100">
        <v>9</v>
      </c>
      <c r="BM44" s="100">
        <v>9201.6</v>
      </c>
      <c r="BN44" s="100">
        <v>14</v>
      </c>
      <c r="BO44" s="100">
        <v>14313.6</v>
      </c>
      <c r="BP44" s="100">
        <v>8</v>
      </c>
      <c r="BQ44" s="100">
        <v>8179.2</v>
      </c>
      <c r="BR44" s="100">
        <v>14</v>
      </c>
      <c r="BS44" s="100">
        <v>14313.6</v>
      </c>
      <c r="BT44" s="100">
        <v>11</v>
      </c>
      <c r="BU44" s="100">
        <v>11246.4</v>
      </c>
      <c r="BV44" s="100">
        <v>9.6560270497440932</v>
      </c>
      <c r="BW44" s="100">
        <v>9872.3220556583601</v>
      </c>
      <c r="BX44" s="100">
        <v>9</v>
      </c>
      <c r="BY44" s="100">
        <v>9201.6</v>
      </c>
      <c r="BZ44" s="100">
        <v>10</v>
      </c>
      <c r="CA44" s="100">
        <v>10224</v>
      </c>
      <c r="CB44" s="100">
        <v>11</v>
      </c>
      <c r="CC44" s="100">
        <v>11246.4</v>
      </c>
      <c r="CD44" s="100">
        <v>9.1221503102504631</v>
      </c>
      <c r="CE44" s="100">
        <v>9326.4864772000728</v>
      </c>
      <c r="CF44" s="100">
        <v>13</v>
      </c>
      <c r="CG44" s="100">
        <v>13291.199999999999</v>
      </c>
      <c r="CH44" s="100">
        <v>11</v>
      </c>
      <c r="CI44" s="100">
        <v>11246.4</v>
      </c>
      <c r="CJ44" s="100">
        <v>15</v>
      </c>
      <c r="CK44" s="100">
        <v>15336</v>
      </c>
      <c r="CL44" s="100">
        <v>10</v>
      </c>
      <c r="CM44" s="100">
        <v>10224</v>
      </c>
      <c r="CN44" s="100">
        <v>9.1985714176360371</v>
      </c>
      <c r="CO44" s="100">
        <v>9404.6194173910844</v>
      </c>
      <c r="CP44" s="100">
        <v>10</v>
      </c>
      <c r="CQ44" s="100">
        <v>10224</v>
      </c>
      <c r="CR44" s="100">
        <v>6.3731279316438965</v>
      </c>
      <c r="CS44" s="100">
        <v>6515.8859973127192</v>
      </c>
      <c r="CT44" s="100">
        <v>2.7672641114853676</v>
      </c>
      <c r="CU44" s="100">
        <v>2829.2508275826399</v>
      </c>
    </row>
    <row r="45" spans="2:99">
      <c r="C45" s="99" t="s">
        <v>211</v>
      </c>
      <c r="D45" s="100">
        <v>11</v>
      </c>
      <c r="E45" s="100">
        <v>13741.2</v>
      </c>
      <c r="F45" s="100">
        <v>10</v>
      </c>
      <c r="G45" s="100">
        <v>12492</v>
      </c>
      <c r="H45" s="100">
        <v>13</v>
      </c>
      <c r="I45" s="100">
        <v>16239.6</v>
      </c>
      <c r="J45" s="100">
        <v>10</v>
      </c>
      <c r="K45" s="100">
        <v>12492</v>
      </c>
      <c r="L45" s="100">
        <v>12</v>
      </c>
      <c r="M45" s="100">
        <v>14990.400000000001</v>
      </c>
      <c r="N45" s="100">
        <v>11</v>
      </c>
      <c r="O45" s="100">
        <v>13741.2</v>
      </c>
      <c r="P45" s="100">
        <v>9</v>
      </c>
      <c r="Q45" s="100">
        <v>11242.800000000001</v>
      </c>
      <c r="R45" s="100">
        <v>12</v>
      </c>
      <c r="S45" s="100">
        <v>14990.400000000001</v>
      </c>
      <c r="T45" s="100">
        <v>8</v>
      </c>
      <c r="U45" s="100">
        <v>9993.6</v>
      </c>
      <c r="V45" s="100">
        <v>13</v>
      </c>
      <c r="W45" s="100">
        <v>16239.6</v>
      </c>
      <c r="X45" s="100">
        <v>13</v>
      </c>
      <c r="Y45" s="100">
        <v>16239.6</v>
      </c>
      <c r="Z45" s="100">
        <v>9</v>
      </c>
      <c r="AA45" s="100">
        <v>11242.800000000001</v>
      </c>
      <c r="AB45" s="100">
        <v>11</v>
      </c>
      <c r="AC45" s="100">
        <v>13741.2</v>
      </c>
      <c r="AD45" s="100">
        <v>8</v>
      </c>
      <c r="AE45" s="100">
        <v>9993.6</v>
      </c>
      <c r="AF45" s="100">
        <v>13</v>
      </c>
      <c r="AG45" s="100">
        <v>16239.6</v>
      </c>
      <c r="AH45" s="100">
        <v>6.8185985789911481</v>
      </c>
      <c r="AI45" s="100">
        <v>8517.7933448757431</v>
      </c>
      <c r="AJ45" s="100">
        <v>12</v>
      </c>
      <c r="AK45" s="100">
        <v>14990.400000000001</v>
      </c>
      <c r="AL45" s="100">
        <v>8</v>
      </c>
      <c r="AM45" s="100">
        <v>9993.6</v>
      </c>
      <c r="AN45" s="100">
        <v>12.133181082139902</v>
      </c>
      <c r="AO45" s="100">
        <v>15156.769807809167</v>
      </c>
      <c r="AP45" s="100">
        <v>6.376236467512598</v>
      </c>
      <c r="AQ45" s="100">
        <v>7965.194595216738</v>
      </c>
      <c r="AR45" s="100">
        <v>7.5966879788724313</v>
      </c>
      <c r="AS45" s="100">
        <v>9489.7826232074422</v>
      </c>
      <c r="AT45" s="100">
        <v>0</v>
      </c>
      <c r="AU45" s="100">
        <v>0</v>
      </c>
      <c r="AV45" s="100">
        <v>9</v>
      </c>
      <c r="AW45" s="100">
        <v>11242.800000000001</v>
      </c>
      <c r="AX45" s="100">
        <v>5.3536972592002607</v>
      </c>
      <c r="AY45" s="100">
        <v>6687.8386161929657</v>
      </c>
      <c r="AZ45" s="100">
        <v>15</v>
      </c>
      <c r="BA45" s="100">
        <v>18738</v>
      </c>
      <c r="BB45" s="100">
        <v>10.641660018461238</v>
      </c>
      <c r="BC45" s="100">
        <v>13293.561695061779</v>
      </c>
      <c r="BD45" s="100">
        <v>9</v>
      </c>
      <c r="BE45" s="100">
        <v>11242.800000000001</v>
      </c>
      <c r="BF45" s="100">
        <v>7</v>
      </c>
      <c r="BG45" s="100">
        <v>8744.4</v>
      </c>
      <c r="BH45" s="100">
        <v>4.5284013150127711</v>
      </c>
      <c r="BI45" s="100">
        <v>5656.8789227139541</v>
      </c>
      <c r="BJ45" s="100">
        <v>9</v>
      </c>
      <c r="BK45" s="100">
        <v>11242.800000000001</v>
      </c>
      <c r="BL45" s="100">
        <v>9</v>
      </c>
      <c r="BM45" s="100">
        <v>11242.800000000001</v>
      </c>
      <c r="BN45" s="100">
        <v>13</v>
      </c>
      <c r="BO45" s="100">
        <v>16239.6</v>
      </c>
      <c r="BP45" s="100">
        <v>8</v>
      </c>
      <c r="BQ45" s="100">
        <v>9993.6</v>
      </c>
      <c r="BR45" s="100">
        <v>13</v>
      </c>
      <c r="BS45" s="100">
        <v>16239.6</v>
      </c>
      <c r="BT45" s="100">
        <v>11</v>
      </c>
      <c r="BU45" s="100">
        <v>13741.2</v>
      </c>
      <c r="BV45" s="100">
        <v>8.0466892081200765</v>
      </c>
      <c r="BW45" s="100">
        <v>10051.9241587836</v>
      </c>
      <c r="BX45" s="100">
        <v>9</v>
      </c>
      <c r="BY45" s="100">
        <v>11242.800000000001</v>
      </c>
      <c r="BZ45" s="100">
        <v>11</v>
      </c>
      <c r="CA45" s="100">
        <v>13741.2</v>
      </c>
      <c r="CB45" s="100">
        <v>12</v>
      </c>
      <c r="CC45" s="100">
        <v>14990.400000000001</v>
      </c>
      <c r="CD45" s="100">
        <v>9.1221503102504631</v>
      </c>
      <c r="CE45" s="100">
        <v>11395.390167564879</v>
      </c>
      <c r="CF45" s="100">
        <v>12</v>
      </c>
      <c r="CG45" s="100">
        <v>14990.400000000001</v>
      </c>
      <c r="CH45" s="100">
        <v>10</v>
      </c>
      <c r="CI45" s="100">
        <v>12492</v>
      </c>
      <c r="CJ45" s="100">
        <v>14</v>
      </c>
      <c r="CK45" s="100">
        <v>17488.8</v>
      </c>
      <c r="CL45" s="100">
        <v>10</v>
      </c>
      <c r="CM45" s="100">
        <v>12492</v>
      </c>
      <c r="CN45" s="100">
        <v>9.1985714176360371</v>
      </c>
      <c r="CO45" s="100">
        <v>11490.855414910939</v>
      </c>
      <c r="CP45" s="100">
        <v>12</v>
      </c>
      <c r="CQ45" s="100">
        <v>14990.400000000001</v>
      </c>
      <c r="CR45" s="100">
        <v>6.3731279316438965</v>
      </c>
      <c r="CS45" s="100">
        <v>7961.3114122095558</v>
      </c>
      <c r="CT45" s="100">
        <v>3.0188335761658553</v>
      </c>
      <c r="CU45" s="100">
        <v>3771.1269033463868</v>
      </c>
    </row>
    <row r="46" spans="2:99">
      <c r="C46" s="99" t="s">
        <v>212</v>
      </c>
      <c r="D46" s="100">
        <v>11</v>
      </c>
      <c r="E46" s="100">
        <v>13332</v>
      </c>
      <c r="F46" s="100">
        <v>10</v>
      </c>
      <c r="G46" s="100">
        <v>12120</v>
      </c>
      <c r="H46" s="100">
        <v>14</v>
      </c>
      <c r="I46" s="100">
        <v>16968</v>
      </c>
      <c r="J46" s="100">
        <v>11</v>
      </c>
      <c r="K46" s="100">
        <v>13332</v>
      </c>
      <c r="L46" s="100">
        <v>13</v>
      </c>
      <c r="M46" s="100">
        <v>15756</v>
      </c>
      <c r="N46" s="100">
        <v>10</v>
      </c>
      <c r="O46" s="100">
        <v>12120</v>
      </c>
      <c r="P46" s="100">
        <v>9</v>
      </c>
      <c r="Q46" s="100">
        <v>10908</v>
      </c>
      <c r="R46" s="100">
        <v>10</v>
      </c>
      <c r="S46" s="100">
        <v>12120</v>
      </c>
      <c r="T46" s="100">
        <v>7</v>
      </c>
      <c r="U46" s="100">
        <v>8484</v>
      </c>
      <c r="V46" s="100">
        <v>15</v>
      </c>
      <c r="W46" s="100">
        <v>18180</v>
      </c>
      <c r="X46" s="100">
        <v>12</v>
      </c>
      <c r="Y46" s="100">
        <v>14544</v>
      </c>
      <c r="Z46" s="100">
        <v>9</v>
      </c>
      <c r="AA46" s="100">
        <v>10908</v>
      </c>
      <c r="AB46" s="100">
        <v>12</v>
      </c>
      <c r="AC46" s="100">
        <v>14544</v>
      </c>
      <c r="AD46" s="100">
        <v>8</v>
      </c>
      <c r="AE46" s="100">
        <v>9696</v>
      </c>
      <c r="AF46" s="100">
        <v>13</v>
      </c>
      <c r="AG46" s="100">
        <v>15756</v>
      </c>
      <c r="AH46" s="100">
        <v>6.8185985789911481</v>
      </c>
      <c r="AI46" s="100">
        <v>8264.141477737272</v>
      </c>
      <c r="AJ46" s="100">
        <v>12</v>
      </c>
      <c r="AK46" s="100">
        <v>14544</v>
      </c>
      <c r="AL46" s="100">
        <v>9</v>
      </c>
      <c r="AM46" s="100">
        <v>10908</v>
      </c>
      <c r="AN46" s="100">
        <v>13.066502703842971</v>
      </c>
      <c r="AO46" s="100">
        <v>15836.601277057682</v>
      </c>
      <c r="AP46" s="100">
        <v>6.376236467512598</v>
      </c>
      <c r="AQ46" s="100">
        <v>7727.9985986252686</v>
      </c>
      <c r="AR46" s="100">
        <v>8.2872959769517429</v>
      </c>
      <c r="AS46" s="100">
        <v>10044.202724065512</v>
      </c>
      <c r="AT46" s="100">
        <v>0</v>
      </c>
      <c r="AU46" s="100">
        <v>0</v>
      </c>
      <c r="AV46" s="100">
        <v>9</v>
      </c>
      <c r="AW46" s="100">
        <v>10908</v>
      </c>
      <c r="AX46" s="100">
        <v>5.3536972592002607</v>
      </c>
      <c r="AY46" s="100">
        <v>6488.6810781507156</v>
      </c>
      <c r="AZ46" s="100">
        <v>14</v>
      </c>
      <c r="BA46" s="100">
        <v>16968</v>
      </c>
      <c r="BB46" s="100">
        <v>9.9322160172304894</v>
      </c>
      <c r="BC46" s="100">
        <v>12037.845812883354</v>
      </c>
      <c r="BD46" s="100">
        <v>9</v>
      </c>
      <c r="BE46" s="100">
        <v>10908</v>
      </c>
      <c r="BF46" s="100">
        <v>8</v>
      </c>
      <c r="BG46" s="100">
        <v>9696</v>
      </c>
      <c r="BH46" s="100">
        <v>5.2250784403993515</v>
      </c>
      <c r="BI46" s="100">
        <v>6332.7950697640144</v>
      </c>
      <c r="BJ46" s="100">
        <v>10</v>
      </c>
      <c r="BK46" s="100">
        <v>12120</v>
      </c>
      <c r="BL46" s="100">
        <v>10</v>
      </c>
      <c r="BM46" s="100">
        <v>12120</v>
      </c>
      <c r="BN46" s="100">
        <v>14</v>
      </c>
      <c r="BO46" s="100">
        <v>16968</v>
      </c>
      <c r="BP46" s="100">
        <v>7</v>
      </c>
      <c r="BQ46" s="100">
        <v>8484</v>
      </c>
      <c r="BR46" s="100">
        <v>15</v>
      </c>
      <c r="BS46" s="100">
        <v>18180</v>
      </c>
      <c r="BT46" s="100">
        <v>13</v>
      </c>
      <c r="BU46" s="100">
        <v>15756</v>
      </c>
      <c r="BV46" s="100">
        <v>8.0466892081200765</v>
      </c>
      <c r="BW46" s="100">
        <v>9752.5873202415332</v>
      </c>
      <c r="BX46" s="100">
        <v>7</v>
      </c>
      <c r="BY46" s="100">
        <v>8484</v>
      </c>
      <c r="BZ46" s="100">
        <v>11</v>
      </c>
      <c r="CA46" s="100">
        <v>13332</v>
      </c>
      <c r="CB46" s="100">
        <v>11</v>
      </c>
      <c r="CC46" s="100">
        <v>13332</v>
      </c>
      <c r="CD46" s="100">
        <v>8.5140069562337661</v>
      </c>
      <c r="CE46" s="100">
        <v>10318.976430955325</v>
      </c>
      <c r="CF46" s="100">
        <v>13</v>
      </c>
      <c r="CG46" s="100">
        <v>15756</v>
      </c>
      <c r="CH46" s="100">
        <v>11</v>
      </c>
      <c r="CI46" s="100">
        <v>13332</v>
      </c>
      <c r="CJ46" s="100">
        <v>14</v>
      </c>
      <c r="CK46" s="100">
        <v>16968</v>
      </c>
      <c r="CL46" s="100">
        <v>11</v>
      </c>
      <c r="CM46" s="100">
        <v>13332</v>
      </c>
      <c r="CN46" s="100">
        <v>9.906153834377271</v>
      </c>
      <c r="CO46" s="100">
        <v>12006.258447265252</v>
      </c>
      <c r="CP46" s="100">
        <v>11</v>
      </c>
      <c r="CQ46" s="100">
        <v>13332</v>
      </c>
      <c r="CR46" s="100">
        <v>6.3731279316438965</v>
      </c>
      <c r="CS46" s="100">
        <v>7724.2310531524026</v>
      </c>
      <c r="CT46" s="100">
        <v>3.2704030408463436</v>
      </c>
      <c r="CU46" s="100">
        <v>3963.7284855057683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11</v>
      </c>
      <c r="G47" s="100">
        <v>16803.599999999999</v>
      </c>
      <c r="H47" s="100">
        <v>15</v>
      </c>
      <c r="I47" s="100">
        <v>22914</v>
      </c>
      <c r="J47" s="100">
        <v>10</v>
      </c>
      <c r="K47" s="100">
        <v>15276</v>
      </c>
      <c r="L47" s="100">
        <v>12</v>
      </c>
      <c r="M47" s="100">
        <v>18331.199999999997</v>
      </c>
      <c r="N47" s="100">
        <v>10</v>
      </c>
      <c r="O47" s="100">
        <v>15276</v>
      </c>
      <c r="P47" s="100">
        <v>9</v>
      </c>
      <c r="Q47" s="100">
        <v>13748.4</v>
      </c>
      <c r="R47" s="100">
        <v>9</v>
      </c>
      <c r="S47" s="100">
        <v>13748.4</v>
      </c>
      <c r="T47" s="100">
        <v>8</v>
      </c>
      <c r="U47" s="100">
        <v>12220.8</v>
      </c>
      <c r="V47" s="100">
        <v>14</v>
      </c>
      <c r="W47" s="100">
        <v>21386.399999999998</v>
      </c>
      <c r="X47" s="100">
        <v>13</v>
      </c>
      <c r="Y47" s="100">
        <v>19858.8</v>
      </c>
      <c r="Z47" s="100">
        <v>9</v>
      </c>
      <c r="AA47" s="100">
        <v>13748.4</v>
      </c>
      <c r="AB47" s="100">
        <v>11</v>
      </c>
      <c r="AC47" s="100">
        <v>16803.599999999999</v>
      </c>
      <c r="AD47" s="100">
        <v>8</v>
      </c>
      <c r="AE47" s="100">
        <v>12220.8</v>
      </c>
      <c r="AF47" s="100">
        <v>14</v>
      </c>
      <c r="AG47" s="100">
        <v>21386.399999999998</v>
      </c>
      <c r="AH47" s="100">
        <v>6.1367387210920326</v>
      </c>
      <c r="AI47" s="100">
        <v>9374.4820703401892</v>
      </c>
      <c r="AJ47" s="100">
        <v>11</v>
      </c>
      <c r="AK47" s="100">
        <v>16803.599999999999</v>
      </c>
      <c r="AL47" s="100">
        <v>9</v>
      </c>
      <c r="AM47" s="100">
        <v>13748.4</v>
      </c>
      <c r="AN47" s="100">
        <v>12.133181082139902</v>
      </c>
      <c r="AO47" s="100">
        <v>18534.647421076916</v>
      </c>
      <c r="AP47" s="100">
        <v>7.1732660259516727</v>
      </c>
      <c r="AQ47" s="100">
        <v>10957.881181243774</v>
      </c>
      <c r="AR47" s="100">
        <v>8.2872959769517429</v>
      </c>
      <c r="AS47" s="100">
        <v>12659.673334391482</v>
      </c>
      <c r="AT47" s="100">
        <v>0</v>
      </c>
      <c r="AU47" s="100">
        <v>0</v>
      </c>
      <c r="AV47" s="100">
        <v>10</v>
      </c>
      <c r="AW47" s="100">
        <v>15276</v>
      </c>
      <c r="AX47" s="100">
        <v>4.8669975083638741</v>
      </c>
      <c r="AY47" s="100">
        <v>7434.825393776654</v>
      </c>
      <c r="AZ47" s="100">
        <v>14</v>
      </c>
      <c r="BA47" s="100">
        <v>21386.399999999998</v>
      </c>
      <c r="BB47" s="100">
        <v>9.2227720159997393</v>
      </c>
      <c r="BC47" s="100">
        <v>14088.706531641201</v>
      </c>
      <c r="BD47" s="100">
        <v>9</v>
      </c>
      <c r="BE47" s="100">
        <v>13748.4</v>
      </c>
      <c r="BF47" s="100">
        <v>7</v>
      </c>
      <c r="BG47" s="100">
        <v>10693.199999999999</v>
      </c>
      <c r="BH47" s="100">
        <v>4.5284013150127711</v>
      </c>
      <c r="BI47" s="100">
        <v>6917.5858488135091</v>
      </c>
      <c r="BJ47" s="100">
        <v>10</v>
      </c>
      <c r="BK47" s="100">
        <v>15276</v>
      </c>
      <c r="BL47" s="100">
        <v>10</v>
      </c>
      <c r="BM47" s="100">
        <v>15276</v>
      </c>
      <c r="BN47" s="100">
        <v>12</v>
      </c>
      <c r="BO47" s="100">
        <v>18331.199999999997</v>
      </c>
      <c r="BP47" s="100">
        <v>8</v>
      </c>
      <c r="BQ47" s="100">
        <v>12220.8</v>
      </c>
      <c r="BR47" s="100">
        <v>14</v>
      </c>
      <c r="BS47" s="100">
        <v>21386.399999999998</v>
      </c>
      <c r="BT47" s="100">
        <v>11</v>
      </c>
      <c r="BU47" s="100">
        <v>16803.599999999999</v>
      </c>
      <c r="BV47" s="100">
        <v>8.8513581289320857</v>
      </c>
      <c r="BW47" s="100">
        <v>13521.334677756653</v>
      </c>
      <c r="BX47" s="100">
        <v>8</v>
      </c>
      <c r="BY47" s="100">
        <v>12220.8</v>
      </c>
      <c r="BZ47" s="100">
        <v>11</v>
      </c>
      <c r="CA47" s="100">
        <v>16803.599999999999</v>
      </c>
      <c r="CB47" s="100">
        <v>11</v>
      </c>
      <c r="CC47" s="100">
        <v>16803.599999999999</v>
      </c>
      <c r="CD47" s="100">
        <v>8.5140069562337661</v>
      </c>
      <c r="CE47" s="100">
        <v>13005.9970263427</v>
      </c>
      <c r="CF47" s="100">
        <v>12</v>
      </c>
      <c r="CG47" s="100">
        <v>18331.199999999997</v>
      </c>
      <c r="CH47" s="100">
        <v>11</v>
      </c>
      <c r="CI47" s="100">
        <v>16803.599999999999</v>
      </c>
      <c r="CJ47" s="100">
        <v>13</v>
      </c>
      <c r="CK47" s="100">
        <v>19858.8</v>
      </c>
      <c r="CL47" s="100">
        <v>10</v>
      </c>
      <c r="CM47" s="100">
        <v>15276</v>
      </c>
      <c r="CN47" s="100">
        <v>9.906153834377271</v>
      </c>
      <c r="CO47" s="100">
        <v>15132.640597394718</v>
      </c>
      <c r="CP47" s="100">
        <v>10</v>
      </c>
      <c r="CQ47" s="100">
        <v>15276</v>
      </c>
      <c r="CR47" s="100">
        <v>7.0104407248082863</v>
      </c>
      <c r="CS47" s="100">
        <v>10709.149251217137</v>
      </c>
      <c r="CT47" s="100">
        <v>3.0188335761658553</v>
      </c>
      <c r="CU47" s="100">
        <v>4611.5701709509603</v>
      </c>
    </row>
    <row r="48" spans="2:99">
      <c r="C48" s="99" t="s">
        <v>214</v>
      </c>
      <c r="D48" s="100">
        <v>11</v>
      </c>
      <c r="E48" s="100">
        <v>9543.6</v>
      </c>
      <c r="F48" s="100">
        <v>11</v>
      </c>
      <c r="G48" s="100">
        <v>9543.6</v>
      </c>
      <c r="H48" s="100">
        <v>14</v>
      </c>
      <c r="I48" s="100">
        <v>12146.4</v>
      </c>
      <c r="J48" s="100">
        <v>10</v>
      </c>
      <c r="K48" s="100">
        <v>8676</v>
      </c>
      <c r="L48" s="100">
        <v>13</v>
      </c>
      <c r="M48" s="100">
        <v>11278.800000000001</v>
      </c>
      <c r="N48" s="100">
        <v>11</v>
      </c>
      <c r="O48" s="100">
        <v>9543.6</v>
      </c>
      <c r="P48" s="100">
        <v>9</v>
      </c>
      <c r="Q48" s="100">
        <v>7808.4000000000005</v>
      </c>
      <c r="R48" s="100">
        <v>11</v>
      </c>
      <c r="S48" s="100">
        <v>9543.6</v>
      </c>
      <c r="T48" s="100">
        <v>8</v>
      </c>
      <c r="U48" s="100">
        <v>6940.8</v>
      </c>
      <c r="V48" s="100">
        <v>14</v>
      </c>
      <c r="W48" s="100">
        <v>12146.4</v>
      </c>
      <c r="X48" s="100">
        <v>13</v>
      </c>
      <c r="Y48" s="100">
        <v>11278.800000000001</v>
      </c>
      <c r="Z48" s="100">
        <v>10</v>
      </c>
      <c r="AA48" s="100">
        <v>8676</v>
      </c>
      <c r="AB48" s="100">
        <v>13</v>
      </c>
      <c r="AC48" s="100">
        <v>11278.800000000001</v>
      </c>
      <c r="AD48" s="100">
        <v>8</v>
      </c>
      <c r="AE48" s="100">
        <v>6940.8</v>
      </c>
      <c r="AF48" s="100">
        <v>13</v>
      </c>
      <c r="AG48" s="100">
        <v>11278.800000000001</v>
      </c>
      <c r="AH48" s="100">
        <v>6.8185985789911481</v>
      </c>
      <c r="AI48" s="100">
        <v>5915.8161271327199</v>
      </c>
      <c r="AJ48" s="100">
        <v>12</v>
      </c>
      <c r="AK48" s="100">
        <v>10411.200000000001</v>
      </c>
      <c r="AL48" s="100">
        <v>9</v>
      </c>
      <c r="AM48" s="100">
        <v>7808.4000000000005</v>
      </c>
      <c r="AN48" s="100">
        <v>13.99982432554604</v>
      </c>
      <c r="AO48" s="100">
        <v>12146.247584843744</v>
      </c>
      <c r="AP48" s="100">
        <v>6.376236467512598</v>
      </c>
      <c r="AQ48" s="100">
        <v>5532.0227592139299</v>
      </c>
      <c r="AR48" s="100">
        <v>8.2872959769517429</v>
      </c>
      <c r="AS48" s="100">
        <v>7190.0579896033323</v>
      </c>
      <c r="AT48" s="100">
        <v>0</v>
      </c>
      <c r="AU48" s="100">
        <v>0</v>
      </c>
      <c r="AV48" s="100">
        <v>10</v>
      </c>
      <c r="AW48" s="100">
        <v>8676</v>
      </c>
      <c r="AX48" s="100">
        <v>4.8669975083638741</v>
      </c>
      <c r="AY48" s="100">
        <v>4222.6070382564976</v>
      </c>
      <c r="AZ48" s="100">
        <v>14</v>
      </c>
      <c r="BA48" s="100">
        <v>12146.4</v>
      </c>
      <c r="BB48" s="100">
        <v>9.9322160172304894</v>
      </c>
      <c r="BC48" s="100">
        <v>8617.1906165491728</v>
      </c>
      <c r="BD48" s="100">
        <v>10</v>
      </c>
      <c r="BE48" s="100">
        <v>8676</v>
      </c>
      <c r="BF48" s="100">
        <v>8</v>
      </c>
      <c r="BG48" s="100">
        <v>6940.8</v>
      </c>
      <c r="BH48" s="100">
        <v>4.8767398777060613</v>
      </c>
      <c r="BI48" s="100">
        <v>4231.0595178977792</v>
      </c>
      <c r="BJ48" s="100">
        <v>10</v>
      </c>
      <c r="BK48" s="100">
        <v>8676</v>
      </c>
      <c r="BL48" s="100">
        <v>9</v>
      </c>
      <c r="BM48" s="100">
        <v>7808.4000000000005</v>
      </c>
      <c r="BN48" s="100">
        <v>12</v>
      </c>
      <c r="BO48" s="100">
        <v>10411.200000000001</v>
      </c>
      <c r="BP48" s="100">
        <v>8</v>
      </c>
      <c r="BQ48" s="100">
        <v>6940.8</v>
      </c>
      <c r="BR48" s="100">
        <v>14</v>
      </c>
      <c r="BS48" s="100">
        <v>12146.4</v>
      </c>
      <c r="BT48" s="100">
        <v>13</v>
      </c>
      <c r="BU48" s="100">
        <v>11278.800000000001</v>
      </c>
      <c r="BV48" s="100">
        <v>8.8513581289320857</v>
      </c>
      <c r="BW48" s="100">
        <v>7679.4383126614775</v>
      </c>
      <c r="BX48" s="100">
        <v>8</v>
      </c>
      <c r="BY48" s="100">
        <v>6940.8</v>
      </c>
      <c r="BZ48" s="100">
        <v>11</v>
      </c>
      <c r="CA48" s="100">
        <v>9543.6</v>
      </c>
      <c r="CB48" s="100">
        <v>12</v>
      </c>
      <c r="CC48" s="100">
        <v>10411.200000000001</v>
      </c>
      <c r="CD48" s="100">
        <v>9.73029366426716</v>
      </c>
      <c r="CE48" s="100">
        <v>8442.0027831181887</v>
      </c>
      <c r="CF48" s="100">
        <v>13</v>
      </c>
      <c r="CG48" s="100">
        <v>11278.800000000001</v>
      </c>
      <c r="CH48" s="100">
        <v>12</v>
      </c>
      <c r="CI48" s="100">
        <v>10411.200000000001</v>
      </c>
      <c r="CJ48" s="100">
        <v>13</v>
      </c>
      <c r="CK48" s="100">
        <v>11278.800000000001</v>
      </c>
      <c r="CL48" s="100">
        <v>11</v>
      </c>
      <c r="CM48" s="100">
        <v>9543.6</v>
      </c>
      <c r="CN48" s="100">
        <v>9.1985714176360371</v>
      </c>
      <c r="CO48" s="100">
        <v>7980.6805619410261</v>
      </c>
      <c r="CP48" s="100">
        <v>12</v>
      </c>
      <c r="CQ48" s="100">
        <v>10411.200000000001</v>
      </c>
      <c r="CR48" s="100">
        <v>6.3731279316438965</v>
      </c>
      <c r="CS48" s="100">
        <v>5529.3257934942449</v>
      </c>
      <c r="CT48" s="100">
        <v>3.0188335761658553</v>
      </c>
      <c r="CU48" s="100">
        <v>2619.1400106814963</v>
      </c>
    </row>
    <row r="49" spans="2:99">
      <c r="B49" s="99" t="s">
        <v>129</v>
      </c>
      <c r="C49" s="99" t="s">
        <v>215</v>
      </c>
      <c r="D49" s="100">
        <v>9</v>
      </c>
      <c r="E49" s="100">
        <v>8866.7999999999993</v>
      </c>
      <c r="F49" s="100">
        <v>8</v>
      </c>
      <c r="G49" s="100">
        <v>7881.5999999999995</v>
      </c>
      <c r="H49" s="100">
        <v>6</v>
      </c>
      <c r="I49" s="100">
        <v>5911.2</v>
      </c>
      <c r="J49" s="100">
        <v>7</v>
      </c>
      <c r="K49" s="100">
        <v>6896.4</v>
      </c>
      <c r="L49" s="100">
        <v>10</v>
      </c>
      <c r="M49" s="100">
        <v>9852</v>
      </c>
      <c r="N49" s="100">
        <v>10</v>
      </c>
      <c r="O49" s="100">
        <v>9852</v>
      </c>
      <c r="P49" s="100">
        <v>8</v>
      </c>
      <c r="Q49" s="100">
        <v>7881.5999999999995</v>
      </c>
      <c r="R49" s="100">
        <v>6</v>
      </c>
      <c r="S49" s="100">
        <v>5911.2</v>
      </c>
      <c r="T49" s="100">
        <v>8</v>
      </c>
      <c r="U49" s="100">
        <v>7881.5999999999995</v>
      </c>
      <c r="V49" s="100">
        <v>8.6626796489890552</v>
      </c>
      <c r="W49" s="100">
        <v>8534.4719901840162</v>
      </c>
      <c r="X49" s="100">
        <v>8</v>
      </c>
      <c r="Y49" s="100">
        <v>7881.5999999999995</v>
      </c>
      <c r="Z49" s="100">
        <v>10</v>
      </c>
      <c r="AA49" s="100">
        <v>9852</v>
      </c>
      <c r="AB49" s="100">
        <v>8.8001673540428218</v>
      </c>
      <c r="AC49" s="100">
        <v>8669.9248772029878</v>
      </c>
      <c r="AD49" s="100">
        <v>7.8776798442892906</v>
      </c>
      <c r="AE49" s="100">
        <v>7761.0901825938081</v>
      </c>
      <c r="AF49" s="100">
        <v>9</v>
      </c>
      <c r="AG49" s="100">
        <v>8866.7999999999993</v>
      </c>
      <c r="AH49" s="100">
        <v>9.7107077203537973</v>
      </c>
      <c r="AI49" s="100">
        <v>9566.9892460925603</v>
      </c>
      <c r="AJ49" s="100">
        <v>9.4519174974612401</v>
      </c>
      <c r="AK49" s="100">
        <v>9312.0291184988127</v>
      </c>
      <c r="AL49" s="100">
        <v>4.6443156891954089</v>
      </c>
      <c r="AM49" s="100">
        <v>4575.5798169953168</v>
      </c>
      <c r="AN49" s="100">
        <v>4.348499403259396</v>
      </c>
      <c r="AO49" s="100">
        <v>4284.1416120911563</v>
      </c>
      <c r="AP49" s="100">
        <v>6.9352672415211272</v>
      </c>
      <c r="AQ49" s="100">
        <v>6832.6252863466143</v>
      </c>
      <c r="AR49" s="100">
        <v>9</v>
      </c>
      <c r="AS49" s="100">
        <v>8866.7999999999993</v>
      </c>
      <c r="AT49" s="100">
        <v>7.3731500331506181</v>
      </c>
      <c r="AU49" s="100">
        <v>7264.0274126599888</v>
      </c>
      <c r="AV49" s="100">
        <v>9.7381848374824376</v>
      </c>
      <c r="AW49" s="100">
        <v>9594.0597018876961</v>
      </c>
      <c r="AX49" s="100">
        <v>5.5057613412235895</v>
      </c>
      <c r="AY49" s="100">
        <v>5424.2760733734804</v>
      </c>
      <c r="AZ49" s="100">
        <v>6.2681137088427175</v>
      </c>
      <c r="BA49" s="100">
        <v>6175.3456259518452</v>
      </c>
      <c r="BB49" s="100">
        <v>10</v>
      </c>
      <c r="BC49" s="100">
        <v>9852</v>
      </c>
      <c r="BD49" s="100">
        <v>4.8233776072480472</v>
      </c>
      <c r="BE49" s="100">
        <v>4751.9916186607761</v>
      </c>
      <c r="BF49" s="100">
        <v>7.1428031707201836</v>
      </c>
      <c r="BG49" s="100">
        <v>7037.0896837935243</v>
      </c>
      <c r="BH49" s="100">
        <v>4.5717482565517562</v>
      </c>
      <c r="BI49" s="100">
        <v>4504.0863823547897</v>
      </c>
      <c r="BJ49" s="100">
        <v>4.3288051124837645</v>
      </c>
      <c r="BK49" s="100">
        <v>4264.7387968190042</v>
      </c>
      <c r="BL49" s="100">
        <v>8</v>
      </c>
      <c r="BM49" s="100">
        <v>7881.5999999999995</v>
      </c>
      <c r="BN49" s="100">
        <v>10</v>
      </c>
      <c r="BO49" s="100">
        <v>9852</v>
      </c>
      <c r="BP49" s="100">
        <v>6</v>
      </c>
      <c r="BQ49" s="100">
        <v>5911.2</v>
      </c>
      <c r="BR49" s="100">
        <v>8.5725329828990358</v>
      </c>
      <c r="BS49" s="100">
        <v>8445.6594947521298</v>
      </c>
      <c r="BT49" s="100">
        <v>11</v>
      </c>
      <c r="BU49" s="100">
        <v>10837.199999999999</v>
      </c>
      <c r="BV49" s="100">
        <v>11</v>
      </c>
      <c r="BW49" s="100">
        <v>10837.199999999999</v>
      </c>
      <c r="BX49" s="100">
        <v>5.5940296103511349</v>
      </c>
      <c r="BY49" s="100">
        <v>5511.2379721179377</v>
      </c>
      <c r="BZ49" s="100">
        <v>8.940130086446727</v>
      </c>
      <c r="CA49" s="100">
        <v>8807.8161611673149</v>
      </c>
      <c r="CB49" s="100">
        <v>6</v>
      </c>
      <c r="CC49" s="100">
        <v>5911.2</v>
      </c>
      <c r="CD49" s="100">
        <v>2.9524529204881613</v>
      </c>
      <c r="CE49" s="100">
        <v>2908.7566172649363</v>
      </c>
      <c r="CF49" s="100">
        <v>8.5478289535252294</v>
      </c>
      <c r="CG49" s="100">
        <v>8421.3210850130563</v>
      </c>
      <c r="CH49" s="100">
        <v>7</v>
      </c>
      <c r="CI49" s="100">
        <v>6896.4</v>
      </c>
      <c r="CJ49" s="100">
        <v>10</v>
      </c>
      <c r="CK49" s="100">
        <v>9852</v>
      </c>
      <c r="CL49" s="100">
        <v>5</v>
      </c>
      <c r="CM49" s="100">
        <v>4926</v>
      </c>
      <c r="CN49" s="100">
        <v>8</v>
      </c>
      <c r="CO49" s="100">
        <v>7881.5999999999995</v>
      </c>
      <c r="CP49" s="100">
        <v>11</v>
      </c>
      <c r="CQ49" s="100">
        <v>10837.199999999999</v>
      </c>
      <c r="CR49" s="100">
        <v>9</v>
      </c>
      <c r="CS49" s="100">
        <v>8866.7999999999993</v>
      </c>
      <c r="CT49" s="100">
        <v>8</v>
      </c>
      <c r="CU49" s="100">
        <v>7881.5999999999995</v>
      </c>
    </row>
    <row r="50" spans="2:99">
      <c r="C50" s="99" t="s">
        <v>216</v>
      </c>
      <c r="D50" s="100">
        <v>10</v>
      </c>
      <c r="E50" s="100">
        <v>2820</v>
      </c>
      <c r="F50" s="100">
        <v>9</v>
      </c>
      <c r="G50" s="100">
        <v>2538</v>
      </c>
      <c r="H50" s="100">
        <v>5</v>
      </c>
      <c r="I50" s="100">
        <v>1410</v>
      </c>
      <c r="J50" s="100">
        <v>7</v>
      </c>
      <c r="K50" s="100">
        <v>1974</v>
      </c>
      <c r="L50" s="100">
        <v>11</v>
      </c>
      <c r="M50" s="100">
        <v>3102</v>
      </c>
      <c r="N50" s="100">
        <v>11</v>
      </c>
      <c r="O50" s="100">
        <v>3102</v>
      </c>
      <c r="P50" s="100">
        <v>7</v>
      </c>
      <c r="Q50" s="100">
        <v>1974</v>
      </c>
      <c r="R50" s="100">
        <v>6</v>
      </c>
      <c r="S50" s="100">
        <v>1692</v>
      </c>
      <c r="T50" s="100">
        <v>8</v>
      </c>
      <c r="U50" s="100">
        <v>2256</v>
      </c>
      <c r="V50" s="100">
        <v>10</v>
      </c>
      <c r="W50" s="100">
        <v>2820</v>
      </c>
      <c r="X50" s="100">
        <v>9</v>
      </c>
      <c r="Y50" s="100">
        <v>2538</v>
      </c>
      <c r="Z50" s="100">
        <v>12</v>
      </c>
      <c r="AA50" s="100">
        <v>3384</v>
      </c>
      <c r="AB50" s="100">
        <v>10</v>
      </c>
      <c r="AC50" s="100">
        <v>2820</v>
      </c>
      <c r="AD50" s="100">
        <v>7</v>
      </c>
      <c r="AE50" s="100">
        <v>1974</v>
      </c>
      <c r="AF50" s="100">
        <v>9</v>
      </c>
      <c r="AG50" s="100">
        <v>2538</v>
      </c>
      <c r="AH50" s="100">
        <v>8.1823182947893773</v>
      </c>
      <c r="AI50" s="100">
        <v>2307.4137591306044</v>
      </c>
      <c r="AJ50" s="100">
        <v>10</v>
      </c>
      <c r="AK50" s="100">
        <v>2820</v>
      </c>
      <c r="AL50" s="100">
        <v>10</v>
      </c>
      <c r="AM50" s="100">
        <v>2820</v>
      </c>
      <c r="AN50" s="100">
        <v>5.5999297302184159</v>
      </c>
      <c r="AO50" s="100">
        <v>1579.1801839215932</v>
      </c>
      <c r="AP50" s="100">
        <v>6.376236467512598</v>
      </c>
      <c r="AQ50" s="100">
        <v>1798.0986838385527</v>
      </c>
      <c r="AR50" s="100">
        <v>6.9060799807931188</v>
      </c>
      <c r="AS50" s="100">
        <v>1947.5145545836594</v>
      </c>
      <c r="AT50" s="100">
        <v>0</v>
      </c>
      <c r="AU50" s="100">
        <v>0</v>
      </c>
      <c r="AV50" s="100">
        <v>10</v>
      </c>
      <c r="AW50" s="100">
        <v>2820</v>
      </c>
      <c r="AX50" s="100">
        <v>5.3536972592002607</v>
      </c>
      <c r="AY50" s="100">
        <v>1509.7426270944736</v>
      </c>
      <c r="AZ50" s="100">
        <v>8</v>
      </c>
      <c r="BA50" s="100">
        <v>2256</v>
      </c>
      <c r="BB50" s="100">
        <v>7.0944400123074915</v>
      </c>
      <c r="BC50" s="100">
        <v>2000.6320834707126</v>
      </c>
      <c r="BD50" s="100">
        <v>8</v>
      </c>
      <c r="BE50" s="100">
        <v>2256</v>
      </c>
      <c r="BF50" s="100">
        <v>11</v>
      </c>
      <c r="BG50" s="100">
        <v>3102</v>
      </c>
      <c r="BH50" s="100">
        <v>3.1350470642396107</v>
      </c>
      <c r="BI50" s="100">
        <v>884.08327211557025</v>
      </c>
      <c r="BJ50" s="100">
        <v>7</v>
      </c>
      <c r="BK50" s="100">
        <v>1974</v>
      </c>
      <c r="BL50" s="100">
        <v>8</v>
      </c>
      <c r="BM50" s="100">
        <v>2256</v>
      </c>
      <c r="BN50" s="100">
        <v>10</v>
      </c>
      <c r="BO50" s="100">
        <v>2820</v>
      </c>
      <c r="BP50" s="100">
        <v>6</v>
      </c>
      <c r="BQ50" s="100">
        <v>1692</v>
      </c>
      <c r="BR50" s="100">
        <v>10</v>
      </c>
      <c r="BS50" s="100">
        <v>2820</v>
      </c>
      <c r="BT50" s="100">
        <v>10</v>
      </c>
      <c r="BU50" s="100">
        <v>2820</v>
      </c>
      <c r="BV50" s="100">
        <v>9.6560270497440932</v>
      </c>
      <c r="BW50" s="100">
        <v>2722.9996280278342</v>
      </c>
      <c r="BX50" s="100">
        <v>10</v>
      </c>
      <c r="BY50" s="100">
        <v>2820</v>
      </c>
      <c r="BZ50" s="100">
        <v>9</v>
      </c>
      <c r="CA50" s="100">
        <v>2538</v>
      </c>
      <c r="CB50" s="100">
        <v>6</v>
      </c>
      <c r="CC50" s="100">
        <v>1692</v>
      </c>
      <c r="CD50" s="100">
        <v>6.6895768941836726</v>
      </c>
      <c r="CE50" s="100">
        <v>1886.4606841597956</v>
      </c>
      <c r="CF50" s="100">
        <v>9</v>
      </c>
      <c r="CG50" s="100">
        <v>2538</v>
      </c>
      <c r="CH50" s="100">
        <v>7</v>
      </c>
      <c r="CI50" s="100">
        <v>1974</v>
      </c>
      <c r="CJ50" s="100">
        <v>11</v>
      </c>
      <c r="CK50" s="100">
        <v>3102</v>
      </c>
      <c r="CL50" s="100">
        <v>6</v>
      </c>
      <c r="CM50" s="100">
        <v>1692</v>
      </c>
      <c r="CN50" s="100">
        <v>6.3682417506711033</v>
      </c>
      <c r="CO50" s="100">
        <v>1795.8441736892512</v>
      </c>
      <c r="CP50" s="100">
        <v>12</v>
      </c>
      <c r="CQ50" s="100">
        <v>3384</v>
      </c>
      <c r="CR50" s="100">
        <v>5.0985023453151177</v>
      </c>
      <c r="CS50" s="100">
        <v>1437.7776613788633</v>
      </c>
      <c r="CT50" s="100">
        <v>2.2641251821243915</v>
      </c>
      <c r="CU50" s="100">
        <v>638.48330135907838</v>
      </c>
    </row>
    <row r="51" spans="2:99">
      <c r="C51" s="99" t="s">
        <v>217</v>
      </c>
      <c r="D51" s="100">
        <v>8</v>
      </c>
      <c r="E51" s="100">
        <v>6835.2</v>
      </c>
      <c r="F51" s="100">
        <v>9</v>
      </c>
      <c r="G51" s="100">
        <v>7689.5999999999995</v>
      </c>
      <c r="H51" s="100">
        <v>5</v>
      </c>
      <c r="I51" s="100">
        <v>4272</v>
      </c>
      <c r="J51" s="100">
        <v>8</v>
      </c>
      <c r="K51" s="100">
        <v>6835.2</v>
      </c>
      <c r="L51" s="100">
        <v>9</v>
      </c>
      <c r="M51" s="100">
        <v>7689.5999999999995</v>
      </c>
      <c r="N51" s="100">
        <v>10</v>
      </c>
      <c r="O51" s="100">
        <v>8544</v>
      </c>
      <c r="P51" s="100">
        <v>8</v>
      </c>
      <c r="Q51" s="100">
        <v>6835.2</v>
      </c>
      <c r="R51" s="100">
        <v>6</v>
      </c>
      <c r="S51" s="100">
        <v>5126.3999999999996</v>
      </c>
      <c r="T51" s="100">
        <v>8</v>
      </c>
      <c r="U51" s="100">
        <v>6835.2</v>
      </c>
      <c r="V51" s="100">
        <v>10</v>
      </c>
      <c r="W51" s="100">
        <v>8544</v>
      </c>
      <c r="X51" s="100">
        <v>8</v>
      </c>
      <c r="Y51" s="100">
        <v>6835.2</v>
      </c>
      <c r="Z51" s="100">
        <v>11</v>
      </c>
      <c r="AA51" s="100">
        <v>9398.4</v>
      </c>
      <c r="AB51" s="100">
        <v>12</v>
      </c>
      <c r="AC51" s="100">
        <v>10252.799999999999</v>
      </c>
      <c r="AD51" s="100">
        <v>9</v>
      </c>
      <c r="AE51" s="100">
        <v>7689.5999999999995</v>
      </c>
      <c r="AF51" s="100">
        <v>9</v>
      </c>
      <c r="AG51" s="100">
        <v>7689.5999999999995</v>
      </c>
      <c r="AH51" s="100">
        <v>7.5004584368902618</v>
      </c>
      <c r="AI51" s="100">
        <v>6408.3916884790397</v>
      </c>
      <c r="AJ51" s="100">
        <v>10</v>
      </c>
      <c r="AK51" s="100">
        <v>8544</v>
      </c>
      <c r="AL51" s="100">
        <v>9</v>
      </c>
      <c r="AM51" s="100">
        <v>7689.5999999999995</v>
      </c>
      <c r="AN51" s="100">
        <v>5.5999297302184159</v>
      </c>
      <c r="AO51" s="100">
        <v>4784.5799614986145</v>
      </c>
      <c r="AP51" s="100">
        <v>6.376236467512598</v>
      </c>
      <c r="AQ51" s="100">
        <v>5447.8564378427636</v>
      </c>
      <c r="AR51" s="100">
        <v>5.5248639846344956</v>
      </c>
      <c r="AS51" s="100">
        <v>4720.4437884717127</v>
      </c>
      <c r="AT51" s="100">
        <v>0</v>
      </c>
      <c r="AU51" s="100">
        <v>0</v>
      </c>
      <c r="AV51" s="100">
        <v>10</v>
      </c>
      <c r="AW51" s="100">
        <v>8544</v>
      </c>
      <c r="AX51" s="100">
        <v>5.8403970100366491</v>
      </c>
      <c r="AY51" s="100">
        <v>4990.0352053753131</v>
      </c>
      <c r="AZ51" s="100">
        <v>8</v>
      </c>
      <c r="BA51" s="100">
        <v>6835.2</v>
      </c>
      <c r="BB51" s="100">
        <v>6.3849960110767423</v>
      </c>
      <c r="BC51" s="100">
        <v>5455.3405918639683</v>
      </c>
      <c r="BD51" s="100">
        <v>7</v>
      </c>
      <c r="BE51" s="100">
        <v>5980.8</v>
      </c>
      <c r="BF51" s="100">
        <v>10</v>
      </c>
      <c r="BG51" s="100">
        <v>8544</v>
      </c>
      <c r="BH51" s="100">
        <v>3.4833856269329013</v>
      </c>
      <c r="BI51" s="100">
        <v>2976.204679651471</v>
      </c>
      <c r="BJ51" s="100">
        <v>8</v>
      </c>
      <c r="BK51" s="100">
        <v>6835.2</v>
      </c>
      <c r="BL51" s="100">
        <v>8</v>
      </c>
      <c r="BM51" s="100">
        <v>6835.2</v>
      </c>
      <c r="BN51" s="100">
        <v>11</v>
      </c>
      <c r="BO51" s="100">
        <v>9398.4</v>
      </c>
      <c r="BP51" s="100">
        <v>7</v>
      </c>
      <c r="BQ51" s="100">
        <v>5980.8</v>
      </c>
      <c r="BR51" s="100">
        <v>11</v>
      </c>
      <c r="BS51" s="100">
        <v>9398.4</v>
      </c>
      <c r="BT51" s="100">
        <v>11</v>
      </c>
      <c r="BU51" s="100">
        <v>9398.4</v>
      </c>
      <c r="BV51" s="100">
        <v>8.0466892081200765</v>
      </c>
      <c r="BW51" s="100">
        <v>6875.0912594177935</v>
      </c>
      <c r="BX51" s="100">
        <v>10</v>
      </c>
      <c r="BY51" s="100">
        <v>8544</v>
      </c>
      <c r="BZ51" s="100">
        <v>10</v>
      </c>
      <c r="CA51" s="100">
        <v>8544</v>
      </c>
      <c r="CB51" s="100">
        <v>6</v>
      </c>
      <c r="CC51" s="100">
        <v>5126.3999999999996</v>
      </c>
      <c r="CD51" s="100">
        <v>6.0814335401669748</v>
      </c>
      <c r="CE51" s="100">
        <v>5195.976816718663</v>
      </c>
      <c r="CF51" s="100">
        <v>9</v>
      </c>
      <c r="CG51" s="100">
        <v>7689.5999999999995</v>
      </c>
      <c r="CH51" s="100">
        <v>7</v>
      </c>
      <c r="CI51" s="100">
        <v>5980.8</v>
      </c>
      <c r="CJ51" s="100">
        <v>11</v>
      </c>
      <c r="CK51" s="100">
        <v>9398.4</v>
      </c>
      <c r="CL51" s="100">
        <v>6</v>
      </c>
      <c r="CM51" s="100">
        <v>5126.3999999999996</v>
      </c>
      <c r="CN51" s="100">
        <v>6.3682417506711033</v>
      </c>
      <c r="CO51" s="100">
        <v>5441.0257517733908</v>
      </c>
      <c r="CP51" s="100">
        <v>10</v>
      </c>
      <c r="CQ51" s="100">
        <v>8544</v>
      </c>
      <c r="CR51" s="100">
        <v>5.7358151384795075</v>
      </c>
      <c r="CS51" s="100">
        <v>4900.680454316891</v>
      </c>
      <c r="CT51" s="100">
        <v>2.5156946468048798</v>
      </c>
      <c r="CU51" s="100">
        <v>2149.4095062300894</v>
      </c>
    </row>
    <row r="52" spans="2:99">
      <c r="C52" s="99" t="s">
        <v>218</v>
      </c>
      <c r="D52" s="100">
        <v>9</v>
      </c>
      <c r="E52" s="100">
        <v>4860</v>
      </c>
      <c r="F52" s="100">
        <v>9</v>
      </c>
      <c r="G52" s="100">
        <v>4860</v>
      </c>
      <c r="H52" s="100">
        <v>6</v>
      </c>
      <c r="I52" s="100">
        <v>3240</v>
      </c>
      <c r="J52" s="100">
        <v>7</v>
      </c>
      <c r="K52" s="100">
        <v>3780</v>
      </c>
      <c r="L52" s="100">
        <v>9</v>
      </c>
      <c r="M52" s="100">
        <v>4860</v>
      </c>
      <c r="N52" s="100">
        <v>10</v>
      </c>
      <c r="O52" s="100">
        <v>5400</v>
      </c>
      <c r="P52" s="100">
        <v>8</v>
      </c>
      <c r="Q52" s="100">
        <v>4320</v>
      </c>
      <c r="R52" s="100">
        <v>7</v>
      </c>
      <c r="S52" s="100">
        <v>3780</v>
      </c>
      <c r="T52" s="100">
        <v>9</v>
      </c>
      <c r="U52" s="100">
        <v>4860</v>
      </c>
      <c r="V52" s="100">
        <v>10</v>
      </c>
      <c r="W52" s="100">
        <v>5400</v>
      </c>
      <c r="X52" s="100">
        <v>9</v>
      </c>
      <c r="Y52" s="100">
        <v>4860</v>
      </c>
      <c r="Z52" s="100">
        <v>10</v>
      </c>
      <c r="AA52" s="100">
        <v>5400</v>
      </c>
      <c r="AB52" s="100">
        <v>11</v>
      </c>
      <c r="AC52" s="100">
        <v>5940</v>
      </c>
      <c r="AD52" s="100">
        <v>8</v>
      </c>
      <c r="AE52" s="100">
        <v>4320</v>
      </c>
      <c r="AF52" s="100">
        <v>9</v>
      </c>
      <c r="AG52" s="100">
        <v>4860</v>
      </c>
      <c r="AH52" s="100">
        <v>6.8185985789911481</v>
      </c>
      <c r="AI52" s="100">
        <v>3682.04323265522</v>
      </c>
      <c r="AJ52" s="100">
        <v>11</v>
      </c>
      <c r="AK52" s="100">
        <v>5940</v>
      </c>
      <c r="AL52" s="100">
        <v>9</v>
      </c>
      <c r="AM52" s="100">
        <v>4860</v>
      </c>
      <c r="AN52" s="100">
        <v>5.5999297302184159</v>
      </c>
      <c r="AO52" s="100">
        <v>3023.9620543179444</v>
      </c>
      <c r="AP52" s="100">
        <v>6.376236467512598</v>
      </c>
      <c r="AQ52" s="100">
        <v>3443.1676924568028</v>
      </c>
      <c r="AR52" s="100">
        <v>6.2154719827138081</v>
      </c>
      <c r="AS52" s="100">
        <v>3356.3548706654565</v>
      </c>
      <c r="AT52" s="100">
        <v>0</v>
      </c>
      <c r="AU52" s="100">
        <v>0</v>
      </c>
      <c r="AV52" s="100">
        <v>10</v>
      </c>
      <c r="AW52" s="100">
        <v>5400</v>
      </c>
      <c r="AX52" s="100">
        <v>5.3536972592002607</v>
      </c>
      <c r="AY52" s="100">
        <v>2890.996519968141</v>
      </c>
      <c r="AZ52" s="100">
        <v>7</v>
      </c>
      <c r="BA52" s="100">
        <v>3780</v>
      </c>
      <c r="BB52" s="100">
        <v>7.0944400123074915</v>
      </c>
      <c r="BC52" s="100">
        <v>3830.9976066460454</v>
      </c>
      <c r="BD52" s="100">
        <v>8</v>
      </c>
      <c r="BE52" s="100">
        <v>4320</v>
      </c>
      <c r="BF52" s="100">
        <v>10</v>
      </c>
      <c r="BG52" s="100">
        <v>5400</v>
      </c>
      <c r="BH52" s="100">
        <v>2.7867085015463209</v>
      </c>
      <c r="BI52" s="100">
        <v>1504.8225908350132</v>
      </c>
      <c r="BJ52" s="100">
        <v>8</v>
      </c>
      <c r="BK52" s="100">
        <v>4320</v>
      </c>
      <c r="BL52" s="100">
        <v>7</v>
      </c>
      <c r="BM52" s="100">
        <v>3780</v>
      </c>
      <c r="BN52" s="100">
        <v>10</v>
      </c>
      <c r="BO52" s="100">
        <v>5400</v>
      </c>
      <c r="BP52" s="100">
        <v>6</v>
      </c>
      <c r="BQ52" s="100">
        <v>3240</v>
      </c>
      <c r="BR52" s="100">
        <v>11</v>
      </c>
      <c r="BS52" s="100">
        <v>5940</v>
      </c>
      <c r="BT52" s="100">
        <v>11</v>
      </c>
      <c r="BU52" s="100">
        <v>5940</v>
      </c>
      <c r="BV52" s="100">
        <v>8.0466892081200765</v>
      </c>
      <c r="BW52" s="100">
        <v>4345.2121723848413</v>
      </c>
      <c r="BX52" s="100">
        <v>12</v>
      </c>
      <c r="BY52" s="100">
        <v>6480</v>
      </c>
      <c r="BZ52" s="100">
        <v>9</v>
      </c>
      <c r="CA52" s="100">
        <v>4860</v>
      </c>
      <c r="CB52" s="100">
        <v>7</v>
      </c>
      <c r="CC52" s="100">
        <v>3780</v>
      </c>
      <c r="CD52" s="100">
        <v>6.0814335401669748</v>
      </c>
      <c r="CE52" s="100">
        <v>3283.9741116901664</v>
      </c>
      <c r="CF52" s="100">
        <v>10</v>
      </c>
      <c r="CG52" s="100">
        <v>5400</v>
      </c>
      <c r="CH52" s="100">
        <v>7</v>
      </c>
      <c r="CI52" s="100">
        <v>3780</v>
      </c>
      <c r="CJ52" s="100">
        <v>10</v>
      </c>
      <c r="CK52" s="100">
        <v>5400</v>
      </c>
      <c r="CL52" s="100">
        <v>5</v>
      </c>
      <c r="CM52" s="100">
        <v>2700</v>
      </c>
      <c r="CN52" s="100">
        <v>6.3682417506711033</v>
      </c>
      <c r="CO52" s="100">
        <v>3438.8505453623957</v>
      </c>
      <c r="CP52" s="100">
        <v>10</v>
      </c>
      <c r="CQ52" s="100">
        <v>5400</v>
      </c>
      <c r="CR52" s="100">
        <v>5.0985023453151177</v>
      </c>
      <c r="CS52" s="100">
        <v>2753.1912664701636</v>
      </c>
      <c r="CT52" s="100">
        <v>2.2641251821243915</v>
      </c>
      <c r="CU52" s="100">
        <v>1222.6275983471714</v>
      </c>
    </row>
    <row r="53" spans="2:99">
      <c r="C53" s="99" t="s">
        <v>219</v>
      </c>
      <c r="D53" s="100">
        <v>8</v>
      </c>
      <c r="E53" s="100">
        <v>3254.4</v>
      </c>
      <c r="F53" s="100">
        <v>7</v>
      </c>
      <c r="G53" s="100">
        <v>2847.6</v>
      </c>
      <c r="H53" s="100">
        <v>6</v>
      </c>
      <c r="I53" s="100">
        <v>2440.8000000000002</v>
      </c>
      <c r="J53" s="100">
        <v>8</v>
      </c>
      <c r="K53" s="100">
        <v>3254.4</v>
      </c>
      <c r="L53" s="100">
        <v>9</v>
      </c>
      <c r="M53" s="100">
        <v>3661.2000000000003</v>
      </c>
      <c r="N53" s="100">
        <v>10</v>
      </c>
      <c r="O53" s="100">
        <v>4068</v>
      </c>
      <c r="P53" s="100">
        <v>7</v>
      </c>
      <c r="Q53" s="100">
        <v>2847.6</v>
      </c>
      <c r="R53" s="100">
        <v>6</v>
      </c>
      <c r="S53" s="100">
        <v>2440.8000000000002</v>
      </c>
      <c r="T53" s="100">
        <v>8</v>
      </c>
      <c r="U53" s="100">
        <v>3254.4</v>
      </c>
      <c r="V53" s="100">
        <v>12</v>
      </c>
      <c r="W53" s="100">
        <v>4881.6000000000004</v>
      </c>
      <c r="X53" s="100">
        <v>8</v>
      </c>
      <c r="Y53" s="100">
        <v>3254.4</v>
      </c>
      <c r="Z53" s="100">
        <v>10</v>
      </c>
      <c r="AA53" s="100">
        <v>4068</v>
      </c>
      <c r="AB53" s="100">
        <v>10</v>
      </c>
      <c r="AC53" s="100">
        <v>4068</v>
      </c>
      <c r="AD53" s="100">
        <v>8</v>
      </c>
      <c r="AE53" s="100">
        <v>3254.4</v>
      </c>
      <c r="AF53" s="100">
        <v>9</v>
      </c>
      <c r="AG53" s="100">
        <v>3661.2000000000003</v>
      </c>
      <c r="AH53" s="100">
        <v>8.1823182947893773</v>
      </c>
      <c r="AI53" s="100">
        <v>3328.5670823203186</v>
      </c>
      <c r="AJ53" s="100">
        <v>10</v>
      </c>
      <c r="AK53" s="100">
        <v>4068</v>
      </c>
      <c r="AL53" s="100">
        <v>10</v>
      </c>
      <c r="AM53" s="100">
        <v>4068</v>
      </c>
      <c r="AN53" s="100">
        <v>5.5999297302184159</v>
      </c>
      <c r="AO53" s="100">
        <v>2278.0514142528518</v>
      </c>
      <c r="AP53" s="100">
        <v>6.376236467512598</v>
      </c>
      <c r="AQ53" s="100">
        <v>2593.852994984125</v>
      </c>
      <c r="AR53" s="100">
        <v>6.2154719827138081</v>
      </c>
      <c r="AS53" s="100">
        <v>2528.4540025679771</v>
      </c>
      <c r="AT53" s="100">
        <v>0</v>
      </c>
      <c r="AU53" s="100">
        <v>0</v>
      </c>
      <c r="AV53" s="100">
        <v>11</v>
      </c>
      <c r="AW53" s="100">
        <v>4474.8</v>
      </c>
      <c r="AX53" s="100">
        <v>5.8403970100366491</v>
      </c>
      <c r="AY53" s="100">
        <v>2375.8735036829089</v>
      </c>
      <c r="AZ53" s="100">
        <v>8</v>
      </c>
      <c r="BA53" s="100">
        <v>3254.4</v>
      </c>
      <c r="BB53" s="100">
        <v>7.0944400123074915</v>
      </c>
      <c r="BC53" s="100">
        <v>2886.0181970066878</v>
      </c>
      <c r="BD53" s="100">
        <v>7</v>
      </c>
      <c r="BE53" s="100">
        <v>2847.6</v>
      </c>
      <c r="BF53" s="100">
        <v>10</v>
      </c>
      <c r="BG53" s="100">
        <v>4068</v>
      </c>
      <c r="BH53" s="100">
        <v>3.1350470642396107</v>
      </c>
      <c r="BI53" s="100">
        <v>1275.3371457326737</v>
      </c>
      <c r="BJ53" s="100">
        <v>8</v>
      </c>
      <c r="BK53" s="100">
        <v>3254.4</v>
      </c>
      <c r="BL53" s="100">
        <v>7</v>
      </c>
      <c r="BM53" s="100">
        <v>2847.6</v>
      </c>
      <c r="BN53" s="100">
        <v>9</v>
      </c>
      <c r="BO53" s="100">
        <v>3661.2000000000003</v>
      </c>
      <c r="BP53" s="100">
        <v>6</v>
      </c>
      <c r="BQ53" s="100">
        <v>2440.8000000000002</v>
      </c>
      <c r="BR53" s="100">
        <v>11</v>
      </c>
      <c r="BS53" s="100">
        <v>4474.8</v>
      </c>
      <c r="BT53" s="100">
        <v>10</v>
      </c>
      <c r="BU53" s="100">
        <v>4068</v>
      </c>
      <c r="BV53" s="100">
        <v>8.0466892081200765</v>
      </c>
      <c r="BW53" s="100">
        <v>3273.3931698632473</v>
      </c>
      <c r="BX53" s="100">
        <v>12</v>
      </c>
      <c r="BY53" s="100">
        <v>4881.6000000000004</v>
      </c>
      <c r="BZ53" s="100">
        <v>10</v>
      </c>
      <c r="CA53" s="100">
        <v>4068</v>
      </c>
      <c r="CB53" s="100">
        <v>6</v>
      </c>
      <c r="CC53" s="100">
        <v>2440.8000000000002</v>
      </c>
      <c r="CD53" s="100">
        <v>6.6895768941836726</v>
      </c>
      <c r="CE53" s="100">
        <v>2721.3198805539182</v>
      </c>
      <c r="CF53" s="100">
        <v>11</v>
      </c>
      <c r="CG53" s="100">
        <v>4474.8</v>
      </c>
      <c r="CH53" s="100">
        <v>7</v>
      </c>
      <c r="CI53" s="100">
        <v>2847.6</v>
      </c>
      <c r="CJ53" s="100">
        <v>10</v>
      </c>
      <c r="CK53" s="100">
        <v>4068</v>
      </c>
      <c r="CL53" s="100">
        <v>6</v>
      </c>
      <c r="CM53" s="100">
        <v>2440.8000000000002</v>
      </c>
      <c r="CN53" s="100">
        <v>6.3682417506711033</v>
      </c>
      <c r="CO53" s="100">
        <v>2590.6007441730048</v>
      </c>
      <c r="CP53" s="100">
        <v>10</v>
      </c>
      <c r="CQ53" s="100">
        <v>4068</v>
      </c>
      <c r="CR53" s="100">
        <v>5.7358151384795075</v>
      </c>
      <c r="CS53" s="100">
        <v>2333.3295983334638</v>
      </c>
      <c r="CT53" s="100">
        <v>2.0125557174439037</v>
      </c>
      <c r="CU53" s="100">
        <v>818.70766585618003</v>
      </c>
    </row>
    <row r="54" spans="2:99">
      <c r="C54" s="99" t="s">
        <v>220</v>
      </c>
      <c r="D54" s="100">
        <v>9</v>
      </c>
      <c r="E54" s="100">
        <v>3013.2000000000003</v>
      </c>
      <c r="F54" s="100">
        <v>8</v>
      </c>
      <c r="G54" s="100">
        <v>2678.4</v>
      </c>
      <c r="H54" s="100">
        <v>6</v>
      </c>
      <c r="I54" s="100">
        <v>2008.8000000000002</v>
      </c>
      <c r="J54" s="100">
        <v>7</v>
      </c>
      <c r="K54" s="100">
        <v>2343.6</v>
      </c>
      <c r="L54" s="100">
        <v>10</v>
      </c>
      <c r="M54" s="100">
        <v>3348</v>
      </c>
      <c r="N54" s="100">
        <v>10</v>
      </c>
      <c r="O54" s="100">
        <v>3348</v>
      </c>
      <c r="P54" s="100">
        <v>8</v>
      </c>
      <c r="Q54" s="100">
        <v>2678.4</v>
      </c>
      <c r="R54" s="100">
        <v>7</v>
      </c>
      <c r="S54" s="100">
        <v>2343.6</v>
      </c>
      <c r="T54" s="100">
        <v>9</v>
      </c>
      <c r="U54" s="100">
        <v>3013.2000000000003</v>
      </c>
      <c r="V54" s="100">
        <v>11</v>
      </c>
      <c r="W54" s="100">
        <v>3682.8</v>
      </c>
      <c r="X54" s="100">
        <v>9</v>
      </c>
      <c r="Y54" s="100">
        <v>3013.2000000000003</v>
      </c>
      <c r="Z54" s="100">
        <v>10</v>
      </c>
      <c r="AA54" s="100">
        <v>3348</v>
      </c>
      <c r="AB54" s="100">
        <v>12</v>
      </c>
      <c r="AC54" s="100">
        <v>4017.6000000000004</v>
      </c>
      <c r="AD54" s="100">
        <v>8</v>
      </c>
      <c r="AE54" s="100">
        <v>2678.4</v>
      </c>
      <c r="AF54" s="100">
        <v>11</v>
      </c>
      <c r="AG54" s="100">
        <v>3682.8</v>
      </c>
      <c r="AH54" s="100">
        <v>7.5004584368902618</v>
      </c>
      <c r="AI54" s="100">
        <v>2511.1534846708596</v>
      </c>
      <c r="AJ54" s="100">
        <v>10</v>
      </c>
      <c r="AK54" s="100">
        <v>3348</v>
      </c>
      <c r="AL54" s="100">
        <v>9</v>
      </c>
      <c r="AM54" s="100">
        <v>3013.2000000000003</v>
      </c>
      <c r="AN54" s="100">
        <v>5.5999297302184159</v>
      </c>
      <c r="AO54" s="100">
        <v>1874.8564736771257</v>
      </c>
      <c r="AP54" s="100">
        <v>7.1732660259516727</v>
      </c>
      <c r="AQ54" s="100">
        <v>2401.6094654886201</v>
      </c>
      <c r="AR54" s="100">
        <v>5.5248639846344956</v>
      </c>
      <c r="AS54" s="100">
        <v>1849.7244620556291</v>
      </c>
      <c r="AT54" s="100">
        <v>0</v>
      </c>
      <c r="AU54" s="100">
        <v>0</v>
      </c>
      <c r="AV54" s="100">
        <v>11</v>
      </c>
      <c r="AW54" s="100">
        <v>3682.8</v>
      </c>
      <c r="AX54" s="100">
        <v>4.8669975083638741</v>
      </c>
      <c r="AY54" s="100">
        <v>1629.4707658002251</v>
      </c>
      <c r="AZ54" s="100">
        <v>8</v>
      </c>
      <c r="BA54" s="100">
        <v>2678.4</v>
      </c>
      <c r="BB54" s="100">
        <v>7.0944400123074915</v>
      </c>
      <c r="BC54" s="100">
        <v>2375.2185161205484</v>
      </c>
      <c r="BD54" s="100">
        <v>8</v>
      </c>
      <c r="BE54" s="100">
        <v>2678.4</v>
      </c>
      <c r="BF54" s="100">
        <v>9</v>
      </c>
      <c r="BG54" s="100">
        <v>3013.2000000000003</v>
      </c>
      <c r="BH54" s="100">
        <v>3.1350470642396107</v>
      </c>
      <c r="BI54" s="100">
        <v>1049.6137571074216</v>
      </c>
      <c r="BJ54" s="100">
        <v>7</v>
      </c>
      <c r="BK54" s="100">
        <v>2343.6</v>
      </c>
      <c r="BL54" s="100">
        <v>8</v>
      </c>
      <c r="BM54" s="100">
        <v>2678.4</v>
      </c>
      <c r="BN54" s="100">
        <v>10</v>
      </c>
      <c r="BO54" s="100">
        <v>3348</v>
      </c>
      <c r="BP54" s="100">
        <v>6</v>
      </c>
      <c r="BQ54" s="100">
        <v>2008.8000000000002</v>
      </c>
      <c r="BR54" s="100">
        <v>11</v>
      </c>
      <c r="BS54" s="100">
        <v>3682.8</v>
      </c>
      <c r="BT54" s="100">
        <v>11</v>
      </c>
      <c r="BU54" s="100">
        <v>3682.8</v>
      </c>
      <c r="BV54" s="100">
        <v>8.8513581289320857</v>
      </c>
      <c r="BW54" s="100">
        <v>2963.4347015664625</v>
      </c>
      <c r="BX54" s="100">
        <v>11</v>
      </c>
      <c r="BY54" s="100">
        <v>3682.8</v>
      </c>
      <c r="BZ54" s="100">
        <v>10</v>
      </c>
      <c r="CA54" s="100">
        <v>3348</v>
      </c>
      <c r="CB54" s="100">
        <v>7</v>
      </c>
      <c r="CC54" s="100">
        <v>2343.6</v>
      </c>
      <c r="CD54" s="100">
        <v>6.6895768941836726</v>
      </c>
      <c r="CE54" s="100">
        <v>2239.6703441726936</v>
      </c>
      <c r="CF54" s="100">
        <v>10</v>
      </c>
      <c r="CG54" s="100">
        <v>3348</v>
      </c>
      <c r="CH54" s="100">
        <v>7</v>
      </c>
      <c r="CI54" s="100">
        <v>2343.6</v>
      </c>
      <c r="CJ54" s="100">
        <v>10</v>
      </c>
      <c r="CK54" s="100">
        <v>3348</v>
      </c>
      <c r="CL54" s="100">
        <v>6</v>
      </c>
      <c r="CM54" s="100">
        <v>2008.8000000000002</v>
      </c>
      <c r="CN54" s="100">
        <v>7.0758241674123372</v>
      </c>
      <c r="CO54" s="100">
        <v>2368.9859312496505</v>
      </c>
      <c r="CP54" s="100">
        <v>11</v>
      </c>
      <c r="CQ54" s="100">
        <v>3682.8</v>
      </c>
      <c r="CR54" s="100">
        <v>5.0985023453151177</v>
      </c>
      <c r="CS54" s="100">
        <v>1706.9785852115015</v>
      </c>
      <c r="CT54" s="100">
        <v>2.2641251821243915</v>
      </c>
      <c r="CU54" s="100">
        <v>758.02911097524634</v>
      </c>
    </row>
    <row r="55" spans="2:99">
      <c r="C55" s="99" t="s">
        <v>221</v>
      </c>
      <c r="D55" s="100">
        <v>9</v>
      </c>
      <c r="E55" s="100">
        <v>5972.4000000000005</v>
      </c>
      <c r="F55" s="100">
        <v>8</v>
      </c>
      <c r="G55" s="100">
        <v>5308.8</v>
      </c>
      <c r="H55" s="100">
        <v>5</v>
      </c>
      <c r="I55" s="100">
        <v>3318</v>
      </c>
      <c r="J55" s="100">
        <v>8</v>
      </c>
      <c r="K55" s="100">
        <v>5308.8</v>
      </c>
      <c r="L55" s="100">
        <v>10</v>
      </c>
      <c r="M55" s="100">
        <v>6636</v>
      </c>
      <c r="N55" s="100">
        <v>11</v>
      </c>
      <c r="O55" s="100">
        <v>7299.6</v>
      </c>
      <c r="P55" s="100">
        <v>8</v>
      </c>
      <c r="Q55" s="100">
        <v>5308.8</v>
      </c>
      <c r="R55" s="100">
        <v>6</v>
      </c>
      <c r="S55" s="100">
        <v>3981.6000000000004</v>
      </c>
      <c r="T55" s="100">
        <v>9</v>
      </c>
      <c r="U55" s="100">
        <v>5972.4000000000005</v>
      </c>
      <c r="V55" s="100">
        <v>9</v>
      </c>
      <c r="W55" s="100">
        <v>5972.4000000000005</v>
      </c>
      <c r="X55" s="100">
        <v>8</v>
      </c>
      <c r="Y55" s="100">
        <v>5308.8</v>
      </c>
      <c r="Z55" s="100">
        <v>10</v>
      </c>
      <c r="AA55" s="100">
        <v>6636</v>
      </c>
      <c r="AB55" s="100">
        <v>11</v>
      </c>
      <c r="AC55" s="100">
        <v>7299.6</v>
      </c>
      <c r="AD55" s="100">
        <v>8</v>
      </c>
      <c r="AE55" s="100">
        <v>5308.8</v>
      </c>
      <c r="AF55" s="100">
        <v>10</v>
      </c>
      <c r="AG55" s="100">
        <v>6636</v>
      </c>
      <c r="AH55" s="100">
        <v>6.8185985789911481</v>
      </c>
      <c r="AI55" s="100">
        <v>4524.8220170185259</v>
      </c>
      <c r="AJ55" s="100">
        <v>10</v>
      </c>
      <c r="AK55" s="100">
        <v>6636</v>
      </c>
      <c r="AL55" s="100">
        <v>10</v>
      </c>
      <c r="AM55" s="100">
        <v>6636</v>
      </c>
      <c r="AN55" s="100">
        <v>5.5999297302184159</v>
      </c>
      <c r="AO55" s="100">
        <v>3716.1133689729409</v>
      </c>
      <c r="AP55" s="100">
        <v>6.376236467512598</v>
      </c>
      <c r="AQ55" s="100">
        <v>4231.2705198413605</v>
      </c>
      <c r="AR55" s="100">
        <v>6.2154719827138081</v>
      </c>
      <c r="AS55" s="100">
        <v>4124.5872077288832</v>
      </c>
      <c r="AT55" s="100">
        <v>0</v>
      </c>
      <c r="AU55" s="100">
        <v>0</v>
      </c>
      <c r="AV55" s="100">
        <v>10</v>
      </c>
      <c r="AW55" s="100">
        <v>6636</v>
      </c>
      <c r="AX55" s="100">
        <v>4.8669975083638741</v>
      </c>
      <c r="AY55" s="100">
        <v>3229.7395465502668</v>
      </c>
      <c r="AZ55" s="100">
        <v>7</v>
      </c>
      <c r="BA55" s="100">
        <v>4645.2</v>
      </c>
      <c r="BB55" s="100">
        <v>7.8038840135382408</v>
      </c>
      <c r="BC55" s="100">
        <v>5178.6574313839765</v>
      </c>
      <c r="BD55" s="100">
        <v>7</v>
      </c>
      <c r="BE55" s="100">
        <v>4645.2</v>
      </c>
      <c r="BF55" s="100">
        <v>10</v>
      </c>
      <c r="BG55" s="100">
        <v>6636</v>
      </c>
      <c r="BH55" s="100">
        <v>3.1350470642396107</v>
      </c>
      <c r="BI55" s="100">
        <v>2080.4172318294059</v>
      </c>
      <c r="BJ55" s="100">
        <v>8</v>
      </c>
      <c r="BK55" s="100">
        <v>5308.8</v>
      </c>
      <c r="BL55" s="100">
        <v>8</v>
      </c>
      <c r="BM55" s="100">
        <v>5308.8</v>
      </c>
      <c r="BN55" s="100">
        <v>11</v>
      </c>
      <c r="BO55" s="100">
        <v>7299.6</v>
      </c>
      <c r="BP55" s="100">
        <v>6</v>
      </c>
      <c r="BQ55" s="100">
        <v>3981.6000000000004</v>
      </c>
      <c r="BR55" s="100">
        <v>11</v>
      </c>
      <c r="BS55" s="100">
        <v>7299.6</v>
      </c>
      <c r="BT55" s="100">
        <v>11</v>
      </c>
      <c r="BU55" s="100">
        <v>7299.6</v>
      </c>
      <c r="BV55" s="100">
        <v>8.8513581289320857</v>
      </c>
      <c r="BW55" s="100">
        <v>5873.7612543593323</v>
      </c>
      <c r="BX55" s="100">
        <v>11</v>
      </c>
      <c r="BY55" s="100">
        <v>7299.6</v>
      </c>
      <c r="BZ55" s="100">
        <v>9</v>
      </c>
      <c r="CA55" s="100">
        <v>5972.4000000000005</v>
      </c>
      <c r="CB55" s="100">
        <v>6</v>
      </c>
      <c r="CC55" s="100">
        <v>3981.6000000000004</v>
      </c>
      <c r="CD55" s="100">
        <v>6.6895768941836726</v>
      </c>
      <c r="CE55" s="100">
        <v>4439.2032269802858</v>
      </c>
      <c r="CF55" s="100">
        <v>9</v>
      </c>
      <c r="CG55" s="100">
        <v>5972.4000000000005</v>
      </c>
      <c r="CH55" s="100">
        <v>8</v>
      </c>
      <c r="CI55" s="100">
        <v>5308.8</v>
      </c>
      <c r="CJ55" s="100">
        <v>10</v>
      </c>
      <c r="CK55" s="100">
        <v>6636</v>
      </c>
      <c r="CL55" s="100">
        <v>6</v>
      </c>
      <c r="CM55" s="100">
        <v>3981.6000000000004</v>
      </c>
      <c r="CN55" s="100">
        <v>6.3682417506711033</v>
      </c>
      <c r="CO55" s="100">
        <v>4225.9652257453445</v>
      </c>
      <c r="CP55" s="100">
        <v>10</v>
      </c>
      <c r="CQ55" s="100">
        <v>6636</v>
      </c>
      <c r="CR55" s="100">
        <v>5.0985023453151177</v>
      </c>
      <c r="CS55" s="100">
        <v>3383.3661563511123</v>
      </c>
      <c r="CT55" s="100">
        <v>2.5156946468048798</v>
      </c>
      <c r="CU55" s="100">
        <v>1669.4149676197183</v>
      </c>
    </row>
    <row r="56" spans="2:99">
      <c r="C56" s="99" t="s">
        <v>222</v>
      </c>
      <c r="D56" s="100">
        <v>6.7562032693380552</v>
      </c>
      <c r="E56" s="100">
        <v>6631.8891291822347</v>
      </c>
      <c r="F56" s="100">
        <v>6.6924742403500765</v>
      </c>
      <c r="G56" s="100">
        <v>6569.3327143276347</v>
      </c>
      <c r="H56" s="100">
        <v>4.5045499694663889</v>
      </c>
      <c r="I56" s="100">
        <v>4421.6662500282073</v>
      </c>
      <c r="J56" s="100">
        <v>7</v>
      </c>
      <c r="K56" s="100">
        <v>6871.1999999999989</v>
      </c>
      <c r="L56" s="100">
        <v>10</v>
      </c>
      <c r="M56" s="100">
        <v>9816</v>
      </c>
      <c r="N56" s="100">
        <v>1.693218371859109</v>
      </c>
      <c r="O56" s="100">
        <v>1662.0631538169011</v>
      </c>
      <c r="P56" s="100">
        <v>8</v>
      </c>
      <c r="Q56" s="100">
        <v>7852.7999999999993</v>
      </c>
      <c r="R56" s="100">
        <v>6</v>
      </c>
      <c r="S56" s="100">
        <v>5889.5999999999995</v>
      </c>
      <c r="T56" s="100">
        <v>8</v>
      </c>
      <c r="U56" s="100">
        <v>7852.7999999999993</v>
      </c>
      <c r="V56" s="100">
        <v>6.7829285085077089</v>
      </c>
      <c r="W56" s="100">
        <v>6658.1226239511661</v>
      </c>
      <c r="X56" s="100">
        <v>9</v>
      </c>
      <c r="Y56" s="100">
        <v>8834.4</v>
      </c>
      <c r="Z56" s="100">
        <v>11</v>
      </c>
      <c r="AA56" s="100">
        <v>10797.599999999999</v>
      </c>
      <c r="AB56" s="100">
        <v>10</v>
      </c>
      <c r="AC56" s="100">
        <v>9816</v>
      </c>
      <c r="AD56" s="100">
        <v>1.9168936944601536</v>
      </c>
      <c r="AE56" s="100">
        <v>1881.6228504820865</v>
      </c>
      <c r="AF56" s="100">
        <v>9</v>
      </c>
      <c r="AG56" s="100">
        <v>8834.4</v>
      </c>
      <c r="AH56" s="100">
        <v>10</v>
      </c>
      <c r="AI56" s="100">
        <v>9816</v>
      </c>
      <c r="AJ56" s="100">
        <v>7.5907596732319504</v>
      </c>
      <c r="AK56" s="100">
        <v>7451.0896952444818</v>
      </c>
      <c r="AL56" s="100">
        <v>7.7680504575491796</v>
      </c>
      <c r="AM56" s="100">
        <v>7625.1183291302741</v>
      </c>
      <c r="AN56" s="100">
        <v>5.8936950568244111</v>
      </c>
      <c r="AO56" s="100">
        <v>5785.2510677788414</v>
      </c>
      <c r="AP56" s="100">
        <v>9</v>
      </c>
      <c r="AQ56" s="100">
        <v>8834.4</v>
      </c>
      <c r="AR56" s="100">
        <v>5.7698646243660034</v>
      </c>
      <c r="AS56" s="100">
        <v>5663.6991152776682</v>
      </c>
      <c r="AT56" s="100">
        <v>5.6623309946763438</v>
      </c>
      <c r="AU56" s="100">
        <v>5558.1441043742989</v>
      </c>
      <c r="AV56" s="100">
        <v>7.2158193823679584</v>
      </c>
      <c r="AW56" s="100">
        <v>7083.0483057323872</v>
      </c>
      <c r="AX56" s="100">
        <v>7.345577537928083</v>
      </c>
      <c r="AY56" s="100">
        <v>7210.4189112302056</v>
      </c>
      <c r="AZ56" s="100">
        <v>5.3288826138787382</v>
      </c>
      <c r="BA56" s="100">
        <v>5230.8311737833692</v>
      </c>
      <c r="BB56" s="100">
        <v>0.68157047091212741</v>
      </c>
      <c r="BC56" s="100">
        <v>669.02957424734416</v>
      </c>
      <c r="BD56" s="100">
        <v>7</v>
      </c>
      <c r="BE56" s="100">
        <v>6871.1999999999989</v>
      </c>
      <c r="BF56" s="100">
        <v>5.3683179711512334</v>
      </c>
      <c r="BG56" s="100">
        <v>5269.5409204820498</v>
      </c>
      <c r="BH56" s="100">
        <v>7.0999176202677869</v>
      </c>
      <c r="BI56" s="100">
        <v>6969.279136054859</v>
      </c>
      <c r="BJ56" s="100">
        <v>5.003645646834495</v>
      </c>
      <c r="BK56" s="100">
        <v>4911.5785669327397</v>
      </c>
      <c r="BL56" s="100">
        <v>5.9707368222730954</v>
      </c>
      <c r="BM56" s="100">
        <v>5860.8752647432702</v>
      </c>
      <c r="BN56" s="100">
        <v>0.65632712013760408</v>
      </c>
      <c r="BO56" s="100">
        <v>644.25070112707215</v>
      </c>
      <c r="BP56" s="100">
        <v>6</v>
      </c>
      <c r="BQ56" s="100">
        <v>5889.5999999999995</v>
      </c>
      <c r="BR56" s="100">
        <v>10</v>
      </c>
      <c r="BS56" s="100">
        <v>9816</v>
      </c>
      <c r="BT56" s="100">
        <v>11</v>
      </c>
      <c r="BU56" s="100">
        <v>10797.599999999999</v>
      </c>
      <c r="BV56" s="100">
        <v>11</v>
      </c>
      <c r="BW56" s="100">
        <v>10797.599999999999</v>
      </c>
      <c r="BX56" s="100">
        <v>10</v>
      </c>
      <c r="BY56" s="100">
        <v>9816</v>
      </c>
      <c r="BZ56" s="100">
        <v>0.99685909787738047</v>
      </c>
      <c r="CA56" s="100">
        <v>978.51689047643663</v>
      </c>
      <c r="CB56" s="100">
        <v>6</v>
      </c>
      <c r="CC56" s="100">
        <v>5889.5999999999995</v>
      </c>
      <c r="CD56" s="100">
        <v>10</v>
      </c>
      <c r="CE56" s="100">
        <v>9816</v>
      </c>
      <c r="CF56" s="100">
        <v>10</v>
      </c>
      <c r="CG56" s="100">
        <v>9816</v>
      </c>
      <c r="CH56" s="100">
        <v>7</v>
      </c>
      <c r="CI56" s="100">
        <v>6871.1999999999989</v>
      </c>
      <c r="CJ56" s="100">
        <v>7.0342322693381938</v>
      </c>
      <c r="CK56" s="100">
        <v>6904.8023955823701</v>
      </c>
      <c r="CL56" s="100">
        <v>4.9114125473536747</v>
      </c>
      <c r="CM56" s="100">
        <v>4821.0425564823663</v>
      </c>
      <c r="CN56" s="100">
        <v>6.5065721781181169</v>
      </c>
      <c r="CO56" s="100">
        <v>6386.8512500407433</v>
      </c>
      <c r="CP56" s="100">
        <v>0.65287276687372198</v>
      </c>
      <c r="CQ56" s="100">
        <v>640.8599079632454</v>
      </c>
      <c r="CR56" s="100">
        <v>9</v>
      </c>
      <c r="CS56" s="100">
        <v>8834.4</v>
      </c>
      <c r="CT56" s="100">
        <v>4.0977273759123722</v>
      </c>
      <c r="CU56" s="100">
        <v>4022.3291921955843</v>
      </c>
    </row>
    <row r="57" spans="2:99">
      <c r="C57" s="99" t="s">
        <v>223</v>
      </c>
      <c r="D57" s="100">
        <v>9</v>
      </c>
      <c r="E57" s="100">
        <v>12700.800000000001</v>
      </c>
      <c r="F57" s="100">
        <v>7</v>
      </c>
      <c r="G57" s="100">
        <v>9878.4</v>
      </c>
      <c r="H57" s="100">
        <v>6</v>
      </c>
      <c r="I57" s="100">
        <v>8467.2000000000007</v>
      </c>
      <c r="J57" s="100">
        <v>8</v>
      </c>
      <c r="K57" s="100">
        <v>11289.6</v>
      </c>
      <c r="L57" s="100">
        <v>9</v>
      </c>
      <c r="M57" s="100">
        <v>12700.800000000001</v>
      </c>
      <c r="N57" s="100">
        <v>10</v>
      </c>
      <c r="O57" s="100">
        <v>14112</v>
      </c>
      <c r="P57" s="100">
        <v>8</v>
      </c>
      <c r="Q57" s="100">
        <v>11289.6</v>
      </c>
      <c r="R57" s="100">
        <v>6</v>
      </c>
      <c r="S57" s="100">
        <v>8467.2000000000007</v>
      </c>
      <c r="T57" s="100">
        <v>8</v>
      </c>
      <c r="U57" s="100">
        <v>11289.6</v>
      </c>
      <c r="V57" s="100">
        <v>9</v>
      </c>
      <c r="W57" s="100">
        <v>12700.800000000001</v>
      </c>
      <c r="X57" s="100">
        <v>7</v>
      </c>
      <c r="Y57" s="100">
        <v>9878.4</v>
      </c>
      <c r="Z57" s="100">
        <v>10</v>
      </c>
      <c r="AA57" s="100">
        <v>14112</v>
      </c>
      <c r="AB57" s="100">
        <v>11</v>
      </c>
      <c r="AC57" s="100">
        <v>15523.2</v>
      </c>
      <c r="AD57" s="100">
        <v>7</v>
      </c>
      <c r="AE57" s="100">
        <v>9878.4</v>
      </c>
      <c r="AF57" s="100">
        <v>9</v>
      </c>
      <c r="AG57" s="100">
        <v>12700.800000000001</v>
      </c>
      <c r="AH57" s="100">
        <v>6.1367387210920326</v>
      </c>
      <c r="AI57" s="100">
        <v>8660.1656832050758</v>
      </c>
      <c r="AJ57" s="100">
        <v>9</v>
      </c>
      <c r="AK57" s="100">
        <v>12700.800000000001</v>
      </c>
      <c r="AL57" s="100">
        <v>8</v>
      </c>
      <c r="AM57" s="100">
        <v>11289.6</v>
      </c>
      <c r="AN57" s="100">
        <v>4.666608108515347</v>
      </c>
      <c r="AO57" s="100">
        <v>6585.5173627368576</v>
      </c>
      <c r="AP57" s="100">
        <v>5.5792069090735232</v>
      </c>
      <c r="AQ57" s="100">
        <v>7873.376790084556</v>
      </c>
      <c r="AR57" s="100">
        <v>5.5248639846344956</v>
      </c>
      <c r="AS57" s="100">
        <v>7796.6880551162003</v>
      </c>
      <c r="AT57" s="100">
        <v>0</v>
      </c>
      <c r="AU57" s="100">
        <v>0</v>
      </c>
      <c r="AV57" s="100">
        <v>9</v>
      </c>
      <c r="AW57" s="100">
        <v>12700.800000000001</v>
      </c>
      <c r="AX57" s="100">
        <v>4.8669975083638741</v>
      </c>
      <c r="AY57" s="100">
        <v>6868.3068838030995</v>
      </c>
      <c r="AZ57" s="100">
        <v>7</v>
      </c>
      <c r="BA57" s="100">
        <v>9878.4</v>
      </c>
      <c r="BB57" s="100">
        <v>7.0944400123074915</v>
      </c>
      <c r="BC57" s="100">
        <v>10011.673745368333</v>
      </c>
      <c r="BD57" s="100">
        <v>7</v>
      </c>
      <c r="BE57" s="100">
        <v>9878.4</v>
      </c>
      <c r="BF57" s="100">
        <v>9</v>
      </c>
      <c r="BG57" s="100">
        <v>12700.800000000001</v>
      </c>
      <c r="BH57" s="100">
        <v>3.1350470642396107</v>
      </c>
      <c r="BI57" s="100">
        <v>4424.178417054939</v>
      </c>
      <c r="BJ57" s="100">
        <v>7</v>
      </c>
      <c r="BK57" s="100">
        <v>9878.4</v>
      </c>
      <c r="BL57" s="100">
        <v>8</v>
      </c>
      <c r="BM57" s="100">
        <v>11289.6</v>
      </c>
      <c r="BN57" s="100">
        <v>10</v>
      </c>
      <c r="BO57" s="100">
        <v>14112</v>
      </c>
      <c r="BP57" s="100">
        <v>6</v>
      </c>
      <c r="BQ57" s="100">
        <v>8467.2000000000007</v>
      </c>
      <c r="BR57" s="100">
        <v>10</v>
      </c>
      <c r="BS57" s="100">
        <v>14112</v>
      </c>
      <c r="BT57" s="100">
        <v>11</v>
      </c>
      <c r="BU57" s="100">
        <v>15523.2</v>
      </c>
      <c r="BV57" s="100">
        <v>8.8513581289320857</v>
      </c>
      <c r="BW57" s="100">
        <v>12491.03659154896</v>
      </c>
      <c r="BX57" s="100">
        <v>10</v>
      </c>
      <c r="BY57" s="100">
        <v>14112</v>
      </c>
      <c r="BZ57" s="100">
        <v>8</v>
      </c>
      <c r="CA57" s="100">
        <v>11289.6</v>
      </c>
      <c r="CB57" s="100">
        <v>6</v>
      </c>
      <c r="CC57" s="100">
        <v>8467.2000000000007</v>
      </c>
      <c r="CD57" s="100">
        <v>6.0814335401669748</v>
      </c>
      <c r="CE57" s="100">
        <v>8582.1190118836348</v>
      </c>
      <c r="CF57" s="100">
        <v>9</v>
      </c>
      <c r="CG57" s="100">
        <v>12700.800000000001</v>
      </c>
      <c r="CH57" s="100">
        <v>6</v>
      </c>
      <c r="CI57" s="100">
        <v>8467.2000000000007</v>
      </c>
      <c r="CJ57" s="100">
        <v>10</v>
      </c>
      <c r="CK57" s="100">
        <v>14112</v>
      </c>
      <c r="CL57" s="100">
        <v>5</v>
      </c>
      <c r="CM57" s="100">
        <v>7056</v>
      </c>
      <c r="CN57" s="100">
        <v>6.3682417506711033</v>
      </c>
      <c r="CO57" s="100">
        <v>8986.8627585470622</v>
      </c>
      <c r="CP57" s="100">
        <v>9</v>
      </c>
      <c r="CQ57" s="100">
        <v>12700.800000000001</v>
      </c>
      <c r="CR57" s="100">
        <v>5.0985023453151177</v>
      </c>
      <c r="CS57" s="100">
        <v>7195.0065097086945</v>
      </c>
      <c r="CT57" s="100">
        <v>2.2641251821243915</v>
      </c>
      <c r="CU57" s="100">
        <v>3195.1334570139416</v>
      </c>
    </row>
    <row r="58" spans="2:99">
      <c r="C58" s="99" t="s">
        <v>224</v>
      </c>
      <c r="D58" s="100">
        <v>8</v>
      </c>
      <c r="E58" s="100">
        <v>9417.6</v>
      </c>
      <c r="F58" s="100">
        <v>8</v>
      </c>
      <c r="G58" s="100">
        <v>9417.6</v>
      </c>
      <c r="H58" s="100">
        <v>6</v>
      </c>
      <c r="I58" s="100">
        <v>7063.2000000000007</v>
      </c>
      <c r="J58" s="100">
        <v>7</v>
      </c>
      <c r="K58" s="100">
        <v>8240.4</v>
      </c>
      <c r="L58" s="100">
        <v>9</v>
      </c>
      <c r="M58" s="100">
        <v>10594.800000000001</v>
      </c>
      <c r="N58" s="100">
        <v>10</v>
      </c>
      <c r="O58" s="100">
        <v>11772</v>
      </c>
      <c r="P58" s="100">
        <v>7</v>
      </c>
      <c r="Q58" s="100">
        <v>8240.4</v>
      </c>
      <c r="R58" s="100">
        <v>6</v>
      </c>
      <c r="S58" s="100">
        <v>7063.2000000000007</v>
      </c>
      <c r="T58" s="100">
        <v>9</v>
      </c>
      <c r="U58" s="100">
        <v>10594.800000000001</v>
      </c>
      <c r="V58" s="100">
        <v>7.7964116840901498</v>
      </c>
      <c r="W58" s="100">
        <v>9177.9358345109249</v>
      </c>
      <c r="X58" s="100">
        <v>9</v>
      </c>
      <c r="Y58" s="100">
        <v>10594.800000000001</v>
      </c>
      <c r="Z58" s="100">
        <v>10</v>
      </c>
      <c r="AA58" s="100">
        <v>11772</v>
      </c>
      <c r="AB58" s="100">
        <v>8.0001521400389279</v>
      </c>
      <c r="AC58" s="100">
        <v>9417.7790992538266</v>
      </c>
      <c r="AD58" s="100">
        <v>8.8623898248254527</v>
      </c>
      <c r="AE58" s="100">
        <v>10432.805301784523</v>
      </c>
      <c r="AF58" s="100">
        <v>10</v>
      </c>
      <c r="AG58" s="100">
        <v>11772</v>
      </c>
      <c r="AH58" s="100">
        <v>8.8279161094125431</v>
      </c>
      <c r="AI58" s="100">
        <v>10392.222844000446</v>
      </c>
      <c r="AJ58" s="100">
        <v>9.4519174974612401</v>
      </c>
      <c r="AK58" s="100">
        <v>11126.797278011372</v>
      </c>
      <c r="AL58" s="100">
        <v>4.6443156891954089</v>
      </c>
      <c r="AM58" s="100">
        <v>5467.2884293208353</v>
      </c>
      <c r="AN58" s="100">
        <v>4.348499403259396</v>
      </c>
      <c r="AO58" s="100">
        <v>5119.0534975169612</v>
      </c>
      <c r="AP58" s="100">
        <v>6.0683588363309875</v>
      </c>
      <c r="AQ58" s="100">
        <v>7143.6720221288388</v>
      </c>
      <c r="AR58" s="100">
        <v>8</v>
      </c>
      <c r="AS58" s="100">
        <v>9417.6</v>
      </c>
      <c r="AT58" s="100">
        <v>6.553911140578327</v>
      </c>
      <c r="AU58" s="100">
        <v>7715.264194688807</v>
      </c>
      <c r="AV58" s="100">
        <v>9.7381848374824376</v>
      </c>
      <c r="AW58" s="100">
        <v>11463.791190684326</v>
      </c>
      <c r="AX58" s="100">
        <v>4.5881344510196582</v>
      </c>
      <c r="AY58" s="100">
        <v>5401.1518757403419</v>
      </c>
      <c r="AZ58" s="100">
        <v>7.1635585243916777</v>
      </c>
      <c r="BA58" s="100">
        <v>8432.9410949138837</v>
      </c>
      <c r="BB58" s="100">
        <v>9</v>
      </c>
      <c r="BC58" s="100">
        <v>10594.800000000001</v>
      </c>
      <c r="BD58" s="100">
        <v>5.5124315511406259</v>
      </c>
      <c r="BE58" s="100">
        <v>6489.2344220027453</v>
      </c>
      <c r="BF58" s="100">
        <v>7.9364479674668704</v>
      </c>
      <c r="BG58" s="100">
        <v>9342.7865473020011</v>
      </c>
      <c r="BH58" s="100">
        <v>4.5717482565517562</v>
      </c>
      <c r="BI58" s="100">
        <v>5381.862047612728</v>
      </c>
      <c r="BJ58" s="100">
        <v>4.9472058428385877</v>
      </c>
      <c r="BK58" s="100">
        <v>5823.8507181895857</v>
      </c>
      <c r="BL58" s="100">
        <v>8</v>
      </c>
      <c r="BM58" s="100">
        <v>9417.6</v>
      </c>
      <c r="BN58" s="100">
        <v>11</v>
      </c>
      <c r="BO58" s="100">
        <v>12949.2</v>
      </c>
      <c r="BP58" s="100">
        <v>6</v>
      </c>
      <c r="BQ58" s="100">
        <v>7063.2000000000007</v>
      </c>
      <c r="BR58" s="100">
        <v>7.7152796846091318</v>
      </c>
      <c r="BS58" s="100">
        <v>9082.42724472187</v>
      </c>
      <c r="BT58" s="100">
        <v>10</v>
      </c>
      <c r="BU58" s="100">
        <v>11772</v>
      </c>
      <c r="BV58" s="100">
        <v>10</v>
      </c>
      <c r="BW58" s="100">
        <v>11772</v>
      </c>
      <c r="BX58" s="100">
        <v>5.0854814639555768</v>
      </c>
      <c r="BY58" s="100">
        <v>5986.6287793685051</v>
      </c>
      <c r="BZ58" s="100">
        <v>8.940130086446727</v>
      </c>
      <c r="CA58" s="100">
        <v>10524.321137765088</v>
      </c>
      <c r="CB58" s="100">
        <v>6</v>
      </c>
      <c r="CC58" s="100">
        <v>7063.2000000000007</v>
      </c>
      <c r="CD58" s="100">
        <v>2.9524529204881613</v>
      </c>
      <c r="CE58" s="100">
        <v>3475.6275779986636</v>
      </c>
      <c r="CF58" s="100">
        <v>7.5980701809113151</v>
      </c>
      <c r="CG58" s="100">
        <v>8944.4482169687999</v>
      </c>
      <c r="CH58" s="100">
        <v>7</v>
      </c>
      <c r="CI58" s="100">
        <v>8240.4</v>
      </c>
      <c r="CJ58" s="100">
        <v>10</v>
      </c>
      <c r="CK58" s="100">
        <v>11772</v>
      </c>
      <c r="CL58" s="100">
        <v>5</v>
      </c>
      <c r="CM58" s="100">
        <v>5886</v>
      </c>
      <c r="CN58" s="100">
        <v>8</v>
      </c>
      <c r="CO58" s="100">
        <v>9417.6</v>
      </c>
      <c r="CP58" s="100">
        <v>11</v>
      </c>
      <c r="CQ58" s="100">
        <v>12949.2</v>
      </c>
      <c r="CR58" s="100">
        <v>9</v>
      </c>
      <c r="CS58" s="100">
        <v>10594.800000000001</v>
      </c>
      <c r="CT58" s="100">
        <v>9</v>
      </c>
      <c r="CU58" s="100">
        <v>10594.800000000001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8</v>
      </c>
      <c r="G59" s="100">
        <v>2428.7999999999997</v>
      </c>
      <c r="H59" s="100">
        <v>6</v>
      </c>
      <c r="I59" s="100">
        <v>1821.6</v>
      </c>
      <c r="J59" s="100">
        <v>7</v>
      </c>
      <c r="K59" s="100">
        <v>2125.1999999999998</v>
      </c>
      <c r="L59" s="100">
        <v>10</v>
      </c>
      <c r="M59" s="100">
        <v>3035.9999999999995</v>
      </c>
      <c r="N59" s="100">
        <v>10</v>
      </c>
      <c r="O59" s="100">
        <v>3035.9999999999995</v>
      </c>
      <c r="P59" s="100">
        <v>7</v>
      </c>
      <c r="Q59" s="100">
        <v>2125.1999999999998</v>
      </c>
      <c r="R59" s="100">
        <v>6</v>
      </c>
      <c r="S59" s="100">
        <v>1821.6</v>
      </c>
      <c r="T59" s="100">
        <v>9</v>
      </c>
      <c r="U59" s="100">
        <v>2732.3999999999996</v>
      </c>
      <c r="V59" s="100">
        <v>10</v>
      </c>
      <c r="W59" s="100">
        <v>3035.9999999999995</v>
      </c>
      <c r="X59" s="100">
        <v>9</v>
      </c>
      <c r="Y59" s="100">
        <v>2732.3999999999996</v>
      </c>
      <c r="Z59" s="100">
        <v>12</v>
      </c>
      <c r="AA59" s="100">
        <v>3643.2</v>
      </c>
      <c r="AB59" s="100">
        <v>10</v>
      </c>
      <c r="AC59" s="100">
        <v>3035.9999999999995</v>
      </c>
      <c r="AD59" s="100">
        <v>8</v>
      </c>
      <c r="AE59" s="100">
        <v>2428.7999999999997</v>
      </c>
      <c r="AF59" s="100">
        <v>10</v>
      </c>
      <c r="AG59" s="100">
        <v>3035.9999999999995</v>
      </c>
      <c r="AH59" s="100">
        <v>8.1823182947893773</v>
      </c>
      <c r="AI59" s="100">
        <v>2484.1518342980548</v>
      </c>
      <c r="AJ59" s="100">
        <v>10</v>
      </c>
      <c r="AK59" s="100">
        <v>3035.9999999999995</v>
      </c>
      <c r="AL59" s="100">
        <v>10</v>
      </c>
      <c r="AM59" s="100">
        <v>3035.9999999999995</v>
      </c>
      <c r="AN59" s="100">
        <v>5.5999297302184159</v>
      </c>
      <c r="AO59" s="100">
        <v>1700.1386660943108</v>
      </c>
      <c r="AP59" s="100">
        <v>7.1732660259516727</v>
      </c>
      <c r="AQ59" s="100">
        <v>2177.8035654789278</v>
      </c>
      <c r="AR59" s="100">
        <v>5.5248639846344956</v>
      </c>
      <c r="AS59" s="100">
        <v>1677.3487057350326</v>
      </c>
      <c r="AT59" s="100">
        <v>0</v>
      </c>
      <c r="AU59" s="100">
        <v>0</v>
      </c>
      <c r="AV59" s="100">
        <v>10</v>
      </c>
      <c r="AW59" s="100">
        <v>3035.9999999999995</v>
      </c>
      <c r="AX59" s="100">
        <v>5.8403970100366491</v>
      </c>
      <c r="AY59" s="100">
        <v>1773.1445322471266</v>
      </c>
      <c r="AZ59" s="100">
        <v>8</v>
      </c>
      <c r="BA59" s="100">
        <v>2428.7999999999997</v>
      </c>
      <c r="BB59" s="100">
        <v>6.3849960110767423</v>
      </c>
      <c r="BC59" s="100">
        <v>1938.4847889628988</v>
      </c>
      <c r="BD59" s="100">
        <v>8</v>
      </c>
      <c r="BE59" s="100">
        <v>2428.7999999999997</v>
      </c>
      <c r="BF59" s="100">
        <v>11</v>
      </c>
      <c r="BG59" s="100">
        <v>3339.5999999999995</v>
      </c>
      <c r="BH59" s="100">
        <v>3.1350470642396107</v>
      </c>
      <c r="BI59" s="100">
        <v>951.80028870314572</v>
      </c>
      <c r="BJ59" s="100">
        <v>7</v>
      </c>
      <c r="BK59" s="100">
        <v>2125.1999999999998</v>
      </c>
      <c r="BL59" s="100">
        <v>7</v>
      </c>
      <c r="BM59" s="100">
        <v>2125.1999999999998</v>
      </c>
      <c r="BN59" s="100">
        <v>10</v>
      </c>
      <c r="BO59" s="100">
        <v>3035.9999999999995</v>
      </c>
      <c r="BP59" s="100">
        <v>6</v>
      </c>
      <c r="BQ59" s="100">
        <v>1821.6</v>
      </c>
      <c r="BR59" s="100">
        <v>10</v>
      </c>
      <c r="BS59" s="100">
        <v>3035.9999999999995</v>
      </c>
      <c r="BT59" s="100">
        <v>11</v>
      </c>
      <c r="BU59" s="100">
        <v>3339.5999999999995</v>
      </c>
      <c r="BV59" s="100">
        <v>8.0466892081200765</v>
      </c>
      <c r="BW59" s="100">
        <v>2442.9748435852548</v>
      </c>
      <c r="BX59" s="100">
        <v>12</v>
      </c>
      <c r="BY59" s="100">
        <v>3643.2</v>
      </c>
      <c r="BZ59" s="100">
        <v>10</v>
      </c>
      <c r="CA59" s="100">
        <v>3035.9999999999995</v>
      </c>
      <c r="CB59" s="100">
        <v>7</v>
      </c>
      <c r="CC59" s="100">
        <v>2125.1999999999998</v>
      </c>
      <c r="CD59" s="100">
        <v>6.6895768941836726</v>
      </c>
      <c r="CE59" s="100">
        <v>2030.9555450741627</v>
      </c>
      <c r="CF59" s="100">
        <v>10</v>
      </c>
      <c r="CG59" s="100">
        <v>3035.9999999999995</v>
      </c>
      <c r="CH59" s="100">
        <v>7</v>
      </c>
      <c r="CI59" s="100">
        <v>2125.1999999999998</v>
      </c>
      <c r="CJ59" s="100">
        <v>10</v>
      </c>
      <c r="CK59" s="100">
        <v>3035.9999999999995</v>
      </c>
      <c r="CL59" s="100">
        <v>6</v>
      </c>
      <c r="CM59" s="100">
        <v>1821.6</v>
      </c>
      <c r="CN59" s="100">
        <v>6.3682417506711033</v>
      </c>
      <c r="CO59" s="100">
        <v>1933.3981955037468</v>
      </c>
      <c r="CP59" s="100">
        <v>11</v>
      </c>
      <c r="CQ59" s="100">
        <v>3339.5999999999995</v>
      </c>
      <c r="CR59" s="100">
        <v>5.7358151384795075</v>
      </c>
      <c r="CS59" s="100">
        <v>1741.3934760423783</v>
      </c>
      <c r="CT59" s="100">
        <v>2.5156946468048798</v>
      </c>
      <c r="CU59" s="100">
        <v>763.76489476996142</v>
      </c>
    </row>
    <row r="60" spans="2:99">
      <c r="C60" s="99" t="s">
        <v>226</v>
      </c>
      <c r="D60" s="100">
        <v>8</v>
      </c>
      <c r="E60" s="100">
        <v>5212.8</v>
      </c>
      <c r="F60" s="100">
        <v>8</v>
      </c>
      <c r="G60" s="100">
        <v>5212.8</v>
      </c>
      <c r="H60" s="100">
        <v>5</v>
      </c>
      <c r="I60" s="100">
        <v>3258</v>
      </c>
      <c r="J60" s="100">
        <v>7</v>
      </c>
      <c r="K60" s="100">
        <v>4561.2</v>
      </c>
      <c r="L60" s="100">
        <v>10</v>
      </c>
      <c r="M60" s="100">
        <v>6516</v>
      </c>
      <c r="N60" s="100">
        <v>9</v>
      </c>
      <c r="O60" s="100">
        <v>5864.4000000000005</v>
      </c>
      <c r="P60" s="100">
        <v>8</v>
      </c>
      <c r="Q60" s="100">
        <v>5212.8</v>
      </c>
      <c r="R60" s="100">
        <v>6</v>
      </c>
      <c r="S60" s="100">
        <v>3909.6000000000004</v>
      </c>
      <c r="T60" s="100">
        <v>9</v>
      </c>
      <c r="U60" s="100">
        <v>5864.4000000000005</v>
      </c>
      <c r="V60" s="100">
        <v>9</v>
      </c>
      <c r="W60" s="100">
        <v>5864.4000000000005</v>
      </c>
      <c r="X60" s="100">
        <v>9</v>
      </c>
      <c r="Y60" s="100">
        <v>5864.4000000000005</v>
      </c>
      <c r="Z60" s="100">
        <v>11</v>
      </c>
      <c r="AA60" s="100">
        <v>7167.6</v>
      </c>
      <c r="AB60" s="100">
        <v>12</v>
      </c>
      <c r="AC60" s="100">
        <v>7819.2000000000007</v>
      </c>
      <c r="AD60" s="100">
        <v>8</v>
      </c>
      <c r="AE60" s="100">
        <v>5212.8</v>
      </c>
      <c r="AF60" s="100">
        <v>11</v>
      </c>
      <c r="AG60" s="100">
        <v>7167.6</v>
      </c>
      <c r="AH60" s="100">
        <v>6.8185985789911481</v>
      </c>
      <c r="AI60" s="100">
        <v>4442.9988340706323</v>
      </c>
      <c r="AJ60" s="100">
        <v>9</v>
      </c>
      <c r="AK60" s="100">
        <v>5864.4000000000005</v>
      </c>
      <c r="AL60" s="100">
        <v>9</v>
      </c>
      <c r="AM60" s="100">
        <v>5864.4000000000005</v>
      </c>
      <c r="AN60" s="100">
        <v>5.5999297302184159</v>
      </c>
      <c r="AO60" s="100">
        <v>3648.9142122103199</v>
      </c>
      <c r="AP60" s="100">
        <v>6.376236467512598</v>
      </c>
      <c r="AQ60" s="100">
        <v>4154.755682231209</v>
      </c>
      <c r="AR60" s="100">
        <v>6.2154719827138081</v>
      </c>
      <c r="AS60" s="100">
        <v>4050.0015439363174</v>
      </c>
      <c r="AT60" s="100">
        <v>0</v>
      </c>
      <c r="AU60" s="100">
        <v>0</v>
      </c>
      <c r="AV60" s="100">
        <v>10</v>
      </c>
      <c r="AW60" s="100">
        <v>6516</v>
      </c>
      <c r="AX60" s="100">
        <v>5.3536972592002607</v>
      </c>
      <c r="AY60" s="100">
        <v>3488.4691340948898</v>
      </c>
      <c r="AZ60" s="100">
        <v>7</v>
      </c>
      <c r="BA60" s="100">
        <v>4561.2</v>
      </c>
      <c r="BB60" s="100">
        <v>6.3849960110767423</v>
      </c>
      <c r="BC60" s="100">
        <v>4160.4634008176054</v>
      </c>
      <c r="BD60" s="100">
        <v>7</v>
      </c>
      <c r="BE60" s="100">
        <v>4561.2</v>
      </c>
      <c r="BF60" s="100">
        <v>9</v>
      </c>
      <c r="BG60" s="100">
        <v>5864.4000000000005</v>
      </c>
      <c r="BH60" s="100">
        <v>3.1350470642396107</v>
      </c>
      <c r="BI60" s="100">
        <v>2042.7966670585304</v>
      </c>
      <c r="BJ60" s="100">
        <v>8</v>
      </c>
      <c r="BK60" s="100">
        <v>5212.8</v>
      </c>
      <c r="BL60" s="100">
        <v>7</v>
      </c>
      <c r="BM60" s="100">
        <v>4561.2</v>
      </c>
      <c r="BN60" s="100">
        <v>9</v>
      </c>
      <c r="BO60" s="100">
        <v>5864.4000000000005</v>
      </c>
      <c r="BP60" s="100">
        <v>6</v>
      </c>
      <c r="BQ60" s="100">
        <v>3909.6000000000004</v>
      </c>
      <c r="BR60" s="100">
        <v>10</v>
      </c>
      <c r="BS60" s="100">
        <v>6516</v>
      </c>
      <c r="BT60" s="100">
        <v>10</v>
      </c>
      <c r="BU60" s="100">
        <v>6516</v>
      </c>
      <c r="BV60" s="100">
        <v>8.0466892081200765</v>
      </c>
      <c r="BW60" s="100">
        <v>5243.222688011042</v>
      </c>
      <c r="BX60" s="100">
        <v>10</v>
      </c>
      <c r="BY60" s="100">
        <v>6516</v>
      </c>
      <c r="BZ60" s="100">
        <v>9</v>
      </c>
      <c r="CA60" s="100">
        <v>5864.4000000000005</v>
      </c>
      <c r="CB60" s="100">
        <v>7</v>
      </c>
      <c r="CC60" s="100">
        <v>4561.2</v>
      </c>
      <c r="CD60" s="100">
        <v>5.4732901861502778</v>
      </c>
      <c r="CE60" s="100">
        <v>3566.3958852955211</v>
      </c>
      <c r="CF60" s="100">
        <v>10</v>
      </c>
      <c r="CG60" s="100">
        <v>6516</v>
      </c>
      <c r="CH60" s="100">
        <v>7</v>
      </c>
      <c r="CI60" s="100">
        <v>4561.2</v>
      </c>
      <c r="CJ60" s="100">
        <v>11</v>
      </c>
      <c r="CK60" s="100">
        <v>7167.6</v>
      </c>
      <c r="CL60" s="100">
        <v>6</v>
      </c>
      <c r="CM60" s="100">
        <v>3909.6000000000004</v>
      </c>
      <c r="CN60" s="100">
        <v>6.3682417506711033</v>
      </c>
      <c r="CO60" s="100">
        <v>4149.5463247372909</v>
      </c>
      <c r="CP60" s="100">
        <v>10</v>
      </c>
      <c r="CQ60" s="100">
        <v>6516</v>
      </c>
      <c r="CR60" s="100">
        <v>5.7358151384795075</v>
      </c>
      <c r="CS60" s="100">
        <v>3737.4571442332472</v>
      </c>
      <c r="CT60" s="100">
        <v>2.2641251821243915</v>
      </c>
      <c r="CU60" s="100">
        <v>1475.3039686722536</v>
      </c>
    </row>
    <row r="61" spans="2:99">
      <c r="C61" s="99" t="s">
        <v>227</v>
      </c>
      <c r="D61" s="100">
        <v>9</v>
      </c>
      <c r="E61" s="100">
        <v>8564.4</v>
      </c>
      <c r="F61" s="100">
        <v>8</v>
      </c>
      <c r="G61" s="100">
        <v>7612.7999999999993</v>
      </c>
      <c r="H61" s="100">
        <v>6</v>
      </c>
      <c r="I61" s="100">
        <v>5709.5999999999995</v>
      </c>
      <c r="J61" s="100">
        <v>7</v>
      </c>
      <c r="K61" s="100">
        <v>6661.1999999999989</v>
      </c>
      <c r="L61" s="100">
        <v>9</v>
      </c>
      <c r="M61" s="100">
        <v>8564.4</v>
      </c>
      <c r="N61" s="100">
        <v>10</v>
      </c>
      <c r="O61" s="100">
        <v>9516</v>
      </c>
      <c r="P61" s="100">
        <v>8</v>
      </c>
      <c r="Q61" s="100">
        <v>7612.7999999999993</v>
      </c>
      <c r="R61" s="100">
        <v>6</v>
      </c>
      <c r="S61" s="100">
        <v>5709.5999999999995</v>
      </c>
      <c r="T61" s="100">
        <v>8</v>
      </c>
      <c r="U61" s="100">
        <v>7612.7999999999993</v>
      </c>
      <c r="V61" s="100">
        <v>10</v>
      </c>
      <c r="W61" s="100">
        <v>9516</v>
      </c>
      <c r="X61" s="100">
        <v>9</v>
      </c>
      <c r="Y61" s="100">
        <v>8564.4</v>
      </c>
      <c r="Z61" s="100">
        <v>10</v>
      </c>
      <c r="AA61" s="100">
        <v>9516</v>
      </c>
      <c r="AB61" s="100">
        <v>10</v>
      </c>
      <c r="AC61" s="100">
        <v>9516</v>
      </c>
      <c r="AD61" s="100">
        <v>8</v>
      </c>
      <c r="AE61" s="100">
        <v>7612.7999999999993</v>
      </c>
      <c r="AF61" s="100">
        <v>10</v>
      </c>
      <c r="AG61" s="100">
        <v>9516</v>
      </c>
      <c r="AH61" s="100">
        <v>6.8185985789911481</v>
      </c>
      <c r="AI61" s="100">
        <v>6488.5784077679755</v>
      </c>
      <c r="AJ61" s="100">
        <v>10</v>
      </c>
      <c r="AK61" s="100">
        <v>9516</v>
      </c>
      <c r="AL61" s="100">
        <v>9</v>
      </c>
      <c r="AM61" s="100">
        <v>8564.4</v>
      </c>
      <c r="AN61" s="100">
        <v>4.666608108515347</v>
      </c>
      <c r="AO61" s="100">
        <v>4440.7442760632039</v>
      </c>
      <c r="AP61" s="100">
        <v>6.376236467512598</v>
      </c>
      <c r="AQ61" s="100">
        <v>6067.6266224849878</v>
      </c>
      <c r="AR61" s="100">
        <v>6.2154719827138081</v>
      </c>
      <c r="AS61" s="100">
        <v>5914.643138750459</v>
      </c>
      <c r="AT61" s="100">
        <v>0</v>
      </c>
      <c r="AU61" s="100">
        <v>0</v>
      </c>
      <c r="AV61" s="100">
        <v>10</v>
      </c>
      <c r="AW61" s="100">
        <v>9516</v>
      </c>
      <c r="AX61" s="100">
        <v>5.3536972592002607</v>
      </c>
      <c r="AY61" s="100">
        <v>5094.578311854968</v>
      </c>
      <c r="AZ61" s="100">
        <v>8</v>
      </c>
      <c r="BA61" s="100">
        <v>7612.7999999999993</v>
      </c>
      <c r="BB61" s="100">
        <v>7.0944400123074915</v>
      </c>
      <c r="BC61" s="100">
        <v>6751.0691157118081</v>
      </c>
      <c r="BD61" s="100">
        <v>8</v>
      </c>
      <c r="BE61" s="100">
        <v>7612.7999999999993</v>
      </c>
      <c r="BF61" s="100">
        <v>10</v>
      </c>
      <c r="BG61" s="100">
        <v>9516</v>
      </c>
      <c r="BH61" s="100">
        <v>3.1350470642396107</v>
      </c>
      <c r="BI61" s="100">
        <v>2983.3107863304131</v>
      </c>
      <c r="BJ61" s="100">
        <v>7</v>
      </c>
      <c r="BK61" s="100">
        <v>6661.1999999999989</v>
      </c>
      <c r="BL61" s="100">
        <v>8</v>
      </c>
      <c r="BM61" s="100">
        <v>7612.7999999999993</v>
      </c>
      <c r="BN61" s="100">
        <v>10</v>
      </c>
      <c r="BO61" s="100">
        <v>9516</v>
      </c>
      <c r="BP61" s="100">
        <v>6</v>
      </c>
      <c r="BQ61" s="100">
        <v>5709.5999999999995</v>
      </c>
      <c r="BR61" s="100">
        <v>10</v>
      </c>
      <c r="BS61" s="100">
        <v>9516</v>
      </c>
      <c r="BT61" s="100">
        <v>11</v>
      </c>
      <c r="BU61" s="100">
        <v>10467.599999999999</v>
      </c>
      <c r="BV61" s="100">
        <v>8.0466892081200765</v>
      </c>
      <c r="BW61" s="100">
        <v>7657.2294504470638</v>
      </c>
      <c r="BX61" s="100">
        <v>11</v>
      </c>
      <c r="BY61" s="100">
        <v>10467.599999999999</v>
      </c>
      <c r="BZ61" s="100">
        <v>9</v>
      </c>
      <c r="CA61" s="100">
        <v>8564.4</v>
      </c>
      <c r="CB61" s="100">
        <v>6</v>
      </c>
      <c r="CC61" s="100">
        <v>5709.5999999999995</v>
      </c>
      <c r="CD61" s="100">
        <v>6.0814335401669748</v>
      </c>
      <c r="CE61" s="100">
        <v>5787.0921568228923</v>
      </c>
      <c r="CF61" s="100">
        <v>10</v>
      </c>
      <c r="CG61" s="100">
        <v>9516</v>
      </c>
      <c r="CH61" s="100">
        <v>7</v>
      </c>
      <c r="CI61" s="100">
        <v>6661.1999999999989</v>
      </c>
      <c r="CJ61" s="100">
        <v>10</v>
      </c>
      <c r="CK61" s="100">
        <v>9516</v>
      </c>
      <c r="CL61" s="100">
        <v>5</v>
      </c>
      <c r="CM61" s="100">
        <v>4758</v>
      </c>
      <c r="CN61" s="100">
        <v>6.3682417506711033</v>
      </c>
      <c r="CO61" s="100">
        <v>6060.0188499386213</v>
      </c>
      <c r="CP61" s="100">
        <v>11</v>
      </c>
      <c r="CQ61" s="100">
        <v>10467.599999999999</v>
      </c>
      <c r="CR61" s="100">
        <v>5.0985023453151177</v>
      </c>
      <c r="CS61" s="100">
        <v>4851.7348318018658</v>
      </c>
      <c r="CT61" s="100">
        <v>2.0125557174439037</v>
      </c>
      <c r="CU61" s="100">
        <v>1915.1480207196187</v>
      </c>
    </row>
    <row r="62" spans="2:99">
      <c r="C62" s="99" t="s">
        <v>228</v>
      </c>
      <c r="D62" s="100">
        <v>6.7562032693380552</v>
      </c>
      <c r="E62" s="100">
        <v>11277.454497179082</v>
      </c>
      <c r="F62" s="100">
        <v>5.8559149603063165</v>
      </c>
      <c r="G62" s="100">
        <v>9774.6932517433033</v>
      </c>
      <c r="H62" s="100">
        <v>5.4054599633596663</v>
      </c>
      <c r="I62" s="100">
        <v>9022.793770839955</v>
      </c>
      <c r="J62" s="100">
        <v>6</v>
      </c>
      <c r="K62" s="100">
        <v>10015.200000000001</v>
      </c>
      <c r="L62" s="100">
        <v>10</v>
      </c>
      <c r="M62" s="100">
        <v>16692</v>
      </c>
      <c r="N62" s="100">
        <v>1.5238965346731981</v>
      </c>
      <c r="O62" s="100">
        <v>2543.6880956765021</v>
      </c>
      <c r="P62" s="100">
        <v>8</v>
      </c>
      <c r="Q62" s="100">
        <v>13353.6</v>
      </c>
      <c r="R62" s="100">
        <v>6</v>
      </c>
      <c r="S62" s="100">
        <v>10015.200000000001</v>
      </c>
      <c r="T62" s="100">
        <v>8</v>
      </c>
      <c r="U62" s="100">
        <v>13353.6</v>
      </c>
      <c r="V62" s="100">
        <v>7.4612213593584791</v>
      </c>
      <c r="W62" s="100">
        <v>12454.270693041173</v>
      </c>
      <c r="X62" s="100">
        <v>8</v>
      </c>
      <c r="Y62" s="100">
        <v>13353.6</v>
      </c>
      <c r="Z62" s="100">
        <v>11</v>
      </c>
      <c r="AA62" s="100">
        <v>18361.2</v>
      </c>
      <c r="AB62" s="100">
        <v>11</v>
      </c>
      <c r="AC62" s="100">
        <v>18361.2</v>
      </c>
      <c r="AD62" s="100">
        <v>1.6772819826526342</v>
      </c>
      <c r="AE62" s="100">
        <v>2799.7190854437772</v>
      </c>
      <c r="AF62" s="100">
        <v>9</v>
      </c>
      <c r="AG62" s="100">
        <v>15022.800000000001</v>
      </c>
      <c r="AH62" s="100">
        <v>10</v>
      </c>
      <c r="AI62" s="100">
        <v>16692</v>
      </c>
      <c r="AJ62" s="100">
        <v>6.8316837059087554</v>
      </c>
      <c r="AK62" s="100">
        <v>11403.446441902895</v>
      </c>
      <c r="AL62" s="100">
        <v>6.991245411794262</v>
      </c>
      <c r="AM62" s="100">
        <v>11669.786841366982</v>
      </c>
      <c r="AN62" s="100">
        <v>4.9114125473536756</v>
      </c>
      <c r="AO62" s="100">
        <v>8198.129824042755</v>
      </c>
      <c r="AP62" s="100">
        <v>7</v>
      </c>
      <c r="AQ62" s="100">
        <v>11684.4</v>
      </c>
      <c r="AR62" s="100">
        <v>5.7698646243660034</v>
      </c>
      <c r="AS62" s="100">
        <v>9631.0580309917332</v>
      </c>
      <c r="AT62" s="100">
        <v>5.6623309946763438</v>
      </c>
      <c r="AU62" s="100">
        <v>9451.5628963137533</v>
      </c>
      <c r="AV62" s="100">
        <v>7.2158193823679584</v>
      </c>
      <c r="AW62" s="100">
        <v>12044.645713048596</v>
      </c>
      <c r="AX62" s="100">
        <v>6.677797761752803</v>
      </c>
      <c r="AY62" s="100">
        <v>11146.580023917779</v>
      </c>
      <c r="AZ62" s="100">
        <v>5.3288826138787382</v>
      </c>
      <c r="BA62" s="100">
        <v>8894.9708590863902</v>
      </c>
      <c r="BB62" s="100">
        <v>0.61341342382091457</v>
      </c>
      <c r="BC62" s="100">
        <v>1023.9096870418706</v>
      </c>
      <c r="BD62" s="100">
        <v>8</v>
      </c>
      <c r="BE62" s="100">
        <v>13353.6</v>
      </c>
      <c r="BF62" s="100">
        <v>5.9647977457235921</v>
      </c>
      <c r="BG62" s="100">
        <v>9956.4403971618194</v>
      </c>
      <c r="BH62" s="100">
        <v>7.0999176202677869</v>
      </c>
      <c r="BI62" s="100">
        <v>11851.182491750991</v>
      </c>
      <c r="BJ62" s="100">
        <v>5.7184521678108515</v>
      </c>
      <c r="BK62" s="100">
        <v>9545.2403585098727</v>
      </c>
      <c r="BL62" s="100">
        <v>5.2243947194889593</v>
      </c>
      <c r="BM62" s="100">
        <v>8720.5596657709702</v>
      </c>
      <c r="BN62" s="100">
        <v>0.65632712013760408</v>
      </c>
      <c r="BO62" s="100">
        <v>1095.5412289336887</v>
      </c>
      <c r="BP62" s="100">
        <v>6</v>
      </c>
      <c r="BQ62" s="100">
        <v>10015.200000000001</v>
      </c>
      <c r="BR62" s="100">
        <v>9</v>
      </c>
      <c r="BS62" s="100">
        <v>15022.800000000001</v>
      </c>
      <c r="BT62" s="100">
        <v>10</v>
      </c>
      <c r="BU62" s="100">
        <v>16692</v>
      </c>
      <c r="BV62" s="100">
        <v>9</v>
      </c>
      <c r="BW62" s="100">
        <v>15022.800000000001</v>
      </c>
      <c r="BX62" s="100">
        <v>9</v>
      </c>
      <c r="BY62" s="100">
        <v>15022.800000000001</v>
      </c>
      <c r="BZ62" s="100">
        <v>0.79748727830190447</v>
      </c>
      <c r="CA62" s="100">
        <v>1331.165764941539</v>
      </c>
      <c r="CB62" s="100">
        <v>6</v>
      </c>
      <c r="CC62" s="100">
        <v>10015.200000000001</v>
      </c>
      <c r="CD62" s="100">
        <v>9</v>
      </c>
      <c r="CE62" s="100">
        <v>15022.800000000001</v>
      </c>
      <c r="CF62" s="100">
        <v>10</v>
      </c>
      <c r="CG62" s="100">
        <v>16692</v>
      </c>
      <c r="CH62" s="100">
        <v>7</v>
      </c>
      <c r="CI62" s="100">
        <v>11684.4</v>
      </c>
      <c r="CJ62" s="100">
        <v>7.0342322693381938</v>
      </c>
      <c r="CK62" s="100">
        <v>11741.540503979313</v>
      </c>
      <c r="CL62" s="100">
        <v>4.9114125473536747</v>
      </c>
      <c r="CM62" s="100">
        <v>8198.1298240427532</v>
      </c>
      <c r="CN62" s="100">
        <v>5.8559149603063059</v>
      </c>
      <c r="CO62" s="100">
        <v>9774.6932517432851</v>
      </c>
      <c r="CP62" s="100">
        <v>0.65287276687372198</v>
      </c>
      <c r="CQ62" s="100">
        <v>1089.7752224656167</v>
      </c>
      <c r="CR62" s="100">
        <v>8</v>
      </c>
      <c r="CS62" s="100">
        <v>13353.6</v>
      </c>
      <c r="CT62" s="100">
        <v>4.0977273759123722</v>
      </c>
      <c r="CU62" s="100">
        <v>6839.9265358729317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8</v>
      </c>
      <c r="G63" s="100">
        <v>6364.8</v>
      </c>
      <c r="H63" s="100">
        <v>6</v>
      </c>
      <c r="I63" s="100">
        <v>4773.6000000000004</v>
      </c>
      <c r="J63" s="100">
        <v>8</v>
      </c>
      <c r="K63" s="100">
        <v>6364.8</v>
      </c>
      <c r="L63" s="100">
        <v>10</v>
      </c>
      <c r="M63" s="100">
        <v>7956</v>
      </c>
      <c r="N63" s="100">
        <v>10</v>
      </c>
      <c r="O63" s="100">
        <v>7956</v>
      </c>
      <c r="P63" s="100">
        <v>8</v>
      </c>
      <c r="Q63" s="100">
        <v>6364.8</v>
      </c>
      <c r="R63" s="100">
        <v>6</v>
      </c>
      <c r="S63" s="100">
        <v>4773.6000000000004</v>
      </c>
      <c r="T63" s="100">
        <v>8</v>
      </c>
      <c r="U63" s="100">
        <v>6364.8</v>
      </c>
      <c r="V63" s="100">
        <v>11</v>
      </c>
      <c r="W63" s="100">
        <v>8751.6</v>
      </c>
      <c r="X63" s="100">
        <v>8</v>
      </c>
      <c r="Y63" s="100">
        <v>6364.8</v>
      </c>
      <c r="Z63" s="100">
        <v>11</v>
      </c>
      <c r="AA63" s="100">
        <v>8751.6</v>
      </c>
      <c r="AB63" s="100">
        <v>11</v>
      </c>
      <c r="AC63" s="100">
        <v>8751.6</v>
      </c>
      <c r="AD63" s="100">
        <v>8</v>
      </c>
      <c r="AE63" s="100">
        <v>6364.8</v>
      </c>
      <c r="AF63" s="100">
        <v>10</v>
      </c>
      <c r="AG63" s="100">
        <v>7956</v>
      </c>
      <c r="AH63" s="100">
        <v>7.5004584368902618</v>
      </c>
      <c r="AI63" s="100">
        <v>5967.3647323898922</v>
      </c>
      <c r="AJ63" s="100">
        <v>10</v>
      </c>
      <c r="AK63" s="100">
        <v>7956</v>
      </c>
      <c r="AL63" s="100">
        <v>9</v>
      </c>
      <c r="AM63" s="100">
        <v>7160.4000000000005</v>
      </c>
      <c r="AN63" s="100">
        <v>5.5999297302184159</v>
      </c>
      <c r="AO63" s="100">
        <v>4455.3040933617722</v>
      </c>
      <c r="AP63" s="100">
        <v>6.376236467512598</v>
      </c>
      <c r="AQ63" s="100">
        <v>5072.9337335530226</v>
      </c>
      <c r="AR63" s="100">
        <v>6.2154719827138081</v>
      </c>
      <c r="AS63" s="100">
        <v>4945.0295094471057</v>
      </c>
      <c r="AT63" s="100">
        <v>0</v>
      </c>
      <c r="AU63" s="100">
        <v>0</v>
      </c>
      <c r="AV63" s="100">
        <v>11</v>
      </c>
      <c r="AW63" s="100">
        <v>8751.6</v>
      </c>
      <c r="AX63" s="100">
        <v>5.3536972592002607</v>
      </c>
      <c r="AY63" s="100">
        <v>4259.4015394197277</v>
      </c>
      <c r="AZ63" s="100">
        <v>7</v>
      </c>
      <c r="BA63" s="100">
        <v>5569.2</v>
      </c>
      <c r="BB63" s="100">
        <v>7.0944400123074915</v>
      </c>
      <c r="BC63" s="100">
        <v>5644.33647379184</v>
      </c>
      <c r="BD63" s="100">
        <v>8</v>
      </c>
      <c r="BE63" s="100">
        <v>6364.8</v>
      </c>
      <c r="BF63" s="100">
        <v>10</v>
      </c>
      <c r="BG63" s="100">
        <v>7956</v>
      </c>
      <c r="BH63" s="100">
        <v>3.1350470642396107</v>
      </c>
      <c r="BI63" s="100">
        <v>2494.2434443090342</v>
      </c>
      <c r="BJ63" s="100">
        <v>7</v>
      </c>
      <c r="BK63" s="100">
        <v>5569.2</v>
      </c>
      <c r="BL63" s="100">
        <v>7</v>
      </c>
      <c r="BM63" s="100">
        <v>5569.2</v>
      </c>
      <c r="BN63" s="100">
        <v>10</v>
      </c>
      <c r="BO63" s="100">
        <v>7956</v>
      </c>
      <c r="BP63" s="100">
        <v>6</v>
      </c>
      <c r="BQ63" s="100">
        <v>4773.6000000000004</v>
      </c>
      <c r="BR63" s="100">
        <v>10</v>
      </c>
      <c r="BS63" s="100">
        <v>7956</v>
      </c>
      <c r="BT63" s="100">
        <v>12</v>
      </c>
      <c r="BU63" s="100">
        <v>9547.2000000000007</v>
      </c>
      <c r="BV63" s="100">
        <v>8.8513581289320857</v>
      </c>
      <c r="BW63" s="100">
        <v>7042.1405273783676</v>
      </c>
      <c r="BX63" s="100">
        <v>11</v>
      </c>
      <c r="BY63" s="100">
        <v>8751.6</v>
      </c>
      <c r="BZ63" s="100">
        <v>9</v>
      </c>
      <c r="CA63" s="100">
        <v>7160.4000000000005</v>
      </c>
      <c r="CB63" s="100">
        <v>7</v>
      </c>
      <c r="CC63" s="100">
        <v>5569.2</v>
      </c>
      <c r="CD63" s="100">
        <v>5.4732901861502778</v>
      </c>
      <c r="CE63" s="100">
        <v>4354.5496721011614</v>
      </c>
      <c r="CF63" s="100">
        <v>10</v>
      </c>
      <c r="CG63" s="100">
        <v>7956</v>
      </c>
      <c r="CH63" s="100">
        <v>7</v>
      </c>
      <c r="CI63" s="100">
        <v>5569.2</v>
      </c>
      <c r="CJ63" s="100">
        <v>10</v>
      </c>
      <c r="CK63" s="100">
        <v>7956</v>
      </c>
      <c r="CL63" s="100">
        <v>6</v>
      </c>
      <c r="CM63" s="100">
        <v>4773.6000000000004</v>
      </c>
      <c r="CN63" s="100">
        <v>7.0758241674123372</v>
      </c>
      <c r="CO63" s="100">
        <v>5629.5257075932559</v>
      </c>
      <c r="CP63" s="100">
        <v>10</v>
      </c>
      <c r="CQ63" s="100">
        <v>7956</v>
      </c>
      <c r="CR63" s="100">
        <v>5.7358151384795075</v>
      </c>
      <c r="CS63" s="100">
        <v>4563.4145241742963</v>
      </c>
      <c r="CT63" s="100">
        <v>2.0125557174439037</v>
      </c>
      <c r="CU63" s="100">
        <v>1601.1893287983698</v>
      </c>
    </row>
    <row r="64" spans="2:99">
      <c r="C64" s="99" t="s">
        <v>230</v>
      </c>
      <c r="D64" s="100">
        <v>9</v>
      </c>
      <c r="E64" s="100">
        <v>9082.7999999999993</v>
      </c>
      <c r="F64" s="100">
        <v>8</v>
      </c>
      <c r="G64" s="100">
        <v>8073.5999999999985</v>
      </c>
      <c r="H64" s="100">
        <v>6</v>
      </c>
      <c r="I64" s="100">
        <v>6055.1999999999989</v>
      </c>
      <c r="J64" s="100">
        <v>7</v>
      </c>
      <c r="K64" s="100">
        <v>7064.3999999999987</v>
      </c>
      <c r="L64" s="100">
        <v>10</v>
      </c>
      <c r="M64" s="100">
        <v>10091.999999999998</v>
      </c>
      <c r="N64" s="100">
        <v>9</v>
      </c>
      <c r="O64" s="100">
        <v>9082.7999999999993</v>
      </c>
      <c r="P64" s="100">
        <v>7</v>
      </c>
      <c r="Q64" s="100">
        <v>7064.3999999999987</v>
      </c>
      <c r="R64" s="100">
        <v>6</v>
      </c>
      <c r="S64" s="100">
        <v>6055.1999999999989</v>
      </c>
      <c r="T64" s="100">
        <v>8</v>
      </c>
      <c r="U64" s="100">
        <v>8073.5999999999985</v>
      </c>
      <c r="V64" s="100">
        <v>10</v>
      </c>
      <c r="W64" s="100">
        <v>10091.999999999998</v>
      </c>
      <c r="X64" s="100">
        <v>8</v>
      </c>
      <c r="Y64" s="100">
        <v>8073.5999999999985</v>
      </c>
      <c r="Z64" s="100">
        <v>10</v>
      </c>
      <c r="AA64" s="100">
        <v>10091.999999999998</v>
      </c>
      <c r="AB64" s="100">
        <v>11</v>
      </c>
      <c r="AC64" s="100">
        <v>11101.199999999997</v>
      </c>
      <c r="AD64" s="100">
        <v>7</v>
      </c>
      <c r="AE64" s="100">
        <v>7064.3999999999987</v>
      </c>
      <c r="AF64" s="100">
        <v>9</v>
      </c>
      <c r="AG64" s="100">
        <v>9082.7999999999993</v>
      </c>
      <c r="AH64" s="100">
        <v>6.8185985789911481</v>
      </c>
      <c r="AI64" s="100">
        <v>6881.3296859178654</v>
      </c>
      <c r="AJ64" s="100">
        <v>9</v>
      </c>
      <c r="AK64" s="100">
        <v>9082.7999999999993</v>
      </c>
      <c r="AL64" s="100">
        <v>10</v>
      </c>
      <c r="AM64" s="100">
        <v>10091.999999999998</v>
      </c>
      <c r="AN64" s="100">
        <v>4.666608108515347</v>
      </c>
      <c r="AO64" s="100">
        <v>4709.5409031136878</v>
      </c>
      <c r="AP64" s="100">
        <v>5.5792069090735232</v>
      </c>
      <c r="AQ64" s="100">
        <v>5630.5356126369988</v>
      </c>
      <c r="AR64" s="100">
        <v>6.2154719827138081</v>
      </c>
      <c r="AS64" s="100">
        <v>6272.654324954774</v>
      </c>
      <c r="AT64" s="100">
        <v>0</v>
      </c>
      <c r="AU64" s="100">
        <v>0</v>
      </c>
      <c r="AV64" s="100">
        <v>11</v>
      </c>
      <c r="AW64" s="100">
        <v>11101.199999999997</v>
      </c>
      <c r="AX64" s="100">
        <v>5.3536972592002607</v>
      </c>
      <c r="AY64" s="100">
        <v>5402.9512739849024</v>
      </c>
      <c r="AZ64" s="100">
        <v>7</v>
      </c>
      <c r="BA64" s="100">
        <v>7064.3999999999987</v>
      </c>
      <c r="BB64" s="100">
        <v>6.3849960110767423</v>
      </c>
      <c r="BC64" s="100">
        <v>6443.7379743786469</v>
      </c>
      <c r="BD64" s="100">
        <v>7</v>
      </c>
      <c r="BE64" s="100">
        <v>7064.3999999999987</v>
      </c>
      <c r="BF64" s="100">
        <v>11</v>
      </c>
      <c r="BG64" s="100">
        <v>11101.199999999997</v>
      </c>
      <c r="BH64" s="100">
        <v>3.1350470642396107</v>
      </c>
      <c r="BI64" s="100">
        <v>3163.8894972306143</v>
      </c>
      <c r="BJ64" s="100">
        <v>8</v>
      </c>
      <c r="BK64" s="100">
        <v>8073.5999999999985</v>
      </c>
      <c r="BL64" s="100">
        <v>7</v>
      </c>
      <c r="BM64" s="100">
        <v>7064.3999999999987</v>
      </c>
      <c r="BN64" s="100">
        <v>9</v>
      </c>
      <c r="BO64" s="100">
        <v>9082.7999999999993</v>
      </c>
      <c r="BP64" s="100">
        <v>6</v>
      </c>
      <c r="BQ64" s="100">
        <v>6055.1999999999989</v>
      </c>
      <c r="BR64" s="100">
        <v>9</v>
      </c>
      <c r="BS64" s="100">
        <v>9082.7999999999993</v>
      </c>
      <c r="BT64" s="100">
        <v>11</v>
      </c>
      <c r="BU64" s="100">
        <v>11101.199999999997</v>
      </c>
      <c r="BV64" s="100">
        <v>8.0466892081200765</v>
      </c>
      <c r="BW64" s="100">
        <v>8120.7187488347799</v>
      </c>
      <c r="BX64" s="100">
        <v>10</v>
      </c>
      <c r="BY64" s="100">
        <v>10091.999999999998</v>
      </c>
      <c r="BZ64" s="100">
        <v>9</v>
      </c>
      <c r="CA64" s="100">
        <v>9082.7999999999993</v>
      </c>
      <c r="CB64" s="100">
        <v>6</v>
      </c>
      <c r="CC64" s="100">
        <v>6055.1999999999989</v>
      </c>
      <c r="CD64" s="100">
        <v>6.0814335401669748</v>
      </c>
      <c r="CE64" s="100">
        <v>6137.3827287365102</v>
      </c>
      <c r="CF64" s="100">
        <v>10</v>
      </c>
      <c r="CG64" s="100">
        <v>10091.999999999998</v>
      </c>
      <c r="CH64" s="100">
        <v>7</v>
      </c>
      <c r="CI64" s="100">
        <v>7064.3999999999987</v>
      </c>
      <c r="CJ64" s="100">
        <v>10</v>
      </c>
      <c r="CK64" s="100">
        <v>10091.999999999998</v>
      </c>
      <c r="CL64" s="100">
        <v>6</v>
      </c>
      <c r="CM64" s="100">
        <v>6055.1999999999989</v>
      </c>
      <c r="CN64" s="100">
        <v>6.3682417506711033</v>
      </c>
      <c r="CO64" s="100">
        <v>6426.8295747772763</v>
      </c>
      <c r="CP64" s="100">
        <v>11</v>
      </c>
      <c r="CQ64" s="100">
        <v>11101.199999999997</v>
      </c>
      <c r="CR64" s="100">
        <v>5.0985023453151177</v>
      </c>
      <c r="CS64" s="100">
        <v>5145.4085668920161</v>
      </c>
      <c r="CT64" s="100">
        <v>2.2641251821243915</v>
      </c>
      <c r="CU64" s="100">
        <v>2284.9551337999355</v>
      </c>
    </row>
    <row r="65" spans="2:99">
      <c r="C65" s="99" t="s">
        <v>231</v>
      </c>
      <c r="D65" s="100">
        <v>8</v>
      </c>
      <c r="E65" s="100">
        <v>8208</v>
      </c>
      <c r="F65" s="100">
        <v>8</v>
      </c>
      <c r="G65" s="100">
        <v>8208</v>
      </c>
      <c r="H65" s="100">
        <v>6</v>
      </c>
      <c r="I65" s="100">
        <v>6156</v>
      </c>
      <c r="J65" s="100">
        <v>8</v>
      </c>
      <c r="K65" s="100">
        <v>8208</v>
      </c>
      <c r="L65" s="100">
        <v>10</v>
      </c>
      <c r="M65" s="100">
        <v>10260</v>
      </c>
      <c r="N65" s="100">
        <v>9</v>
      </c>
      <c r="O65" s="100">
        <v>9234</v>
      </c>
      <c r="P65" s="100">
        <v>8</v>
      </c>
      <c r="Q65" s="100">
        <v>8208</v>
      </c>
      <c r="R65" s="100">
        <v>6</v>
      </c>
      <c r="S65" s="100">
        <v>6156</v>
      </c>
      <c r="T65" s="100">
        <v>9</v>
      </c>
      <c r="U65" s="100">
        <v>9234</v>
      </c>
      <c r="V65" s="100">
        <v>11</v>
      </c>
      <c r="W65" s="100">
        <v>11286</v>
      </c>
      <c r="X65" s="100">
        <v>8</v>
      </c>
      <c r="Y65" s="100">
        <v>8208</v>
      </c>
      <c r="Z65" s="100">
        <v>11</v>
      </c>
      <c r="AA65" s="100">
        <v>11286</v>
      </c>
      <c r="AB65" s="100">
        <v>11</v>
      </c>
      <c r="AC65" s="100">
        <v>11286</v>
      </c>
      <c r="AD65" s="100">
        <v>7</v>
      </c>
      <c r="AE65" s="100">
        <v>7182</v>
      </c>
      <c r="AF65" s="100">
        <v>9</v>
      </c>
      <c r="AG65" s="100">
        <v>9234</v>
      </c>
      <c r="AH65" s="100">
        <v>8.1823182947893773</v>
      </c>
      <c r="AI65" s="100">
        <v>8395.0585704539008</v>
      </c>
      <c r="AJ65" s="100">
        <v>10</v>
      </c>
      <c r="AK65" s="100">
        <v>10260</v>
      </c>
      <c r="AL65" s="100">
        <v>10</v>
      </c>
      <c r="AM65" s="100">
        <v>10260</v>
      </c>
      <c r="AN65" s="100">
        <v>5.5999297302184159</v>
      </c>
      <c r="AO65" s="100">
        <v>5745.5279032040944</v>
      </c>
      <c r="AP65" s="100">
        <v>6.376236467512598</v>
      </c>
      <c r="AQ65" s="100">
        <v>6542.0186156679256</v>
      </c>
      <c r="AR65" s="100">
        <v>5.5248639846344956</v>
      </c>
      <c r="AS65" s="100">
        <v>5668.5104482349925</v>
      </c>
      <c r="AT65" s="100">
        <v>0</v>
      </c>
      <c r="AU65" s="100">
        <v>0</v>
      </c>
      <c r="AV65" s="100">
        <v>11</v>
      </c>
      <c r="AW65" s="100">
        <v>11286</v>
      </c>
      <c r="AX65" s="100">
        <v>4.8669975083638741</v>
      </c>
      <c r="AY65" s="100">
        <v>4993.539443581335</v>
      </c>
      <c r="AZ65" s="100">
        <v>7</v>
      </c>
      <c r="BA65" s="100">
        <v>7182</v>
      </c>
      <c r="BB65" s="100">
        <v>7.0944400123074915</v>
      </c>
      <c r="BC65" s="100">
        <v>7278.8954526274865</v>
      </c>
      <c r="BD65" s="100">
        <v>8</v>
      </c>
      <c r="BE65" s="100">
        <v>8208</v>
      </c>
      <c r="BF65" s="100">
        <v>11</v>
      </c>
      <c r="BG65" s="100">
        <v>11286</v>
      </c>
      <c r="BH65" s="100">
        <v>3.1350470642396107</v>
      </c>
      <c r="BI65" s="100">
        <v>3216.5582879098406</v>
      </c>
      <c r="BJ65" s="100">
        <v>7</v>
      </c>
      <c r="BK65" s="100">
        <v>7182</v>
      </c>
      <c r="BL65" s="100">
        <v>8</v>
      </c>
      <c r="BM65" s="100">
        <v>8208</v>
      </c>
      <c r="BN65" s="100">
        <v>9</v>
      </c>
      <c r="BO65" s="100">
        <v>9234</v>
      </c>
      <c r="BP65" s="100">
        <v>7</v>
      </c>
      <c r="BQ65" s="100">
        <v>7182</v>
      </c>
      <c r="BR65" s="100">
        <v>10</v>
      </c>
      <c r="BS65" s="100">
        <v>10260</v>
      </c>
      <c r="BT65" s="100">
        <v>11</v>
      </c>
      <c r="BU65" s="100">
        <v>11286</v>
      </c>
      <c r="BV65" s="100">
        <v>8.8513581289320857</v>
      </c>
      <c r="BW65" s="100">
        <v>9081.4934402843191</v>
      </c>
      <c r="BX65" s="100">
        <v>10</v>
      </c>
      <c r="BY65" s="100">
        <v>10260</v>
      </c>
      <c r="BZ65" s="100">
        <v>9</v>
      </c>
      <c r="CA65" s="100">
        <v>9234</v>
      </c>
      <c r="CB65" s="100">
        <v>6</v>
      </c>
      <c r="CC65" s="100">
        <v>6156</v>
      </c>
      <c r="CD65" s="100">
        <v>5.4732901861502778</v>
      </c>
      <c r="CE65" s="100">
        <v>5615.5957309901851</v>
      </c>
      <c r="CF65" s="100">
        <v>9</v>
      </c>
      <c r="CG65" s="100">
        <v>9234</v>
      </c>
      <c r="CH65" s="100">
        <v>7</v>
      </c>
      <c r="CI65" s="100">
        <v>7182</v>
      </c>
      <c r="CJ65" s="100">
        <v>10</v>
      </c>
      <c r="CK65" s="100">
        <v>10260</v>
      </c>
      <c r="CL65" s="100">
        <v>5</v>
      </c>
      <c r="CM65" s="100">
        <v>5130</v>
      </c>
      <c r="CN65" s="100">
        <v>5.6606593339298694</v>
      </c>
      <c r="CO65" s="100">
        <v>5807.8364766120458</v>
      </c>
      <c r="CP65" s="100">
        <v>10</v>
      </c>
      <c r="CQ65" s="100">
        <v>10260</v>
      </c>
      <c r="CR65" s="100">
        <v>5.0985023453151177</v>
      </c>
      <c r="CS65" s="100">
        <v>5231.0634062933104</v>
      </c>
      <c r="CT65" s="100">
        <v>2.2641251821243915</v>
      </c>
      <c r="CU65" s="100">
        <v>2322.9924368596257</v>
      </c>
    </row>
    <row r="66" spans="2:99">
      <c r="C66" s="99" t="s">
        <v>232</v>
      </c>
      <c r="D66" s="100">
        <v>8</v>
      </c>
      <c r="E66" s="100">
        <v>9523.1999999999989</v>
      </c>
      <c r="F66" s="100">
        <v>8</v>
      </c>
      <c r="G66" s="100">
        <v>9523.1999999999989</v>
      </c>
      <c r="H66" s="100">
        <v>5</v>
      </c>
      <c r="I66" s="100">
        <v>5951.9999999999991</v>
      </c>
      <c r="J66" s="100">
        <v>7</v>
      </c>
      <c r="K66" s="100">
        <v>8332.7999999999993</v>
      </c>
      <c r="L66" s="100">
        <v>9</v>
      </c>
      <c r="M66" s="100">
        <v>10713.599999999999</v>
      </c>
      <c r="N66" s="100">
        <v>10</v>
      </c>
      <c r="O66" s="100">
        <v>11903.999999999998</v>
      </c>
      <c r="P66" s="100">
        <v>7</v>
      </c>
      <c r="Q66" s="100">
        <v>8332.7999999999993</v>
      </c>
      <c r="R66" s="100">
        <v>5</v>
      </c>
      <c r="S66" s="100">
        <v>5951.9999999999991</v>
      </c>
      <c r="T66" s="100">
        <v>9</v>
      </c>
      <c r="U66" s="100">
        <v>10713.599999999999</v>
      </c>
      <c r="V66" s="100">
        <v>10</v>
      </c>
      <c r="W66" s="100">
        <v>11903.999999999998</v>
      </c>
      <c r="X66" s="100">
        <v>8</v>
      </c>
      <c r="Y66" s="100">
        <v>9523.1999999999989</v>
      </c>
      <c r="Z66" s="100">
        <v>11</v>
      </c>
      <c r="AA66" s="100">
        <v>13094.399999999998</v>
      </c>
      <c r="AB66" s="100">
        <v>11</v>
      </c>
      <c r="AC66" s="100">
        <v>13094.399999999998</v>
      </c>
      <c r="AD66" s="100">
        <v>8</v>
      </c>
      <c r="AE66" s="100">
        <v>9523.1999999999989</v>
      </c>
      <c r="AF66" s="100">
        <v>10</v>
      </c>
      <c r="AG66" s="100">
        <v>11903.999999999998</v>
      </c>
      <c r="AH66" s="100">
        <v>7.5004584368902618</v>
      </c>
      <c r="AI66" s="100">
        <v>8928.5457232741664</v>
      </c>
      <c r="AJ66" s="100">
        <v>10</v>
      </c>
      <c r="AK66" s="100">
        <v>11903.999999999998</v>
      </c>
      <c r="AL66" s="100">
        <v>9</v>
      </c>
      <c r="AM66" s="100">
        <v>10713.599999999999</v>
      </c>
      <c r="AN66" s="100">
        <v>4.666608108515347</v>
      </c>
      <c r="AO66" s="100">
        <v>5555.1302923766689</v>
      </c>
      <c r="AP66" s="100">
        <v>6.376236467512598</v>
      </c>
      <c r="AQ66" s="100">
        <v>7590.2718909269961</v>
      </c>
      <c r="AR66" s="100">
        <v>5.5248639846344956</v>
      </c>
      <c r="AS66" s="100">
        <v>6576.7980873089027</v>
      </c>
      <c r="AT66" s="100">
        <v>0</v>
      </c>
      <c r="AU66" s="100">
        <v>0</v>
      </c>
      <c r="AV66" s="100">
        <v>10</v>
      </c>
      <c r="AW66" s="100">
        <v>11903.999999999998</v>
      </c>
      <c r="AX66" s="100">
        <v>4.8669975083638741</v>
      </c>
      <c r="AY66" s="100">
        <v>5793.6738339563553</v>
      </c>
      <c r="AZ66" s="100">
        <v>7</v>
      </c>
      <c r="BA66" s="100">
        <v>8332.7999999999993</v>
      </c>
      <c r="BB66" s="100">
        <v>6.3849960110767423</v>
      </c>
      <c r="BC66" s="100">
        <v>7600.6992515857528</v>
      </c>
      <c r="BD66" s="100">
        <v>8</v>
      </c>
      <c r="BE66" s="100">
        <v>9523.1999999999989</v>
      </c>
      <c r="BF66" s="100">
        <v>10</v>
      </c>
      <c r="BG66" s="100">
        <v>11903.999999999998</v>
      </c>
      <c r="BH66" s="100">
        <v>2.7867085015463209</v>
      </c>
      <c r="BI66" s="100">
        <v>3317.2978002407399</v>
      </c>
      <c r="BJ66" s="100">
        <v>7</v>
      </c>
      <c r="BK66" s="100">
        <v>8332.7999999999993</v>
      </c>
      <c r="BL66" s="100">
        <v>7</v>
      </c>
      <c r="BM66" s="100">
        <v>8332.7999999999993</v>
      </c>
      <c r="BN66" s="100">
        <v>9</v>
      </c>
      <c r="BO66" s="100">
        <v>10713.599999999999</v>
      </c>
      <c r="BP66" s="100">
        <v>6</v>
      </c>
      <c r="BQ66" s="100">
        <v>7142.4</v>
      </c>
      <c r="BR66" s="100">
        <v>10</v>
      </c>
      <c r="BS66" s="100">
        <v>11903.999999999998</v>
      </c>
      <c r="BT66" s="100">
        <v>10</v>
      </c>
      <c r="BU66" s="100">
        <v>11903.999999999998</v>
      </c>
      <c r="BV66" s="100">
        <v>8.8513581289320857</v>
      </c>
      <c r="BW66" s="100">
        <v>10536.656716680754</v>
      </c>
      <c r="BX66" s="100">
        <v>10</v>
      </c>
      <c r="BY66" s="100">
        <v>11903.999999999998</v>
      </c>
      <c r="BZ66" s="100">
        <v>9</v>
      </c>
      <c r="CA66" s="100">
        <v>10713.599999999999</v>
      </c>
      <c r="CB66" s="100">
        <v>6</v>
      </c>
      <c r="CC66" s="100">
        <v>7142.4</v>
      </c>
      <c r="CD66" s="100">
        <v>6.0814335401669748</v>
      </c>
      <c r="CE66" s="100">
        <v>7239.3384862147659</v>
      </c>
      <c r="CF66" s="100">
        <v>9</v>
      </c>
      <c r="CG66" s="100">
        <v>10713.599999999999</v>
      </c>
      <c r="CH66" s="100">
        <v>8</v>
      </c>
      <c r="CI66" s="100">
        <v>9523.1999999999989</v>
      </c>
      <c r="CJ66" s="100">
        <v>10</v>
      </c>
      <c r="CK66" s="100">
        <v>11903.999999999998</v>
      </c>
      <c r="CL66" s="100">
        <v>5</v>
      </c>
      <c r="CM66" s="100">
        <v>5951.9999999999991</v>
      </c>
      <c r="CN66" s="100">
        <v>6.3682417506711033</v>
      </c>
      <c r="CO66" s="100">
        <v>7580.7549799988801</v>
      </c>
      <c r="CP66" s="100">
        <v>11</v>
      </c>
      <c r="CQ66" s="100">
        <v>13094.399999999998</v>
      </c>
      <c r="CR66" s="100">
        <v>5.0985023453151177</v>
      </c>
      <c r="CS66" s="100">
        <v>6069.2571918631156</v>
      </c>
      <c r="CT66" s="100">
        <v>2.0125557174439037</v>
      </c>
      <c r="CU66" s="100">
        <v>2395.7463260452228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7</v>
      </c>
      <c r="G67" s="100">
        <v>7862.4000000000005</v>
      </c>
      <c r="H67" s="100">
        <v>6</v>
      </c>
      <c r="I67" s="100">
        <v>6739.2000000000007</v>
      </c>
      <c r="J67" s="100">
        <v>7</v>
      </c>
      <c r="K67" s="100">
        <v>7862.4000000000005</v>
      </c>
      <c r="L67" s="100">
        <v>9</v>
      </c>
      <c r="M67" s="100">
        <v>10108.800000000001</v>
      </c>
      <c r="N67" s="100">
        <v>11</v>
      </c>
      <c r="O67" s="100">
        <v>12355.2</v>
      </c>
      <c r="P67" s="100">
        <v>7</v>
      </c>
      <c r="Q67" s="100">
        <v>7862.4000000000005</v>
      </c>
      <c r="R67" s="100">
        <v>6</v>
      </c>
      <c r="S67" s="100">
        <v>6739.2000000000007</v>
      </c>
      <c r="T67" s="100">
        <v>9</v>
      </c>
      <c r="U67" s="100">
        <v>10108.800000000001</v>
      </c>
      <c r="V67" s="100">
        <v>10</v>
      </c>
      <c r="W67" s="100">
        <v>11232</v>
      </c>
      <c r="X67" s="100">
        <v>9</v>
      </c>
      <c r="Y67" s="100">
        <v>10108.800000000001</v>
      </c>
      <c r="Z67" s="100">
        <v>9</v>
      </c>
      <c r="AA67" s="100">
        <v>10108.800000000001</v>
      </c>
      <c r="AB67" s="100">
        <v>12</v>
      </c>
      <c r="AC67" s="100">
        <v>13478.400000000001</v>
      </c>
      <c r="AD67" s="100">
        <v>8</v>
      </c>
      <c r="AE67" s="100">
        <v>8985.6</v>
      </c>
      <c r="AF67" s="100">
        <v>9</v>
      </c>
      <c r="AG67" s="100">
        <v>10108.800000000001</v>
      </c>
      <c r="AH67" s="100">
        <v>6.8185985789911481</v>
      </c>
      <c r="AI67" s="100">
        <v>7658.6499239228579</v>
      </c>
      <c r="AJ67" s="100">
        <v>10</v>
      </c>
      <c r="AK67" s="100">
        <v>11232</v>
      </c>
      <c r="AL67" s="100">
        <v>9</v>
      </c>
      <c r="AM67" s="100">
        <v>10108.800000000001</v>
      </c>
      <c r="AN67" s="100">
        <v>4.666608108515347</v>
      </c>
      <c r="AO67" s="100">
        <v>5241.5342274844379</v>
      </c>
      <c r="AP67" s="100">
        <v>6.376236467512598</v>
      </c>
      <c r="AQ67" s="100">
        <v>7161.7888003101507</v>
      </c>
      <c r="AR67" s="100">
        <v>6.2154719827138081</v>
      </c>
      <c r="AS67" s="100">
        <v>6981.2181309841499</v>
      </c>
      <c r="AT67" s="100">
        <v>0</v>
      </c>
      <c r="AU67" s="100">
        <v>0</v>
      </c>
      <c r="AV67" s="100">
        <v>9</v>
      </c>
      <c r="AW67" s="100">
        <v>10108.800000000001</v>
      </c>
      <c r="AX67" s="100">
        <v>4.8669975083638741</v>
      </c>
      <c r="AY67" s="100">
        <v>5466.6116013943038</v>
      </c>
      <c r="AZ67" s="100">
        <v>7</v>
      </c>
      <c r="BA67" s="100">
        <v>7862.4000000000005</v>
      </c>
      <c r="BB67" s="100">
        <v>6.3849960110767423</v>
      </c>
      <c r="BC67" s="100">
        <v>7171.6275196413972</v>
      </c>
      <c r="BD67" s="100">
        <v>7</v>
      </c>
      <c r="BE67" s="100">
        <v>7862.4000000000005</v>
      </c>
      <c r="BF67" s="100">
        <v>11</v>
      </c>
      <c r="BG67" s="100">
        <v>12355.2</v>
      </c>
      <c r="BH67" s="100">
        <v>3.1350470642396107</v>
      </c>
      <c r="BI67" s="100">
        <v>3521.2848625539309</v>
      </c>
      <c r="BJ67" s="100">
        <v>8</v>
      </c>
      <c r="BK67" s="100">
        <v>8985.6</v>
      </c>
      <c r="BL67" s="100">
        <v>7</v>
      </c>
      <c r="BM67" s="100">
        <v>7862.4000000000005</v>
      </c>
      <c r="BN67" s="100">
        <v>10</v>
      </c>
      <c r="BO67" s="100">
        <v>11232</v>
      </c>
      <c r="BP67" s="100">
        <v>6</v>
      </c>
      <c r="BQ67" s="100">
        <v>6739.2000000000007</v>
      </c>
      <c r="BR67" s="100">
        <v>9</v>
      </c>
      <c r="BS67" s="100">
        <v>10108.800000000001</v>
      </c>
      <c r="BT67" s="100">
        <v>11</v>
      </c>
      <c r="BU67" s="100">
        <v>12355.2</v>
      </c>
      <c r="BV67" s="100">
        <v>8.8513581289320857</v>
      </c>
      <c r="BW67" s="100">
        <v>9941.8454504165184</v>
      </c>
      <c r="BX67" s="100">
        <v>12</v>
      </c>
      <c r="BY67" s="100">
        <v>13478.400000000001</v>
      </c>
      <c r="BZ67" s="100">
        <v>8</v>
      </c>
      <c r="CA67" s="100">
        <v>8985.6</v>
      </c>
      <c r="CB67" s="100">
        <v>6</v>
      </c>
      <c r="CC67" s="100">
        <v>6739.2000000000007</v>
      </c>
      <c r="CD67" s="100">
        <v>6.0814335401669748</v>
      </c>
      <c r="CE67" s="100">
        <v>6830.6661523155462</v>
      </c>
      <c r="CF67" s="100">
        <v>10</v>
      </c>
      <c r="CG67" s="100">
        <v>11232</v>
      </c>
      <c r="CH67" s="100">
        <v>7</v>
      </c>
      <c r="CI67" s="100">
        <v>7862.4000000000005</v>
      </c>
      <c r="CJ67" s="100">
        <v>10</v>
      </c>
      <c r="CK67" s="100">
        <v>11232</v>
      </c>
      <c r="CL67" s="100">
        <v>5</v>
      </c>
      <c r="CM67" s="100">
        <v>5616</v>
      </c>
      <c r="CN67" s="100">
        <v>5.6606593339298694</v>
      </c>
      <c r="CO67" s="100">
        <v>6358.0525638700292</v>
      </c>
      <c r="CP67" s="100">
        <v>11</v>
      </c>
      <c r="CQ67" s="100">
        <v>12355.2</v>
      </c>
      <c r="CR67" s="100">
        <v>5.0985023453151177</v>
      </c>
      <c r="CS67" s="100">
        <v>5726.6378342579401</v>
      </c>
      <c r="CT67" s="100">
        <v>2.0125557174439037</v>
      </c>
      <c r="CU67" s="100">
        <v>2260.5025818329927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7</v>
      </c>
      <c r="G68" s="100">
        <v>7232.4000000000005</v>
      </c>
      <c r="H68" s="100">
        <v>6</v>
      </c>
      <c r="I68" s="100">
        <v>6199.2000000000007</v>
      </c>
      <c r="J68" s="100">
        <v>8</v>
      </c>
      <c r="K68" s="100">
        <v>8265.6</v>
      </c>
      <c r="L68" s="100">
        <v>9</v>
      </c>
      <c r="M68" s="100">
        <v>9298.8000000000011</v>
      </c>
      <c r="N68" s="100">
        <v>10</v>
      </c>
      <c r="O68" s="100">
        <v>10332</v>
      </c>
      <c r="P68" s="100">
        <v>8</v>
      </c>
      <c r="Q68" s="100">
        <v>8265.6</v>
      </c>
      <c r="R68" s="100">
        <v>6</v>
      </c>
      <c r="S68" s="100">
        <v>6199.2000000000007</v>
      </c>
      <c r="T68" s="100">
        <v>8</v>
      </c>
      <c r="U68" s="100">
        <v>8265.6</v>
      </c>
      <c r="V68" s="100">
        <v>11</v>
      </c>
      <c r="W68" s="100">
        <v>11365.2</v>
      </c>
      <c r="X68" s="100">
        <v>8</v>
      </c>
      <c r="Y68" s="100">
        <v>8265.6</v>
      </c>
      <c r="Z68" s="100">
        <v>11</v>
      </c>
      <c r="AA68" s="100">
        <v>11365.2</v>
      </c>
      <c r="AB68" s="100">
        <v>11</v>
      </c>
      <c r="AC68" s="100">
        <v>11365.2</v>
      </c>
      <c r="AD68" s="100">
        <v>8</v>
      </c>
      <c r="AE68" s="100">
        <v>8265.6</v>
      </c>
      <c r="AF68" s="100">
        <v>9</v>
      </c>
      <c r="AG68" s="100">
        <v>9298.8000000000011</v>
      </c>
      <c r="AH68" s="100">
        <v>6.8185985789911481</v>
      </c>
      <c r="AI68" s="100">
        <v>7044.9760518136545</v>
      </c>
      <c r="AJ68" s="100">
        <v>10</v>
      </c>
      <c r="AK68" s="100">
        <v>10332</v>
      </c>
      <c r="AL68" s="100">
        <v>9</v>
      </c>
      <c r="AM68" s="100">
        <v>9298.8000000000011</v>
      </c>
      <c r="AN68" s="100">
        <v>5.5999297302184159</v>
      </c>
      <c r="AO68" s="100">
        <v>5785.8473972616675</v>
      </c>
      <c r="AP68" s="100">
        <v>6.376236467512598</v>
      </c>
      <c r="AQ68" s="100">
        <v>6587.9275182340161</v>
      </c>
      <c r="AR68" s="100">
        <v>5.5248639846344956</v>
      </c>
      <c r="AS68" s="100">
        <v>5708.2894689243612</v>
      </c>
      <c r="AT68" s="100">
        <v>0</v>
      </c>
      <c r="AU68" s="100">
        <v>0</v>
      </c>
      <c r="AV68" s="100">
        <v>10</v>
      </c>
      <c r="AW68" s="100">
        <v>10332</v>
      </c>
      <c r="AX68" s="100">
        <v>5.3536972592002607</v>
      </c>
      <c r="AY68" s="100">
        <v>5531.44000820571</v>
      </c>
      <c r="AZ68" s="100">
        <v>7</v>
      </c>
      <c r="BA68" s="100">
        <v>7232.4000000000005</v>
      </c>
      <c r="BB68" s="100">
        <v>7.0944400123074915</v>
      </c>
      <c r="BC68" s="100">
        <v>7329.9754207161004</v>
      </c>
      <c r="BD68" s="100">
        <v>7</v>
      </c>
      <c r="BE68" s="100">
        <v>7232.4000000000005</v>
      </c>
      <c r="BF68" s="100">
        <v>11</v>
      </c>
      <c r="BG68" s="100">
        <v>11365.2</v>
      </c>
      <c r="BH68" s="100">
        <v>3.1350470642396107</v>
      </c>
      <c r="BI68" s="100">
        <v>3239.1306267723658</v>
      </c>
      <c r="BJ68" s="100">
        <v>7</v>
      </c>
      <c r="BK68" s="100">
        <v>7232.4000000000005</v>
      </c>
      <c r="BL68" s="100">
        <v>8</v>
      </c>
      <c r="BM68" s="100">
        <v>8265.6</v>
      </c>
      <c r="BN68" s="100">
        <v>11</v>
      </c>
      <c r="BO68" s="100">
        <v>11365.2</v>
      </c>
      <c r="BP68" s="100">
        <v>6</v>
      </c>
      <c r="BQ68" s="100">
        <v>6199.2000000000007</v>
      </c>
      <c r="BR68" s="100">
        <v>10</v>
      </c>
      <c r="BS68" s="100">
        <v>10332</v>
      </c>
      <c r="BT68" s="100">
        <v>10</v>
      </c>
      <c r="BU68" s="100">
        <v>10332</v>
      </c>
      <c r="BV68" s="100">
        <v>8.8513581289320857</v>
      </c>
      <c r="BW68" s="100">
        <v>9145.2232188126309</v>
      </c>
      <c r="BX68" s="100">
        <v>11</v>
      </c>
      <c r="BY68" s="100">
        <v>11365.2</v>
      </c>
      <c r="BZ68" s="100">
        <v>8</v>
      </c>
      <c r="CA68" s="100">
        <v>8265.6</v>
      </c>
      <c r="CB68" s="100">
        <v>6</v>
      </c>
      <c r="CC68" s="100">
        <v>6199.2000000000007</v>
      </c>
      <c r="CD68" s="100">
        <v>6.6895768941836726</v>
      </c>
      <c r="CE68" s="100">
        <v>6911.6708470705707</v>
      </c>
      <c r="CF68" s="100">
        <v>10</v>
      </c>
      <c r="CG68" s="100">
        <v>10332</v>
      </c>
      <c r="CH68" s="100">
        <v>6</v>
      </c>
      <c r="CI68" s="100">
        <v>6199.2000000000007</v>
      </c>
      <c r="CJ68" s="100">
        <v>11</v>
      </c>
      <c r="CK68" s="100">
        <v>11365.2</v>
      </c>
      <c r="CL68" s="100">
        <v>5</v>
      </c>
      <c r="CM68" s="100">
        <v>5166</v>
      </c>
      <c r="CN68" s="100">
        <v>6.3682417506711033</v>
      </c>
      <c r="CO68" s="100">
        <v>6579.6673767933844</v>
      </c>
      <c r="CP68" s="100">
        <v>10</v>
      </c>
      <c r="CQ68" s="100">
        <v>10332</v>
      </c>
      <c r="CR68" s="100">
        <v>5.7358151384795075</v>
      </c>
      <c r="CS68" s="100">
        <v>5926.2442010770274</v>
      </c>
      <c r="CT68" s="100">
        <v>2.2641251821243915</v>
      </c>
      <c r="CU68" s="100">
        <v>2339.2941381709215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8</v>
      </c>
      <c r="G69" s="100">
        <v>6067.2</v>
      </c>
      <c r="H69" s="100">
        <v>6</v>
      </c>
      <c r="I69" s="100">
        <v>4550.3999999999996</v>
      </c>
      <c r="J69" s="100">
        <v>7</v>
      </c>
      <c r="K69" s="100">
        <v>5308.8</v>
      </c>
      <c r="L69" s="100">
        <v>9</v>
      </c>
      <c r="M69" s="100">
        <v>6825.5999999999995</v>
      </c>
      <c r="N69" s="100">
        <v>10</v>
      </c>
      <c r="O69" s="100">
        <v>7584</v>
      </c>
      <c r="P69" s="100">
        <v>7</v>
      </c>
      <c r="Q69" s="100">
        <v>5308.8</v>
      </c>
      <c r="R69" s="100">
        <v>5</v>
      </c>
      <c r="S69" s="100">
        <v>3792</v>
      </c>
      <c r="T69" s="100">
        <v>8</v>
      </c>
      <c r="U69" s="100">
        <v>6067.2</v>
      </c>
      <c r="V69" s="100">
        <v>10</v>
      </c>
      <c r="W69" s="100">
        <v>7584</v>
      </c>
      <c r="X69" s="100">
        <v>9</v>
      </c>
      <c r="Y69" s="100">
        <v>6825.5999999999995</v>
      </c>
      <c r="Z69" s="100">
        <v>11</v>
      </c>
      <c r="AA69" s="100">
        <v>8342.4</v>
      </c>
      <c r="AB69" s="100">
        <v>11</v>
      </c>
      <c r="AC69" s="100">
        <v>8342.4</v>
      </c>
      <c r="AD69" s="100">
        <v>8</v>
      </c>
      <c r="AE69" s="100">
        <v>6067.2</v>
      </c>
      <c r="AF69" s="100">
        <v>10</v>
      </c>
      <c r="AG69" s="100">
        <v>7584</v>
      </c>
      <c r="AH69" s="100">
        <v>8.1823182947893773</v>
      </c>
      <c r="AI69" s="100">
        <v>6205.4701947682634</v>
      </c>
      <c r="AJ69" s="100">
        <v>9</v>
      </c>
      <c r="AK69" s="100">
        <v>6825.5999999999995</v>
      </c>
      <c r="AL69" s="100">
        <v>10</v>
      </c>
      <c r="AM69" s="100">
        <v>7584</v>
      </c>
      <c r="AN69" s="100">
        <v>4.666608108515347</v>
      </c>
      <c r="AO69" s="100">
        <v>3539.1555894980393</v>
      </c>
      <c r="AP69" s="100">
        <v>7.1732660259516727</v>
      </c>
      <c r="AQ69" s="100">
        <v>5440.2049540817488</v>
      </c>
      <c r="AR69" s="100">
        <v>5.5248639846344956</v>
      </c>
      <c r="AS69" s="100">
        <v>4190.0568459468013</v>
      </c>
      <c r="AT69" s="100">
        <v>0</v>
      </c>
      <c r="AU69" s="100">
        <v>0</v>
      </c>
      <c r="AV69" s="100">
        <v>11</v>
      </c>
      <c r="AW69" s="100">
        <v>8342.4</v>
      </c>
      <c r="AX69" s="100">
        <v>5.8403970100366491</v>
      </c>
      <c r="AY69" s="100">
        <v>4429.3570924117948</v>
      </c>
      <c r="AZ69" s="100">
        <v>7</v>
      </c>
      <c r="BA69" s="100">
        <v>5308.8</v>
      </c>
      <c r="BB69" s="100">
        <v>7.0944400123074915</v>
      </c>
      <c r="BC69" s="100">
        <v>5380.4233053340013</v>
      </c>
      <c r="BD69" s="100">
        <v>8</v>
      </c>
      <c r="BE69" s="100">
        <v>6067.2</v>
      </c>
      <c r="BF69" s="100">
        <v>9</v>
      </c>
      <c r="BG69" s="100">
        <v>6825.5999999999995</v>
      </c>
      <c r="BH69" s="100">
        <v>3.4833856269329013</v>
      </c>
      <c r="BI69" s="100">
        <v>2641.7996594659121</v>
      </c>
      <c r="BJ69" s="100">
        <v>8</v>
      </c>
      <c r="BK69" s="100">
        <v>6067.2</v>
      </c>
      <c r="BL69" s="100">
        <v>8</v>
      </c>
      <c r="BM69" s="100">
        <v>6067.2</v>
      </c>
      <c r="BN69" s="100">
        <v>10</v>
      </c>
      <c r="BO69" s="100">
        <v>7584</v>
      </c>
      <c r="BP69" s="100">
        <v>6</v>
      </c>
      <c r="BQ69" s="100">
        <v>4550.3999999999996</v>
      </c>
      <c r="BR69" s="100">
        <v>9</v>
      </c>
      <c r="BS69" s="100">
        <v>6825.5999999999995</v>
      </c>
      <c r="BT69" s="100">
        <v>12</v>
      </c>
      <c r="BU69" s="100">
        <v>9100.7999999999993</v>
      </c>
      <c r="BV69" s="100">
        <v>8.0466892081200765</v>
      </c>
      <c r="BW69" s="100">
        <v>6102.6090954382662</v>
      </c>
      <c r="BX69" s="100">
        <v>11</v>
      </c>
      <c r="BY69" s="100">
        <v>8342.4</v>
      </c>
      <c r="BZ69" s="100">
        <v>9</v>
      </c>
      <c r="CA69" s="100">
        <v>6825.5999999999995</v>
      </c>
      <c r="CB69" s="100">
        <v>6</v>
      </c>
      <c r="CC69" s="100">
        <v>4550.3999999999996</v>
      </c>
      <c r="CD69" s="100">
        <v>6.6895768941836726</v>
      </c>
      <c r="CE69" s="100">
        <v>5073.3751165488975</v>
      </c>
      <c r="CF69" s="100">
        <v>10</v>
      </c>
      <c r="CG69" s="100">
        <v>7584</v>
      </c>
      <c r="CH69" s="100">
        <v>7</v>
      </c>
      <c r="CI69" s="100">
        <v>5308.8</v>
      </c>
      <c r="CJ69" s="100">
        <v>10</v>
      </c>
      <c r="CK69" s="100">
        <v>7584</v>
      </c>
      <c r="CL69" s="100">
        <v>6</v>
      </c>
      <c r="CM69" s="100">
        <v>4550.3999999999996</v>
      </c>
      <c r="CN69" s="100">
        <v>6.3682417506711033</v>
      </c>
      <c r="CO69" s="100">
        <v>4829.6745437089648</v>
      </c>
      <c r="CP69" s="100">
        <v>10</v>
      </c>
      <c r="CQ69" s="100">
        <v>7584</v>
      </c>
      <c r="CR69" s="100">
        <v>5.7358151384795075</v>
      </c>
      <c r="CS69" s="100">
        <v>4350.0422010228585</v>
      </c>
      <c r="CT69" s="100">
        <v>2.2641251821243915</v>
      </c>
      <c r="CU69" s="100">
        <v>1717.1125381231384</v>
      </c>
    </row>
    <row r="70" spans="2:99">
      <c r="C70" s="99" t="s">
        <v>236</v>
      </c>
      <c r="D70" s="100">
        <v>8</v>
      </c>
      <c r="E70" s="100">
        <v>4281.5999999999995</v>
      </c>
      <c r="F70" s="100">
        <v>8</v>
      </c>
      <c r="G70" s="100">
        <v>4281.5999999999995</v>
      </c>
      <c r="H70" s="100">
        <v>6</v>
      </c>
      <c r="I70" s="100">
        <v>3211.2</v>
      </c>
      <c r="J70" s="100">
        <v>8</v>
      </c>
      <c r="K70" s="100">
        <v>4281.5999999999995</v>
      </c>
      <c r="L70" s="100">
        <v>10</v>
      </c>
      <c r="M70" s="100">
        <v>5351.9999999999991</v>
      </c>
      <c r="N70" s="100">
        <v>10</v>
      </c>
      <c r="O70" s="100">
        <v>5351.9999999999991</v>
      </c>
      <c r="P70" s="100">
        <v>8</v>
      </c>
      <c r="Q70" s="100">
        <v>4281.5999999999995</v>
      </c>
      <c r="R70" s="100">
        <v>6</v>
      </c>
      <c r="S70" s="100">
        <v>3211.2</v>
      </c>
      <c r="T70" s="100">
        <v>8</v>
      </c>
      <c r="U70" s="100">
        <v>4281.5999999999995</v>
      </c>
      <c r="V70" s="100">
        <v>10</v>
      </c>
      <c r="W70" s="100">
        <v>5351.9999999999991</v>
      </c>
      <c r="X70" s="100">
        <v>9</v>
      </c>
      <c r="Y70" s="100">
        <v>4816.7999999999993</v>
      </c>
      <c r="Z70" s="100">
        <v>12</v>
      </c>
      <c r="AA70" s="100">
        <v>6422.4</v>
      </c>
      <c r="AB70" s="100">
        <v>10</v>
      </c>
      <c r="AC70" s="100">
        <v>5351.9999999999991</v>
      </c>
      <c r="AD70" s="100">
        <v>9</v>
      </c>
      <c r="AE70" s="100">
        <v>4816.7999999999993</v>
      </c>
      <c r="AF70" s="100">
        <v>10</v>
      </c>
      <c r="AG70" s="100">
        <v>5351.9999999999991</v>
      </c>
      <c r="AH70" s="100">
        <v>8.1823182947893773</v>
      </c>
      <c r="AI70" s="100">
        <v>4379.1767513712739</v>
      </c>
      <c r="AJ70" s="100">
        <v>10</v>
      </c>
      <c r="AK70" s="100">
        <v>5351.9999999999991</v>
      </c>
      <c r="AL70" s="100">
        <v>9</v>
      </c>
      <c r="AM70" s="100">
        <v>4816.7999999999993</v>
      </c>
      <c r="AN70" s="100">
        <v>4.666608108515347</v>
      </c>
      <c r="AO70" s="100">
        <v>2497.5686596774135</v>
      </c>
      <c r="AP70" s="100">
        <v>7.1732660259516727</v>
      </c>
      <c r="AQ70" s="100">
        <v>3839.1319770893347</v>
      </c>
      <c r="AR70" s="100">
        <v>5.5248639846344956</v>
      </c>
      <c r="AS70" s="100">
        <v>2956.9072045763814</v>
      </c>
      <c r="AT70" s="100">
        <v>0</v>
      </c>
      <c r="AU70" s="100">
        <v>0</v>
      </c>
      <c r="AV70" s="100">
        <v>11</v>
      </c>
      <c r="AW70" s="100">
        <v>5887.1999999999989</v>
      </c>
      <c r="AX70" s="100">
        <v>5.8403970100366491</v>
      </c>
      <c r="AY70" s="100">
        <v>3125.7804797716144</v>
      </c>
      <c r="AZ70" s="100">
        <v>7</v>
      </c>
      <c r="BA70" s="100">
        <v>3746.3999999999996</v>
      </c>
      <c r="BB70" s="100">
        <v>6.3849960110767423</v>
      </c>
      <c r="BC70" s="100">
        <v>3417.2498651282722</v>
      </c>
      <c r="BD70" s="100">
        <v>8</v>
      </c>
      <c r="BE70" s="100">
        <v>4281.5999999999995</v>
      </c>
      <c r="BF70" s="100">
        <v>9</v>
      </c>
      <c r="BG70" s="100">
        <v>4816.7999999999993</v>
      </c>
      <c r="BH70" s="100">
        <v>2.7867085015463209</v>
      </c>
      <c r="BI70" s="100">
        <v>1491.4463900275907</v>
      </c>
      <c r="BJ70" s="100">
        <v>8</v>
      </c>
      <c r="BK70" s="100">
        <v>4281.5999999999995</v>
      </c>
      <c r="BL70" s="100">
        <v>8</v>
      </c>
      <c r="BM70" s="100">
        <v>4281.5999999999995</v>
      </c>
      <c r="BN70" s="100">
        <v>10</v>
      </c>
      <c r="BO70" s="100">
        <v>5351.9999999999991</v>
      </c>
      <c r="BP70" s="100">
        <v>7</v>
      </c>
      <c r="BQ70" s="100">
        <v>3746.3999999999996</v>
      </c>
      <c r="BR70" s="100">
        <v>10</v>
      </c>
      <c r="BS70" s="100">
        <v>5351.9999999999991</v>
      </c>
      <c r="BT70" s="100">
        <v>11</v>
      </c>
      <c r="BU70" s="100">
        <v>5887.1999999999989</v>
      </c>
      <c r="BV70" s="100">
        <v>8.8513581289320857</v>
      </c>
      <c r="BW70" s="100">
        <v>4737.2468706044519</v>
      </c>
      <c r="BX70" s="100">
        <v>11</v>
      </c>
      <c r="BY70" s="100">
        <v>5887.1999999999989</v>
      </c>
      <c r="BZ70" s="100">
        <v>10</v>
      </c>
      <c r="CA70" s="100">
        <v>5351.9999999999991</v>
      </c>
      <c r="CB70" s="100">
        <v>7</v>
      </c>
      <c r="CC70" s="100">
        <v>3746.3999999999996</v>
      </c>
      <c r="CD70" s="100">
        <v>6.6895768941836726</v>
      </c>
      <c r="CE70" s="100">
        <v>3580.2615537671013</v>
      </c>
      <c r="CF70" s="100">
        <v>10</v>
      </c>
      <c r="CG70" s="100">
        <v>5351.9999999999991</v>
      </c>
      <c r="CH70" s="100">
        <v>7</v>
      </c>
      <c r="CI70" s="100">
        <v>3746.3999999999996</v>
      </c>
      <c r="CJ70" s="100">
        <v>10</v>
      </c>
      <c r="CK70" s="100">
        <v>5351.9999999999991</v>
      </c>
      <c r="CL70" s="100">
        <v>6</v>
      </c>
      <c r="CM70" s="100">
        <v>3211.2</v>
      </c>
      <c r="CN70" s="100">
        <v>6.3682417506711033</v>
      </c>
      <c r="CO70" s="100">
        <v>3408.282984959174</v>
      </c>
      <c r="CP70" s="100">
        <v>11</v>
      </c>
      <c r="CQ70" s="100">
        <v>5887.1999999999989</v>
      </c>
      <c r="CR70" s="100">
        <v>5.7358151384795075</v>
      </c>
      <c r="CS70" s="100">
        <v>3069.8082621142321</v>
      </c>
      <c r="CT70" s="100">
        <v>2.2641251821243915</v>
      </c>
      <c r="CU70" s="100">
        <v>1211.7597974729742</v>
      </c>
    </row>
    <row r="71" spans="2:99">
      <c r="B71" s="99" t="s">
        <v>130</v>
      </c>
      <c r="C71" s="99" t="s">
        <v>237</v>
      </c>
      <c r="D71" s="100">
        <v>15</v>
      </c>
      <c r="E71" s="100">
        <v>8460</v>
      </c>
      <c r="F71" s="100">
        <v>11</v>
      </c>
      <c r="G71" s="100">
        <v>6204</v>
      </c>
      <c r="H71" s="100">
        <v>8</v>
      </c>
      <c r="I71" s="100">
        <v>4512</v>
      </c>
      <c r="J71" s="100">
        <v>14</v>
      </c>
      <c r="K71" s="100">
        <v>7896</v>
      </c>
      <c r="L71" s="100">
        <v>13</v>
      </c>
      <c r="M71" s="100">
        <v>7332</v>
      </c>
      <c r="N71" s="100">
        <v>7</v>
      </c>
      <c r="O71" s="100">
        <v>3948</v>
      </c>
      <c r="P71" s="100">
        <v>8</v>
      </c>
      <c r="Q71" s="100">
        <v>4512</v>
      </c>
      <c r="R71" s="100">
        <v>10</v>
      </c>
      <c r="S71" s="100">
        <v>5640</v>
      </c>
      <c r="T71" s="100">
        <v>14</v>
      </c>
      <c r="U71" s="100">
        <v>7896</v>
      </c>
      <c r="V71" s="100">
        <v>11.261483543685772</v>
      </c>
      <c r="W71" s="100">
        <v>6351.4767186387753</v>
      </c>
      <c r="X71" s="100">
        <v>7</v>
      </c>
      <c r="Y71" s="100">
        <v>3948</v>
      </c>
      <c r="Z71" s="100">
        <v>10</v>
      </c>
      <c r="AA71" s="100">
        <v>5640</v>
      </c>
      <c r="AB71" s="100">
        <v>10.400197782050606</v>
      </c>
      <c r="AC71" s="100">
        <v>5865.7115490765418</v>
      </c>
      <c r="AD71" s="100">
        <v>11.816519766433936</v>
      </c>
      <c r="AE71" s="100">
        <v>6664.5171482687401</v>
      </c>
      <c r="AF71" s="100">
        <v>9</v>
      </c>
      <c r="AG71" s="100">
        <v>5076</v>
      </c>
      <c r="AH71" s="100">
        <v>10.593499331295051</v>
      </c>
      <c r="AI71" s="100">
        <v>5974.7336228504091</v>
      </c>
      <c r="AJ71" s="100">
        <v>9.4519174974612401</v>
      </c>
      <c r="AK71" s="100">
        <v>5330.8814685681391</v>
      </c>
      <c r="AL71" s="100">
        <v>6.9664735337931134</v>
      </c>
      <c r="AM71" s="100">
        <v>3929.0910730593159</v>
      </c>
      <c r="AN71" s="100">
        <v>7.2474990054323269</v>
      </c>
      <c r="AO71" s="100">
        <v>4087.5894390638323</v>
      </c>
      <c r="AP71" s="100">
        <v>7.8021756467112686</v>
      </c>
      <c r="AQ71" s="100">
        <v>4400.4270647451558</v>
      </c>
      <c r="AR71" s="100">
        <v>11</v>
      </c>
      <c r="AS71" s="100">
        <v>6204</v>
      </c>
      <c r="AT71" s="100">
        <v>12.288583388584364</v>
      </c>
      <c r="AU71" s="100">
        <v>6930.7610311615808</v>
      </c>
      <c r="AV71" s="100">
        <v>12.65964028872717</v>
      </c>
      <c r="AW71" s="100">
        <v>7140.0371228421236</v>
      </c>
      <c r="AX71" s="100">
        <v>6.8822016765294878</v>
      </c>
      <c r="AY71" s="100">
        <v>3881.5617455626311</v>
      </c>
      <c r="AZ71" s="100">
        <v>9.8498929710385568</v>
      </c>
      <c r="BA71" s="100">
        <v>5555.3396356657458</v>
      </c>
      <c r="BB71" s="100">
        <v>8</v>
      </c>
      <c r="BC71" s="100">
        <v>4512</v>
      </c>
      <c r="BD71" s="100">
        <v>7.579593382818361</v>
      </c>
      <c r="BE71" s="100">
        <v>4274.8906679095553</v>
      </c>
      <c r="BF71" s="100">
        <v>9.5237375609602459</v>
      </c>
      <c r="BG71" s="100">
        <v>5371.3879843815785</v>
      </c>
      <c r="BH71" s="100">
        <v>7.1116083990805095</v>
      </c>
      <c r="BI71" s="100">
        <v>4010.9471370814072</v>
      </c>
      <c r="BJ71" s="100">
        <v>6.1840073035482348</v>
      </c>
      <c r="BK71" s="100">
        <v>3487.7801192012043</v>
      </c>
      <c r="BL71" s="100">
        <v>14</v>
      </c>
      <c r="BM71" s="100">
        <v>7896</v>
      </c>
      <c r="BN71" s="100">
        <v>8</v>
      </c>
      <c r="BO71" s="100">
        <v>4512</v>
      </c>
      <c r="BP71" s="100">
        <v>7</v>
      </c>
      <c r="BQ71" s="100">
        <v>3948</v>
      </c>
      <c r="BR71" s="100">
        <v>8.5725329828990358</v>
      </c>
      <c r="BS71" s="100">
        <v>4834.9086023550562</v>
      </c>
      <c r="BT71" s="100">
        <v>9</v>
      </c>
      <c r="BU71" s="100">
        <v>5076</v>
      </c>
      <c r="BV71" s="100">
        <v>14</v>
      </c>
      <c r="BW71" s="100">
        <v>7896</v>
      </c>
      <c r="BX71" s="100">
        <v>6.1025777567466921</v>
      </c>
      <c r="BY71" s="100">
        <v>3441.8538548051342</v>
      </c>
      <c r="BZ71" s="100">
        <v>13.906869023361576</v>
      </c>
      <c r="CA71" s="100">
        <v>7843.4741291759292</v>
      </c>
      <c r="CB71" s="100">
        <v>10</v>
      </c>
      <c r="CC71" s="100">
        <v>5640</v>
      </c>
      <c r="CD71" s="100">
        <v>3.2805032449868454</v>
      </c>
      <c r="CE71" s="100">
        <v>1850.2038301725809</v>
      </c>
      <c r="CF71" s="100">
        <v>10.447346498753058</v>
      </c>
      <c r="CG71" s="100">
        <v>5892.3034252967245</v>
      </c>
      <c r="CH71" s="100">
        <v>10</v>
      </c>
      <c r="CI71" s="100">
        <v>5640</v>
      </c>
      <c r="CJ71" s="100">
        <v>14</v>
      </c>
      <c r="CK71" s="100">
        <v>7896</v>
      </c>
      <c r="CL71" s="100">
        <v>10</v>
      </c>
      <c r="CM71" s="100">
        <v>5640</v>
      </c>
      <c r="CN71" s="100">
        <v>10</v>
      </c>
      <c r="CO71" s="100">
        <v>5640</v>
      </c>
      <c r="CP71" s="100">
        <v>11</v>
      </c>
      <c r="CQ71" s="100">
        <v>6204</v>
      </c>
      <c r="CR71" s="100">
        <v>8</v>
      </c>
      <c r="CS71" s="100">
        <v>4512</v>
      </c>
      <c r="CT71" s="100">
        <v>10</v>
      </c>
      <c r="CU71" s="100">
        <v>5640</v>
      </c>
    </row>
    <row r="72" spans="2:99">
      <c r="C72" s="99" t="s">
        <v>238</v>
      </c>
      <c r="D72" s="100">
        <v>15</v>
      </c>
      <c r="E72" s="100">
        <v>1115.9999999999998</v>
      </c>
      <c r="F72" s="100">
        <v>11</v>
      </c>
      <c r="G72" s="100">
        <v>818.39999999999986</v>
      </c>
      <c r="H72" s="100">
        <v>8</v>
      </c>
      <c r="I72" s="100">
        <v>595.19999999999993</v>
      </c>
      <c r="J72" s="100">
        <v>13</v>
      </c>
      <c r="K72" s="100">
        <v>967.19999999999993</v>
      </c>
      <c r="L72" s="100">
        <v>13</v>
      </c>
      <c r="M72" s="100">
        <v>967.19999999999993</v>
      </c>
      <c r="N72" s="100">
        <v>7</v>
      </c>
      <c r="O72" s="100">
        <v>520.79999999999995</v>
      </c>
      <c r="P72" s="100">
        <v>8</v>
      </c>
      <c r="Q72" s="100">
        <v>595.19999999999993</v>
      </c>
      <c r="R72" s="100">
        <v>10</v>
      </c>
      <c r="S72" s="100">
        <v>743.99999999999989</v>
      </c>
      <c r="T72" s="100">
        <v>15</v>
      </c>
      <c r="U72" s="100">
        <v>1115.9999999999998</v>
      </c>
      <c r="V72" s="100">
        <v>12.127751508584678</v>
      </c>
      <c r="W72" s="100">
        <v>902.30471223869995</v>
      </c>
      <c r="X72" s="100">
        <v>7</v>
      </c>
      <c r="Y72" s="100">
        <v>520.79999999999995</v>
      </c>
      <c r="Z72" s="100">
        <v>12</v>
      </c>
      <c r="AA72" s="100">
        <v>892.8</v>
      </c>
      <c r="AB72" s="100">
        <v>10.400197782050606</v>
      </c>
      <c r="AC72" s="100">
        <v>773.77471498456498</v>
      </c>
      <c r="AD72" s="100">
        <v>13.785939727506259</v>
      </c>
      <c r="AE72" s="100">
        <v>1025.6739157264656</v>
      </c>
      <c r="AF72" s="100">
        <v>8</v>
      </c>
      <c r="AG72" s="100">
        <v>595.19999999999993</v>
      </c>
      <c r="AH72" s="100">
        <v>10.593499331295051</v>
      </c>
      <c r="AI72" s="100">
        <v>788.15635024835171</v>
      </c>
      <c r="AJ72" s="100">
        <v>9.4519174974612401</v>
      </c>
      <c r="AK72" s="100">
        <v>703.22266181111615</v>
      </c>
      <c r="AL72" s="100">
        <v>6.5020419648735723</v>
      </c>
      <c r="AM72" s="100">
        <v>483.75192218659373</v>
      </c>
      <c r="AN72" s="100">
        <v>6.5227491048890949</v>
      </c>
      <c r="AO72" s="100">
        <v>485.29253340374862</v>
      </c>
      <c r="AP72" s="100">
        <v>8.6690840519014092</v>
      </c>
      <c r="AQ72" s="100">
        <v>644.97985346146481</v>
      </c>
      <c r="AR72" s="100">
        <v>10</v>
      </c>
      <c r="AS72" s="100">
        <v>743.99999999999989</v>
      </c>
      <c r="AT72" s="100">
        <v>11.469344496012074</v>
      </c>
      <c r="AU72" s="100">
        <v>853.31923050329817</v>
      </c>
      <c r="AV72" s="100">
        <v>11.685821804978925</v>
      </c>
      <c r="AW72" s="100">
        <v>869.42514229043195</v>
      </c>
      <c r="AX72" s="100">
        <v>6.4233882314275217</v>
      </c>
      <c r="AY72" s="100">
        <v>477.90008441820754</v>
      </c>
      <c r="AZ72" s="100">
        <v>10.745337786587516</v>
      </c>
      <c r="BA72" s="100">
        <v>799.45313132211106</v>
      </c>
      <c r="BB72" s="100">
        <v>8</v>
      </c>
      <c r="BC72" s="100">
        <v>595.19999999999993</v>
      </c>
      <c r="BD72" s="100">
        <v>6.8905394389257824</v>
      </c>
      <c r="BE72" s="100">
        <v>512.65613425607819</v>
      </c>
      <c r="BF72" s="100">
        <v>10.317382357706933</v>
      </c>
      <c r="BG72" s="100">
        <v>767.6132474133957</v>
      </c>
      <c r="BH72" s="100">
        <v>6.095664342069008</v>
      </c>
      <c r="BI72" s="100">
        <v>453.51742704993416</v>
      </c>
      <c r="BJ72" s="100">
        <v>6.8024080339030588</v>
      </c>
      <c r="BK72" s="100">
        <v>506.09915772238753</v>
      </c>
      <c r="BL72" s="100">
        <v>13</v>
      </c>
      <c r="BM72" s="100">
        <v>967.19999999999993</v>
      </c>
      <c r="BN72" s="100">
        <v>8</v>
      </c>
      <c r="BO72" s="100">
        <v>595.19999999999993</v>
      </c>
      <c r="BP72" s="100">
        <v>8</v>
      </c>
      <c r="BQ72" s="100">
        <v>595.19999999999993</v>
      </c>
      <c r="BR72" s="100">
        <v>8.5725329828990358</v>
      </c>
      <c r="BS72" s="100">
        <v>637.79645392768816</v>
      </c>
      <c r="BT72" s="100">
        <v>10</v>
      </c>
      <c r="BU72" s="100">
        <v>743.99999999999989</v>
      </c>
      <c r="BV72" s="100">
        <v>14</v>
      </c>
      <c r="BW72" s="100">
        <v>1041.5999999999999</v>
      </c>
      <c r="BX72" s="100">
        <v>7.1196740495378075</v>
      </c>
      <c r="BY72" s="100">
        <v>529.70374928561284</v>
      </c>
      <c r="BZ72" s="100">
        <v>14.900216810744546</v>
      </c>
      <c r="CA72" s="100">
        <v>1108.5761307193941</v>
      </c>
      <c r="CB72" s="100">
        <v>12</v>
      </c>
      <c r="CC72" s="100">
        <v>892.8</v>
      </c>
      <c r="CD72" s="100">
        <v>3.2805032449868454</v>
      </c>
      <c r="CE72" s="100">
        <v>244.06944142702127</v>
      </c>
      <c r="CF72" s="100">
        <v>10.447346498753058</v>
      </c>
      <c r="CG72" s="100">
        <v>777.28257950722741</v>
      </c>
      <c r="CH72" s="100">
        <v>9</v>
      </c>
      <c r="CI72" s="100">
        <v>669.59999999999991</v>
      </c>
      <c r="CJ72" s="100">
        <v>13</v>
      </c>
      <c r="CK72" s="100">
        <v>967.19999999999993</v>
      </c>
      <c r="CL72" s="100">
        <v>10</v>
      </c>
      <c r="CM72" s="100">
        <v>743.99999999999989</v>
      </c>
      <c r="CN72" s="100">
        <v>11</v>
      </c>
      <c r="CO72" s="100">
        <v>818.39999999999986</v>
      </c>
      <c r="CP72" s="100">
        <v>11</v>
      </c>
      <c r="CQ72" s="100">
        <v>818.39999999999986</v>
      </c>
      <c r="CR72" s="100">
        <v>9</v>
      </c>
      <c r="CS72" s="100">
        <v>669.59999999999991</v>
      </c>
      <c r="CT72" s="100">
        <v>10</v>
      </c>
      <c r="CU72" s="100">
        <v>743.99999999999989</v>
      </c>
    </row>
    <row r="73" spans="2:99">
      <c r="C73" s="99" t="s">
        <v>239</v>
      </c>
      <c r="D73" s="100">
        <v>13</v>
      </c>
      <c r="E73" s="100">
        <v>7269.5999999999995</v>
      </c>
      <c r="F73" s="100">
        <v>10</v>
      </c>
      <c r="G73" s="100">
        <v>5591.9999999999991</v>
      </c>
      <c r="H73" s="100">
        <v>8</v>
      </c>
      <c r="I73" s="100">
        <v>4473.5999999999995</v>
      </c>
      <c r="J73" s="100">
        <v>14</v>
      </c>
      <c r="K73" s="100">
        <v>7828.7999999999993</v>
      </c>
      <c r="L73" s="100">
        <v>12</v>
      </c>
      <c r="M73" s="100">
        <v>6710.4</v>
      </c>
      <c r="N73" s="100">
        <v>8</v>
      </c>
      <c r="O73" s="100">
        <v>4473.5999999999995</v>
      </c>
      <c r="P73" s="100">
        <v>9</v>
      </c>
      <c r="Q73" s="100">
        <v>5032.7999999999993</v>
      </c>
      <c r="R73" s="100">
        <v>10</v>
      </c>
      <c r="S73" s="100">
        <v>5591.9999999999991</v>
      </c>
      <c r="T73" s="100">
        <v>14</v>
      </c>
      <c r="U73" s="100">
        <v>7828.7999999999993</v>
      </c>
      <c r="V73" s="100">
        <v>11.261483543685772</v>
      </c>
      <c r="W73" s="100">
        <v>6297.4215976290834</v>
      </c>
      <c r="X73" s="100">
        <v>7</v>
      </c>
      <c r="Y73" s="100">
        <v>3914.3999999999996</v>
      </c>
      <c r="Z73" s="100">
        <v>12</v>
      </c>
      <c r="AA73" s="100">
        <v>6710.4</v>
      </c>
      <c r="AB73" s="100">
        <v>9.6001825680467139</v>
      </c>
      <c r="AC73" s="100">
        <v>5368.4220920517218</v>
      </c>
      <c r="AD73" s="100">
        <v>13.785939727506259</v>
      </c>
      <c r="AE73" s="100">
        <v>7709.0974956214986</v>
      </c>
      <c r="AF73" s="100">
        <v>8</v>
      </c>
      <c r="AG73" s="100">
        <v>4473.5999999999995</v>
      </c>
      <c r="AH73" s="100">
        <v>9.7107077203537973</v>
      </c>
      <c r="AI73" s="100">
        <v>5430.2277572218427</v>
      </c>
      <c r="AJ73" s="100">
        <v>8.5067257477151177</v>
      </c>
      <c r="AK73" s="100">
        <v>4756.9610381222928</v>
      </c>
      <c r="AL73" s="100">
        <v>6.9664735337931134</v>
      </c>
      <c r="AM73" s="100">
        <v>3895.6520000971086</v>
      </c>
      <c r="AN73" s="100">
        <v>7.2474990054323269</v>
      </c>
      <c r="AO73" s="100">
        <v>4052.8014438377568</v>
      </c>
      <c r="AP73" s="100">
        <v>8.6690840519014092</v>
      </c>
      <c r="AQ73" s="100">
        <v>4847.7518018232677</v>
      </c>
      <c r="AR73" s="100">
        <v>11</v>
      </c>
      <c r="AS73" s="100">
        <v>6151.1999999999989</v>
      </c>
      <c r="AT73" s="100">
        <v>10.650105603439782</v>
      </c>
      <c r="AU73" s="100">
        <v>5955.5390534435255</v>
      </c>
      <c r="AV73" s="100">
        <v>11.685821804978925</v>
      </c>
      <c r="AW73" s="100">
        <v>6534.7115533442138</v>
      </c>
      <c r="AX73" s="100">
        <v>6.4233882314275217</v>
      </c>
      <c r="AY73" s="100">
        <v>3591.9586990142698</v>
      </c>
      <c r="AZ73" s="100">
        <v>9.8498929710385568</v>
      </c>
      <c r="BA73" s="100">
        <v>5508.0601494047605</v>
      </c>
      <c r="BB73" s="100">
        <v>8</v>
      </c>
      <c r="BC73" s="100">
        <v>4473.5999999999995</v>
      </c>
      <c r="BD73" s="100">
        <v>7.579593382818361</v>
      </c>
      <c r="BE73" s="100">
        <v>4238.5086196720267</v>
      </c>
      <c r="BF73" s="100">
        <v>9.5237375609602459</v>
      </c>
      <c r="BG73" s="100">
        <v>5325.6740440889689</v>
      </c>
      <c r="BH73" s="100">
        <v>6.6036363705747592</v>
      </c>
      <c r="BI73" s="100">
        <v>3692.7534584254049</v>
      </c>
      <c r="BJ73" s="100">
        <v>6.8024080339030588</v>
      </c>
      <c r="BK73" s="100">
        <v>3803.9065725585901</v>
      </c>
      <c r="BL73" s="100">
        <v>14</v>
      </c>
      <c r="BM73" s="100">
        <v>7828.7999999999993</v>
      </c>
      <c r="BN73" s="100">
        <v>8</v>
      </c>
      <c r="BO73" s="100">
        <v>4473.5999999999995</v>
      </c>
      <c r="BP73" s="100">
        <v>8</v>
      </c>
      <c r="BQ73" s="100">
        <v>4473.5999999999995</v>
      </c>
      <c r="BR73" s="100">
        <v>8.5725329828990358</v>
      </c>
      <c r="BS73" s="100">
        <v>4793.7604440371406</v>
      </c>
      <c r="BT73" s="100">
        <v>8</v>
      </c>
      <c r="BU73" s="100">
        <v>4473.5999999999995</v>
      </c>
      <c r="BV73" s="100">
        <v>15</v>
      </c>
      <c r="BW73" s="100">
        <v>8387.9999999999982</v>
      </c>
      <c r="BX73" s="100">
        <v>6.6111259031422502</v>
      </c>
      <c r="BY73" s="100">
        <v>3696.941605037146</v>
      </c>
      <c r="BZ73" s="100">
        <v>12.913521235978607</v>
      </c>
      <c r="CA73" s="100">
        <v>7221.2410751592361</v>
      </c>
      <c r="CB73" s="100">
        <v>11</v>
      </c>
      <c r="CC73" s="100">
        <v>6151.1999999999989</v>
      </c>
      <c r="CD73" s="100">
        <v>3.2805032449868454</v>
      </c>
      <c r="CE73" s="100">
        <v>1834.4574145966437</v>
      </c>
      <c r="CF73" s="100">
        <v>10.447346498753058</v>
      </c>
      <c r="CG73" s="100">
        <v>5842.1561621027095</v>
      </c>
      <c r="CH73" s="100">
        <v>10</v>
      </c>
      <c r="CI73" s="100">
        <v>5591.9999999999991</v>
      </c>
      <c r="CJ73" s="100">
        <v>14</v>
      </c>
      <c r="CK73" s="100">
        <v>7828.7999999999993</v>
      </c>
      <c r="CL73" s="100">
        <v>10</v>
      </c>
      <c r="CM73" s="100">
        <v>5591.9999999999991</v>
      </c>
      <c r="CN73" s="100">
        <v>11</v>
      </c>
      <c r="CO73" s="100">
        <v>6151.1999999999989</v>
      </c>
      <c r="CP73" s="100">
        <v>11</v>
      </c>
      <c r="CQ73" s="100">
        <v>6151.1999999999989</v>
      </c>
      <c r="CR73" s="100">
        <v>8</v>
      </c>
      <c r="CS73" s="100">
        <v>4473.5999999999995</v>
      </c>
      <c r="CT73" s="100">
        <v>9</v>
      </c>
      <c r="CU73" s="100">
        <v>5032.7999999999993</v>
      </c>
    </row>
    <row r="74" spans="2:99">
      <c r="C74" s="99" t="s">
        <v>240</v>
      </c>
      <c r="D74" s="100">
        <v>15</v>
      </c>
      <c r="E74" s="100">
        <v>6048</v>
      </c>
      <c r="F74" s="100">
        <v>11</v>
      </c>
      <c r="G74" s="100">
        <v>4435.2</v>
      </c>
      <c r="H74" s="100">
        <v>8</v>
      </c>
      <c r="I74" s="100">
        <v>3225.6</v>
      </c>
      <c r="J74" s="100">
        <v>15</v>
      </c>
      <c r="K74" s="100">
        <v>6048</v>
      </c>
      <c r="L74" s="100">
        <v>14</v>
      </c>
      <c r="M74" s="100">
        <v>5644.8</v>
      </c>
      <c r="N74" s="100">
        <v>8</v>
      </c>
      <c r="O74" s="100">
        <v>3225.6</v>
      </c>
      <c r="P74" s="100">
        <v>8</v>
      </c>
      <c r="Q74" s="100">
        <v>3225.6</v>
      </c>
      <c r="R74" s="100">
        <v>9</v>
      </c>
      <c r="S74" s="100">
        <v>3628.7999999999997</v>
      </c>
      <c r="T74" s="100">
        <v>14</v>
      </c>
      <c r="U74" s="100">
        <v>5644.8</v>
      </c>
      <c r="V74" s="100">
        <v>12.994019473483583</v>
      </c>
      <c r="W74" s="100">
        <v>5239.1886517085804</v>
      </c>
      <c r="X74" s="100">
        <v>8</v>
      </c>
      <c r="Y74" s="100">
        <v>3225.6</v>
      </c>
      <c r="Z74" s="100">
        <v>12</v>
      </c>
      <c r="AA74" s="100">
        <v>4838.3999999999996</v>
      </c>
      <c r="AB74" s="100">
        <v>11.200212996054498</v>
      </c>
      <c r="AC74" s="100">
        <v>4515.9258800091739</v>
      </c>
      <c r="AD74" s="100">
        <v>12.801229746970098</v>
      </c>
      <c r="AE74" s="100">
        <v>5161.4558339783434</v>
      </c>
      <c r="AF74" s="100">
        <v>8</v>
      </c>
      <c r="AG74" s="100">
        <v>3225.6</v>
      </c>
      <c r="AH74" s="100">
        <v>9.7107077203537973</v>
      </c>
      <c r="AI74" s="100">
        <v>3915.3573528466509</v>
      </c>
      <c r="AJ74" s="100">
        <v>9.4519174974612401</v>
      </c>
      <c r="AK74" s="100">
        <v>3811.0131349763719</v>
      </c>
      <c r="AL74" s="100">
        <v>6.0376103959540321</v>
      </c>
      <c r="AM74" s="100">
        <v>2434.3645116486655</v>
      </c>
      <c r="AN74" s="100">
        <v>6.5227491048890949</v>
      </c>
      <c r="AO74" s="100">
        <v>2629.9724390912829</v>
      </c>
      <c r="AP74" s="100">
        <v>7.8021756467112686</v>
      </c>
      <c r="AQ74" s="100">
        <v>3145.8372207539833</v>
      </c>
      <c r="AR74" s="100">
        <v>10</v>
      </c>
      <c r="AS74" s="100">
        <v>4032</v>
      </c>
      <c r="AT74" s="100">
        <v>12.288583388584364</v>
      </c>
      <c r="AU74" s="100">
        <v>4954.7568222772152</v>
      </c>
      <c r="AV74" s="100">
        <v>11.685821804978925</v>
      </c>
      <c r="AW74" s="100">
        <v>4711.7233517675022</v>
      </c>
      <c r="AX74" s="100">
        <v>6.4233882314275217</v>
      </c>
      <c r="AY74" s="100">
        <v>2589.9101349115767</v>
      </c>
      <c r="AZ74" s="100">
        <v>10.745337786587516</v>
      </c>
      <c r="BA74" s="100">
        <v>4332.5201955520861</v>
      </c>
      <c r="BB74" s="100">
        <v>8</v>
      </c>
      <c r="BC74" s="100">
        <v>3225.6</v>
      </c>
      <c r="BD74" s="100">
        <v>7.579593382818361</v>
      </c>
      <c r="BE74" s="100">
        <v>3056.0920519523629</v>
      </c>
      <c r="BF74" s="100">
        <v>9.5237375609602459</v>
      </c>
      <c r="BG74" s="100">
        <v>3839.9709845791713</v>
      </c>
      <c r="BH74" s="100">
        <v>6.6036363705747592</v>
      </c>
      <c r="BI74" s="100">
        <v>2662.5861846157427</v>
      </c>
      <c r="BJ74" s="100">
        <v>6.8024080339030588</v>
      </c>
      <c r="BK74" s="100">
        <v>2742.730919269713</v>
      </c>
      <c r="BL74" s="100">
        <v>13</v>
      </c>
      <c r="BM74" s="100">
        <v>5241.5999999999995</v>
      </c>
      <c r="BN74" s="100">
        <v>9</v>
      </c>
      <c r="BO74" s="100">
        <v>3628.7999999999997</v>
      </c>
      <c r="BP74" s="100">
        <v>8</v>
      </c>
      <c r="BQ74" s="100">
        <v>3225.6</v>
      </c>
      <c r="BR74" s="100">
        <v>9.4297862811889388</v>
      </c>
      <c r="BS74" s="100">
        <v>3802.0898285753801</v>
      </c>
      <c r="BT74" s="100">
        <v>9</v>
      </c>
      <c r="BU74" s="100">
        <v>3628.7999999999997</v>
      </c>
      <c r="BV74" s="100">
        <v>12</v>
      </c>
      <c r="BW74" s="100">
        <v>4838.3999999999996</v>
      </c>
      <c r="BX74" s="100">
        <v>6.6111259031422502</v>
      </c>
      <c r="BY74" s="100">
        <v>2665.6059641469551</v>
      </c>
      <c r="BZ74" s="100">
        <v>12.913521235978607</v>
      </c>
      <c r="CA74" s="100">
        <v>5206.7317623465742</v>
      </c>
      <c r="CB74" s="100">
        <v>11</v>
      </c>
      <c r="CC74" s="100">
        <v>4435.2</v>
      </c>
      <c r="CD74" s="100">
        <v>2.9524529204881613</v>
      </c>
      <c r="CE74" s="100">
        <v>1190.4290175408266</v>
      </c>
      <c r="CF74" s="100">
        <v>10.447346498753058</v>
      </c>
      <c r="CG74" s="100">
        <v>4212.3701082972329</v>
      </c>
      <c r="CH74" s="100">
        <v>10</v>
      </c>
      <c r="CI74" s="100">
        <v>4032</v>
      </c>
      <c r="CJ74" s="100">
        <v>13</v>
      </c>
      <c r="CK74" s="100">
        <v>5241.5999999999995</v>
      </c>
      <c r="CL74" s="100">
        <v>11</v>
      </c>
      <c r="CM74" s="100">
        <v>4435.2</v>
      </c>
      <c r="CN74" s="100">
        <v>10</v>
      </c>
      <c r="CO74" s="100">
        <v>4032</v>
      </c>
      <c r="CP74" s="100">
        <v>11</v>
      </c>
      <c r="CQ74" s="100">
        <v>4435.2</v>
      </c>
      <c r="CR74" s="100">
        <v>9</v>
      </c>
      <c r="CS74" s="100">
        <v>3628.7999999999997</v>
      </c>
      <c r="CT74" s="100">
        <v>10</v>
      </c>
      <c r="CU74" s="100">
        <v>4032</v>
      </c>
    </row>
    <row r="75" spans="2:99">
      <c r="C75" s="99" t="s">
        <v>241</v>
      </c>
      <c r="D75" s="100">
        <v>13</v>
      </c>
      <c r="E75" s="100">
        <v>8361.5999999999985</v>
      </c>
      <c r="F75" s="100">
        <v>10</v>
      </c>
      <c r="G75" s="100">
        <v>6431.9999999999991</v>
      </c>
      <c r="H75" s="100">
        <v>7</v>
      </c>
      <c r="I75" s="100">
        <v>4502.3999999999996</v>
      </c>
      <c r="J75" s="100">
        <v>14</v>
      </c>
      <c r="K75" s="100">
        <v>9004.7999999999993</v>
      </c>
      <c r="L75" s="100">
        <v>13</v>
      </c>
      <c r="M75" s="100">
        <v>8361.5999999999985</v>
      </c>
      <c r="N75" s="100">
        <v>7</v>
      </c>
      <c r="O75" s="100">
        <v>4502.3999999999996</v>
      </c>
      <c r="P75" s="100">
        <v>8</v>
      </c>
      <c r="Q75" s="100">
        <v>5145.5999999999995</v>
      </c>
      <c r="R75" s="100">
        <v>9</v>
      </c>
      <c r="S75" s="100">
        <v>5788.7999999999993</v>
      </c>
      <c r="T75" s="100">
        <v>13</v>
      </c>
      <c r="U75" s="100">
        <v>8361.5999999999985</v>
      </c>
      <c r="V75" s="100">
        <v>11.261483543685772</v>
      </c>
      <c r="W75" s="100">
        <v>7243.3862152986876</v>
      </c>
      <c r="X75" s="100">
        <v>7</v>
      </c>
      <c r="Y75" s="100">
        <v>4502.3999999999996</v>
      </c>
      <c r="Z75" s="100">
        <v>10</v>
      </c>
      <c r="AA75" s="100">
        <v>6431.9999999999991</v>
      </c>
      <c r="AB75" s="100">
        <v>10.400197782050606</v>
      </c>
      <c r="AC75" s="100">
        <v>6689.4072134149492</v>
      </c>
      <c r="AD75" s="100">
        <v>13.785939727506259</v>
      </c>
      <c r="AE75" s="100">
        <v>8867.1164327320239</v>
      </c>
      <c r="AF75" s="100">
        <v>8</v>
      </c>
      <c r="AG75" s="100">
        <v>5145.5999999999995</v>
      </c>
      <c r="AH75" s="100">
        <v>10.593499331295051</v>
      </c>
      <c r="AI75" s="100">
        <v>6813.7387698889761</v>
      </c>
      <c r="AJ75" s="100">
        <v>9.4519174974612401</v>
      </c>
      <c r="AK75" s="100">
        <v>6079.4733343670687</v>
      </c>
      <c r="AL75" s="100">
        <v>6.9664735337931134</v>
      </c>
      <c r="AM75" s="100">
        <v>4480.8357769357299</v>
      </c>
      <c r="AN75" s="100">
        <v>6.5227491048890949</v>
      </c>
      <c r="AO75" s="100">
        <v>4195.4322242646658</v>
      </c>
      <c r="AP75" s="100">
        <v>8.6690840519014092</v>
      </c>
      <c r="AQ75" s="100">
        <v>5575.9548621829854</v>
      </c>
      <c r="AR75" s="100">
        <v>12</v>
      </c>
      <c r="AS75" s="100">
        <v>7718.4</v>
      </c>
      <c r="AT75" s="100">
        <v>11.469344496012074</v>
      </c>
      <c r="AU75" s="100">
        <v>7377.0823798349647</v>
      </c>
      <c r="AV75" s="100">
        <v>11.685821804978925</v>
      </c>
      <c r="AW75" s="100">
        <v>7516.3205849624437</v>
      </c>
      <c r="AX75" s="100">
        <v>7.341015121631453</v>
      </c>
      <c r="AY75" s="100">
        <v>4721.7409262333504</v>
      </c>
      <c r="AZ75" s="100">
        <v>9.8498929710385568</v>
      </c>
      <c r="BA75" s="100">
        <v>6335.4511589719987</v>
      </c>
      <c r="BB75" s="100">
        <v>8</v>
      </c>
      <c r="BC75" s="100">
        <v>5145.5999999999995</v>
      </c>
      <c r="BD75" s="100">
        <v>8.2686473267109388</v>
      </c>
      <c r="BE75" s="100">
        <v>5318.3939605404748</v>
      </c>
      <c r="BF75" s="100">
        <v>10.317382357706933</v>
      </c>
      <c r="BG75" s="100">
        <v>6636.1403324770981</v>
      </c>
      <c r="BH75" s="100">
        <v>6.095664342069008</v>
      </c>
      <c r="BI75" s="100">
        <v>3920.7313048187857</v>
      </c>
      <c r="BJ75" s="100">
        <v>6.1840073035482348</v>
      </c>
      <c r="BK75" s="100">
        <v>3977.5534976422241</v>
      </c>
      <c r="BL75" s="100">
        <v>13</v>
      </c>
      <c r="BM75" s="100">
        <v>8361.5999999999985</v>
      </c>
      <c r="BN75" s="100">
        <v>8</v>
      </c>
      <c r="BO75" s="100">
        <v>5145.5999999999995</v>
      </c>
      <c r="BP75" s="100">
        <v>8</v>
      </c>
      <c r="BQ75" s="100">
        <v>5145.5999999999995</v>
      </c>
      <c r="BR75" s="100">
        <v>9.4297862811889388</v>
      </c>
      <c r="BS75" s="100">
        <v>6065.238536060725</v>
      </c>
      <c r="BT75" s="100">
        <v>9</v>
      </c>
      <c r="BU75" s="100">
        <v>5788.7999999999993</v>
      </c>
      <c r="BV75" s="100">
        <v>13</v>
      </c>
      <c r="BW75" s="100">
        <v>8361.5999999999985</v>
      </c>
      <c r="BX75" s="100">
        <v>7.6282221959333647</v>
      </c>
      <c r="BY75" s="100">
        <v>4906.47251642434</v>
      </c>
      <c r="BZ75" s="100">
        <v>13.906869023361576</v>
      </c>
      <c r="CA75" s="100">
        <v>8944.8981558261639</v>
      </c>
      <c r="CB75" s="100">
        <v>11</v>
      </c>
      <c r="CC75" s="100">
        <v>7075.1999999999989</v>
      </c>
      <c r="CD75" s="100">
        <v>3.2805032449868454</v>
      </c>
      <c r="CE75" s="100">
        <v>2110.0196871755388</v>
      </c>
      <c r="CF75" s="100">
        <v>11.397105271366971</v>
      </c>
      <c r="CG75" s="100">
        <v>7330.6181105432352</v>
      </c>
      <c r="CH75" s="100">
        <v>9</v>
      </c>
      <c r="CI75" s="100">
        <v>5788.7999999999993</v>
      </c>
      <c r="CJ75" s="100">
        <v>14</v>
      </c>
      <c r="CK75" s="100">
        <v>9004.7999999999993</v>
      </c>
      <c r="CL75" s="100">
        <v>10</v>
      </c>
      <c r="CM75" s="100">
        <v>6431.9999999999991</v>
      </c>
      <c r="CN75" s="100">
        <v>9</v>
      </c>
      <c r="CO75" s="100">
        <v>5788.7999999999993</v>
      </c>
      <c r="CP75" s="100">
        <v>10</v>
      </c>
      <c r="CQ75" s="100">
        <v>6431.9999999999991</v>
      </c>
      <c r="CR75" s="100">
        <v>8</v>
      </c>
      <c r="CS75" s="100">
        <v>5145.5999999999995</v>
      </c>
      <c r="CT75" s="100">
        <v>9</v>
      </c>
      <c r="CU75" s="100">
        <v>5788.7999999999993</v>
      </c>
    </row>
    <row r="76" spans="2:99">
      <c r="C76" s="99" t="s">
        <v>242</v>
      </c>
      <c r="D76" s="100">
        <v>15</v>
      </c>
      <c r="E76" s="100">
        <v>11682</v>
      </c>
      <c r="F76" s="100">
        <v>10</v>
      </c>
      <c r="G76" s="100">
        <v>7788</v>
      </c>
      <c r="H76" s="100">
        <v>8</v>
      </c>
      <c r="I76" s="100">
        <v>6230.4</v>
      </c>
      <c r="J76" s="100">
        <v>13</v>
      </c>
      <c r="K76" s="100">
        <v>10124.4</v>
      </c>
      <c r="L76" s="100">
        <v>13</v>
      </c>
      <c r="M76" s="100">
        <v>10124.4</v>
      </c>
      <c r="N76" s="100">
        <v>8</v>
      </c>
      <c r="O76" s="100">
        <v>6230.4</v>
      </c>
      <c r="P76" s="100">
        <v>8</v>
      </c>
      <c r="Q76" s="100">
        <v>6230.4</v>
      </c>
      <c r="R76" s="100">
        <v>9</v>
      </c>
      <c r="S76" s="100">
        <v>7009.2</v>
      </c>
      <c r="T76" s="100">
        <v>14</v>
      </c>
      <c r="U76" s="100">
        <v>10903.199999999999</v>
      </c>
      <c r="V76" s="100">
        <v>12.127751508584678</v>
      </c>
      <c r="W76" s="100">
        <v>9445.0928748857477</v>
      </c>
      <c r="X76" s="100">
        <v>8</v>
      </c>
      <c r="Y76" s="100">
        <v>6230.4</v>
      </c>
      <c r="Z76" s="100">
        <v>11</v>
      </c>
      <c r="AA76" s="100">
        <v>8566.7999999999993</v>
      </c>
      <c r="AB76" s="100">
        <v>10.400197782050606</v>
      </c>
      <c r="AC76" s="100">
        <v>8099.6740326610116</v>
      </c>
      <c r="AD76" s="100">
        <v>11.816519766433936</v>
      </c>
      <c r="AE76" s="100">
        <v>9202.7055940987484</v>
      </c>
      <c r="AF76" s="100">
        <v>9</v>
      </c>
      <c r="AG76" s="100">
        <v>7009.2</v>
      </c>
      <c r="AH76" s="100">
        <v>10.593499331295051</v>
      </c>
      <c r="AI76" s="100">
        <v>8250.2172792125857</v>
      </c>
      <c r="AJ76" s="100">
        <v>10.397109247207366</v>
      </c>
      <c r="AK76" s="100">
        <v>8097.268681725096</v>
      </c>
      <c r="AL76" s="100">
        <v>6.0376103959540321</v>
      </c>
      <c r="AM76" s="100">
        <v>4702.0909763689997</v>
      </c>
      <c r="AN76" s="100">
        <v>6.5227491048890949</v>
      </c>
      <c r="AO76" s="100">
        <v>5079.9170028876269</v>
      </c>
      <c r="AP76" s="100">
        <v>8.6690840519014092</v>
      </c>
      <c r="AQ76" s="100">
        <v>6751.4826596208168</v>
      </c>
      <c r="AR76" s="100">
        <v>10</v>
      </c>
      <c r="AS76" s="100">
        <v>7788</v>
      </c>
      <c r="AT76" s="100">
        <v>10.650105603439782</v>
      </c>
      <c r="AU76" s="100">
        <v>8294.3022439589022</v>
      </c>
      <c r="AV76" s="100">
        <v>12.65964028872717</v>
      </c>
      <c r="AW76" s="100">
        <v>9859.3278568607184</v>
      </c>
      <c r="AX76" s="100">
        <v>6.4233882314275217</v>
      </c>
      <c r="AY76" s="100">
        <v>5002.5347546357534</v>
      </c>
      <c r="AZ76" s="100">
        <v>9.8498929710385568</v>
      </c>
      <c r="BA76" s="100">
        <v>7671.0966458448274</v>
      </c>
      <c r="BB76" s="100">
        <v>8</v>
      </c>
      <c r="BC76" s="100">
        <v>6230.4</v>
      </c>
      <c r="BD76" s="100">
        <v>6.8905394389257824</v>
      </c>
      <c r="BE76" s="100">
        <v>5366.352115035399</v>
      </c>
      <c r="BF76" s="100">
        <v>9.5237375609602459</v>
      </c>
      <c r="BG76" s="100">
        <v>7417.086812475839</v>
      </c>
      <c r="BH76" s="100">
        <v>6.095664342069008</v>
      </c>
      <c r="BI76" s="100">
        <v>4747.303389603343</v>
      </c>
      <c r="BJ76" s="100">
        <v>6.8024080339030588</v>
      </c>
      <c r="BK76" s="100">
        <v>5297.7153768037015</v>
      </c>
      <c r="BL76" s="100">
        <v>14</v>
      </c>
      <c r="BM76" s="100">
        <v>10903.199999999999</v>
      </c>
      <c r="BN76" s="100">
        <v>8</v>
      </c>
      <c r="BO76" s="100">
        <v>6230.4</v>
      </c>
      <c r="BP76" s="100">
        <v>8</v>
      </c>
      <c r="BQ76" s="100">
        <v>6230.4</v>
      </c>
      <c r="BR76" s="100">
        <v>9.4297862811889388</v>
      </c>
      <c r="BS76" s="100">
        <v>7343.9175557899453</v>
      </c>
      <c r="BT76" s="100">
        <v>9</v>
      </c>
      <c r="BU76" s="100">
        <v>7009.2</v>
      </c>
      <c r="BV76" s="100">
        <v>13</v>
      </c>
      <c r="BW76" s="100">
        <v>10124.4</v>
      </c>
      <c r="BX76" s="100">
        <v>6.6111259031422502</v>
      </c>
      <c r="BY76" s="100">
        <v>5148.7448533671841</v>
      </c>
      <c r="BZ76" s="100">
        <v>11.920173448595637</v>
      </c>
      <c r="CA76" s="100">
        <v>9283.4310817662808</v>
      </c>
      <c r="CB76" s="100">
        <v>11</v>
      </c>
      <c r="CC76" s="100">
        <v>8566.7999999999993</v>
      </c>
      <c r="CD76" s="100">
        <v>3.2805032449868454</v>
      </c>
      <c r="CE76" s="100">
        <v>2554.8559271957552</v>
      </c>
      <c r="CF76" s="100">
        <v>10.447346498753058</v>
      </c>
      <c r="CG76" s="100">
        <v>8136.3934532288813</v>
      </c>
      <c r="CH76" s="100">
        <v>9</v>
      </c>
      <c r="CI76" s="100">
        <v>7009.2</v>
      </c>
      <c r="CJ76" s="100">
        <v>14</v>
      </c>
      <c r="CK76" s="100">
        <v>10903.199999999999</v>
      </c>
      <c r="CL76" s="100">
        <v>10</v>
      </c>
      <c r="CM76" s="100">
        <v>7788</v>
      </c>
      <c r="CN76" s="100">
        <v>9</v>
      </c>
      <c r="CO76" s="100">
        <v>7009.2</v>
      </c>
      <c r="CP76" s="100">
        <v>10</v>
      </c>
      <c r="CQ76" s="100">
        <v>7788</v>
      </c>
      <c r="CR76" s="100">
        <v>9</v>
      </c>
      <c r="CS76" s="100">
        <v>7009.2</v>
      </c>
      <c r="CT76" s="100">
        <v>10</v>
      </c>
      <c r="CU76" s="100">
        <v>7788</v>
      </c>
    </row>
    <row r="77" spans="2:99">
      <c r="C77" s="99" t="s">
        <v>243</v>
      </c>
      <c r="D77" s="100">
        <v>13</v>
      </c>
      <c r="E77" s="100">
        <v>3619.2</v>
      </c>
      <c r="F77" s="100">
        <v>11</v>
      </c>
      <c r="G77" s="100">
        <v>3062.3999999999996</v>
      </c>
      <c r="H77" s="100">
        <v>8</v>
      </c>
      <c r="I77" s="100">
        <v>2227.1999999999998</v>
      </c>
      <c r="J77" s="100">
        <v>14</v>
      </c>
      <c r="K77" s="100">
        <v>3897.5999999999995</v>
      </c>
      <c r="L77" s="100">
        <v>12</v>
      </c>
      <c r="M77" s="100">
        <v>3340.7999999999997</v>
      </c>
      <c r="N77" s="100">
        <v>7</v>
      </c>
      <c r="O77" s="100">
        <v>1948.7999999999997</v>
      </c>
      <c r="P77" s="100">
        <v>9</v>
      </c>
      <c r="Q77" s="100">
        <v>2505.6</v>
      </c>
      <c r="R77" s="100">
        <v>9</v>
      </c>
      <c r="S77" s="100">
        <v>2505.6</v>
      </c>
      <c r="T77" s="100">
        <v>15</v>
      </c>
      <c r="U77" s="100">
        <v>4176</v>
      </c>
      <c r="V77" s="100">
        <v>12.127751508584678</v>
      </c>
      <c r="W77" s="100">
        <v>3376.3660199899741</v>
      </c>
      <c r="X77" s="100">
        <v>8</v>
      </c>
      <c r="Y77" s="100">
        <v>2227.1999999999998</v>
      </c>
      <c r="Z77" s="100">
        <v>11</v>
      </c>
      <c r="AA77" s="100">
        <v>3062.3999999999996</v>
      </c>
      <c r="AB77" s="100">
        <v>11.200212996054498</v>
      </c>
      <c r="AC77" s="100">
        <v>3118.139298101572</v>
      </c>
      <c r="AD77" s="100">
        <v>11.816519766433936</v>
      </c>
      <c r="AE77" s="100">
        <v>3289.7191029752075</v>
      </c>
      <c r="AF77" s="100">
        <v>8</v>
      </c>
      <c r="AG77" s="100">
        <v>2227.1999999999998</v>
      </c>
      <c r="AH77" s="100">
        <v>9.7107077203537973</v>
      </c>
      <c r="AI77" s="100">
        <v>2703.4610293464971</v>
      </c>
      <c r="AJ77" s="100">
        <v>9.4519174974612401</v>
      </c>
      <c r="AK77" s="100">
        <v>2631.4138312932091</v>
      </c>
      <c r="AL77" s="100">
        <v>6.9664735337931134</v>
      </c>
      <c r="AM77" s="100">
        <v>1939.4662318080027</v>
      </c>
      <c r="AN77" s="100">
        <v>7.2474990054323269</v>
      </c>
      <c r="AO77" s="100">
        <v>2017.7037231123597</v>
      </c>
      <c r="AP77" s="100">
        <v>9.5359924570915506</v>
      </c>
      <c r="AQ77" s="100">
        <v>2654.8203000542876</v>
      </c>
      <c r="AR77" s="100">
        <v>11</v>
      </c>
      <c r="AS77" s="100">
        <v>3062.3999999999996</v>
      </c>
      <c r="AT77" s="100">
        <v>12.288583388584364</v>
      </c>
      <c r="AU77" s="100">
        <v>3421.1416153818868</v>
      </c>
      <c r="AV77" s="100">
        <v>12.65964028872717</v>
      </c>
      <c r="AW77" s="100">
        <v>3524.4438563816439</v>
      </c>
      <c r="AX77" s="100">
        <v>6.4233882314275217</v>
      </c>
      <c r="AY77" s="100">
        <v>1788.271283629422</v>
      </c>
      <c r="AZ77" s="100">
        <v>9.8498929710385568</v>
      </c>
      <c r="BA77" s="100">
        <v>2742.2102031371342</v>
      </c>
      <c r="BB77" s="100">
        <v>8</v>
      </c>
      <c r="BC77" s="100">
        <v>2227.1999999999998</v>
      </c>
      <c r="BD77" s="100">
        <v>7.579593382818361</v>
      </c>
      <c r="BE77" s="100">
        <v>2110.1587977766317</v>
      </c>
      <c r="BF77" s="100">
        <v>9.5237375609602459</v>
      </c>
      <c r="BG77" s="100">
        <v>2651.4085369713321</v>
      </c>
      <c r="BH77" s="100">
        <v>7.1116083990805095</v>
      </c>
      <c r="BI77" s="100">
        <v>1979.8717783040136</v>
      </c>
      <c r="BJ77" s="100">
        <v>6.8024080339030588</v>
      </c>
      <c r="BK77" s="100">
        <v>1893.7903966386114</v>
      </c>
      <c r="BL77" s="100">
        <v>13</v>
      </c>
      <c r="BM77" s="100">
        <v>3619.2</v>
      </c>
      <c r="BN77" s="100">
        <v>8</v>
      </c>
      <c r="BO77" s="100">
        <v>2227.1999999999998</v>
      </c>
      <c r="BP77" s="100">
        <v>8</v>
      </c>
      <c r="BQ77" s="100">
        <v>2227.1999999999998</v>
      </c>
      <c r="BR77" s="100">
        <v>10.287039579478842</v>
      </c>
      <c r="BS77" s="100">
        <v>2863.9118189269093</v>
      </c>
      <c r="BT77" s="100">
        <v>8</v>
      </c>
      <c r="BU77" s="100">
        <v>2227.1999999999998</v>
      </c>
      <c r="BV77" s="100">
        <v>14</v>
      </c>
      <c r="BW77" s="100">
        <v>3897.5999999999995</v>
      </c>
      <c r="BX77" s="100">
        <v>6.6111259031422502</v>
      </c>
      <c r="BY77" s="100">
        <v>1840.5374514348023</v>
      </c>
      <c r="BZ77" s="100">
        <v>13.906869023361576</v>
      </c>
      <c r="CA77" s="100">
        <v>3871.6723361038626</v>
      </c>
      <c r="CB77" s="100">
        <v>10</v>
      </c>
      <c r="CC77" s="100">
        <v>2784</v>
      </c>
      <c r="CD77" s="100">
        <v>3.2805032449868454</v>
      </c>
      <c r="CE77" s="100">
        <v>913.29210340433769</v>
      </c>
      <c r="CF77" s="100">
        <v>9.4975877261391428</v>
      </c>
      <c r="CG77" s="100">
        <v>2644.128422957137</v>
      </c>
      <c r="CH77" s="100">
        <v>10</v>
      </c>
      <c r="CI77" s="100">
        <v>2784</v>
      </c>
      <c r="CJ77" s="100">
        <v>13</v>
      </c>
      <c r="CK77" s="100">
        <v>3619.2</v>
      </c>
      <c r="CL77" s="100">
        <v>11</v>
      </c>
      <c r="CM77" s="100">
        <v>3062.3999999999996</v>
      </c>
      <c r="CN77" s="100">
        <v>10</v>
      </c>
      <c r="CO77" s="100">
        <v>2784</v>
      </c>
      <c r="CP77" s="100">
        <v>11</v>
      </c>
      <c r="CQ77" s="100">
        <v>3062.3999999999996</v>
      </c>
      <c r="CR77" s="100">
        <v>9</v>
      </c>
      <c r="CS77" s="100">
        <v>2505.6</v>
      </c>
      <c r="CT77" s="100">
        <v>9</v>
      </c>
      <c r="CU77" s="100">
        <v>2505.6</v>
      </c>
    </row>
    <row r="78" spans="2:99">
      <c r="C78" s="99" t="s">
        <v>244</v>
      </c>
      <c r="D78" s="100">
        <v>15</v>
      </c>
      <c r="E78" s="100">
        <v>8280</v>
      </c>
      <c r="F78" s="100">
        <v>12</v>
      </c>
      <c r="G78" s="100">
        <v>6624</v>
      </c>
      <c r="H78" s="100">
        <v>8</v>
      </c>
      <c r="I78" s="100">
        <v>4416</v>
      </c>
      <c r="J78" s="100">
        <v>14</v>
      </c>
      <c r="K78" s="100">
        <v>7728</v>
      </c>
      <c r="L78" s="100">
        <v>12</v>
      </c>
      <c r="M78" s="100">
        <v>6624</v>
      </c>
      <c r="N78" s="100">
        <v>8</v>
      </c>
      <c r="O78" s="100">
        <v>4416</v>
      </c>
      <c r="P78" s="100">
        <v>8</v>
      </c>
      <c r="Q78" s="100">
        <v>4416</v>
      </c>
      <c r="R78" s="100">
        <v>9</v>
      </c>
      <c r="S78" s="100">
        <v>4968</v>
      </c>
      <c r="T78" s="100">
        <v>14</v>
      </c>
      <c r="U78" s="100">
        <v>7728</v>
      </c>
      <c r="V78" s="100">
        <v>12.994019473483583</v>
      </c>
      <c r="W78" s="100">
        <v>7172.6987493629376</v>
      </c>
      <c r="X78" s="100">
        <v>7</v>
      </c>
      <c r="Y78" s="100">
        <v>3864</v>
      </c>
      <c r="Z78" s="100">
        <v>10</v>
      </c>
      <c r="AA78" s="100">
        <v>5520</v>
      </c>
      <c r="AB78" s="100">
        <v>10.400197782050606</v>
      </c>
      <c r="AC78" s="100">
        <v>5740.9091756919343</v>
      </c>
      <c r="AD78" s="100">
        <v>13.785939727506259</v>
      </c>
      <c r="AE78" s="100">
        <v>7609.8387295834546</v>
      </c>
      <c r="AF78" s="100">
        <v>9</v>
      </c>
      <c r="AG78" s="100">
        <v>4968</v>
      </c>
      <c r="AH78" s="100">
        <v>11.476290942236306</v>
      </c>
      <c r="AI78" s="100">
        <v>6334.9126001144405</v>
      </c>
      <c r="AJ78" s="100">
        <v>8.5067257477151177</v>
      </c>
      <c r="AK78" s="100">
        <v>4695.7126127387446</v>
      </c>
      <c r="AL78" s="100">
        <v>6.5020419648735723</v>
      </c>
      <c r="AM78" s="100">
        <v>3589.1271646102118</v>
      </c>
      <c r="AN78" s="100">
        <v>5.7979992043458619</v>
      </c>
      <c r="AO78" s="100">
        <v>3200.4955607989159</v>
      </c>
      <c r="AP78" s="100">
        <v>7.8021756467112686</v>
      </c>
      <c r="AQ78" s="100">
        <v>4306.8009569846199</v>
      </c>
      <c r="AR78" s="100">
        <v>10</v>
      </c>
      <c r="AS78" s="100">
        <v>5520</v>
      </c>
      <c r="AT78" s="100">
        <v>12.288583388584364</v>
      </c>
      <c r="AU78" s="100">
        <v>6783.2980304985686</v>
      </c>
      <c r="AV78" s="100">
        <v>11.685821804978925</v>
      </c>
      <c r="AW78" s="100">
        <v>6450.5736363483666</v>
      </c>
      <c r="AX78" s="100">
        <v>5.9645747863255556</v>
      </c>
      <c r="AY78" s="100">
        <v>3292.4452820517067</v>
      </c>
      <c r="AZ78" s="100">
        <v>8.9544481554895974</v>
      </c>
      <c r="BA78" s="100">
        <v>4942.855381830258</v>
      </c>
      <c r="BB78" s="100">
        <v>9</v>
      </c>
      <c r="BC78" s="100">
        <v>4968</v>
      </c>
      <c r="BD78" s="100">
        <v>7.579593382818361</v>
      </c>
      <c r="BE78" s="100">
        <v>4183.9355473157357</v>
      </c>
      <c r="BF78" s="100">
        <v>10.317382357706933</v>
      </c>
      <c r="BG78" s="100">
        <v>5695.1950614542266</v>
      </c>
      <c r="BH78" s="100">
        <v>6.6036363705747592</v>
      </c>
      <c r="BI78" s="100">
        <v>3645.2072765572671</v>
      </c>
      <c r="BJ78" s="100">
        <v>6.8024080339030588</v>
      </c>
      <c r="BK78" s="100">
        <v>3754.9292347144883</v>
      </c>
      <c r="BL78" s="100">
        <v>14</v>
      </c>
      <c r="BM78" s="100">
        <v>7728</v>
      </c>
      <c r="BN78" s="100">
        <v>8</v>
      </c>
      <c r="BO78" s="100">
        <v>4416</v>
      </c>
      <c r="BP78" s="100">
        <v>8</v>
      </c>
      <c r="BQ78" s="100">
        <v>4416</v>
      </c>
      <c r="BR78" s="100">
        <v>9.4297862811889388</v>
      </c>
      <c r="BS78" s="100">
        <v>5205.2420272162944</v>
      </c>
      <c r="BT78" s="100">
        <v>9</v>
      </c>
      <c r="BU78" s="100">
        <v>4968</v>
      </c>
      <c r="BV78" s="100">
        <v>14</v>
      </c>
      <c r="BW78" s="100">
        <v>7728</v>
      </c>
      <c r="BX78" s="100">
        <v>6.6111259031422502</v>
      </c>
      <c r="BY78" s="100">
        <v>3649.3414985345221</v>
      </c>
      <c r="BZ78" s="100">
        <v>12.913521235978607</v>
      </c>
      <c r="CA78" s="100">
        <v>7128.2637222601907</v>
      </c>
      <c r="CB78" s="100">
        <v>11</v>
      </c>
      <c r="CC78" s="100">
        <v>6072</v>
      </c>
      <c r="CD78" s="100">
        <v>2.9524529204881613</v>
      </c>
      <c r="CE78" s="100">
        <v>1629.7540121094651</v>
      </c>
      <c r="CF78" s="100">
        <v>10.447346498753058</v>
      </c>
      <c r="CG78" s="100">
        <v>5766.9352673116882</v>
      </c>
      <c r="CH78" s="100">
        <v>9</v>
      </c>
      <c r="CI78" s="100">
        <v>4968</v>
      </c>
      <c r="CJ78" s="100">
        <v>12</v>
      </c>
      <c r="CK78" s="100">
        <v>6624</v>
      </c>
      <c r="CL78" s="100">
        <v>10</v>
      </c>
      <c r="CM78" s="100">
        <v>5520</v>
      </c>
      <c r="CN78" s="100">
        <v>10</v>
      </c>
      <c r="CO78" s="100">
        <v>5520</v>
      </c>
      <c r="CP78" s="100">
        <v>11</v>
      </c>
      <c r="CQ78" s="100">
        <v>6072</v>
      </c>
      <c r="CR78" s="100">
        <v>8</v>
      </c>
      <c r="CS78" s="100">
        <v>4416</v>
      </c>
      <c r="CT78" s="100">
        <v>9</v>
      </c>
      <c r="CU78" s="100">
        <v>4968</v>
      </c>
    </row>
    <row r="79" spans="2:99">
      <c r="C79" s="99" t="s">
        <v>245</v>
      </c>
      <c r="D79" s="100">
        <v>15</v>
      </c>
      <c r="E79" s="100">
        <v>11357.999999999998</v>
      </c>
      <c r="F79" s="100">
        <v>11</v>
      </c>
      <c r="G79" s="100">
        <v>8329.1999999999989</v>
      </c>
      <c r="H79" s="100">
        <v>7</v>
      </c>
      <c r="I79" s="100">
        <v>5300.4</v>
      </c>
      <c r="J79" s="100">
        <v>13</v>
      </c>
      <c r="K79" s="100">
        <v>9843.5999999999985</v>
      </c>
      <c r="L79" s="100">
        <v>12</v>
      </c>
      <c r="M79" s="100">
        <v>9086.4</v>
      </c>
      <c r="N79" s="100">
        <v>7</v>
      </c>
      <c r="O79" s="100">
        <v>5300.4</v>
      </c>
      <c r="P79" s="100">
        <v>8</v>
      </c>
      <c r="Q79" s="100">
        <v>6057.5999999999995</v>
      </c>
      <c r="R79" s="100">
        <v>9</v>
      </c>
      <c r="S79" s="100">
        <v>6814.7999999999993</v>
      </c>
      <c r="T79" s="100">
        <v>14</v>
      </c>
      <c r="U79" s="100">
        <v>10600.8</v>
      </c>
      <c r="V79" s="100">
        <v>12.127751508584678</v>
      </c>
      <c r="W79" s="100">
        <v>9183.1334423003173</v>
      </c>
      <c r="X79" s="100">
        <v>7</v>
      </c>
      <c r="Y79" s="100">
        <v>5300.4</v>
      </c>
      <c r="Z79" s="100">
        <v>10</v>
      </c>
      <c r="AA79" s="100">
        <v>7571.9999999999991</v>
      </c>
      <c r="AB79" s="100">
        <v>10.400197782050606</v>
      </c>
      <c r="AC79" s="100">
        <v>7875.0297605687183</v>
      </c>
      <c r="AD79" s="100">
        <v>13.785939727506259</v>
      </c>
      <c r="AE79" s="100">
        <v>10438.713561667739</v>
      </c>
      <c r="AF79" s="100">
        <v>9</v>
      </c>
      <c r="AG79" s="100">
        <v>6814.7999999999993</v>
      </c>
      <c r="AH79" s="100">
        <v>9.7107077203537973</v>
      </c>
      <c r="AI79" s="100">
        <v>7352.9478858518942</v>
      </c>
      <c r="AJ79" s="100">
        <v>9.4519174974612401</v>
      </c>
      <c r="AK79" s="100">
        <v>7156.9919290776506</v>
      </c>
      <c r="AL79" s="100">
        <v>6.5020419648735723</v>
      </c>
      <c r="AM79" s="100">
        <v>4923.3461758022686</v>
      </c>
      <c r="AN79" s="100">
        <v>7.2474990054323269</v>
      </c>
      <c r="AO79" s="100">
        <v>5487.8062469133574</v>
      </c>
      <c r="AP79" s="100">
        <v>7.8021756467112686</v>
      </c>
      <c r="AQ79" s="100">
        <v>5907.807399689772</v>
      </c>
      <c r="AR79" s="100">
        <v>10</v>
      </c>
      <c r="AS79" s="100">
        <v>7571.9999999999991</v>
      </c>
      <c r="AT79" s="100">
        <v>10.650105603439782</v>
      </c>
      <c r="AU79" s="100">
        <v>8064.2599629246015</v>
      </c>
      <c r="AV79" s="100">
        <v>12.65964028872717</v>
      </c>
      <c r="AW79" s="100">
        <v>9585.8796266242116</v>
      </c>
      <c r="AX79" s="100">
        <v>6.4233882314275217</v>
      </c>
      <c r="AY79" s="100">
        <v>4863.789568836919</v>
      </c>
      <c r="AZ79" s="100">
        <v>8.9544481554895974</v>
      </c>
      <c r="BA79" s="100">
        <v>6780.3081433367224</v>
      </c>
      <c r="BB79" s="100">
        <v>8</v>
      </c>
      <c r="BC79" s="100">
        <v>6057.5999999999995</v>
      </c>
      <c r="BD79" s="100">
        <v>8.2686473267109388</v>
      </c>
      <c r="BE79" s="100">
        <v>6261.0197557855226</v>
      </c>
      <c r="BF79" s="100">
        <v>8.7300927642135591</v>
      </c>
      <c r="BG79" s="100">
        <v>6610.4262410625061</v>
      </c>
      <c r="BH79" s="100">
        <v>6.6036363705747592</v>
      </c>
      <c r="BI79" s="100">
        <v>5000.2734597992076</v>
      </c>
      <c r="BJ79" s="100">
        <v>6.8024080339030588</v>
      </c>
      <c r="BK79" s="100">
        <v>5150.7833632713955</v>
      </c>
      <c r="BL79" s="100">
        <v>14</v>
      </c>
      <c r="BM79" s="100">
        <v>10600.8</v>
      </c>
      <c r="BN79" s="100">
        <v>9</v>
      </c>
      <c r="BO79" s="100">
        <v>6814.7999999999993</v>
      </c>
      <c r="BP79" s="100">
        <v>8</v>
      </c>
      <c r="BQ79" s="100">
        <v>6057.5999999999995</v>
      </c>
      <c r="BR79" s="100">
        <v>9.4297862811889388</v>
      </c>
      <c r="BS79" s="100">
        <v>7140.2341721162638</v>
      </c>
      <c r="BT79" s="100">
        <v>8</v>
      </c>
      <c r="BU79" s="100">
        <v>6057.5999999999995</v>
      </c>
      <c r="BV79" s="100">
        <v>12</v>
      </c>
      <c r="BW79" s="100">
        <v>9086.4</v>
      </c>
      <c r="BX79" s="100">
        <v>7.1196740495378075</v>
      </c>
      <c r="BY79" s="100">
        <v>5391.0171903100272</v>
      </c>
      <c r="BZ79" s="100">
        <v>12.913521235978607</v>
      </c>
      <c r="CA79" s="100">
        <v>9778.1182798829996</v>
      </c>
      <c r="CB79" s="100">
        <v>10</v>
      </c>
      <c r="CC79" s="100">
        <v>7571.9999999999991</v>
      </c>
      <c r="CD79" s="100">
        <v>2.9524529204881613</v>
      </c>
      <c r="CE79" s="100">
        <v>2235.5973513936356</v>
      </c>
      <c r="CF79" s="100">
        <v>10.447346498753058</v>
      </c>
      <c r="CG79" s="100">
        <v>7910.7307688558149</v>
      </c>
      <c r="CH79" s="100">
        <v>9</v>
      </c>
      <c r="CI79" s="100">
        <v>6814.7999999999993</v>
      </c>
      <c r="CJ79" s="100">
        <v>14</v>
      </c>
      <c r="CK79" s="100">
        <v>10600.8</v>
      </c>
      <c r="CL79" s="100">
        <v>10</v>
      </c>
      <c r="CM79" s="100">
        <v>7571.9999999999991</v>
      </c>
      <c r="CN79" s="100">
        <v>9</v>
      </c>
      <c r="CO79" s="100">
        <v>6814.7999999999993</v>
      </c>
      <c r="CP79" s="100">
        <v>9</v>
      </c>
      <c r="CQ79" s="100">
        <v>6814.7999999999993</v>
      </c>
      <c r="CR79" s="100">
        <v>8</v>
      </c>
      <c r="CS79" s="100">
        <v>6057.5999999999995</v>
      </c>
      <c r="CT79" s="100">
        <v>9</v>
      </c>
      <c r="CU79" s="100">
        <v>6814.7999999999993</v>
      </c>
    </row>
    <row r="80" spans="2:99">
      <c r="C80" s="99" t="s">
        <v>246</v>
      </c>
      <c r="D80" s="100">
        <v>15</v>
      </c>
      <c r="E80" s="100">
        <v>12077.999999999998</v>
      </c>
      <c r="F80" s="100">
        <v>11</v>
      </c>
      <c r="G80" s="100">
        <v>8857.1999999999989</v>
      </c>
      <c r="H80" s="100">
        <v>7</v>
      </c>
      <c r="I80" s="100">
        <v>5636.4</v>
      </c>
      <c r="J80" s="100">
        <v>15</v>
      </c>
      <c r="K80" s="100">
        <v>12077.999999999998</v>
      </c>
      <c r="L80" s="100">
        <v>13</v>
      </c>
      <c r="M80" s="100">
        <v>10467.599999999999</v>
      </c>
      <c r="N80" s="100">
        <v>8</v>
      </c>
      <c r="O80" s="100">
        <v>6441.5999999999995</v>
      </c>
      <c r="P80" s="100">
        <v>9</v>
      </c>
      <c r="Q80" s="100">
        <v>7246.7999999999993</v>
      </c>
      <c r="R80" s="100">
        <v>9</v>
      </c>
      <c r="S80" s="100">
        <v>7246.7999999999993</v>
      </c>
      <c r="T80" s="100">
        <v>13</v>
      </c>
      <c r="U80" s="100">
        <v>10467.599999999999</v>
      </c>
      <c r="V80" s="100">
        <v>11.261483543685772</v>
      </c>
      <c r="W80" s="100">
        <v>9067.7465493757827</v>
      </c>
      <c r="X80" s="100">
        <v>7</v>
      </c>
      <c r="Y80" s="100">
        <v>5636.4</v>
      </c>
      <c r="Z80" s="100">
        <v>10</v>
      </c>
      <c r="AA80" s="100">
        <v>8051.9999999999991</v>
      </c>
      <c r="AB80" s="100">
        <v>11.200212996054498</v>
      </c>
      <c r="AC80" s="100">
        <v>9018.4115044230803</v>
      </c>
      <c r="AD80" s="100">
        <v>11.816519766433936</v>
      </c>
      <c r="AE80" s="100">
        <v>9514.6617159326051</v>
      </c>
      <c r="AF80" s="100">
        <v>8</v>
      </c>
      <c r="AG80" s="100">
        <v>6441.5999999999995</v>
      </c>
      <c r="AH80" s="100">
        <v>10.593499331295051</v>
      </c>
      <c r="AI80" s="100">
        <v>8529.8856615587738</v>
      </c>
      <c r="AJ80" s="100">
        <v>9.4519174974612401</v>
      </c>
      <c r="AK80" s="100">
        <v>7610.6839689557901</v>
      </c>
      <c r="AL80" s="100">
        <v>6.5020419648735723</v>
      </c>
      <c r="AM80" s="100">
        <v>5235.4441901161999</v>
      </c>
      <c r="AN80" s="100">
        <v>5.7979992043458619</v>
      </c>
      <c r="AO80" s="100">
        <v>4668.5489593392876</v>
      </c>
      <c r="AP80" s="100">
        <v>8.6690840519014092</v>
      </c>
      <c r="AQ80" s="100">
        <v>6980.3464785910137</v>
      </c>
      <c r="AR80" s="100">
        <v>12</v>
      </c>
      <c r="AS80" s="100">
        <v>9662.4</v>
      </c>
      <c r="AT80" s="100">
        <v>9.8308667108674896</v>
      </c>
      <c r="AU80" s="100">
        <v>7915.813875590502</v>
      </c>
      <c r="AV80" s="100">
        <v>12.65964028872717</v>
      </c>
      <c r="AW80" s="100">
        <v>10193.542360483116</v>
      </c>
      <c r="AX80" s="100">
        <v>6.8822016765294878</v>
      </c>
      <c r="AY80" s="100">
        <v>5541.548789941543</v>
      </c>
      <c r="AZ80" s="100">
        <v>9.8498929710385568</v>
      </c>
      <c r="BA80" s="100">
        <v>7931.1338202802453</v>
      </c>
      <c r="BB80" s="100">
        <v>8</v>
      </c>
      <c r="BC80" s="100">
        <v>6441.5999999999995</v>
      </c>
      <c r="BD80" s="100">
        <v>7.579593382818361</v>
      </c>
      <c r="BE80" s="100">
        <v>6103.0885918453441</v>
      </c>
      <c r="BF80" s="100">
        <v>9.5237375609602459</v>
      </c>
      <c r="BG80" s="100">
        <v>7668.5134840851897</v>
      </c>
      <c r="BH80" s="100">
        <v>6.6036363705747592</v>
      </c>
      <c r="BI80" s="100">
        <v>5317.2480055867954</v>
      </c>
      <c r="BJ80" s="100">
        <v>6.8024080339030588</v>
      </c>
      <c r="BK80" s="100">
        <v>5477.2989488987423</v>
      </c>
      <c r="BL80" s="100">
        <v>12</v>
      </c>
      <c r="BM80" s="100">
        <v>9662.4</v>
      </c>
      <c r="BN80" s="100">
        <v>9</v>
      </c>
      <c r="BO80" s="100">
        <v>7246.7999999999993</v>
      </c>
      <c r="BP80" s="100">
        <v>7</v>
      </c>
      <c r="BQ80" s="100">
        <v>5636.4</v>
      </c>
      <c r="BR80" s="100">
        <v>9.4297862811889388</v>
      </c>
      <c r="BS80" s="100">
        <v>7592.8639136133324</v>
      </c>
      <c r="BT80" s="100">
        <v>8</v>
      </c>
      <c r="BU80" s="100">
        <v>6441.5999999999995</v>
      </c>
      <c r="BV80" s="100">
        <v>13</v>
      </c>
      <c r="BW80" s="100">
        <v>10467.599999999999</v>
      </c>
      <c r="BX80" s="100">
        <v>6.6111259031422502</v>
      </c>
      <c r="BY80" s="100">
        <v>5323.2785772101397</v>
      </c>
      <c r="BZ80" s="100">
        <v>11.920173448595637</v>
      </c>
      <c r="CA80" s="100">
        <v>9598.1236608092058</v>
      </c>
      <c r="CB80" s="100">
        <v>10</v>
      </c>
      <c r="CC80" s="100">
        <v>8051.9999999999991</v>
      </c>
      <c r="CD80" s="100">
        <v>2.9524529204881613</v>
      </c>
      <c r="CE80" s="100">
        <v>2377.3150915770675</v>
      </c>
      <c r="CF80" s="100">
        <v>10.447346498753058</v>
      </c>
      <c r="CG80" s="100">
        <v>8412.203400795961</v>
      </c>
      <c r="CH80" s="100">
        <v>9</v>
      </c>
      <c r="CI80" s="100">
        <v>7246.7999999999993</v>
      </c>
      <c r="CJ80" s="100">
        <v>14</v>
      </c>
      <c r="CK80" s="100">
        <v>11272.8</v>
      </c>
      <c r="CL80" s="100">
        <v>11</v>
      </c>
      <c r="CM80" s="100">
        <v>8857.1999999999989</v>
      </c>
      <c r="CN80" s="100">
        <v>9</v>
      </c>
      <c r="CO80" s="100">
        <v>7246.7999999999993</v>
      </c>
      <c r="CP80" s="100">
        <v>10</v>
      </c>
      <c r="CQ80" s="100">
        <v>8051.9999999999991</v>
      </c>
      <c r="CR80" s="100">
        <v>8</v>
      </c>
      <c r="CS80" s="100">
        <v>6441.5999999999995</v>
      </c>
      <c r="CT80" s="100">
        <v>9</v>
      </c>
      <c r="CU80" s="100">
        <v>7246.7999999999993</v>
      </c>
    </row>
    <row r="81" spans="2:99">
      <c r="C81" s="99" t="s">
        <v>247</v>
      </c>
      <c r="D81" s="100">
        <v>13</v>
      </c>
      <c r="E81" s="100">
        <v>9796.8000000000011</v>
      </c>
      <c r="F81" s="100">
        <v>10</v>
      </c>
      <c r="G81" s="100">
        <v>7536</v>
      </c>
      <c r="H81" s="100">
        <v>7</v>
      </c>
      <c r="I81" s="100">
        <v>5275.2</v>
      </c>
      <c r="J81" s="100">
        <v>15</v>
      </c>
      <c r="K81" s="100">
        <v>11304</v>
      </c>
      <c r="L81" s="100">
        <v>13</v>
      </c>
      <c r="M81" s="100">
        <v>9796.8000000000011</v>
      </c>
      <c r="N81" s="100">
        <v>7</v>
      </c>
      <c r="O81" s="100">
        <v>5275.2</v>
      </c>
      <c r="P81" s="100">
        <v>8</v>
      </c>
      <c r="Q81" s="100">
        <v>6028.8</v>
      </c>
      <c r="R81" s="100">
        <v>9</v>
      </c>
      <c r="S81" s="100">
        <v>6782.4000000000005</v>
      </c>
      <c r="T81" s="100">
        <v>13</v>
      </c>
      <c r="U81" s="100">
        <v>9796.8000000000011</v>
      </c>
      <c r="V81" s="100">
        <v>12.127751508584678</v>
      </c>
      <c r="W81" s="100">
        <v>9139.4735368694146</v>
      </c>
      <c r="X81" s="100">
        <v>7</v>
      </c>
      <c r="Y81" s="100">
        <v>5275.2</v>
      </c>
      <c r="Z81" s="100">
        <v>10</v>
      </c>
      <c r="AA81" s="100">
        <v>7536</v>
      </c>
      <c r="AB81" s="100">
        <v>11.200212996054498</v>
      </c>
      <c r="AC81" s="100">
        <v>8440.4805138266693</v>
      </c>
      <c r="AD81" s="100">
        <v>13.785939727506259</v>
      </c>
      <c r="AE81" s="100">
        <v>10389.084178648716</v>
      </c>
      <c r="AF81" s="100">
        <v>8</v>
      </c>
      <c r="AG81" s="100">
        <v>6028.8</v>
      </c>
      <c r="AH81" s="100">
        <v>10.593499331295051</v>
      </c>
      <c r="AI81" s="100">
        <v>7983.2610960639513</v>
      </c>
      <c r="AJ81" s="100">
        <v>10.397109247207366</v>
      </c>
      <c r="AK81" s="100">
        <v>7835.2615286954715</v>
      </c>
      <c r="AL81" s="100">
        <v>6.5020419648735723</v>
      </c>
      <c r="AM81" s="100">
        <v>4899.9388247287243</v>
      </c>
      <c r="AN81" s="100">
        <v>6.5227491048890949</v>
      </c>
      <c r="AO81" s="100">
        <v>4915.5437254444223</v>
      </c>
      <c r="AP81" s="100">
        <v>7.8021756467112686</v>
      </c>
      <c r="AQ81" s="100">
        <v>5879.7195673616125</v>
      </c>
      <c r="AR81" s="100">
        <v>11</v>
      </c>
      <c r="AS81" s="100">
        <v>8289.6</v>
      </c>
      <c r="AT81" s="100">
        <v>11.469344496012074</v>
      </c>
      <c r="AU81" s="100">
        <v>8643.2980121946985</v>
      </c>
      <c r="AV81" s="100">
        <v>11.685821804978925</v>
      </c>
      <c r="AW81" s="100">
        <v>8806.435312232119</v>
      </c>
      <c r="AX81" s="100">
        <v>5.9645747863255556</v>
      </c>
      <c r="AY81" s="100">
        <v>4494.9035589749392</v>
      </c>
      <c r="AZ81" s="100">
        <v>8.9544481554895974</v>
      </c>
      <c r="BA81" s="100">
        <v>6748.0721299769612</v>
      </c>
      <c r="BB81" s="100">
        <v>9</v>
      </c>
      <c r="BC81" s="100">
        <v>6782.4000000000005</v>
      </c>
      <c r="BD81" s="100">
        <v>8.2686473267109388</v>
      </c>
      <c r="BE81" s="100">
        <v>6231.2526254093636</v>
      </c>
      <c r="BF81" s="100">
        <v>8.7300927642135591</v>
      </c>
      <c r="BG81" s="100">
        <v>6578.9979071113385</v>
      </c>
      <c r="BH81" s="100">
        <v>6.6036363705747592</v>
      </c>
      <c r="BI81" s="100">
        <v>4976.5003688651386</v>
      </c>
      <c r="BJ81" s="100">
        <v>6.1840073035482348</v>
      </c>
      <c r="BK81" s="100">
        <v>4660.2679039539498</v>
      </c>
      <c r="BL81" s="100">
        <v>12</v>
      </c>
      <c r="BM81" s="100">
        <v>9043.2000000000007</v>
      </c>
      <c r="BN81" s="100">
        <v>8</v>
      </c>
      <c r="BO81" s="100">
        <v>6028.8</v>
      </c>
      <c r="BP81" s="100">
        <v>7</v>
      </c>
      <c r="BQ81" s="100">
        <v>5275.2</v>
      </c>
      <c r="BR81" s="100">
        <v>8.5725329828990358</v>
      </c>
      <c r="BS81" s="100">
        <v>6460.2608559127139</v>
      </c>
      <c r="BT81" s="100">
        <v>9</v>
      </c>
      <c r="BU81" s="100">
        <v>6782.4000000000005</v>
      </c>
      <c r="BV81" s="100">
        <v>12</v>
      </c>
      <c r="BW81" s="100">
        <v>9043.2000000000007</v>
      </c>
      <c r="BX81" s="100">
        <v>6.6111259031422502</v>
      </c>
      <c r="BY81" s="100">
        <v>4982.1444806079999</v>
      </c>
      <c r="BZ81" s="100">
        <v>12.913521235978607</v>
      </c>
      <c r="CA81" s="100">
        <v>9731.6296034334791</v>
      </c>
      <c r="CB81" s="100">
        <v>10</v>
      </c>
      <c r="CC81" s="100">
        <v>7536</v>
      </c>
      <c r="CD81" s="100">
        <v>3.60855356948553</v>
      </c>
      <c r="CE81" s="100">
        <v>2719.4059699642953</v>
      </c>
      <c r="CF81" s="100">
        <v>9.4975877261391428</v>
      </c>
      <c r="CG81" s="100">
        <v>7157.3821104184581</v>
      </c>
      <c r="CH81" s="100">
        <v>10</v>
      </c>
      <c r="CI81" s="100">
        <v>7536</v>
      </c>
      <c r="CJ81" s="100">
        <v>14</v>
      </c>
      <c r="CK81" s="100">
        <v>10550.4</v>
      </c>
      <c r="CL81" s="100">
        <v>10</v>
      </c>
      <c r="CM81" s="100">
        <v>7536</v>
      </c>
      <c r="CN81" s="100">
        <v>11</v>
      </c>
      <c r="CO81" s="100">
        <v>8289.6</v>
      </c>
      <c r="CP81" s="100">
        <v>11</v>
      </c>
      <c r="CQ81" s="100">
        <v>8289.6</v>
      </c>
      <c r="CR81" s="100">
        <v>8</v>
      </c>
      <c r="CS81" s="100">
        <v>6028.8</v>
      </c>
      <c r="CT81" s="100">
        <v>9</v>
      </c>
      <c r="CU81" s="100">
        <v>6782.4000000000005</v>
      </c>
    </row>
    <row r="82" spans="2:99">
      <c r="C82" s="99" t="s">
        <v>248</v>
      </c>
      <c r="D82" s="100">
        <v>14</v>
      </c>
      <c r="E82" s="100">
        <v>7123.1999999999989</v>
      </c>
      <c r="F82" s="100">
        <v>12</v>
      </c>
      <c r="G82" s="100">
        <v>6105.5999999999985</v>
      </c>
      <c r="H82" s="100">
        <v>8</v>
      </c>
      <c r="I82" s="100">
        <v>4070.3999999999992</v>
      </c>
      <c r="J82" s="100">
        <v>15</v>
      </c>
      <c r="K82" s="100">
        <v>7631.9999999999982</v>
      </c>
      <c r="L82" s="100">
        <v>12</v>
      </c>
      <c r="M82" s="100">
        <v>6105.5999999999985</v>
      </c>
      <c r="N82" s="100">
        <v>7</v>
      </c>
      <c r="O82" s="100">
        <v>3561.5999999999995</v>
      </c>
      <c r="P82" s="100">
        <v>8</v>
      </c>
      <c r="Q82" s="100">
        <v>4070.3999999999992</v>
      </c>
      <c r="R82" s="100">
        <v>10</v>
      </c>
      <c r="S82" s="100">
        <v>5087.9999999999991</v>
      </c>
      <c r="T82" s="100">
        <v>15</v>
      </c>
      <c r="U82" s="100">
        <v>7631.9999999999982</v>
      </c>
      <c r="V82" s="100">
        <v>12.994019473483583</v>
      </c>
      <c r="W82" s="100">
        <v>6611.3571081084456</v>
      </c>
      <c r="X82" s="100">
        <v>7</v>
      </c>
      <c r="Y82" s="100">
        <v>3561.5999999999995</v>
      </c>
      <c r="Z82" s="100">
        <v>11</v>
      </c>
      <c r="AA82" s="100">
        <v>5596.7999999999993</v>
      </c>
      <c r="AB82" s="100">
        <v>10.400197782050606</v>
      </c>
      <c r="AC82" s="100">
        <v>5291.6206315073468</v>
      </c>
      <c r="AD82" s="100">
        <v>12.801229746970098</v>
      </c>
      <c r="AE82" s="100">
        <v>6513.2656952583839</v>
      </c>
      <c r="AF82" s="100">
        <v>9</v>
      </c>
      <c r="AG82" s="100">
        <v>4579.1999999999989</v>
      </c>
      <c r="AH82" s="100">
        <v>10.593499331295051</v>
      </c>
      <c r="AI82" s="100">
        <v>5389.9724597629211</v>
      </c>
      <c r="AJ82" s="100">
        <v>8.5067257477151177</v>
      </c>
      <c r="AK82" s="100">
        <v>4328.2220604374506</v>
      </c>
      <c r="AL82" s="100">
        <v>6.5020419648735723</v>
      </c>
      <c r="AM82" s="100">
        <v>3308.2389517276729</v>
      </c>
      <c r="AN82" s="100">
        <v>6.5227491048890949</v>
      </c>
      <c r="AO82" s="100">
        <v>3318.7747445675709</v>
      </c>
      <c r="AP82" s="100">
        <v>8.6690840519014092</v>
      </c>
      <c r="AQ82" s="100">
        <v>4410.829965607436</v>
      </c>
      <c r="AR82" s="100">
        <v>11</v>
      </c>
      <c r="AS82" s="100">
        <v>5596.7999999999993</v>
      </c>
      <c r="AT82" s="100">
        <v>10.650105603439782</v>
      </c>
      <c r="AU82" s="100">
        <v>5418.77373103016</v>
      </c>
      <c r="AV82" s="100">
        <v>11.685821804978925</v>
      </c>
      <c r="AW82" s="100">
        <v>5945.7461343732757</v>
      </c>
      <c r="AX82" s="100">
        <v>5.9645747863255556</v>
      </c>
      <c r="AY82" s="100">
        <v>3034.7756512824421</v>
      </c>
      <c r="AZ82" s="100">
        <v>10.745337786587516</v>
      </c>
      <c r="BA82" s="100">
        <v>5467.2278658157275</v>
      </c>
      <c r="BB82" s="100">
        <v>9</v>
      </c>
      <c r="BC82" s="100">
        <v>4579.1999999999989</v>
      </c>
      <c r="BD82" s="100">
        <v>8.2686473267109388</v>
      </c>
      <c r="BE82" s="100">
        <v>4207.0877598305251</v>
      </c>
      <c r="BF82" s="100">
        <v>9.5237375609602459</v>
      </c>
      <c r="BG82" s="100">
        <v>4845.6776710165723</v>
      </c>
      <c r="BH82" s="100">
        <v>6.6036363705747592</v>
      </c>
      <c r="BI82" s="100">
        <v>3359.9301853484367</v>
      </c>
      <c r="BJ82" s="100">
        <v>6.1840073035482348</v>
      </c>
      <c r="BK82" s="100">
        <v>3146.422916045341</v>
      </c>
      <c r="BL82" s="100">
        <v>12</v>
      </c>
      <c r="BM82" s="100">
        <v>6105.5999999999985</v>
      </c>
      <c r="BN82" s="100">
        <v>9</v>
      </c>
      <c r="BO82" s="100">
        <v>4579.1999999999989</v>
      </c>
      <c r="BP82" s="100">
        <v>8</v>
      </c>
      <c r="BQ82" s="100">
        <v>4070.3999999999992</v>
      </c>
      <c r="BR82" s="100">
        <v>10.287039579478842</v>
      </c>
      <c r="BS82" s="100">
        <v>5234.0457380388334</v>
      </c>
      <c r="BT82" s="100">
        <v>9</v>
      </c>
      <c r="BU82" s="100">
        <v>4579.1999999999989</v>
      </c>
      <c r="BV82" s="100">
        <v>14</v>
      </c>
      <c r="BW82" s="100">
        <v>7123.1999999999989</v>
      </c>
      <c r="BX82" s="100">
        <v>7.1196740495378075</v>
      </c>
      <c r="BY82" s="100">
        <v>3622.4901564048355</v>
      </c>
      <c r="BZ82" s="100">
        <v>12.913521235978607</v>
      </c>
      <c r="CA82" s="100">
        <v>6570.3996048659137</v>
      </c>
      <c r="CB82" s="100">
        <v>10</v>
      </c>
      <c r="CC82" s="100">
        <v>5087.9999999999991</v>
      </c>
      <c r="CD82" s="100">
        <v>2.9524529204881613</v>
      </c>
      <c r="CE82" s="100">
        <v>1502.2080459443762</v>
      </c>
      <c r="CF82" s="100">
        <v>11.397105271366971</v>
      </c>
      <c r="CG82" s="100">
        <v>5798.8471620715136</v>
      </c>
      <c r="CH82" s="100">
        <v>10</v>
      </c>
      <c r="CI82" s="100">
        <v>5087.9999999999991</v>
      </c>
      <c r="CJ82" s="100">
        <v>13</v>
      </c>
      <c r="CK82" s="100">
        <v>6614.3999999999987</v>
      </c>
      <c r="CL82" s="100">
        <v>11</v>
      </c>
      <c r="CM82" s="100">
        <v>5596.7999999999993</v>
      </c>
      <c r="CN82" s="100">
        <v>11</v>
      </c>
      <c r="CO82" s="100">
        <v>5596.7999999999993</v>
      </c>
      <c r="CP82" s="100">
        <v>11</v>
      </c>
      <c r="CQ82" s="100">
        <v>5596.7999999999993</v>
      </c>
      <c r="CR82" s="100">
        <v>9</v>
      </c>
      <c r="CS82" s="100">
        <v>4579.1999999999989</v>
      </c>
      <c r="CT82" s="100">
        <v>9</v>
      </c>
      <c r="CU82" s="100">
        <v>4579.1999999999989</v>
      </c>
    </row>
    <row r="83" spans="2:99">
      <c r="C83" s="99" t="s">
        <v>249</v>
      </c>
      <c r="D83" s="100">
        <v>15</v>
      </c>
      <c r="E83" s="100">
        <v>12906</v>
      </c>
      <c r="F83" s="100">
        <v>11</v>
      </c>
      <c r="G83" s="100">
        <v>9464.4</v>
      </c>
      <c r="H83" s="100">
        <v>8</v>
      </c>
      <c r="I83" s="100">
        <v>6883.2</v>
      </c>
      <c r="J83" s="100">
        <v>13</v>
      </c>
      <c r="K83" s="100">
        <v>11185.199999999999</v>
      </c>
      <c r="L83" s="100">
        <v>13</v>
      </c>
      <c r="M83" s="100">
        <v>11185.199999999999</v>
      </c>
      <c r="N83" s="100">
        <v>7</v>
      </c>
      <c r="O83" s="100">
        <v>6022.8</v>
      </c>
      <c r="P83" s="100">
        <v>7</v>
      </c>
      <c r="Q83" s="100">
        <v>6022.8</v>
      </c>
      <c r="R83" s="100">
        <v>9</v>
      </c>
      <c r="S83" s="100">
        <v>7743.5999999999995</v>
      </c>
      <c r="T83" s="100">
        <v>15</v>
      </c>
      <c r="U83" s="100">
        <v>12906</v>
      </c>
      <c r="V83" s="100">
        <v>12.994019473483583</v>
      </c>
      <c r="W83" s="100">
        <v>11180.054354985274</v>
      </c>
      <c r="X83" s="100">
        <v>7</v>
      </c>
      <c r="Y83" s="100">
        <v>6022.8</v>
      </c>
      <c r="Z83" s="100">
        <v>11</v>
      </c>
      <c r="AA83" s="100">
        <v>9464.4</v>
      </c>
      <c r="AB83" s="100">
        <v>11.200212996054498</v>
      </c>
      <c r="AC83" s="100">
        <v>9636.6632618052899</v>
      </c>
      <c r="AD83" s="100">
        <v>13.785939727506259</v>
      </c>
      <c r="AE83" s="100">
        <v>11861.422541546384</v>
      </c>
      <c r="AF83" s="100">
        <v>9</v>
      </c>
      <c r="AG83" s="100">
        <v>7743.5999999999995</v>
      </c>
      <c r="AH83" s="100">
        <v>10.593499331295051</v>
      </c>
      <c r="AI83" s="100">
        <v>9114.6468246462628</v>
      </c>
      <c r="AJ83" s="100">
        <v>10.397109247207366</v>
      </c>
      <c r="AK83" s="100">
        <v>8945.6727962972182</v>
      </c>
      <c r="AL83" s="100">
        <v>6.0376103959540321</v>
      </c>
      <c r="AM83" s="100">
        <v>5194.7599846788489</v>
      </c>
      <c r="AN83" s="100">
        <v>6.5227491048890949</v>
      </c>
      <c r="AO83" s="100">
        <v>5612.173329846577</v>
      </c>
      <c r="AP83" s="100">
        <v>8.6690840519014092</v>
      </c>
      <c r="AQ83" s="100">
        <v>7458.8799182559724</v>
      </c>
      <c r="AR83" s="100">
        <v>10</v>
      </c>
      <c r="AS83" s="100">
        <v>8604</v>
      </c>
      <c r="AT83" s="100">
        <v>12.288583388584364</v>
      </c>
      <c r="AU83" s="100">
        <v>10573.097147537987</v>
      </c>
      <c r="AV83" s="100">
        <v>10.71200332123068</v>
      </c>
      <c r="AW83" s="100">
        <v>9216.6076575868774</v>
      </c>
      <c r="AX83" s="100">
        <v>6.8822016765294878</v>
      </c>
      <c r="AY83" s="100">
        <v>5921.446322485971</v>
      </c>
      <c r="AZ83" s="100">
        <v>9.8498929710385568</v>
      </c>
      <c r="BA83" s="100">
        <v>8474.8479122815734</v>
      </c>
      <c r="BB83" s="100">
        <v>9</v>
      </c>
      <c r="BC83" s="100">
        <v>7743.5999999999995</v>
      </c>
      <c r="BD83" s="100">
        <v>6.8905394389257824</v>
      </c>
      <c r="BE83" s="100">
        <v>5928.620133251743</v>
      </c>
      <c r="BF83" s="100">
        <v>8.7300927642135591</v>
      </c>
      <c r="BG83" s="100">
        <v>7511.3718143293463</v>
      </c>
      <c r="BH83" s="100">
        <v>6.6036363705747592</v>
      </c>
      <c r="BI83" s="100">
        <v>5681.768733242523</v>
      </c>
      <c r="BJ83" s="100">
        <v>6.1840073035482348</v>
      </c>
      <c r="BK83" s="100">
        <v>5320.7198839729008</v>
      </c>
      <c r="BL83" s="100">
        <v>12</v>
      </c>
      <c r="BM83" s="100">
        <v>10324.799999999999</v>
      </c>
      <c r="BN83" s="100">
        <v>8</v>
      </c>
      <c r="BO83" s="100">
        <v>6883.2</v>
      </c>
      <c r="BP83" s="100">
        <v>7</v>
      </c>
      <c r="BQ83" s="100">
        <v>6022.8</v>
      </c>
      <c r="BR83" s="100">
        <v>9.4297862811889388</v>
      </c>
      <c r="BS83" s="100">
        <v>8113.3881163349624</v>
      </c>
      <c r="BT83" s="100">
        <v>9</v>
      </c>
      <c r="BU83" s="100">
        <v>7743.5999999999995</v>
      </c>
      <c r="BV83" s="100">
        <v>13</v>
      </c>
      <c r="BW83" s="100">
        <v>11185.199999999999</v>
      </c>
      <c r="BX83" s="100">
        <v>6.1025777567466921</v>
      </c>
      <c r="BY83" s="100">
        <v>5250.657901904854</v>
      </c>
      <c r="BZ83" s="100">
        <v>13.906869023361576</v>
      </c>
      <c r="CA83" s="100">
        <v>11965.470107700299</v>
      </c>
      <c r="CB83" s="100">
        <v>10</v>
      </c>
      <c r="CC83" s="100">
        <v>8604</v>
      </c>
      <c r="CD83" s="100">
        <v>3.2805032449868454</v>
      </c>
      <c r="CE83" s="100">
        <v>2822.5449919866819</v>
      </c>
      <c r="CF83" s="100">
        <v>9.4975877261391428</v>
      </c>
      <c r="CG83" s="100">
        <v>8171.7244795701181</v>
      </c>
      <c r="CH83" s="100">
        <v>10</v>
      </c>
      <c r="CI83" s="100">
        <v>8604</v>
      </c>
      <c r="CJ83" s="100">
        <v>13</v>
      </c>
      <c r="CK83" s="100">
        <v>11185.199999999999</v>
      </c>
      <c r="CL83" s="100">
        <v>11</v>
      </c>
      <c r="CM83" s="100">
        <v>9464.4</v>
      </c>
      <c r="CN83" s="100">
        <v>10</v>
      </c>
      <c r="CO83" s="100">
        <v>8604</v>
      </c>
      <c r="CP83" s="100">
        <v>11</v>
      </c>
      <c r="CQ83" s="100">
        <v>9464.4</v>
      </c>
      <c r="CR83" s="100">
        <v>9</v>
      </c>
      <c r="CS83" s="100">
        <v>7743.5999999999995</v>
      </c>
      <c r="CT83" s="100">
        <v>10</v>
      </c>
      <c r="CU83" s="100">
        <v>8604</v>
      </c>
    </row>
    <row r="84" spans="2:99">
      <c r="C84" s="99" t="s">
        <v>250</v>
      </c>
      <c r="D84" s="100">
        <v>13</v>
      </c>
      <c r="E84" s="100">
        <v>10155.599999999999</v>
      </c>
      <c r="F84" s="100">
        <v>11</v>
      </c>
      <c r="G84" s="100">
        <v>8593.1999999999989</v>
      </c>
      <c r="H84" s="100">
        <v>8</v>
      </c>
      <c r="I84" s="100">
        <v>6249.5999999999995</v>
      </c>
      <c r="J84" s="100">
        <v>15</v>
      </c>
      <c r="K84" s="100">
        <v>11717.999999999998</v>
      </c>
      <c r="L84" s="100">
        <v>13</v>
      </c>
      <c r="M84" s="100">
        <v>10155.599999999999</v>
      </c>
      <c r="N84" s="100">
        <v>7</v>
      </c>
      <c r="O84" s="100">
        <v>5468.4</v>
      </c>
      <c r="P84" s="100">
        <v>8</v>
      </c>
      <c r="Q84" s="100">
        <v>6249.5999999999995</v>
      </c>
      <c r="R84" s="100">
        <v>10</v>
      </c>
      <c r="S84" s="100">
        <v>7811.9999999999991</v>
      </c>
      <c r="T84" s="100">
        <v>13</v>
      </c>
      <c r="U84" s="100">
        <v>10155.599999999999</v>
      </c>
      <c r="V84" s="100">
        <v>11.261483543685772</v>
      </c>
      <c r="W84" s="100">
        <v>8797.4709443273241</v>
      </c>
      <c r="X84" s="100">
        <v>7</v>
      </c>
      <c r="Y84" s="100">
        <v>5468.4</v>
      </c>
      <c r="Z84" s="100">
        <v>10</v>
      </c>
      <c r="AA84" s="100">
        <v>7811.9999999999991</v>
      </c>
      <c r="AB84" s="100">
        <v>11.200212996054498</v>
      </c>
      <c r="AC84" s="100">
        <v>8749.6063925177732</v>
      </c>
      <c r="AD84" s="100">
        <v>12.801229746970098</v>
      </c>
      <c r="AE84" s="100">
        <v>10000.320678333039</v>
      </c>
      <c r="AF84" s="100">
        <v>8</v>
      </c>
      <c r="AG84" s="100">
        <v>6249.5999999999995</v>
      </c>
      <c r="AH84" s="100">
        <v>10.593499331295051</v>
      </c>
      <c r="AI84" s="100">
        <v>8275.6416776076931</v>
      </c>
      <c r="AJ84" s="100">
        <v>8.5067257477151177</v>
      </c>
      <c r="AK84" s="100">
        <v>6645.4541541150493</v>
      </c>
      <c r="AL84" s="100">
        <v>6.5020419648735723</v>
      </c>
      <c r="AM84" s="100">
        <v>5079.3951829592343</v>
      </c>
      <c r="AN84" s="100">
        <v>5.7979992043458619</v>
      </c>
      <c r="AO84" s="100">
        <v>4529.3969784349865</v>
      </c>
      <c r="AP84" s="100">
        <v>8.6690840519014092</v>
      </c>
      <c r="AQ84" s="100">
        <v>6772.2884613453807</v>
      </c>
      <c r="AR84" s="100">
        <v>10</v>
      </c>
      <c r="AS84" s="100">
        <v>7811.9999999999991</v>
      </c>
      <c r="AT84" s="100">
        <v>11.469344496012074</v>
      </c>
      <c r="AU84" s="100">
        <v>8959.851920284631</v>
      </c>
      <c r="AV84" s="100">
        <v>12.65964028872717</v>
      </c>
      <c r="AW84" s="100">
        <v>9889.7109935536646</v>
      </c>
      <c r="AX84" s="100">
        <v>5.9645747863255556</v>
      </c>
      <c r="AY84" s="100">
        <v>4659.5258230775235</v>
      </c>
      <c r="AZ84" s="100">
        <v>8.9544481554895974</v>
      </c>
      <c r="BA84" s="100">
        <v>6995.2148990684727</v>
      </c>
      <c r="BB84" s="100">
        <v>9</v>
      </c>
      <c r="BC84" s="100">
        <v>7030.7999999999993</v>
      </c>
      <c r="BD84" s="100">
        <v>6.8905394389257824</v>
      </c>
      <c r="BE84" s="100">
        <v>5382.8894096888207</v>
      </c>
      <c r="BF84" s="100">
        <v>9.5237375609602459</v>
      </c>
      <c r="BG84" s="100">
        <v>7439.9437826221438</v>
      </c>
      <c r="BH84" s="100">
        <v>6.095664342069008</v>
      </c>
      <c r="BI84" s="100">
        <v>4761.932984024309</v>
      </c>
      <c r="BJ84" s="100">
        <v>6.1840073035482348</v>
      </c>
      <c r="BK84" s="100">
        <v>4830.9465055318806</v>
      </c>
      <c r="BL84" s="100">
        <v>12</v>
      </c>
      <c r="BM84" s="100">
        <v>9374.4</v>
      </c>
      <c r="BN84" s="100">
        <v>9</v>
      </c>
      <c r="BO84" s="100">
        <v>7030.7999999999993</v>
      </c>
      <c r="BP84" s="100">
        <v>8</v>
      </c>
      <c r="BQ84" s="100">
        <v>6249.5999999999995</v>
      </c>
      <c r="BR84" s="100">
        <v>9.4297862811889388</v>
      </c>
      <c r="BS84" s="100">
        <v>7366.5490428647981</v>
      </c>
      <c r="BT84" s="100">
        <v>8</v>
      </c>
      <c r="BU84" s="100">
        <v>6249.5999999999995</v>
      </c>
      <c r="BV84" s="100">
        <v>13</v>
      </c>
      <c r="BW84" s="100">
        <v>10155.599999999999</v>
      </c>
      <c r="BX84" s="100">
        <v>6.6111259031422502</v>
      </c>
      <c r="BY84" s="100">
        <v>5164.6115555347251</v>
      </c>
      <c r="BZ84" s="100">
        <v>12.913521235978607</v>
      </c>
      <c r="CA84" s="100">
        <v>10088.042789546487</v>
      </c>
      <c r="CB84" s="100">
        <v>10</v>
      </c>
      <c r="CC84" s="100">
        <v>7811.9999999999991</v>
      </c>
      <c r="CD84" s="100">
        <v>2.9524529204881613</v>
      </c>
      <c r="CE84" s="100">
        <v>2306.4562214853513</v>
      </c>
      <c r="CF84" s="100">
        <v>10.447346498753058</v>
      </c>
      <c r="CG84" s="100">
        <v>8161.4670848258884</v>
      </c>
      <c r="CH84" s="100">
        <v>9</v>
      </c>
      <c r="CI84" s="100">
        <v>7030.7999999999993</v>
      </c>
      <c r="CJ84" s="100">
        <v>14</v>
      </c>
      <c r="CK84" s="100">
        <v>10936.8</v>
      </c>
      <c r="CL84" s="100">
        <v>10</v>
      </c>
      <c r="CM84" s="100">
        <v>7811.9999999999991</v>
      </c>
      <c r="CN84" s="100">
        <v>10</v>
      </c>
      <c r="CO84" s="100">
        <v>7811.9999999999991</v>
      </c>
      <c r="CP84" s="100">
        <v>9</v>
      </c>
      <c r="CQ84" s="100">
        <v>7030.7999999999993</v>
      </c>
      <c r="CR84" s="100">
        <v>8</v>
      </c>
      <c r="CS84" s="100">
        <v>6249.5999999999995</v>
      </c>
      <c r="CT84" s="100">
        <v>9</v>
      </c>
      <c r="CU84" s="100">
        <v>7030.7999999999993</v>
      </c>
    </row>
    <row r="85" spans="2:99">
      <c r="C85" s="99" t="s">
        <v>251</v>
      </c>
      <c r="D85" s="100">
        <v>15</v>
      </c>
      <c r="E85" s="100">
        <v>2250</v>
      </c>
      <c r="F85" s="100">
        <v>11</v>
      </c>
      <c r="G85" s="100">
        <v>1650</v>
      </c>
      <c r="H85" s="100">
        <v>9</v>
      </c>
      <c r="I85" s="100">
        <v>1350</v>
      </c>
      <c r="J85" s="100">
        <v>14</v>
      </c>
      <c r="K85" s="100">
        <v>2100</v>
      </c>
      <c r="L85" s="100">
        <v>12</v>
      </c>
      <c r="M85" s="100">
        <v>1800</v>
      </c>
      <c r="N85" s="100">
        <v>8</v>
      </c>
      <c r="O85" s="100">
        <v>1200</v>
      </c>
      <c r="P85" s="100">
        <v>8</v>
      </c>
      <c r="Q85" s="100">
        <v>1200</v>
      </c>
      <c r="R85" s="100">
        <v>9</v>
      </c>
      <c r="S85" s="100">
        <v>1350</v>
      </c>
      <c r="T85" s="100">
        <v>13</v>
      </c>
      <c r="U85" s="100">
        <v>1950</v>
      </c>
      <c r="V85" s="100">
        <v>12.994019473483583</v>
      </c>
      <c r="W85" s="100">
        <v>1949.1029210225374</v>
      </c>
      <c r="X85" s="100">
        <v>7</v>
      </c>
      <c r="Y85" s="100">
        <v>1050</v>
      </c>
      <c r="Z85" s="100">
        <v>11</v>
      </c>
      <c r="AA85" s="100">
        <v>1650</v>
      </c>
      <c r="AB85" s="100">
        <v>10.400197782050606</v>
      </c>
      <c r="AC85" s="100">
        <v>1560.0296673075909</v>
      </c>
      <c r="AD85" s="100">
        <v>13.785939727506259</v>
      </c>
      <c r="AE85" s="100">
        <v>2067.8909591259389</v>
      </c>
      <c r="AF85" s="100">
        <v>8</v>
      </c>
      <c r="AG85" s="100">
        <v>1200</v>
      </c>
      <c r="AH85" s="100">
        <v>11.476290942236306</v>
      </c>
      <c r="AI85" s="100">
        <v>1721.4436413354458</v>
      </c>
      <c r="AJ85" s="100">
        <v>10.397109247207366</v>
      </c>
      <c r="AK85" s="100">
        <v>1559.5663870811049</v>
      </c>
      <c r="AL85" s="100">
        <v>6.9664735337931134</v>
      </c>
      <c r="AM85" s="100">
        <v>1044.9710300689669</v>
      </c>
      <c r="AN85" s="100">
        <v>6.5227491048890949</v>
      </c>
      <c r="AO85" s="100">
        <v>978.41236573336425</v>
      </c>
      <c r="AP85" s="100">
        <v>7.8021756467112686</v>
      </c>
      <c r="AQ85" s="100">
        <v>1170.3263470066902</v>
      </c>
      <c r="AR85" s="100">
        <v>11</v>
      </c>
      <c r="AS85" s="100">
        <v>1650</v>
      </c>
      <c r="AT85" s="100">
        <v>12.288583388584364</v>
      </c>
      <c r="AU85" s="100">
        <v>1843.2875082876546</v>
      </c>
      <c r="AV85" s="100">
        <v>13.633458772475413</v>
      </c>
      <c r="AW85" s="100">
        <v>2045.018815871312</v>
      </c>
      <c r="AX85" s="100">
        <v>6.4233882314275217</v>
      </c>
      <c r="AY85" s="100">
        <v>963.50823471412821</v>
      </c>
      <c r="AZ85" s="100">
        <v>9.8498929710385568</v>
      </c>
      <c r="BA85" s="100">
        <v>1477.4839456557836</v>
      </c>
      <c r="BB85" s="100">
        <v>8</v>
      </c>
      <c r="BC85" s="100">
        <v>1200</v>
      </c>
      <c r="BD85" s="100">
        <v>7.579593382818361</v>
      </c>
      <c r="BE85" s="100">
        <v>1136.9390074227542</v>
      </c>
      <c r="BF85" s="100">
        <v>10.317382357706933</v>
      </c>
      <c r="BG85" s="100">
        <v>1547.60735365604</v>
      </c>
      <c r="BH85" s="100">
        <v>6.6036363705747592</v>
      </c>
      <c r="BI85" s="100">
        <v>990.54545558621385</v>
      </c>
      <c r="BJ85" s="100">
        <v>6.8024080339030588</v>
      </c>
      <c r="BK85" s="100">
        <v>1020.3612050854588</v>
      </c>
      <c r="BL85" s="100">
        <v>12</v>
      </c>
      <c r="BM85" s="100">
        <v>1800</v>
      </c>
      <c r="BN85" s="100">
        <v>9</v>
      </c>
      <c r="BO85" s="100">
        <v>1350</v>
      </c>
      <c r="BP85" s="100">
        <v>8</v>
      </c>
      <c r="BQ85" s="100">
        <v>1200</v>
      </c>
      <c r="BR85" s="100">
        <v>9.4297862811889388</v>
      </c>
      <c r="BS85" s="100">
        <v>1414.4679421783408</v>
      </c>
      <c r="BT85" s="100">
        <v>9</v>
      </c>
      <c r="BU85" s="100">
        <v>1350</v>
      </c>
      <c r="BV85" s="100">
        <v>13</v>
      </c>
      <c r="BW85" s="100">
        <v>1950</v>
      </c>
      <c r="BX85" s="100">
        <v>6.6111259031422502</v>
      </c>
      <c r="BY85" s="100">
        <v>991.66888547133749</v>
      </c>
      <c r="BZ85" s="100">
        <v>11.920173448595637</v>
      </c>
      <c r="CA85" s="100">
        <v>1788.0260172893456</v>
      </c>
      <c r="CB85" s="100">
        <v>11</v>
      </c>
      <c r="CC85" s="100">
        <v>1650</v>
      </c>
      <c r="CD85" s="100">
        <v>3.2805032449868454</v>
      </c>
      <c r="CE85" s="100">
        <v>492.07548674802683</v>
      </c>
      <c r="CF85" s="100">
        <v>10.447346498753058</v>
      </c>
      <c r="CG85" s="100">
        <v>1567.1019748129586</v>
      </c>
      <c r="CH85" s="100">
        <v>9</v>
      </c>
      <c r="CI85" s="100">
        <v>1350</v>
      </c>
      <c r="CJ85" s="100">
        <v>13</v>
      </c>
      <c r="CK85" s="100">
        <v>1950</v>
      </c>
      <c r="CL85" s="100">
        <v>10</v>
      </c>
      <c r="CM85" s="100">
        <v>1500</v>
      </c>
      <c r="CN85" s="100">
        <v>10</v>
      </c>
      <c r="CO85" s="100">
        <v>1500</v>
      </c>
      <c r="CP85" s="100">
        <v>11</v>
      </c>
      <c r="CQ85" s="100">
        <v>1650</v>
      </c>
      <c r="CR85" s="100">
        <v>8</v>
      </c>
      <c r="CS85" s="100">
        <v>1200</v>
      </c>
      <c r="CT85" s="100">
        <v>9</v>
      </c>
      <c r="CU85" s="100">
        <v>1350</v>
      </c>
    </row>
    <row r="86" spans="2:99">
      <c r="C86" s="99" t="s">
        <v>252</v>
      </c>
      <c r="D86" s="100">
        <v>13</v>
      </c>
      <c r="E86" s="100">
        <v>7020</v>
      </c>
      <c r="F86" s="100">
        <v>12</v>
      </c>
      <c r="G86" s="100">
        <v>6480</v>
      </c>
      <c r="H86" s="100">
        <v>7</v>
      </c>
      <c r="I86" s="100">
        <v>3780</v>
      </c>
      <c r="J86" s="100">
        <v>13</v>
      </c>
      <c r="K86" s="100">
        <v>7020</v>
      </c>
      <c r="L86" s="100">
        <v>13</v>
      </c>
      <c r="M86" s="100">
        <v>7020</v>
      </c>
      <c r="N86" s="100">
        <v>8</v>
      </c>
      <c r="O86" s="100">
        <v>4320</v>
      </c>
      <c r="P86" s="100">
        <v>8</v>
      </c>
      <c r="Q86" s="100">
        <v>4320</v>
      </c>
      <c r="R86" s="100">
        <v>9</v>
      </c>
      <c r="S86" s="100">
        <v>4860</v>
      </c>
      <c r="T86" s="100">
        <v>13</v>
      </c>
      <c r="U86" s="100">
        <v>7020</v>
      </c>
      <c r="V86" s="100">
        <v>12.994019473483583</v>
      </c>
      <c r="W86" s="100">
        <v>7016.7705156811344</v>
      </c>
      <c r="X86" s="100">
        <v>8</v>
      </c>
      <c r="Y86" s="100">
        <v>4320</v>
      </c>
      <c r="Z86" s="100">
        <v>10</v>
      </c>
      <c r="AA86" s="100">
        <v>5400</v>
      </c>
      <c r="AB86" s="100">
        <v>9.6001825680467139</v>
      </c>
      <c r="AC86" s="100">
        <v>5184.0985867452255</v>
      </c>
      <c r="AD86" s="100">
        <v>13.785939727506259</v>
      </c>
      <c r="AE86" s="100">
        <v>7444.4074528533802</v>
      </c>
      <c r="AF86" s="100">
        <v>9</v>
      </c>
      <c r="AG86" s="100">
        <v>4860</v>
      </c>
      <c r="AH86" s="100">
        <v>10.593499331295051</v>
      </c>
      <c r="AI86" s="100">
        <v>5720.4896388993275</v>
      </c>
      <c r="AJ86" s="100">
        <v>9.4519174974612401</v>
      </c>
      <c r="AK86" s="100">
        <v>5104.0354486290698</v>
      </c>
      <c r="AL86" s="100">
        <v>6.0376103959540321</v>
      </c>
      <c r="AM86" s="100">
        <v>3260.3096138151773</v>
      </c>
      <c r="AN86" s="100">
        <v>6.5227491048890949</v>
      </c>
      <c r="AO86" s="100">
        <v>3522.2845166401112</v>
      </c>
      <c r="AP86" s="100">
        <v>7.8021756467112686</v>
      </c>
      <c r="AQ86" s="100">
        <v>4213.1748492240849</v>
      </c>
      <c r="AR86" s="100">
        <v>12</v>
      </c>
      <c r="AS86" s="100">
        <v>6480</v>
      </c>
      <c r="AT86" s="100">
        <v>11.469344496012074</v>
      </c>
      <c r="AU86" s="100">
        <v>6193.4460278465194</v>
      </c>
      <c r="AV86" s="100">
        <v>13.633458772475413</v>
      </c>
      <c r="AW86" s="100">
        <v>7362.0677371367228</v>
      </c>
      <c r="AX86" s="100">
        <v>6.8822016765294878</v>
      </c>
      <c r="AY86" s="100">
        <v>3716.3889053259236</v>
      </c>
      <c r="AZ86" s="100">
        <v>9.8498929710385568</v>
      </c>
      <c r="BA86" s="100">
        <v>5318.9422043608211</v>
      </c>
      <c r="BB86" s="100">
        <v>9</v>
      </c>
      <c r="BC86" s="100">
        <v>4860</v>
      </c>
      <c r="BD86" s="100">
        <v>6.8905394389257824</v>
      </c>
      <c r="BE86" s="100">
        <v>3720.8912970199226</v>
      </c>
      <c r="BF86" s="100">
        <v>10.317382357706933</v>
      </c>
      <c r="BG86" s="100">
        <v>5571.3864731617441</v>
      </c>
      <c r="BH86" s="100">
        <v>6.6036363705747592</v>
      </c>
      <c r="BI86" s="100">
        <v>3565.9636401103699</v>
      </c>
      <c r="BJ86" s="100">
        <v>6.1840073035482348</v>
      </c>
      <c r="BK86" s="100">
        <v>3339.363943916047</v>
      </c>
      <c r="BL86" s="100">
        <v>13</v>
      </c>
      <c r="BM86" s="100">
        <v>7020</v>
      </c>
      <c r="BN86" s="100">
        <v>9</v>
      </c>
      <c r="BO86" s="100">
        <v>4860</v>
      </c>
      <c r="BP86" s="100">
        <v>7</v>
      </c>
      <c r="BQ86" s="100">
        <v>3780</v>
      </c>
      <c r="BR86" s="100">
        <v>9.4297862811889388</v>
      </c>
      <c r="BS86" s="100">
        <v>5092.0845918420273</v>
      </c>
      <c r="BT86" s="100">
        <v>8</v>
      </c>
      <c r="BU86" s="100">
        <v>4320</v>
      </c>
      <c r="BV86" s="100">
        <v>13</v>
      </c>
      <c r="BW86" s="100">
        <v>7020</v>
      </c>
      <c r="BX86" s="100">
        <v>7.1196740495378075</v>
      </c>
      <c r="BY86" s="100">
        <v>3844.623986750416</v>
      </c>
      <c r="BZ86" s="100">
        <v>11.920173448595637</v>
      </c>
      <c r="CA86" s="100">
        <v>6436.8936622416441</v>
      </c>
      <c r="CB86" s="100">
        <v>11</v>
      </c>
      <c r="CC86" s="100">
        <v>5940</v>
      </c>
      <c r="CD86" s="100">
        <v>3.2805032449868454</v>
      </c>
      <c r="CE86" s="100">
        <v>1771.4717522928966</v>
      </c>
      <c r="CF86" s="100">
        <v>9.4975877261391428</v>
      </c>
      <c r="CG86" s="100">
        <v>5128.6973721151371</v>
      </c>
      <c r="CH86" s="100">
        <v>9</v>
      </c>
      <c r="CI86" s="100">
        <v>4860</v>
      </c>
      <c r="CJ86" s="100">
        <v>14</v>
      </c>
      <c r="CK86" s="100">
        <v>7560</v>
      </c>
      <c r="CL86" s="100">
        <v>11</v>
      </c>
      <c r="CM86" s="100">
        <v>5940</v>
      </c>
      <c r="CN86" s="100">
        <v>10</v>
      </c>
      <c r="CO86" s="100">
        <v>5400</v>
      </c>
      <c r="CP86" s="100">
        <v>11</v>
      </c>
      <c r="CQ86" s="100">
        <v>5940</v>
      </c>
      <c r="CR86" s="100">
        <v>9</v>
      </c>
      <c r="CS86" s="100">
        <v>4860</v>
      </c>
      <c r="CT86" s="100">
        <v>10</v>
      </c>
      <c r="CU86" s="100">
        <v>5400</v>
      </c>
    </row>
    <row r="87" spans="2:99">
      <c r="B87" s="99" t="s">
        <v>131</v>
      </c>
      <c r="C87" s="99" t="s">
        <v>253</v>
      </c>
      <c r="D87" s="100">
        <v>5.9116778606707987</v>
      </c>
      <c r="E87" s="100">
        <v>6349.1420223604382</v>
      </c>
      <c r="F87" s="100">
        <v>5.8559149603063165</v>
      </c>
      <c r="G87" s="100">
        <v>6289.2526673689836</v>
      </c>
      <c r="H87" s="100">
        <v>9.9100099328260551</v>
      </c>
      <c r="I87" s="100">
        <v>10643.350667855184</v>
      </c>
      <c r="J87" s="100">
        <v>5</v>
      </c>
      <c r="K87" s="100">
        <v>5370</v>
      </c>
      <c r="L87" s="100">
        <v>6</v>
      </c>
      <c r="M87" s="100">
        <v>6444</v>
      </c>
      <c r="N87" s="100">
        <v>1.3545746974872872</v>
      </c>
      <c r="O87" s="100">
        <v>1454.8132251013465</v>
      </c>
      <c r="P87" s="100">
        <v>6</v>
      </c>
      <c r="Q87" s="100">
        <v>6444</v>
      </c>
      <c r="R87" s="100">
        <v>8</v>
      </c>
      <c r="S87" s="100">
        <v>8592</v>
      </c>
      <c r="T87" s="100">
        <v>8</v>
      </c>
      <c r="U87" s="100">
        <v>8592</v>
      </c>
      <c r="V87" s="100">
        <v>6.1046356576569369</v>
      </c>
      <c r="W87" s="100">
        <v>6556.3786963235507</v>
      </c>
      <c r="X87" s="100">
        <v>10</v>
      </c>
      <c r="Y87" s="100">
        <v>10740</v>
      </c>
      <c r="Z87" s="100">
        <v>8</v>
      </c>
      <c r="AA87" s="100">
        <v>8592</v>
      </c>
      <c r="AB87" s="100">
        <v>7</v>
      </c>
      <c r="AC87" s="100">
        <v>7518</v>
      </c>
      <c r="AD87" s="100">
        <v>1.437670270845115</v>
      </c>
      <c r="AE87" s="100">
        <v>1544.0578708876535</v>
      </c>
      <c r="AF87" s="100">
        <v>9</v>
      </c>
      <c r="AG87" s="100">
        <v>9666</v>
      </c>
      <c r="AH87" s="100">
        <v>8</v>
      </c>
      <c r="AI87" s="100">
        <v>8592</v>
      </c>
      <c r="AJ87" s="100">
        <v>7.5907596732319504</v>
      </c>
      <c r="AK87" s="100">
        <v>8152.4758890511148</v>
      </c>
      <c r="AL87" s="100">
        <v>6.2144403660393426</v>
      </c>
      <c r="AM87" s="100">
        <v>6674.308953126254</v>
      </c>
      <c r="AN87" s="100">
        <v>8.8405425852366157</v>
      </c>
      <c r="AO87" s="100">
        <v>9494.7427365441254</v>
      </c>
      <c r="AP87" s="100">
        <v>6</v>
      </c>
      <c r="AQ87" s="100">
        <v>6444</v>
      </c>
      <c r="AR87" s="100">
        <v>5.7698646243660034</v>
      </c>
      <c r="AS87" s="100">
        <v>6196.8346065690876</v>
      </c>
      <c r="AT87" s="100">
        <v>6.291478882973716</v>
      </c>
      <c r="AU87" s="100">
        <v>6757.048320313771</v>
      </c>
      <c r="AV87" s="100">
        <v>6.4942374441311639</v>
      </c>
      <c r="AW87" s="100">
        <v>6974.8110149968697</v>
      </c>
      <c r="AX87" s="100">
        <v>5.3422382094022423</v>
      </c>
      <c r="AY87" s="100">
        <v>5737.563836898008</v>
      </c>
      <c r="AZ87" s="100">
        <v>5.3288826138787382</v>
      </c>
      <c r="BA87" s="100">
        <v>5723.2199273057649</v>
      </c>
      <c r="BB87" s="100">
        <v>0.68157047091212741</v>
      </c>
      <c r="BC87" s="100">
        <v>732.00668575962482</v>
      </c>
      <c r="BD87" s="100">
        <v>8</v>
      </c>
      <c r="BE87" s="100">
        <v>8592</v>
      </c>
      <c r="BF87" s="100">
        <v>4.1753584220065143</v>
      </c>
      <c r="BG87" s="100">
        <v>4484.3349452349967</v>
      </c>
      <c r="BH87" s="100">
        <v>3.9443986779265483</v>
      </c>
      <c r="BI87" s="100">
        <v>4236.2841800931128</v>
      </c>
      <c r="BJ87" s="100">
        <v>6.4332586887872072</v>
      </c>
      <c r="BK87" s="100">
        <v>6909.3198317574606</v>
      </c>
      <c r="BL87" s="100">
        <v>8.2097631306255074</v>
      </c>
      <c r="BM87" s="100">
        <v>8817.2856022917949</v>
      </c>
      <c r="BN87" s="100">
        <v>0.59069440812384366</v>
      </c>
      <c r="BO87" s="100">
        <v>634.40579432500806</v>
      </c>
      <c r="BP87" s="100">
        <v>7</v>
      </c>
      <c r="BQ87" s="100">
        <v>7518</v>
      </c>
      <c r="BR87" s="100">
        <v>7</v>
      </c>
      <c r="BS87" s="100">
        <v>7518</v>
      </c>
      <c r="BT87" s="100">
        <v>9</v>
      </c>
      <c r="BU87" s="100">
        <v>9666</v>
      </c>
      <c r="BV87" s="100">
        <v>7</v>
      </c>
      <c r="BW87" s="100">
        <v>7518</v>
      </c>
      <c r="BX87" s="100">
        <v>9</v>
      </c>
      <c r="BY87" s="100">
        <v>9666</v>
      </c>
      <c r="BZ87" s="100">
        <v>1.0965450076651186</v>
      </c>
      <c r="CA87" s="100">
        <v>1177.6893382323374</v>
      </c>
      <c r="CB87" s="100">
        <v>9</v>
      </c>
      <c r="CC87" s="100">
        <v>9666</v>
      </c>
      <c r="CD87" s="100">
        <v>10</v>
      </c>
      <c r="CE87" s="100">
        <v>10740</v>
      </c>
      <c r="CF87" s="100">
        <v>8</v>
      </c>
      <c r="CG87" s="100">
        <v>8592</v>
      </c>
      <c r="CH87" s="100">
        <v>8</v>
      </c>
      <c r="CI87" s="100">
        <v>8592</v>
      </c>
      <c r="CJ87" s="100">
        <v>7.0342322693381938</v>
      </c>
      <c r="CK87" s="100">
        <v>7554.76545726922</v>
      </c>
      <c r="CL87" s="100">
        <v>5.8936950568244102</v>
      </c>
      <c r="CM87" s="100">
        <v>6329.8284910294169</v>
      </c>
      <c r="CN87" s="100">
        <v>7.1572293959299289</v>
      </c>
      <c r="CO87" s="100">
        <v>7686.8643712287439</v>
      </c>
      <c r="CP87" s="100">
        <v>0.7181600435610942</v>
      </c>
      <c r="CQ87" s="100">
        <v>771.3038867846152</v>
      </c>
      <c r="CR87" s="100">
        <v>10</v>
      </c>
      <c r="CS87" s="100">
        <v>10740</v>
      </c>
      <c r="CT87" s="100">
        <v>3.6424243341443305</v>
      </c>
      <c r="CU87" s="100">
        <v>3911.9637348710112</v>
      </c>
    </row>
    <row r="88" spans="2:99">
      <c r="C88" s="99" t="s">
        <v>254</v>
      </c>
      <c r="D88" s="100">
        <v>5.0671524520035414</v>
      </c>
      <c r="E88" s="100">
        <v>5028.6420933683139</v>
      </c>
      <c r="F88" s="100">
        <v>6.6924742403500765</v>
      </c>
      <c r="G88" s="100">
        <v>6641.6114361234158</v>
      </c>
      <c r="H88" s="100">
        <v>8.1081899450395003</v>
      </c>
      <c r="I88" s="100">
        <v>8046.5677014572002</v>
      </c>
      <c r="J88" s="100">
        <v>6</v>
      </c>
      <c r="K88" s="100">
        <v>5954.4</v>
      </c>
      <c r="L88" s="100">
        <v>5</v>
      </c>
      <c r="M88" s="100">
        <v>4962</v>
      </c>
      <c r="N88" s="100">
        <v>1.3545746974872872</v>
      </c>
      <c r="O88" s="100">
        <v>1344.2799297863837</v>
      </c>
      <c r="P88" s="100">
        <v>6</v>
      </c>
      <c r="Q88" s="100">
        <v>5954.4</v>
      </c>
      <c r="R88" s="100">
        <v>8</v>
      </c>
      <c r="S88" s="100">
        <v>7939.2</v>
      </c>
      <c r="T88" s="100">
        <v>8</v>
      </c>
      <c r="U88" s="100">
        <v>7939.2</v>
      </c>
      <c r="V88" s="100">
        <v>6.1046356576569369</v>
      </c>
      <c r="W88" s="100">
        <v>6058.2404266587437</v>
      </c>
      <c r="X88" s="100">
        <v>10</v>
      </c>
      <c r="Y88" s="100">
        <v>9924</v>
      </c>
      <c r="Z88" s="100">
        <v>8</v>
      </c>
      <c r="AA88" s="100">
        <v>7939.2</v>
      </c>
      <c r="AB88" s="100">
        <v>8</v>
      </c>
      <c r="AC88" s="100">
        <v>7939.2</v>
      </c>
      <c r="AD88" s="100">
        <v>1.6772819826526342</v>
      </c>
      <c r="AE88" s="100">
        <v>1664.534639584474</v>
      </c>
      <c r="AF88" s="100">
        <v>9</v>
      </c>
      <c r="AG88" s="100">
        <v>8931.6</v>
      </c>
      <c r="AH88" s="100">
        <v>8</v>
      </c>
      <c r="AI88" s="100">
        <v>7939.2</v>
      </c>
      <c r="AJ88" s="100">
        <v>6.8316837059087554</v>
      </c>
      <c r="AK88" s="100">
        <v>6779.7629097438485</v>
      </c>
      <c r="AL88" s="100">
        <v>5.437635320284425</v>
      </c>
      <c r="AM88" s="100">
        <v>5396.3092918502634</v>
      </c>
      <c r="AN88" s="100">
        <v>7.8582600757658811</v>
      </c>
      <c r="AO88" s="100">
        <v>7798.5372991900604</v>
      </c>
      <c r="AP88" s="100">
        <v>6</v>
      </c>
      <c r="AQ88" s="100">
        <v>5954.4</v>
      </c>
      <c r="AR88" s="100">
        <v>7.2123307804575054</v>
      </c>
      <c r="AS88" s="100">
        <v>7157.5170665260284</v>
      </c>
      <c r="AT88" s="100">
        <v>6.291478882973716</v>
      </c>
      <c r="AU88" s="100">
        <v>6243.6636434631155</v>
      </c>
      <c r="AV88" s="100">
        <v>5.7726555058943676</v>
      </c>
      <c r="AW88" s="100">
        <v>5728.7833240495702</v>
      </c>
      <c r="AX88" s="100">
        <v>6.0100179855775222</v>
      </c>
      <c r="AY88" s="100">
        <v>5964.341848887133</v>
      </c>
      <c r="AZ88" s="100">
        <v>5.3288826138787382</v>
      </c>
      <c r="BA88" s="100">
        <v>5288.3831060132597</v>
      </c>
      <c r="BB88" s="100">
        <v>0.68157047091212741</v>
      </c>
      <c r="BC88" s="100">
        <v>676.3905353331952</v>
      </c>
      <c r="BD88" s="100">
        <v>8</v>
      </c>
      <c r="BE88" s="100">
        <v>7939.2</v>
      </c>
      <c r="BF88" s="100">
        <v>4.1753584220065143</v>
      </c>
      <c r="BG88" s="100">
        <v>4143.625697999265</v>
      </c>
      <c r="BH88" s="100">
        <v>4.733278413511858</v>
      </c>
      <c r="BI88" s="100">
        <v>4697.3054975691675</v>
      </c>
      <c r="BJ88" s="100">
        <v>6.4332586887872072</v>
      </c>
      <c r="BK88" s="100">
        <v>6384.365922752424</v>
      </c>
      <c r="BL88" s="100">
        <v>7.4634210278413695</v>
      </c>
      <c r="BM88" s="100">
        <v>7406.699028029775</v>
      </c>
      <c r="BN88" s="100">
        <v>0.59069440812384366</v>
      </c>
      <c r="BO88" s="100">
        <v>586.20513062210239</v>
      </c>
      <c r="BP88" s="100">
        <v>7</v>
      </c>
      <c r="BQ88" s="100">
        <v>6946.8</v>
      </c>
      <c r="BR88" s="100">
        <v>6</v>
      </c>
      <c r="BS88" s="100">
        <v>5954.4</v>
      </c>
      <c r="BT88" s="100">
        <v>8</v>
      </c>
      <c r="BU88" s="100">
        <v>7939.2</v>
      </c>
      <c r="BV88" s="100">
        <v>7</v>
      </c>
      <c r="BW88" s="100">
        <v>6946.8</v>
      </c>
      <c r="BX88" s="100">
        <v>11</v>
      </c>
      <c r="BY88" s="100">
        <v>10916.4</v>
      </c>
      <c r="BZ88" s="100">
        <v>1.1962309174528567</v>
      </c>
      <c r="CA88" s="100">
        <v>1187.1395624802149</v>
      </c>
      <c r="CB88" s="100">
        <v>8</v>
      </c>
      <c r="CC88" s="100">
        <v>7939.2</v>
      </c>
      <c r="CD88" s="100">
        <v>11</v>
      </c>
      <c r="CE88" s="100">
        <v>10916.4</v>
      </c>
      <c r="CF88" s="100">
        <v>7</v>
      </c>
      <c r="CG88" s="100">
        <v>6946.8</v>
      </c>
      <c r="CH88" s="100">
        <v>9</v>
      </c>
      <c r="CI88" s="100">
        <v>8931.6</v>
      </c>
      <c r="CJ88" s="100">
        <v>6.3308090424043755</v>
      </c>
      <c r="CK88" s="100">
        <v>6282.6948936821018</v>
      </c>
      <c r="CL88" s="100">
        <v>7.8582600757658794</v>
      </c>
      <c r="CM88" s="100">
        <v>7798.5372991900585</v>
      </c>
      <c r="CN88" s="100">
        <v>7.80788661374174</v>
      </c>
      <c r="CO88" s="100">
        <v>7748.5466754773024</v>
      </c>
      <c r="CP88" s="100">
        <v>0.78344732024846642</v>
      </c>
      <c r="CQ88" s="100">
        <v>777.49312061457806</v>
      </c>
      <c r="CR88" s="100">
        <v>11</v>
      </c>
      <c r="CS88" s="100">
        <v>10916.4</v>
      </c>
      <c r="CT88" s="100">
        <v>3.6424243341443305</v>
      </c>
      <c r="CU88" s="100">
        <v>3614.7419092048335</v>
      </c>
    </row>
    <row r="89" spans="2:99">
      <c r="C89" s="99" t="s">
        <v>255</v>
      </c>
      <c r="D89" s="100">
        <v>5.9116778606707987</v>
      </c>
      <c r="E89" s="100">
        <v>6278.2018880323885</v>
      </c>
      <c r="F89" s="100">
        <v>6.6924742403500765</v>
      </c>
      <c r="G89" s="100">
        <v>7107.4076432517813</v>
      </c>
      <c r="H89" s="100">
        <v>8.1081899450395003</v>
      </c>
      <c r="I89" s="100">
        <v>8610.897721631949</v>
      </c>
      <c r="J89" s="100">
        <v>5</v>
      </c>
      <c r="K89" s="100">
        <v>5310</v>
      </c>
      <c r="L89" s="100">
        <v>6</v>
      </c>
      <c r="M89" s="100">
        <v>6372</v>
      </c>
      <c r="N89" s="100">
        <v>1.1852528603013763</v>
      </c>
      <c r="O89" s="100">
        <v>1258.7385376400616</v>
      </c>
      <c r="P89" s="100">
        <v>5</v>
      </c>
      <c r="Q89" s="100">
        <v>5310</v>
      </c>
      <c r="R89" s="100">
        <v>9</v>
      </c>
      <c r="S89" s="100">
        <v>9558</v>
      </c>
      <c r="T89" s="100">
        <v>8</v>
      </c>
      <c r="U89" s="100">
        <v>8496</v>
      </c>
      <c r="V89" s="100">
        <v>6.1046356576569369</v>
      </c>
      <c r="W89" s="100">
        <v>6483.123068431667</v>
      </c>
      <c r="X89" s="100">
        <v>9</v>
      </c>
      <c r="Y89" s="100">
        <v>9558</v>
      </c>
      <c r="Z89" s="100">
        <v>9</v>
      </c>
      <c r="AA89" s="100">
        <v>9558</v>
      </c>
      <c r="AB89" s="100">
        <v>8</v>
      </c>
      <c r="AC89" s="100">
        <v>8496</v>
      </c>
      <c r="AD89" s="100">
        <v>1.6772819826526342</v>
      </c>
      <c r="AE89" s="100">
        <v>1781.2734655770976</v>
      </c>
      <c r="AF89" s="100">
        <v>9</v>
      </c>
      <c r="AG89" s="100">
        <v>9558</v>
      </c>
      <c r="AH89" s="100">
        <v>8</v>
      </c>
      <c r="AI89" s="100">
        <v>8496</v>
      </c>
      <c r="AJ89" s="100">
        <v>7.5907596732319504</v>
      </c>
      <c r="AK89" s="100">
        <v>8061.3867729723315</v>
      </c>
      <c r="AL89" s="100">
        <v>6.2144403660393426</v>
      </c>
      <c r="AM89" s="100">
        <v>6599.7356687337815</v>
      </c>
      <c r="AN89" s="100">
        <v>8.8405425852366157</v>
      </c>
      <c r="AO89" s="100">
        <v>9388.6562255212866</v>
      </c>
      <c r="AP89" s="100">
        <v>5</v>
      </c>
      <c r="AQ89" s="100">
        <v>5310</v>
      </c>
      <c r="AR89" s="100">
        <v>6.4910977024117544</v>
      </c>
      <c r="AS89" s="100">
        <v>6893.5457599612828</v>
      </c>
      <c r="AT89" s="100">
        <v>6.9206267712710874</v>
      </c>
      <c r="AU89" s="100">
        <v>7349.7056310898952</v>
      </c>
      <c r="AV89" s="100">
        <v>5.0510735676575722</v>
      </c>
      <c r="AW89" s="100">
        <v>5364.2401288523415</v>
      </c>
      <c r="AX89" s="100">
        <v>6.0100179855775222</v>
      </c>
      <c r="AY89" s="100">
        <v>6382.6391006833283</v>
      </c>
      <c r="AZ89" s="100">
        <v>5.3288826138787382</v>
      </c>
      <c r="BA89" s="100">
        <v>5659.2733359392196</v>
      </c>
      <c r="BB89" s="100">
        <v>0.74972751800334014</v>
      </c>
      <c r="BC89" s="100">
        <v>796.21062411954722</v>
      </c>
      <c r="BD89" s="100">
        <v>9</v>
      </c>
      <c r="BE89" s="100">
        <v>9558</v>
      </c>
      <c r="BF89" s="100">
        <v>4.7718381965788748</v>
      </c>
      <c r="BG89" s="100">
        <v>5067.692164766765</v>
      </c>
      <c r="BH89" s="100">
        <v>3.9443986779265483</v>
      </c>
      <c r="BI89" s="100">
        <v>4188.9513959579945</v>
      </c>
      <c r="BJ89" s="100">
        <v>6.4332586887872072</v>
      </c>
      <c r="BK89" s="100">
        <v>6832.1207274920143</v>
      </c>
      <c r="BL89" s="100">
        <v>8.2097631306255074</v>
      </c>
      <c r="BM89" s="100">
        <v>8718.7684447242882</v>
      </c>
      <c r="BN89" s="100">
        <v>0.7219598321513645</v>
      </c>
      <c r="BO89" s="100">
        <v>766.72134174474911</v>
      </c>
      <c r="BP89" s="100">
        <v>8</v>
      </c>
      <c r="BQ89" s="100">
        <v>8496</v>
      </c>
      <c r="BR89" s="100">
        <v>7</v>
      </c>
      <c r="BS89" s="100">
        <v>7434</v>
      </c>
      <c r="BT89" s="100">
        <v>9</v>
      </c>
      <c r="BU89" s="100">
        <v>9558</v>
      </c>
      <c r="BV89" s="100">
        <v>7</v>
      </c>
      <c r="BW89" s="100">
        <v>7434</v>
      </c>
      <c r="BX89" s="100">
        <v>11</v>
      </c>
      <c r="BY89" s="100">
        <v>11682</v>
      </c>
      <c r="BZ89" s="100">
        <v>1.0965450076651186</v>
      </c>
      <c r="CA89" s="100">
        <v>1164.530798140356</v>
      </c>
      <c r="CB89" s="100">
        <v>8</v>
      </c>
      <c r="CC89" s="100">
        <v>8496</v>
      </c>
      <c r="CD89" s="100">
        <v>9</v>
      </c>
      <c r="CE89" s="100">
        <v>9558</v>
      </c>
      <c r="CF89" s="100">
        <v>8</v>
      </c>
      <c r="CG89" s="100">
        <v>8496</v>
      </c>
      <c r="CH89" s="100">
        <v>9</v>
      </c>
      <c r="CI89" s="100">
        <v>9558</v>
      </c>
      <c r="CJ89" s="100">
        <v>6.3308090424043755</v>
      </c>
      <c r="CK89" s="100">
        <v>6723.3192030334467</v>
      </c>
      <c r="CL89" s="100">
        <v>6.8759775662951439</v>
      </c>
      <c r="CM89" s="100">
        <v>7302.2881754054424</v>
      </c>
      <c r="CN89" s="100">
        <v>7.1572293959299289</v>
      </c>
      <c r="CO89" s="100">
        <v>7600.9776184775847</v>
      </c>
      <c r="CP89" s="100">
        <v>0.65287276687372198</v>
      </c>
      <c r="CQ89" s="100">
        <v>693.35087841989275</v>
      </c>
      <c r="CR89" s="100">
        <v>11</v>
      </c>
      <c r="CS89" s="100">
        <v>11682</v>
      </c>
      <c r="CT89" s="100">
        <v>3.1871212923762893</v>
      </c>
      <c r="CU89" s="100">
        <v>3384.722812503619</v>
      </c>
    </row>
    <row r="90" spans="2:99">
      <c r="C90" s="99" t="s">
        <v>256</v>
      </c>
      <c r="D90" s="100">
        <v>5.0671524520035414</v>
      </c>
      <c r="E90" s="100">
        <v>5618.4586387815261</v>
      </c>
      <c r="F90" s="100">
        <v>7.5290335203938348</v>
      </c>
      <c r="G90" s="100">
        <v>8348.1923674126829</v>
      </c>
      <c r="H90" s="100">
        <v>9.9100099328260551</v>
      </c>
      <c r="I90" s="100">
        <v>10988.21901351753</v>
      </c>
      <c r="J90" s="100">
        <v>6</v>
      </c>
      <c r="K90" s="100">
        <v>6652.7999999999993</v>
      </c>
      <c r="L90" s="100">
        <v>6</v>
      </c>
      <c r="M90" s="100">
        <v>6652.7999999999993</v>
      </c>
      <c r="N90" s="100">
        <v>1.1852528603013763</v>
      </c>
      <c r="O90" s="100">
        <v>1314.2083715021661</v>
      </c>
      <c r="P90" s="100">
        <v>5</v>
      </c>
      <c r="Q90" s="100">
        <v>5544</v>
      </c>
      <c r="R90" s="100">
        <v>9</v>
      </c>
      <c r="S90" s="100">
        <v>9979.1999999999989</v>
      </c>
      <c r="T90" s="100">
        <v>9</v>
      </c>
      <c r="U90" s="100">
        <v>9979.1999999999989</v>
      </c>
      <c r="V90" s="100">
        <v>6.1046356576569369</v>
      </c>
      <c r="W90" s="100">
        <v>6768.8200172100114</v>
      </c>
      <c r="X90" s="100">
        <v>9</v>
      </c>
      <c r="Y90" s="100">
        <v>9979.1999999999989</v>
      </c>
      <c r="Z90" s="100">
        <v>8</v>
      </c>
      <c r="AA90" s="100">
        <v>8870.4</v>
      </c>
      <c r="AB90" s="100">
        <v>8</v>
      </c>
      <c r="AC90" s="100">
        <v>8870.4</v>
      </c>
      <c r="AD90" s="100">
        <v>1.437670270845115</v>
      </c>
      <c r="AE90" s="100">
        <v>1594.0887963130635</v>
      </c>
      <c r="AF90" s="100">
        <v>9</v>
      </c>
      <c r="AG90" s="100">
        <v>9979.1999999999989</v>
      </c>
      <c r="AH90" s="100">
        <v>7</v>
      </c>
      <c r="AI90" s="100">
        <v>7761.5999999999995</v>
      </c>
      <c r="AJ90" s="100">
        <v>6.8316837059087554</v>
      </c>
      <c r="AK90" s="100">
        <v>7574.9708931116274</v>
      </c>
      <c r="AL90" s="100">
        <v>5.437635320284425</v>
      </c>
      <c r="AM90" s="100">
        <v>6029.2500431313701</v>
      </c>
      <c r="AN90" s="100">
        <v>8.8405425852366157</v>
      </c>
      <c r="AO90" s="100">
        <v>9802.3936185103594</v>
      </c>
      <c r="AP90" s="100">
        <v>5</v>
      </c>
      <c r="AQ90" s="100">
        <v>5544</v>
      </c>
      <c r="AR90" s="100">
        <v>7.2123307804575054</v>
      </c>
      <c r="AS90" s="100">
        <v>7997.0323693712817</v>
      </c>
      <c r="AT90" s="100">
        <v>6.291478882973716</v>
      </c>
      <c r="AU90" s="100">
        <v>6975.9917854412561</v>
      </c>
      <c r="AV90" s="100">
        <v>5.7726555058943676</v>
      </c>
      <c r="AW90" s="100">
        <v>6400.7204249356746</v>
      </c>
      <c r="AX90" s="100">
        <v>6.0100179855775222</v>
      </c>
      <c r="AY90" s="100">
        <v>6663.9079424083566</v>
      </c>
      <c r="AZ90" s="100">
        <v>5.3288826138787382</v>
      </c>
      <c r="BA90" s="100">
        <v>5908.6650422687444</v>
      </c>
      <c r="BB90" s="100">
        <v>0.68157047091212741</v>
      </c>
      <c r="BC90" s="100">
        <v>755.72533814736687</v>
      </c>
      <c r="BD90" s="100">
        <v>8</v>
      </c>
      <c r="BE90" s="100">
        <v>8870.4</v>
      </c>
      <c r="BF90" s="100">
        <v>3.5788786474341556</v>
      </c>
      <c r="BG90" s="100">
        <v>3968.2606442749916</v>
      </c>
      <c r="BH90" s="100">
        <v>4.733278413511858</v>
      </c>
      <c r="BI90" s="100">
        <v>5248.2591049019475</v>
      </c>
      <c r="BJ90" s="100">
        <v>6.4332586887872072</v>
      </c>
      <c r="BK90" s="100">
        <v>7133.1972341272549</v>
      </c>
      <c r="BL90" s="100">
        <v>6.7170789250572334</v>
      </c>
      <c r="BM90" s="100">
        <v>7447.8971121034601</v>
      </c>
      <c r="BN90" s="100">
        <v>0.65632712013760408</v>
      </c>
      <c r="BO90" s="100">
        <v>727.73551080857533</v>
      </c>
      <c r="BP90" s="100">
        <v>8</v>
      </c>
      <c r="BQ90" s="100">
        <v>8870.4</v>
      </c>
      <c r="BR90" s="100">
        <v>7</v>
      </c>
      <c r="BS90" s="100">
        <v>7761.5999999999995</v>
      </c>
      <c r="BT90" s="100">
        <v>9</v>
      </c>
      <c r="BU90" s="100">
        <v>9979.1999999999989</v>
      </c>
      <c r="BV90" s="100">
        <v>8</v>
      </c>
      <c r="BW90" s="100">
        <v>8870.4</v>
      </c>
      <c r="BX90" s="100">
        <v>9</v>
      </c>
      <c r="BY90" s="100">
        <v>9979.1999999999989</v>
      </c>
      <c r="BZ90" s="100">
        <v>1.0965450076651186</v>
      </c>
      <c r="CA90" s="100">
        <v>1215.8491044990835</v>
      </c>
      <c r="CB90" s="100">
        <v>9</v>
      </c>
      <c r="CC90" s="100">
        <v>9979.1999999999989</v>
      </c>
      <c r="CD90" s="100">
        <v>11</v>
      </c>
      <c r="CE90" s="100">
        <v>12196.8</v>
      </c>
      <c r="CF90" s="100">
        <v>8</v>
      </c>
      <c r="CG90" s="100">
        <v>8870.4</v>
      </c>
      <c r="CH90" s="100">
        <v>9</v>
      </c>
      <c r="CI90" s="100">
        <v>9979.1999999999989</v>
      </c>
      <c r="CJ90" s="100">
        <v>6.3308090424043755</v>
      </c>
      <c r="CK90" s="100">
        <v>7019.6010662179715</v>
      </c>
      <c r="CL90" s="100">
        <v>6.8759775662951439</v>
      </c>
      <c r="CM90" s="100">
        <v>7624.0839255080555</v>
      </c>
      <c r="CN90" s="100">
        <v>7.80788661374174</v>
      </c>
      <c r="CO90" s="100">
        <v>8657.3846773168407</v>
      </c>
      <c r="CP90" s="100">
        <v>0.78344732024846642</v>
      </c>
      <c r="CQ90" s="100">
        <v>868.68638869149947</v>
      </c>
      <c r="CR90" s="100">
        <v>11</v>
      </c>
      <c r="CS90" s="100">
        <v>12196.8</v>
      </c>
      <c r="CT90" s="100">
        <v>3.6424243341443305</v>
      </c>
      <c r="CU90" s="100">
        <v>4038.7201016992335</v>
      </c>
    </row>
    <row r="91" spans="2:99">
      <c r="C91" s="99" t="s">
        <v>257</v>
      </c>
      <c r="D91" s="100">
        <v>5.0671524520035414</v>
      </c>
      <c r="E91" s="100">
        <v>5758.3120464568237</v>
      </c>
      <c r="F91" s="100">
        <v>5.8559149603063165</v>
      </c>
      <c r="G91" s="100">
        <v>6654.6617608920969</v>
      </c>
      <c r="H91" s="100">
        <v>9.0090999389327777</v>
      </c>
      <c r="I91" s="100">
        <v>10237.941170603208</v>
      </c>
      <c r="J91" s="100">
        <v>6</v>
      </c>
      <c r="K91" s="100">
        <v>6818.4</v>
      </c>
      <c r="L91" s="100">
        <v>6</v>
      </c>
      <c r="M91" s="100">
        <v>6818.4</v>
      </c>
      <c r="N91" s="100">
        <v>1.1852528603013763</v>
      </c>
      <c r="O91" s="100">
        <v>1346.921350446484</v>
      </c>
      <c r="P91" s="100">
        <v>5</v>
      </c>
      <c r="Q91" s="100">
        <v>5681.9999999999991</v>
      </c>
      <c r="R91" s="100">
        <v>8</v>
      </c>
      <c r="S91" s="100">
        <v>9091.1999999999989</v>
      </c>
      <c r="T91" s="100">
        <v>8</v>
      </c>
      <c r="U91" s="100">
        <v>9091.1999999999989</v>
      </c>
      <c r="V91" s="100">
        <v>6.1046356576569369</v>
      </c>
      <c r="W91" s="100">
        <v>6937.3079613613427</v>
      </c>
      <c r="X91" s="100">
        <v>10</v>
      </c>
      <c r="Y91" s="100">
        <v>11363.999999999998</v>
      </c>
      <c r="Z91" s="100">
        <v>8</v>
      </c>
      <c r="AA91" s="100">
        <v>9091.1999999999989</v>
      </c>
      <c r="AB91" s="100">
        <v>7</v>
      </c>
      <c r="AC91" s="100">
        <v>7954.7999999999993</v>
      </c>
      <c r="AD91" s="100">
        <v>1.437670270845115</v>
      </c>
      <c r="AE91" s="100">
        <v>1633.7684957883885</v>
      </c>
      <c r="AF91" s="100">
        <v>9</v>
      </c>
      <c r="AG91" s="100">
        <v>10227.599999999999</v>
      </c>
      <c r="AH91" s="100">
        <v>7</v>
      </c>
      <c r="AI91" s="100">
        <v>7954.7999999999993</v>
      </c>
      <c r="AJ91" s="100">
        <v>6.8316837059087554</v>
      </c>
      <c r="AK91" s="100">
        <v>7763.5253633947086</v>
      </c>
      <c r="AL91" s="100">
        <v>5.437635320284425</v>
      </c>
      <c r="AM91" s="100">
        <v>6179.32877797122</v>
      </c>
      <c r="AN91" s="100">
        <v>8.8405425852366157</v>
      </c>
      <c r="AO91" s="100">
        <v>10046.392593862889</v>
      </c>
      <c r="AP91" s="100">
        <v>6</v>
      </c>
      <c r="AQ91" s="100">
        <v>6818.4</v>
      </c>
      <c r="AR91" s="100">
        <v>6.4910977024117544</v>
      </c>
      <c r="AS91" s="100">
        <v>7376.4834290207173</v>
      </c>
      <c r="AT91" s="100">
        <v>6.291478882973716</v>
      </c>
      <c r="AU91" s="100">
        <v>7149.6366026113301</v>
      </c>
      <c r="AV91" s="100">
        <v>5.7726555058943676</v>
      </c>
      <c r="AW91" s="100">
        <v>6560.0457168983585</v>
      </c>
      <c r="AX91" s="100">
        <v>6.677797761752803</v>
      </c>
      <c r="AY91" s="100">
        <v>7588.6493764558845</v>
      </c>
      <c r="AZ91" s="100">
        <v>5.3288826138787382</v>
      </c>
      <c r="BA91" s="100">
        <v>6055.7422024117977</v>
      </c>
      <c r="BB91" s="100">
        <v>0.68157047091212741</v>
      </c>
      <c r="BC91" s="100">
        <v>774.53668314454148</v>
      </c>
      <c r="BD91" s="100">
        <v>8</v>
      </c>
      <c r="BE91" s="100">
        <v>9091.1999999999989</v>
      </c>
      <c r="BF91" s="100">
        <v>3.5788786474341556</v>
      </c>
      <c r="BG91" s="100">
        <v>4067.0376949441738</v>
      </c>
      <c r="BH91" s="100">
        <v>4.733278413511858</v>
      </c>
      <c r="BI91" s="100">
        <v>5378.8975891148748</v>
      </c>
      <c r="BJ91" s="100">
        <v>6.4332586887872072</v>
      </c>
      <c r="BK91" s="100">
        <v>7310.7551739377814</v>
      </c>
      <c r="BL91" s="100">
        <v>7.4634210278413695</v>
      </c>
      <c r="BM91" s="100">
        <v>8481.4316560389307</v>
      </c>
      <c r="BN91" s="100">
        <v>0.59069440812384366</v>
      </c>
      <c r="BO91" s="100">
        <v>671.26512539193584</v>
      </c>
      <c r="BP91" s="100">
        <v>8</v>
      </c>
      <c r="BQ91" s="100">
        <v>9091.1999999999989</v>
      </c>
      <c r="BR91" s="100">
        <v>7</v>
      </c>
      <c r="BS91" s="100">
        <v>7954.7999999999993</v>
      </c>
      <c r="BT91" s="100">
        <v>10</v>
      </c>
      <c r="BU91" s="100">
        <v>11363.999999999998</v>
      </c>
      <c r="BV91" s="100">
        <v>7</v>
      </c>
      <c r="BW91" s="100">
        <v>7954.7999999999993</v>
      </c>
      <c r="BX91" s="100">
        <v>11</v>
      </c>
      <c r="BY91" s="100">
        <v>12500.399999999998</v>
      </c>
      <c r="BZ91" s="100">
        <v>1.0965450076651186</v>
      </c>
      <c r="CA91" s="100">
        <v>1246.1137467106407</v>
      </c>
      <c r="CB91" s="100">
        <v>8</v>
      </c>
      <c r="CC91" s="100">
        <v>9091.1999999999989</v>
      </c>
      <c r="CD91" s="100">
        <v>10</v>
      </c>
      <c r="CE91" s="100">
        <v>11363.999999999998</v>
      </c>
      <c r="CF91" s="100">
        <v>7</v>
      </c>
      <c r="CG91" s="100">
        <v>7954.7999999999993</v>
      </c>
      <c r="CH91" s="100">
        <v>9</v>
      </c>
      <c r="CI91" s="100">
        <v>10227.599999999999</v>
      </c>
      <c r="CJ91" s="100">
        <v>7.0342322693381938</v>
      </c>
      <c r="CK91" s="100">
        <v>7993.7015508759223</v>
      </c>
      <c r="CL91" s="100">
        <v>6.8759775662951439</v>
      </c>
      <c r="CM91" s="100">
        <v>7813.8609063378008</v>
      </c>
      <c r="CN91" s="100">
        <v>8.4585438315535519</v>
      </c>
      <c r="CO91" s="100">
        <v>9612.289210177456</v>
      </c>
      <c r="CP91" s="100">
        <v>0.78344732024846642</v>
      </c>
      <c r="CQ91" s="100">
        <v>890.30953473035709</v>
      </c>
      <c r="CR91" s="100">
        <v>9</v>
      </c>
      <c r="CS91" s="100">
        <v>10227.599999999999</v>
      </c>
      <c r="CT91" s="100">
        <v>4.0977273759123722</v>
      </c>
      <c r="CU91" s="100">
        <v>4656.657389986819</v>
      </c>
    </row>
    <row r="92" spans="2:99">
      <c r="C92" s="99" t="s">
        <v>258</v>
      </c>
      <c r="D92" s="100">
        <v>5.9116778606707987</v>
      </c>
      <c r="E92" s="100">
        <v>4639.4847850544429</v>
      </c>
      <c r="F92" s="100">
        <v>6.6924742403500765</v>
      </c>
      <c r="G92" s="100">
        <v>5252.2537838267399</v>
      </c>
      <c r="H92" s="100">
        <v>8.1081899450395003</v>
      </c>
      <c r="I92" s="100">
        <v>6363.3074688669994</v>
      </c>
      <c r="J92" s="100">
        <v>5</v>
      </c>
      <c r="K92" s="100">
        <v>3924</v>
      </c>
      <c r="L92" s="100">
        <v>6</v>
      </c>
      <c r="M92" s="100">
        <v>4708.7999999999993</v>
      </c>
      <c r="N92" s="100">
        <v>1.1852528603013763</v>
      </c>
      <c r="O92" s="100">
        <v>930.18644476452005</v>
      </c>
      <c r="P92" s="100">
        <v>6</v>
      </c>
      <c r="Q92" s="100">
        <v>4708.7999999999993</v>
      </c>
      <c r="R92" s="100">
        <v>9</v>
      </c>
      <c r="S92" s="100">
        <v>7063.2</v>
      </c>
      <c r="T92" s="100">
        <v>9</v>
      </c>
      <c r="U92" s="100">
        <v>7063.2</v>
      </c>
      <c r="V92" s="100">
        <v>6.1046356576569369</v>
      </c>
      <c r="W92" s="100">
        <v>4790.9180641291641</v>
      </c>
      <c r="X92" s="100">
        <v>9</v>
      </c>
      <c r="Y92" s="100">
        <v>7063.2</v>
      </c>
      <c r="Z92" s="100">
        <v>9</v>
      </c>
      <c r="AA92" s="100">
        <v>7063.2</v>
      </c>
      <c r="AB92" s="100">
        <v>7</v>
      </c>
      <c r="AC92" s="100">
        <v>5493.5999999999995</v>
      </c>
      <c r="AD92" s="100">
        <v>1.437670270845115</v>
      </c>
      <c r="AE92" s="100">
        <v>1128.2836285592462</v>
      </c>
      <c r="AF92" s="100">
        <v>10</v>
      </c>
      <c r="AG92" s="100">
        <v>7848</v>
      </c>
      <c r="AH92" s="100">
        <v>7</v>
      </c>
      <c r="AI92" s="100">
        <v>5493.5999999999995</v>
      </c>
      <c r="AJ92" s="100">
        <v>7.5907596732319504</v>
      </c>
      <c r="AK92" s="100">
        <v>5957.2281915524345</v>
      </c>
      <c r="AL92" s="100">
        <v>6.2144403660393426</v>
      </c>
      <c r="AM92" s="100">
        <v>4877.0927992676761</v>
      </c>
      <c r="AN92" s="100">
        <v>8.8405425852366157</v>
      </c>
      <c r="AO92" s="100">
        <v>6938.0578208936959</v>
      </c>
      <c r="AP92" s="100">
        <v>6</v>
      </c>
      <c r="AQ92" s="100">
        <v>4708.7999999999993</v>
      </c>
      <c r="AR92" s="100">
        <v>7.2123307804575054</v>
      </c>
      <c r="AS92" s="100">
        <v>5660.2371965030497</v>
      </c>
      <c r="AT92" s="100">
        <v>6.291478882973716</v>
      </c>
      <c r="AU92" s="100">
        <v>4937.5526273577725</v>
      </c>
      <c r="AV92" s="100">
        <v>5.7726555058943676</v>
      </c>
      <c r="AW92" s="100">
        <v>4530.3800410258991</v>
      </c>
      <c r="AX92" s="100">
        <v>6.0100179855775222</v>
      </c>
      <c r="AY92" s="100">
        <v>4716.6621150812389</v>
      </c>
      <c r="AZ92" s="100">
        <v>6.0901515587185582</v>
      </c>
      <c r="BA92" s="100">
        <v>4779.5509432823246</v>
      </c>
      <c r="BB92" s="100">
        <v>0.74972751800334014</v>
      </c>
      <c r="BC92" s="100">
        <v>588.38615612902129</v>
      </c>
      <c r="BD92" s="100">
        <v>9</v>
      </c>
      <c r="BE92" s="100">
        <v>7063.2</v>
      </c>
      <c r="BF92" s="100">
        <v>3.5788786474341556</v>
      </c>
      <c r="BG92" s="100">
        <v>2808.7039625063253</v>
      </c>
      <c r="BH92" s="100">
        <v>4.733278413511858</v>
      </c>
      <c r="BI92" s="100">
        <v>3714.6768989241059</v>
      </c>
      <c r="BJ92" s="100">
        <v>7.1480652097635637</v>
      </c>
      <c r="BK92" s="100">
        <v>5609.8015766224444</v>
      </c>
      <c r="BL92" s="100">
        <v>7.4634210278413695</v>
      </c>
      <c r="BM92" s="100">
        <v>5857.2928226499062</v>
      </c>
      <c r="BN92" s="100">
        <v>0.59069440812384366</v>
      </c>
      <c r="BO92" s="100">
        <v>463.57697149559249</v>
      </c>
      <c r="BP92" s="100">
        <v>8</v>
      </c>
      <c r="BQ92" s="100">
        <v>6278.4</v>
      </c>
      <c r="BR92" s="100">
        <v>6</v>
      </c>
      <c r="BS92" s="100">
        <v>4708.7999999999993</v>
      </c>
      <c r="BT92" s="100">
        <v>9</v>
      </c>
      <c r="BU92" s="100">
        <v>7063.2</v>
      </c>
      <c r="BV92" s="100">
        <v>8</v>
      </c>
      <c r="BW92" s="100">
        <v>6278.4</v>
      </c>
      <c r="BX92" s="100">
        <v>11</v>
      </c>
      <c r="BY92" s="100">
        <v>8632.7999999999993</v>
      </c>
      <c r="BZ92" s="100">
        <v>1.0965450076651186</v>
      </c>
      <c r="CA92" s="100">
        <v>860.56852201558502</v>
      </c>
      <c r="CB92" s="100">
        <v>9</v>
      </c>
      <c r="CC92" s="100">
        <v>7063.2</v>
      </c>
      <c r="CD92" s="100">
        <v>11</v>
      </c>
      <c r="CE92" s="100">
        <v>8632.7999999999993</v>
      </c>
      <c r="CF92" s="100">
        <v>8</v>
      </c>
      <c r="CG92" s="100">
        <v>6278.4</v>
      </c>
      <c r="CH92" s="100">
        <v>8</v>
      </c>
      <c r="CI92" s="100">
        <v>6278.4</v>
      </c>
      <c r="CJ92" s="100">
        <v>6.3308090424043755</v>
      </c>
      <c r="CK92" s="100">
        <v>4968.4189364789536</v>
      </c>
      <c r="CL92" s="100">
        <v>6.8759775662951439</v>
      </c>
      <c r="CM92" s="100">
        <v>5396.267194028429</v>
      </c>
      <c r="CN92" s="100">
        <v>7.1572293959299289</v>
      </c>
      <c r="CO92" s="100">
        <v>5616.9936299258079</v>
      </c>
      <c r="CP92" s="100">
        <v>0.7181600435610942</v>
      </c>
      <c r="CQ92" s="100">
        <v>563.61200218674674</v>
      </c>
      <c r="CR92" s="100">
        <v>10</v>
      </c>
      <c r="CS92" s="100">
        <v>7848</v>
      </c>
      <c r="CT92" s="100">
        <v>3.6424243341443305</v>
      </c>
      <c r="CU92" s="100">
        <v>2858.5746174364704</v>
      </c>
    </row>
    <row r="93" spans="2:99">
      <c r="C93" s="99" t="s">
        <v>259</v>
      </c>
      <c r="D93" s="100">
        <v>5.9116778606707987</v>
      </c>
      <c r="E93" s="100">
        <v>4100.3397641612664</v>
      </c>
      <c r="F93" s="100">
        <v>6.6924742403500765</v>
      </c>
      <c r="G93" s="100">
        <v>4641.900133106813</v>
      </c>
      <c r="H93" s="100">
        <v>8.1081899450395003</v>
      </c>
      <c r="I93" s="100">
        <v>5623.8405458793977</v>
      </c>
      <c r="J93" s="100">
        <v>5</v>
      </c>
      <c r="K93" s="100">
        <v>3468</v>
      </c>
      <c r="L93" s="100">
        <v>6</v>
      </c>
      <c r="M93" s="100">
        <v>4161.6000000000004</v>
      </c>
      <c r="N93" s="100">
        <v>1.3545746974872872</v>
      </c>
      <c r="O93" s="100">
        <v>939.5330101771824</v>
      </c>
      <c r="P93" s="100">
        <v>6</v>
      </c>
      <c r="Q93" s="100">
        <v>4161.6000000000004</v>
      </c>
      <c r="R93" s="100">
        <v>9</v>
      </c>
      <c r="S93" s="100">
        <v>6242.4000000000005</v>
      </c>
      <c r="T93" s="100">
        <v>9</v>
      </c>
      <c r="U93" s="100">
        <v>6242.4000000000005</v>
      </c>
      <c r="V93" s="100">
        <v>6.1046356576569369</v>
      </c>
      <c r="W93" s="100">
        <v>4234.1752921508514</v>
      </c>
      <c r="X93" s="100">
        <v>9</v>
      </c>
      <c r="Y93" s="100">
        <v>6242.4000000000005</v>
      </c>
      <c r="Z93" s="100">
        <v>8</v>
      </c>
      <c r="AA93" s="100">
        <v>5548.8</v>
      </c>
      <c r="AB93" s="100">
        <v>8</v>
      </c>
      <c r="AC93" s="100">
        <v>5548.8</v>
      </c>
      <c r="AD93" s="100">
        <v>1.6772819826526342</v>
      </c>
      <c r="AE93" s="100">
        <v>1163.3627831678671</v>
      </c>
      <c r="AF93" s="100">
        <v>8</v>
      </c>
      <c r="AG93" s="100">
        <v>5548.8</v>
      </c>
      <c r="AH93" s="100">
        <v>9</v>
      </c>
      <c r="AI93" s="100">
        <v>6242.4000000000005</v>
      </c>
      <c r="AJ93" s="100">
        <v>6.8316837059087554</v>
      </c>
      <c r="AK93" s="100">
        <v>4738.4558184183124</v>
      </c>
      <c r="AL93" s="100">
        <v>6.2144403660393426</v>
      </c>
      <c r="AM93" s="100">
        <v>4310.335837884888</v>
      </c>
      <c r="AN93" s="100">
        <v>7.8582600757658811</v>
      </c>
      <c r="AO93" s="100">
        <v>5450.4891885512152</v>
      </c>
      <c r="AP93" s="100">
        <v>6</v>
      </c>
      <c r="AQ93" s="100">
        <v>4161.6000000000004</v>
      </c>
      <c r="AR93" s="100">
        <v>7.2123307804575054</v>
      </c>
      <c r="AS93" s="100">
        <v>5002.4726293253261</v>
      </c>
      <c r="AT93" s="100">
        <v>6.291478882973716</v>
      </c>
      <c r="AU93" s="100">
        <v>4363.7697532305692</v>
      </c>
      <c r="AV93" s="100">
        <v>5.7726555058943676</v>
      </c>
      <c r="AW93" s="100">
        <v>4003.9138588883334</v>
      </c>
      <c r="AX93" s="100">
        <v>6.677797761752803</v>
      </c>
      <c r="AY93" s="100">
        <v>4631.7205275517445</v>
      </c>
      <c r="AZ93" s="100">
        <v>5.3288826138787382</v>
      </c>
      <c r="BA93" s="100">
        <v>3696.1129809862928</v>
      </c>
      <c r="BB93" s="100">
        <v>0.81788456509455287</v>
      </c>
      <c r="BC93" s="100">
        <v>567.28473434958187</v>
      </c>
      <c r="BD93" s="100">
        <v>8</v>
      </c>
      <c r="BE93" s="100">
        <v>5548.8</v>
      </c>
      <c r="BF93" s="100">
        <v>4.1753584220065143</v>
      </c>
      <c r="BG93" s="100">
        <v>2896.0286015037186</v>
      </c>
      <c r="BH93" s="100">
        <v>4.733278413511858</v>
      </c>
      <c r="BI93" s="100">
        <v>3283.0019076118247</v>
      </c>
      <c r="BJ93" s="100">
        <v>7.8628717307399212</v>
      </c>
      <c r="BK93" s="100">
        <v>5453.6878324412091</v>
      </c>
      <c r="BL93" s="100">
        <v>7.4634210278413695</v>
      </c>
      <c r="BM93" s="100">
        <v>5176.6288249107738</v>
      </c>
      <c r="BN93" s="100">
        <v>0.59069440812384366</v>
      </c>
      <c r="BO93" s="100">
        <v>409.70564147469798</v>
      </c>
      <c r="BP93" s="100">
        <v>7</v>
      </c>
      <c r="BQ93" s="100">
        <v>4855.2</v>
      </c>
      <c r="BR93" s="100">
        <v>7</v>
      </c>
      <c r="BS93" s="100">
        <v>4855.2</v>
      </c>
      <c r="BT93" s="100">
        <v>10</v>
      </c>
      <c r="BU93" s="100">
        <v>6936</v>
      </c>
      <c r="BV93" s="100">
        <v>7</v>
      </c>
      <c r="BW93" s="100">
        <v>4855.2</v>
      </c>
      <c r="BX93" s="100">
        <v>11</v>
      </c>
      <c r="BY93" s="100">
        <v>7629.6</v>
      </c>
      <c r="BZ93" s="100">
        <v>1.1962309174528567</v>
      </c>
      <c r="CA93" s="100">
        <v>829.70576434530142</v>
      </c>
      <c r="CB93" s="100">
        <v>8</v>
      </c>
      <c r="CC93" s="100">
        <v>5548.8</v>
      </c>
      <c r="CD93" s="100">
        <v>11</v>
      </c>
      <c r="CE93" s="100">
        <v>7629.6</v>
      </c>
      <c r="CF93" s="100">
        <v>8</v>
      </c>
      <c r="CG93" s="100">
        <v>5548.8</v>
      </c>
      <c r="CH93" s="100">
        <v>9</v>
      </c>
      <c r="CI93" s="100">
        <v>6242.4000000000005</v>
      </c>
      <c r="CJ93" s="100">
        <v>7.0342322693381938</v>
      </c>
      <c r="CK93" s="100">
        <v>4878.9435020129713</v>
      </c>
      <c r="CL93" s="100">
        <v>6.8759775662951439</v>
      </c>
      <c r="CM93" s="100">
        <v>4769.1780399823119</v>
      </c>
      <c r="CN93" s="100">
        <v>8.4585438315535519</v>
      </c>
      <c r="CO93" s="100">
        <v>5866.8460015655437</v>
      </c>
      <c r="CP93" s="100">
        <v>0.78344732024846642</v>
      </c>
      <c r="CQ93" s="100">
        <v>543.39906132433634</v>
      </c>
      <c r="CR93" s="100">
        <v>9</v>
      </c>
      <c r="CS93" s="100">
        <v>6242.4000000000005</v>
      </c>
      <c r="CT93" s="100">
        <v>3.6424243341443305</v>
      </c>
      <c r="CU93" s="100">
        <v>2526.3855181625077</v>
      </c>
    </row>
    <row r="94" spans="2:99">
      <c r="C94" s="99" t="s">
        <v>260</v>
      </c>
      <c r="D94" s="100">
        <v>5.0671524520035414</v>
      </c>
      <c r="E94" s="100">
        <v>6044.0994447498242</v>
      </c>
      <c r="F94" s="100">
        <v>6.6924742403500765</v>
      </c>
      <c r="G94" s="100">
        <v>7982.7832738895713</v>
      </c>
      <c r="H94" s="100">
        <v>8.1081899450395003</v>
      </c>
      <c r="I94" s="100">
        <v>9671.4489664431148</v>
      </c>
      <c r="J94" s="100">
        <v>5</v>
      </c>
      <c r="K94" s="100">
        <v>5964</v>
      </c>
      <c r="L94" s="100">
        <v>6</v>
      </c>
      <c r="M94" s="100">
        <v>7156.7999999999993</v>
      </c>
      <c r="N94" s="100">
        <v>1.3545746974872872</v>
      </c>
      <c r="O94" s="100">
        <v>1615.7366991628362</v>
      </c>
      <c r="P94" s="100">
        <v>5</v>
      </c>
      <c r="Q94" s="100">
        <v>5964</v>
      </c>
      <c r="R94" s="100">
        <v>8</v>
      </c>
      <c r="S94" s="100">
        <v>9542.4</v>
      </c>
      <c r="T94" s="100">
        <v>9</v>
      </c>
      <c r="U94" s="100">
        <v>10735.199999999999</v>
      </c>
      <c r="V94" s="100">
        <v>6.7829285085077089</v>
      </c>
      <c r="W94" s="100">
        <v>8090.6771249479953</v>
      </c>
      <c r="X94" s="100">
        <v>10</v>
      </c>
      <c r="Y94" s="100">
        <v>11928</v>
      </c>
      <c r="Z94" s="100">
        <v>9</v>
      </c>
      <c r="AA94" s="100">
        <v>10735.199999999999</v>
      </c>
      <c r="AB94" s="100">
        <v>7</v>
      </c>
      <c r="AC94" s="100">
        <v>8349.6</v>
      </c>
      <c r="AD94" s="100">
        <v>1.6772819826526342</v>
      </c>
      <c r="AE94" s="100">
        <v>2000.661948908062</v>
      </c>
      <c r="AF94" s="100">
        <v>8</v>
      </c>
      <c r="AG94" s="100">
        <v>9542.4</v>
      </c>
      <c r="AH94" s="100">
        <v>7</v>
      </c>
      <c r="AI94" s="100">
        <v>8349.6</v>
      </c>
      <c r="AJ94" s="100">
        <v>6.8316837059087554</v>
      </c>
      <c r="AK94" s="100">
        <v>8148.8323244079629</v>
      </c>
      <c r="AL94" s="100">
        <v>5.437635320284425</v>
      </c>
      <c r="AM94" s="100">
        <v>6486.0114100352621</v>
      </c>
      <c r="AN94" s="100">
        <v>7.8582600757658811</v>
      </c>
      <c r="AO94" s="100">
        <v>9373.3326183735426</v>
      </c>
      <c r="AP94" s="100">
        <v>6</v>
      </c>
      <c r="AQ94" s="100">
        <v>7156.7999999999993</v>
      </c>
      <c r="AR94" s="100">
        <v>6.4910977024117544</v>
      </c>
      <c r="AS94" s="100">
        <v>7742.5813394367406</v>
      </c>
      <c r="AT94" s="100">
        <v>6.291478882973716</v>
      </c>
      <c r="AU94" s="100">
        <v>7504.4760116110483</v>
      </c>
      <c r="AV94" s="100">
        <v>5.7726555058943676</v>
      </c>
      <c r="AW94" s="100">
        <v>6885.6234874308011</v>
      </c>
      <c r="AX94" s="100">
        <v>6.0100179855775222</v>
      </c>
      <c r="AY94" s="100">
        <v>7168.7494531968678</v>
      </c>
      <c r="AZ94" s="100">
        <v>4.5676136690389182</v>
      </c>
      <c r="BA94" s="100">
        <v>5448.2495844296218</v>
      </c>
      <c r="BB94" s="100">
        <v>0.74972751800334014</v>
      </c>
      <c r="BC94" s="100">
        <v>894.27498347438404</v>
      </c>
      <c r="BD94" s="100">
        <v>7</v>
      </c>
      <c r="BE94" s="100">
        <v>8349.6</v>
      </c>
      <c r="BF94" s="100">
        <v>4.1753584220065143</v>
      </c>
      <c r="BG94" s="100">
        <v>4980.3675257693703</v>
      </c>
      <c r="BH94" s="100">
        <v>3.9443986779265483</v>
      </c>
      <c r="BI94" s="100">
        <v>4704.8787430307866</v>
      </c>
      <c r="BJ94" s="100">
        <v>6.4332586887872072</v>
      </c>
      <c r="BK94" s="100">
        <v>7673.5909639853808</v>
      </c>
      <c r="BL94" s="100">
        <v>7.4634210278413695</v>
      </c>
      <c r="BM94" s="100">
        <v>8902.3686020091845</v>
      </c>
      <c r="BN94" s="100">
        <v>0.59069440812384366</v>
      </c>
      <c r="BO94" s="100">
        <v>704.58029001012073</v>
      </c>
      <c r="BP94" s="100">
        <v>8</v>
      </c>
      <c r="BQ94" s="100">
        <v>9542.4</v>
      </c>
      <c r="BR94" s="100">
        <v>7</v>
      </c>
      <c r="BS94" s="100">
        <v>8349.6</v>
      </c>
      <c r="BT94" s="100">
        <v>9</v>
      </c>
      <c r="BU94" s="100">
        <v>10735.199999999999</v>
      </c>
      <c r="BV94" s="100">
        <v>7</v>
      </c>
      <c r="BW94" s="100">
        <v>8349.6</v>
      </c>
      <c r="BX94" s="100">
        <v>11</v>
      </c>
      <c r="BY94" s="100">
        <v>13120.8</v>
      </c>
      <c r="BZ94" s="100">
        <v>1.1962309174528567</v>
      </c>
      <c r="CA94" s="100">
        <v>1426.8642383377673</v>
      </c>
      <c r="CB94" s="100">
        <v>8</v>
      </c>
      <c r="CC94" s="100">
        <v>9542.4</v>
      </c>
      <c r="CD94" s="100">
        <v>9</v>
      </c>
      <c r="CE94" s="100">
        <v>10735.199999999999</v>
      </c>
      <c r="CF94" s="100">
        <v>8</v>
      </c>
      <c r="CG94" s="100">
        <v>9542.4</v>
      </c>
      <c r="CH94" s="100">
        <v>9</v>
      </c>
      <c r="CI94" s="100">
        <v>10735.199999999999</v>
      </c>
      <c r="CJ94" s="100">
        <v>6.3308090424043755</v>
      </c>
      <c r="CK94" s="100">
        <v>7551.3890257799385</v>
      </c>
      <c r="CL94" s="100">
        <v>6.8759775662951439</v>
      </c>
      <c r="CM94" s="100">
        <v>8201.6660410768473</v>
      </c>
      <c r="CN94" s="100">
        <v>7.1572293959299289</v>
      </c>
      <c r="CO94" s="100">
        <v>8537.1432234652184</v>
      </c>
      <c r="CP94" s="100">
        <v>0.78344732024846642</v>
      </c>
      <c r="CQ94" s="100">
        <v>934.49596359237069</v>
      </c>
      <c r="CR94" s="100">
        <v>10</v>
      </c>
      <c r="CS94" s="100">
        <v>11928</v>
      </c>
      <c r="CT94" s="100">
        <v>3.6424243341443305</v>
      </c>
      <c r="CU94" s="100">
        <v>4344.6837457673573</v>
      </c>
    </row>
    <row r="95" spans="2:99">
      <c r="B95" s="99" t="s">
        <v>132</v>
      </c>
      <c r="C95" s="99" t="s">
        <v>261</v>
      </c>
      <c r="D95" s="100">
        <v>8.4452540866725681</v>
      </c>
      <c r="E95" s="100">
        <v>2776.7995436979404</v>
      </c>
      <c r="F95" s="100">
        <v>7.5290335203938348</v>
      </c>
      <c r="G95" s="100">
        <v>2475.5462215054931</v>
      </c>
      <c r="H95" s="100">
        <v>6.3063699572529446</v>
      </c>
      <c r="I95" s="100">
        <v>2073.5344419447683</v>
      </c>
      <c r="J95" s="100">
        <v>8</v>
      </c>
      <c r="K95" s="100">
        <v>2630.4</v>
      </c>
      <c r="L95" s="100">
        <v>7</v>
      </c>
      <c r="M95" s="100">
        <v>2301.6</v>
      </c>
      <c r="N95" s="100">
        <v>2.3705057206027527</v>
      </c>
      <c r="O95" s="100">
        <v>779.4222809341851</v>
      </c>
      <c r="P95" s="100">
        <v>7</v>
      </c>
      <c r="Q95" s="100">
        <v>2301.6</v>
      </c>
      <c r="R95" s="100">
        <v>8</v>
      </c>
      <c r="S95" s="100">
        <v>2630.4</v>
      </c>
      <c r="T95" s="100">
        <v>8</v>
      </c>
      <c r="U95" s="100">
        <v>2630.4</v>
      </c>
      <c r="V95" s="100">
        <v>6.7829285085077089</v>
      </c>
      <c r="W95" s="100">
        <v>2230.2268935973348</v>
      </c>
      <c r="X95" s="100">
        <v>9</v>
      </c>
      <c r="Y95" s="100">
        <v>2959.2000000000003</v>
      </c>
      <c r="Z95" s="100">
        <v>11</v>
      </c>
      <c r="AA95" s="100">
        <v>3616.8</v>
      </c>
      <c r="AB95" s="100">
        <v>9</v>
      </c>
      <c r="AC95" s="100">
        <v>2959.2000000000003</v>
      </c>
      <c r="AD95" s="100">
        <v>2.156505406267673</v>
      </c>
      <c r="AE95" s="100">
        <v>709.05897758081085</v>
      </c>
      <c r="AF95" s="100">
        <v>14</v>
      </c>
      <c r="AG95" s="100">
        <v>4603.2</v>
      </c>
      <c r="AH95" s="100">
        <v>13</v>
      </c>
      <c r="AI95" s="100">
        <v>4274.4000000000005</v>
      </c>
      <c r="AJ95" s="100">
        <v>8.3498356405551455</v>
      </c>
      <c r="AK95" s="100">
        <v>2745.4259586145317</v>
      </c>
      <c r="AL95" s="100">
        <v>9.3216605490590148</v>
      </c>
      <c r="AM95" s="100">
        <v>3064.9619885306042</v>
      </c>
      <c r="AN95" s="100">
        <v>6.8759775662951457</v>
      </c>
      <c r="AO95" s="100">
        <v>2260.8214237978441</v>
      </c>
      <c r="AP95" s="100">
        <v>8</v>
      </c>
      <c r="AQ95" s="100">
        <v>2630.4</v>
      </c>
      <c r="AR95" s="100">
        <v>7.9335638585032555</v>
      </c>
      <c r="AS95" s="100">
        <v>2608.5557966758706</v>
      </c>
      <c r="AT95" s="100">
        <v>8.1789225478658309</v>
      </c>
      <c r="AU95" s="100">
        <v>2689.2297337382852</v>
      </c>
      <c r="AV95" s="100">
        <v>8.6589832588415501</v>
      </c>
      <c r="AW95" s="100">
        <v>2847.0736955071015</v>
      </c>
      <c r="AX95" s="100">
        <v>8.6811370902786429</v>
      </c>
      <c r="AY95" s="100">
        <v>2854.3578752836179</v>
      </c>
      <c r="AZ95" s="100">
        <v>9.1352273380778364</v>
      </c>
      <c r="BA95" s="100">
        <v>3003.6627487599926</v>
      </c>
      <c r="BB95" s="100">
        <v>0.47709932963848917</v>
      </c>
      <c r="BC95" s="100">
        <v>156.87025958513524</v>
      </c>
      <c r="BD95" s="100">
        <v>9</v>
      </c>
      <c r="BE95" s="100">
        <v>2959.2000000000003</v>
      </c>
      <c r="BF95" s="100">
        <v>6.5612775202959517</v>
      </c>
      <c r="BG95" s="100">
        <v>2157.3480486733088</v>
      </c>
      <c r="BH95" s="100">
        <v>9.4665568270237159</v>
      </c>
      <c r="BI95" s="100">
        <v>3112.6038847253981</v>
      </c>
      <c r="BJ95" s="100">
        <v>8.5776782517162768</v>
      </c>
      <c r="BK95" s="100">
        <v>2820.3406091643119</v>
      </c>
      <c r="BL95" s="100">
        <v>7.4634210278413695</v>
      </c>
      <c r="BM95" s="100">
        <v>2453.9728339542426</v>
      </c>
      <c r="BN95" s="100">
        <v>0.59069440812384366</v>
      </c>
      <c r="BO95" s="100">
        <v>194.2203213911198</v>
      </c>
      <c r="BP95" s="100">
        <v>7</v>
      </c>
      <c r="BQ95" s="100">
        <v>2301.6</v>
      </c>
      <c r="BR95" s="100">
        <v>8</v>
      </c>
      <c r="BS95" s="100">
        <v>2630.4</v>
      </c>
      <c r="BT95" s="100">
        <v>8</v>
      </c>
      <c r="BU95" s="100">
        <v>2630.4</v>
      </c>
      <c r="BV95" s="100">
        <v>8</v>
      </c>
      <c r="BW95" s="100">
        <v>2630.4</v>
      </c>
      <c r="BX95" s="100">
        <v>12</v>
      </c>
      <c r="BY95" s="100">
        <v>3945.6000000000004</v>
      </c>
      <c r="BZ95" s="100">
        <v>1.1962309174528567</v>
      </c>
      <c r="CA95" s="100">
        <v>393.32072565849927</v>
      </c>
      <c r="CB95" s="100">
        <v>11</v>
      </c>
      <c r="CC95" s="100">
        <v>3616.8</v>
      </c>
      <c r="CD95" s="100">
        <v>8</v>
      </c>
      <c r="CE95" s="100">
        <v>2630.4</v>
      </c>
      <c r="CF95" s="100">
        <v>8</v>
      </c>
      <c r="CG95" s="100">
        <v>2630.4</v>
      </c>
      <c r="CH95" s="100">
        <v>11</v>
      </c>
      <c r="CI95" s="100">
        <v>3616.8</v>
      </c>
      <c r="CJ95" s="100">
        <v>9.8479251770734724</v>
      </c>
      <c r="CK95" s="100">
        <v>3237.9977982217579</v>
      </c>
      <c r="CL95" s="100">
        <v>7.8582600757658794</v>
      </c>
      <c r="CM95" s="100">
        <v>2583.7959129118212</v>
      </c>
      <c r="CN95" s="100">
        <v>7.1572293959299289</v>
      </c>
      <c r="CO95" s="100">
        <v>2353.2970253817607</v>
      </c>
      <c r="CP95" s="100">
        <v>0.45701093681160537</v>
      </c>
      <c r="CQ95" s="100">
        <v>150.26519602365585</v>
      </c>
      <c r="CR95" s="100">
        <v>11</v>
      </c>
      <c r="CS95" s="100">
        <v>3616.8</v>
      </c>
      <c r="CT95" s="100">
        <v>5.0083334594484548</v>
      </c>
      <c r="CU95" s="100">
        <v>1646.740041466652</v>
      </c>
    </row>
    <row r="96" spans="2:99">
      <c r="C96" s="99" t="s">
        <v>262</v>
      </c>
      <c r="D96" s="100">
        <v>8.4452540866725681</v>
      </c>
      <c r="E96" s="100">
        <v>5867.7625394200995</v>
      </c>
      <c r="F96" s="100">
        <v>7.5290335203938348</v>
      </c>
      <c r="G96" s="100">
        <v>5231.1724899696364</v>
      </c>
      <c r="H96" s="100">
        <v>6.3063699572529446</v>
      </c>
      <c r="I96" s="100">
        <v>4381.6658462993455</v>
      </c>
      <c r="J96" s="100">
        <v>7</v>
      </c>
      <c r="K96" s="100">
        <v>4863.5999999999995</v>
      </c>
      <c r="L96" s="100">
        <v>8</v>
      </c>
      <c r="M96" s="100">
        <v>5558.4</v>
      </c>
      <c r="N96" s="100">
        <v>2.2011838834168418</v>
      </c>
      <c r="O96" s="100">
        <v>1529.3825621980216</v>
      </c>
      <c r="P96" s="100">
        <v>7</v>
      </c>
      <c r="Q96" s="100">
        <v>4863.5999999999995</v>
      </c>
      <c r="R96" s="100">
        <v>9</v>
      </c>
      <c r="S96" s="100">
        <v>6253.2</v>
      </c>
      <c r="T96" s="100">
        <v>8</v>
      </c>
      <c r="U96" s="100">
        <v>5558.4</v>
      </c>
      <c r="V96" s="100">
        <v>6.7829285085077089</v>
      </c>
      <c r="W96" s="100">
        <v>4712.7787277111556</v>
      </c>
      <c r="X96" s="100">
        <v>8</v>
      </c>
      <c r="Y96" s="100">
        <v>5558.4</v>
      </c>
      <c r="Z96" s="100">
        <v>10</v>
      </c>
      <c r="AA96" s="100">
        <v>6948</v>
      </c>
      <c r="AB96" s="100">
        <v>9</v>
      </c>
      <c r="AC96" s="100">
        <v>6253.2</v>
      </c>
      <c r="AD96" s="100">
        <v>2.156505406267673</v>
      </c>
      <c r="AE96" s="100">
        <v>1498.3399562747791</v>
      </c>
      <c r="AF96" s="100">
        <v>14</v>
      </c>
      <c r="AG96" s="100">
        <v>9727.1999999999989</v>
      </c>
      <c r="AH96" s="100">
        <v>12</v>
      </c>
      <c r="AI96" s="100">
        <v>8337.5999999999985</v>
      </c>
      <c r="AJ96" s="100">
        <v>6.8316837059087554</v>
      </c>
      <c r="AK96" s="100">
        <v>4746.6538388654026</v>
      </c>
      <c r="AL96" s="100">
        <v>8.5448555033040972</v>
      </c>
      <c r="AM96" s="100">
        <v>5936.9656036956867</v>
      </c>
      <c r="AN96" s="100">
        <v>6.8759775662951457</v>
      </c>
      <c r="AO96" s="100">
        <v>4777.4292130618669</v>
      </c>
      <c r="AP96" s="100">
        <v>9</v>
      </c>
      <c r="AQ96" s="100">
        <v>6253.2</v>
      </c>
      <c r="AR96" s="100">
        <v>8.6547969365490065</v>
      </c>
      <c r="AS96" s="100">
        <v>6013.3529115142492</v>
      </c>
      <c r="AT96" s="100">
        <v>8.8080704361632023</v>
      </c>
      <c r="AU96" s="100">
        <v>6119.8473390461922</v>
      </c>
      <c r="AV96" s="100">
        <v>8.6589832588415501</v>
      </c>
      <c r="AW96" s="100">
        <v>6016.2615682431087</v>
      </c>
      <c r="AX96" s="100">
        <v>8.0133573141033629</v>
      </c>
      <c r="AY96" s="100">
        <v>5567.6806618390165</v>
      </c>
      <c r="AZ96" s="100">
        <v>9.1352273380778364</v>
      </c>
      <c r="BA96" s="100">
        <v>6347.1559544964803</v>
      </c>
      <c r="BB96" s="100">
        <v>0.47709932963848917</v>
      </c>
      <c r="BC96" s="100">
        <v>331.48861423282227</v>
      </c>
      <c r="BD96" s="100">
        <v>8</v>
      </c>
      <c r="BE96" s="100">
        <v>5558.4</v>
      </c>
      <c r="BF96" s="100">
        <v>7.1577572948683112</v>
      </c>
      <c r="BG96" s="100">
        <v>4973.2097684745022</v>
      </c>
      <c r="BH96" s="100">
        <v>8.6776770914384063</v>
      </c>
      <c r="BI96" s="100">
        <v>6029.2500431314047</v>
      </c>
      <c r="BJ96" s="100">
        <v>7.8628717307399212</v>
      </c>
      <c r="BK96" s="100">
        <v>5463.1232785180973</v>
      </c>
      <c r="BL96" s="100">
        <v>8.2097631306255074</v>
      </c>
      <c r="BM96" s="100">
        <v>5704.1434231586018</v>
      </c>
      <c r="BN96" s="100">
        <v>0.59069440812384366</v>
      </c>
      <c r="BO96" s="100">
        <v>410.41447476444654</v>
      </c>
      <c r="BP96" s="100">
        <v>7</v>
      </c>
      <c r="BQ96" s="100">
        <v>4863.5999999999995</v>
      </c>
      <c r="BR96" s="100">
        <v>9</v>
      </c>
      <c r="BS96" s="100">
        <v>6253.2</v>
      </c>
      <c r="BT96" s="100">
        <v>8</v>
      </c>
      <c r="BU96" s="100">
        <v>5558.4</v>
      </c>
      <c r="BV96" s="100">
        <v>8</v>
      </c>
      <c r="BW96" s="100">
        <v>5558.4</v>
      </c>
      <c r="BX96" s="100">
        <v>12</v>
      </c>
      <c r="BY96" s="100">
        <v>8337.5999999999985</v>
      </c>
      <c r="BZ96" s="100">
        <v>1.1962309174528567</v>
      </c>
      <c r="CA96" s="100">
        <v>831.14124144624475</v>
      </c>
      <c r="CB96" s="100">
        <v>9</v>
      </c>
      <c r="CC96" s="100">
        <v>6253.2</v>
      </c>
      <c r="CD96" s="100">
        <v>7</v>
      </c>
      <c r="CE96" s="100">
        <v>4863.5999999999995</v>
      </c>
      <c r="CF96" s="100">
        <v>7</v>
      </c>
      <c r="CG96" s="100">
        <v>4863.5999999999995</v>
      </c>
      <c r="CH96" s="100">
        <v>11</v>
      </c>
      <c r="CI96" s="100">
        <v>7642.7999999999993</v>
      </c>
      <c r="CJ96" s="100">
        <v>8.4410787232058322</v>
      </c>
      <c r="CK96" s="100">
        <v>5864.8614968834117</v>
      </c>
      <c r="CL96" s="100">
        <v>7.8582600757658794</v>
      </c>
      <c r="CM96" s="100">
        <v>5459.9191006421324</v>
      </c>
      <c r="CN96" s="100">
        <v>7.80788661374174</v>
      </c>
      <c r="CO96" s="100">
        <v>5424.9196192277604</v>
      </c>
      <c r="CP96" s="100">
        <v>0.45701093681160537</v>
      </c>
      <c r="CQ96" s="100">
        <v>317.53119889670342</v>
      </c>
      <c r="CR96" s="100">
        <v>11</v>
      </c>
      <c r="CS96" s="100">
        <v>7642.7999999999993</v>
      </c>
      <c r="CT96" s="100">
        <v>4.5530304176804135</v>
      </c>
      <c r="CU96" s="100">
        <v>3163.4455342043511</v>
      </c>
    </row>
    <row r="97" spans="2:99">
      <c r="C97" s="99" t="s">
        <v>263</v>
      </c>
      <c r="D97" s="100">
        <v>8.4452540866725681</v>
      </c>
      <c r="E97" s="100">
        <v>3313.9177036103156</v>
      </c>
      <c r="F97" s="100">
        <v>8.3655928004375948</v>
      </c>
      <c r="G97" s="100">
        <v>3282.6586148917122</v>
      </c>
      <c r="H97" s="100">
        <v>7.207279951146222</v>
      </c>
      <c r="I97" s="100">
        <v>2828.1366528297772</v>
      </c>
      <c r="J97" s="100">
        <v>8</v>
      </c>
      <c r="K97" s="100">
        <v>3139.2</v>
      </c>
      <c r="L97" s="100">
        <v>7</v>
      </c>
      <c r="M97" s="100">
        <v>2746.7999999999997</v>
      </c>
      <c r="N97" s="100">
        <v>2.0318620462309305</v>
      </c>
      <c r="O97" s="100">
        <v>797.30266694101704</v>
      </c>
      <c r="P97" s="100">
        <v>7</v>
      </c>
      <c r="Q97" s="100">
        <v>2746.7999999999997</v>
      </c>
      <c r="R97" s="100">
        <v>8</v>
      </c>
      <c r="S97" s="100">
        <v>3139.2</v>
      </c>
      <c r="T97" s="100">
        <v>8</v>
      </c>
      <c r="U97" s="100">
        <v>3139.2</v>
      </c>
      <c r="V97" s="100">
        <v>7.4612213593584791</v>
      </c>
      <c r="W97" s="100">
        <v>2927.7832614122672</v>
      </c>
      <c r="X97" s="100">
        <v>10</v>
      </c>
      <c r="Y97" s="100">
        <v>3924</v>
      </c>
      <c r="Z97" s="100">
        <v>10</v>
      </c>
      <c r="AA97" s="100">
        <v>3924</v>
      </c>
      <c r="AB97" s="100">
        <v>8</v>
      </c>
      <c r="AC97" s="100">
        <v>3139.2</v>
      </c>
      <c r="AD97" s="100">
        <v>2.3961171180751917</v>
      </c>
      <c r="AE97" s="100">
        <v>940.23635713270517</v>
      </c>
      <c r="AF97" s="100">
        <v>14</v>
      </c>
      <c r="AG97" s="100">
        <v>5493.5999999999995</v>
      </c>
      <c r="AH97" s="100">
        <v>13</v>
      </c>
      <c r="AI97" s="100">
        <v>5101.2</v>
      </c>
      <c r="AJ97" s="100">
        <v>7.5907596732319504</v>
      </c>
      <c r="AK97" s="100">
        <v>2978.6140957762173</v>
      </c>
      <c r="AL97" s="100">
        <v>8.5448555033040972</v>
      </c>
      <c r="AM97" s="100">
        <v>3353.0012994965277</v>
      </c>
      <c r="AN97" s="100">
        <v>6.8759775662951457</v>
      </c>
      <c r="AO97" s="100">
        <v>2698.133597014215</v>
      </c>
      <c r="AP97" s="100">
        <v>8</v>
      </c>
      <c r="AQ97" s="100">
        <v>3139.2</v>
      </c>
      <c r="AR97" s="100">
        <v>8.6547969365490065</v>
      </c>
      <c r="AS97" s="100">
        <v>3396.1423179018298</v>
      </c>
      <c r="AT97" s="100">
        <v>7.5497746595684587</v>
      </c>
      <c r="AU97" s="100">
        <v>2962.531576414663</v>
      </c>
      <c r="AV97" s="100">
        <v>8.6589832588415501</v>
      </c>
      <c r="AW97" s="100">
        <v>3397.7850307694239</v>
      </c>
      <c r="AX97" s="100">
        <v>9.3489168664539246</v>
      </c>
      <c r="AY97" s="100">
        <v>3668.5149783965198</v>
      </c>
      <c r="AZ97" s="100">
        <v>9.1352273380778364</v>
      </c>
      <c r="BA97" s="100">
        <v>3584.6632074617428</v>
      </c>
      <c r="BB97" s="100">
        <v>0.47709932963848917</v>
      </c>
      <c r="BC97" s="100">
        <v>187.21377695014314</v>
      </c>
      <c r="BD97" s="100">
        <v>9</v>
      </c>
      <c r="BE97" s="100">
        <v>3531.6</v>
      </c>
      <c r="BF97" s="100">
        <v>6.5612775202959517</v>
      </c>
      <c r="BG97" s="100">
        <v>2574.6452989641311</v>
      </c>
      <c r="BH97" s="100">
        <v>9.4665568270237159</v>
      </c>
      <c r="BI97" s="100">
        <v>3714.6768989241059</v>
      </c>
      <c r="BJ97" s="100">
        <v>8.5776782517162768</v>
      </c>
      <c r="BK97" s="100">
        <v>3365.8809459734666</v>
      </c>
      <c r="BL97" s="100">
        <v>7.4634210278413695</v>
      </c>
      <c r="BM97" s="100">
        <v>2928.6464113249531</v>
      </c>
      <c r="BN97" s="100">
        <v>0.65632712013760408</v>
      </c>
      <c r="BO97" s="100">
        <v>257.54276194199582</v>
      </c>
      <c r="BP97" s="100">
        <v>9</v>
      </c>
      <c r="BQ97" s="100">
        <v>3531.6</v>
      </c>
      <c r="BR97" s="100">
        <v>8</v>
      </c>
      <c r="BS97" s="100">
        <v>3139.2</v>
      </c>
      <c r="BT97" s="100">
        <v>7</v>
      </c>
      <c r="BU97" s="100">
        <v>2746.7999999999997</v>
      </c>
      <c r="BV97" s="100">
        <v>7</v>
      </c>
      <c r="BW97" s="100">
        <v>2746.7999999999997</v>
      </c>
      <c r="BX97" s="100">
        <v>11</v>
      </c>
      <c r="BY97" s="100">
        <v>4316.3999999999996</v>
      </c>
      <c r="BZ97" s="100">
        <v>1.1962309174528567</v>
      </c>
      <c r="CA97" s="100">
        <v>469.40101200850097</v>
      </c>
      <c r="CB97" s="100">
        <v>9</v>
      </c>
      <c r="CC97" s="100">
        <v>3531.6</v>
      </c>
      <c r="CD97" s="100">
        <v>8</v>
      </c>
      <c r="CE97" s="100">
        <v>3139.2</v>
      </c>
      <c r="CF97" s="100">
        <v>7</v>
      </c>
      <c r="CG97" s="100">
        <v>2746.7999999999997</v>
      </c>
      <c r="CH97" s="100">
        <v>10</v>
      </c>
      <c r="CI97" s="100">
        <v>3924</v>
      </c>
      <c r="CJ97" s="100">
        <v>9.8479251770734724</v>
      </c>
      <c r="CK97" s="100">
        <v>3864.3258394836303</v>
      </c>
      <c r="CL97" s="100">
        <v>7.8582600757658794</v>
      </c>
      <c r="CM97" s="100">
        <v>3083.581253730531</v>
      </c>
      <c r="CN97" s="100">
        <v>6.5065721781181169</v>
      </c>
      <c r="CO97" s="100">
        <v>2553.1789226935489</v>
      </c>
      <c r="CP97" s="100">
        <v>0.45701093681160537</v>
      </c>
      <c r="CQ97" s="100">
        <v>179.33109160487393</v>
      </c>
      <c r="CR97" s="100">
        <v>11</v>
      </c>
      <c r="CS97" s="100">
        <v>4316.3999999999996</v>
      </c>
      <c r="CT97" s="100">
        <v>4.0977273759123722</v>
      </c>
      <c r="CU97" s="100">
        <v>1607.9482223080147</v>
      </c>
    </row>
    <row r="98" spans="2:99">
      <c r="C98" s="99" t="s">
        <v>264</v>
      </c>
      <c r="D98" s="100">
        <v>9.2897794953398254</v>
      </c>
      <c r="E98" s="100">
        <v>4882.7081027506129</v>
      </c>
      <c r="F98" s="100">
        <v>8.3655928004375948</v>
      </c>
      <c r="G98" s="100">
        <v>4396.9555759100003</v>
      </c>
      <c r="H98" s="100">
        <v>7.207279951146222</v>
      </c>
      <c r="I98" s="100">
        <v>3788.1463423224545</v>
      </c>
      <c r="J98" s="100">
        <v>7</v>
      </c>
      <c r="K98" s="100">
        <v>3679.2000000000003</v>
      </c>
      <c r="L98" s="100">
        <v>7</v>
      </c>
      <c r="M98" s="100">
        <v>3679.2000000000003</v>
      </c>
      <c r="N98" s="100">
        <v>2.0318620462309305</v>
      </c>
      <c r="O98" s="100">
        <v>1067.9466914989771</v>
      </c>
      <c r="P98" s="100">
        <v>7</v>
      </c>
      <c r="Q98" s="100">
        <v>3679.2000000000003</v>
      </c>
      <c r="R98" s="100">
        <v>9</v>
      </c>
      <c r="S98" s="100">
        <v>4730.4000000000005</v>
      </c>
      <c r="T98" s="100">
        <v>8</v>
      </c>
      <c r="U98" s="100">
        <v>4204.8</v>
      </c>
      <c r="V98" s="100">
        <v>6.7829285085077089</v>
      </c>
      <c r="W98" s="100">
        <v>3565.1072240716521</v>
      </c>
      <c r="X98" s="100">
        <v>9</v>
      </c>
      <c r="Y98" s="100">
        <v>4730.4000000000005</v>
      </c>
      <c r="Z98" s="100">
        <v>11</v>
      </c>
      <c r="AA98" s="100">
        <v>5781.6</v>
      </c>
      <c r="AB98" s="100">
        <v>9</v>
      </c>
      <c r="AC98" s="100">
        <v>4730.4000000000005</v>
      </c>
      <c r="AD98" s="100">
        <v>2.3961171180751917</v>
      </c>
      <c r="AE98" s="100">
        <v>1259.3991572603209</v>
      </c>
      <c r="AF98" s="100">
        <v>13</v>
      </c>
      <c r="AG98" s="100">
        <v>6832.8</v>
      </c>
      <c r="AH98" s="100">
        <v>11</v>
      </c>
      <c r="AI98" s="100">
        <v>5781.6</v>
      </c>
      <c r="AJ98" s="100">
        <v>8.3498356405551455</v>
      </c>
      <c r="AK98" s="100">
        <v>4388.6736126757851</v>
      </c>
      <c r="AL98" s="100">
        <v>7.7680504575491796</v>
      </c>
      <c r="AM98" s="100">
        <v>4082.8873204878491</v>
      </c>
      <c r="AN98" s="100">
        <v>6.8759775662951457</v>
      </c>
      <c r="AO98" s="100">
        <v>3614.0138088447288</v>
      </c>
      <c r="AP98" s="100">
        <v>8</v>
      </c>
      <c r="AQ98" s="100">
        <v>4204.8</v>
      </c>
      <c r="AR98" s="100">
        <v>8.6547969365490065</v>
      </c>
      <c r="AS98" s="100">
        <v>4548.9612698501578</v>
      </c>
      <c r="AT98" s="100">
        <v>8.8080704361632023</v>
      </c>
      <c r="AU98" s="100">
        <v>4629.5218212473792</v>
      </c>
      <c r="AV98" s="100">
        <v>7.9374013206047547</v>
      </c>
      <c r="AW98" s="100">
        <v>4171.8981341098588</v>
      </c>
      <c r="AX98" s="100">
        <v>7.345577537928083</v>
      </c>
      <c r="AY98" s="100">
        <v>3860.8355539350005</v>
      </c>
      <c r="AZ98" s="100">
        <v>9.8964962829176564</v>
      </c>
      <c r="BA98" s="100">
        <v>5201.5984463015202</v>
      </c>
      <c r="BB98" s="100">
        <v>0.47709932963848917</v>
      </c>
      <c r="BC98" s="100">
        <v>250.76340765798992</v>
      </c>
      <c r="BD98" s="100">
        <v>9</v>
      </c>
      <c r="BE98" s="100">
        <v>4730.4000000000005</v>
      </c>
      <c r="BF98" s="100">
        <v>7.7542370694406708</v>
      </c>
      <c r="BG98" s="100">
        <v>4075.6270036980168</v>
      </c>
      <c r="BH98" s="100">
        <v>10.255436562609026</v>
      </c>
      <c r="BI98" s="100">
        <v>5390.2574573073043</v>
      </c>
      <c r="BJ98" s="100">
        <v>8.5776782517162768</v>
      </c>
      <c r="BK98" s="100">
        <v>4508.4276891020754</v>
      </c>
      <c r="BL98" s="100">
        <v>6.7170789250572334</v>
      </c>
      <c r="BM98" s="100">
        <v>3530.4966830100821</v>
      </c>
      <c r="BN98" s="100">
        <v>0.59069440812384366</v>
      </c>
      <c r="BO98" s="100">
        <v>310.46898090989225</v>
      </c>
      <c r="BP98" s="100">
        <v>8</v>
      </c>
      <c r="BQ98" s="100">
        <v>4204.8</v>
      </c>
      <c r="BR98" s="100">
        <v>9</v>
      </c>
      <c r="BS98" s="100">
        <v>4730.4000000000005</v>
      </c>
      <c r="BT98" s="100">
        <v>7</v>
      </c>
      <c r="BU98" s="100">
        <v>3679.2000000000003</v>
      </c>
      <c r="BV98" s="100">
        <v>8</v>
      </c>
      <c r="BW98" s="100">
        <v>4204.8</v>
      </c>
      <c r="BX98" s="100">
        <v>12</v>
      </c>
      <c r="BY98" s="100">
        <v>6307.2000000000007</v>
      </c>
      <c r="BZ98" s="100">
        <v>1.3956027370283326</v>
      </c>
      <c r="CA98" s="100">
        <v>733.52879858209167</v>
      </c>
      <c r="CB98" s="100">
        <v>10</v>
      </c>
      <c r="CC98" s="100">
        <v>5256</v>
      </c>
      <c r="CD98" s="100">
        <v>7</v>
      </c>
      <c r="CE98" s="100">
        <v>3679.2000000000003</v>
      </c>
      <c r="CF98" s="100">
        <v>7</v>
      </c>
      <c r="CG98" s="100">
        <v>3679.2000000000003</v>
      </c>
      <c r="CH98" s="100">
        <v>10</v>
      </c>
      <c r="CI98" s="100">
        <v>5256</v>
      </c>
      <c r="CJ98" s="100">
        <v>9.1445019501396523</v>
      </c>
      <c r="CK98" s="100">
        <v>4806.3502249934018</v>
      </c>
      <c r="CL98" s="100">
        <v>8.840542585236614</v>
      </c>
      <c r="CM98" s="100">
        <v>4646.5891828003641</v>
      </c>
      <c r="CN98" s="100">
        <v>7.1572293959299289</v>
      </c>
      <c r="CO98" s="100">
        <v>3761.839770500771</v>
      </c>
      <c r="CP98" s="100">
        <v>0.45701093681160537</v>
      </c>
      <c r="CQ98" s="100">
        <v>240.20494838817979</v>
      </c>
      <c r="CR98" s="100">
        <v>12</v>
      </c>
      <c r="CS98" s="100">
        <v>6307.2000000000007</v>
      </c>
      <c r="CT98" s="100">
        <v>4.5530304176804135</v>
      </c>
      <c r="CU98" s="100">
        <v>2393.0727875328253</v>
      </c>
    </row>
    <row r="99" spans="2:99">
      <c r="C99" s="99" t="s">
        <v>265</v>
      </c>
      <c r="D99" s="100">
        <v>6.7562032693380552</v>
      </c>
      <c r="E99" s="100">
        <v>28432.80583868227</v>
      </c>
      <c r="F99" s="100">
        <v>6.6924742403500765</v>
      </c>
      <c r="G99" s="100">
        <v>28164.608593089259</v>
      </c>
      <c r="H99" s="100">
        <v>6.3063699572529446</v>
      </c>
      <c r="I99" s="100">
        <v>26539.72732810329</v>
      </c>
      <c r="J99" s="100">
        <v>6</v>
      </c>
      <c r="K99" s="100">
        <v>25250.399999999998</v>
      </c>
      <c r="L99" s="100">
        <v>6</v>
      </c>
      <c r="M99" s="100">
        <v>25250.399999999998</v>
      </c>
      <c r="N99" s="100">
        <v>1.693218371859109</v>
      </c>
      <c r="O99" s="100">
        <v>7125.7401961318737</v>
      </c>
      <c r="P99" s="100">
        <v>6</v>
      </c>
      <c r="Q99" s="100">
        <v>25250.399999999998</v>
      </c>
      <c r="R99" s="100">
        <v>7</v>
      </c>
      <c r="S99" s="100">
        <v>29458.799999999996</v>
      </c>
      <c r="T99" s="100">
        <v>7</v>
      </c>
      <c r="U99" s="100">
        <v>29458.799999999996</v>
      </c>
      <c r="V99" s="100">
        <v>5.4263428068061668</v>
      </c>
      <c r="W99" s="100">
        <v>22836.221068163071</v>
      </c>
      <c r="X99" s="100">
        <v>8</v>
      </c>
      <c r="Y99" s="100">
        <v>33667.199999999997</v>
      </c>
      <c r="Z99" s="100">
        <v>8</v>
      </c>
      <c r="AA99" s="100">
        <v>33667.199999999997</v>
      </c>
      <c r="AB99" s="100">
        <v>7</v>
      </c>
      <c r="AC99" s="100">
        <v>29458.799999999996</v>
      </c>
      <c r="AD99" s="100">
        <v>1.6772819826526342</v>
      </c>
      <c r="AE99" s="100">
        <v>7058.6734957953449</v>
      </c>
      <c r="AF99" s="100">
        <v>10</v>
      </c>
      <c r="AG99" s="100">
        <v>42084</v>
      </c>
      <c r="AH99" s="100">
        <v>10</v>
      </c>
      <c r="AI99" s="100">
        <v>42084</v>
      </c>
      <c r="AJ99" s="100">
        <v>6.8316837059087554</v>
      </c>
      <c r="AK99" s="100">
        <v>28750.457707946403</v>
      </c>
      <c r="AL99" s="100">
        <v>7.7680504575491796</v>
      </c>
      <c r="AM99" s="100">
        <v>32691.063545549965</v>
      </c>
      <c r="AN99" s="100">
        <v>4.9114125473536756</v>
      </c>
      <c r="AO99" s="100">
        <v>20669.188564283206</v>
      </c>
      <c r="AP99" s="100">
        <v>7</v>
      </c>
      <c r="AQ99" s="100">
        <v>29458.799999999996</v>
      </c>
      <c r="AR99" s="100">
        <v>6.4910977024117544</v>
      </c>
      <c r="AS99" s="100">
        <v>27317.135570829625</v>
      </c>
      <c r="AT99" s="100">
        <v>6.9206267712710874</v>
      </c>
      <c r="AU99" s="100">
        <v>29124.765704217243</v>
      </c>
      <c r="AV99" s="100">
        <v>6.4942374441311639</v>
      </c>
      <c r="AW99" s="100">
        <v>27330.348859881589</v>
      </c>
      <c r="AX99" s="100">
        <v>7.345577537928083</v>
      </c>
      <c r="AY99" s="100">
        <v>30913.128510616541</v>
      </c>
      <c r="AZ99" s="100">
        <v>7.6126894483981973</v>
      </c>
      <c r="BA99" s="100">
        <v>32037.242274638971</v>
      </c>
      <c r="BB99" s="100">
        <v>0.40894228254727644</v>
      </c>
      <c r="BC99" s="100">
        <v>1720.9927018719579</v>
      </c>
      <c r="BD99" s="100">
        <v>7</v>
      </c>
      <c r="BE99" s="100">
        <v>29458.799999999996</v>
      </c>
      <c r="BF99" s="100">
        <v>5.3683179711512334</v>
      </c>
      <c r="BG99" s="100">
        <v>22592.029349792851</v>
      </c>
      <c r="BH99" s="100">
        <v>7.8887973558530966</v>
      </c>
      <c r="BI99" s="100">
        <v>33199.214792372171</v>
      </c>
      <c r="BJ99" s="100">
        <v>6.4332586887872072</v>
      </c>
      <c r="BK99" s="100">
        <v>27073.72586589208</v>
      </c>
      <c r="BL99" s="100">
        <v>5.9707368222730954</v>
      </c>
      <c r="BM99" s="100">
        <v>25127.248842854093</v>
      </c>
      <c r="BN99" s="100">
        <v>0.45942898409632288</v>
      </c>
      <c r="BO99" s="100">
        <v>1933.4609366709651</v>
      </c>
      <c r="BP99" s="100">
        <v>7</v>
      </c>
      <c r="BQ99" s="100">
        <v>29458.799999999996</v>
      </c>
      <c r="BR99" s="100">
        <v>7</v>
      </c>
      <c r="BS99" s="100">
        <v>29458.799999999996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9</v>
      </c>
      <c r="BY99" s="100">
        <v>37875.599999999999</v>
      </c>
      <c r="BZ99" s="100">
        <v>1.0965450076651186</v>
      </c>
      <c r="CA99" s="100">
        <v>4614.700010257885</v>
      </c>
      <c r="CB99" s="100">
        <v>9</v>
      </c>
      <c r="CC99" s="100">
        <v>37875.599999999999</v>
      </c>
      <c r="CD99" s="100">
        <v>6</v>
      </c>
      <c r="CE99" s="100">
        <v>25250.399999999998</v>
      </c>
      <c r="CF99" s="100">
        <v>6</v>
      </c>
      <c r="CG99" s="100">
        <v>25250.399999999998</v>
      </c>
      <c r="CH99" s="100">
        <v>8</v>
      </c>
      <c r="CI99" s="100">
        <v>33667.199999999997</v>
      </c>
      <c r="CJ99" s="100">
        <v>8.4410787232058322</v>
      </c>
      <c r="CK99" s="100">
        <v>35523.43569873942</v>
      </c>
      <c r="CL99" s="100">
        <v>5.8936950568244102</v>
      </c>
      <c r="CM99" s="100">
        <v>24803.026277139845</v>
      </c>
      <c r="CN99" s="100">
        <v>6.5065721781181169</v>
      </c>
      <c r="CO99" s="100">
        <v>27382.258354392281</v>
      </c>
      <c r="CP99" s="100">
        <v>0.39172366012423321</v>
      </c>
      <c r="CQ99" s="100">
        <v>1648.5298512668228</v>
      </c>
      <c r="CR99" s="100">
        <v>9</v>
      </c>
      <c r="CS99" s="100">
        <v>37875.599999999999</v>
      </c>
      <c r="CT99" s="100">
        <v>3.6424243341443305</v>
      </c>
      <c r="CU99" s="100">
        <v>15328.778567812999</v>
      </c>
    </row>
    <row r="100" spans="2:99">
      <c r="C100" s="99" t="s">
        <v>266</v>
      </c>
      <c r="D100" s="100">
        <v>9.2897794953398254</v>
      </c>
      <c r="E100" s="100">
        <v>3009.8885564901034</v>
      </c>
      <c r="F100" s="100">
        <v>8.3655928004375948</v>
      </c>
      <c r="G100" s="100">
        <v>2710.4520673417805</v>
      </c>
      <c r="H100" s="100">
        <v>7.207279951146222</v>
      </c>
      <c r="I100" s="100">
        <v>2335.158704171376</v>
      </c>
      <c r="J100" s="100">
        <v>7</v>
      </c>
      <c r="K100" s="100">
        <v>2268</v>
      </c>
      <c r="L100" s="100">
        <v>8</v>
      </c>
      <c r="M100" s="100">
        <v>2592</v>
      </c>
      <c r="N100" s="100">
        <v>2.2011838834168418</v>
      </c>
      <c r="O100" s="100">
        <v>713.18357822705673</v>
      </c>
      <c r="P100" s="100">
        <v>7</v>
      </c>
      <c r="Q100" s="100">
        <v>2268</v>
      </c>
      <c r="R100" s="100">
        <v>8</v>
      </c>
      <c r="S100" s="100">
        <v>2592</v>
      </c>
      <c r="T100" s="100">
        <v>7</v>
      </c>
      <c r="U100" s="100">
        <v>2268</v>
      </c>
      <c r="V100" s="100">
        <v>6.7829285085077089</v>
      </c>
      <c r="W100" s="100">
        <v>2197.6688367564975</v>
      </c>
      <c r="X100" s="100">
        <v>9</v>
      </c>
      <c r="Y100" s="100">
        <v>2916</v>
      </c>
      <c r="Z100" s="100">
        <v>11</v>
      </c>
      <c r="AA100" s="100">
        <v>3564</v>
      </c>
      <c r="AB100" s="100">
        <v>9</v>
      </c>
      <c r="AC100" s="100">
        <v>2916</v>
      </c>
      <c r="AD100" s="100">
        <v>2.3961171180751917</v>
      </c>
      <c r="AE100" s="100">
        <v>776.34194625636212</v>
      </c>
      <c r="AF100" s="100">
        <v>13</v>
      </c>
      <c r="AG100" s="100">
        <v>4212</v>
      </c>
      <c r="AH100" s="100">
        <v>13</v>
      </c>
      <c r="AI100" s="100">
        <v>4212</v>
      </c>
      <c r="AJ100" s="100">
        <v>8.3498356405551455</v>
      </c>
      <c r="AK100" s="100">
        <v>2705.346747539867</v>
      </c>
      <c r="AL100" s="100">
        <v>7.7680504575491796</v>
      </c>
      <c r="AM100" s="100">
        <v>2516.8483482459342</v>
      </c>
      <c r="AN100" s="100">
        <v>6.8759775662951457</v>
      </c>
      <c r="AO100" s="100">
        <v>2227.8167314796274</v>
      </c>
      <c r="AP100" s="100">
        <v>8</v>
      </c>
      <c r="AQ100" s="100">
        <v>2592</v>
      </c>
      <c r="AR100" s="100">
        <v>8.6547969365490065</v>
      </c>
      <c r="AS100" s="100">
        <v>2804.154207441878</v>
      </c>
      <c r="AT100" s="100">
        <v>8.1789225478658309</v>
      </c>
      <c r="AU100" s="100">
        <v>2649.9709055085291</v>
      </c>
      <c r="AV100" s="100">
        <v>8.6589832588415501</v>
      </c>
      <c r="AW100" s="100">
        <v>2805.5105758646623</v>
      </c>
      <c r="AX100" s="100">
        <v>8.6811370902786429</v>
      </c>
      <c r="AY100" s="100">
        <v>2812.6884172502805</v>
      </c>
      <c r="AZ100" s="100">
        <v>8.3739583932380164</v>
      </c>
      <c r="BA100" s="100">
        <v>2713.1625194091175</v>
      </c>
      <c r="BB100" s="100">
        <v>0.47709932963848917</v>
      </c>
      <c r="BC100" s="100">
        <v>154.5801828028705</v>
      </c>
      <c r="BD100" s="100">
        <v>9</v>
      </c>
      <c r="BE100" s="100">
        <v>2916</v>
      </c>
      <c r="BF100" s="100">
        <v>7.1577572948683112</v>
      </c>
      <c r="BG100" s="100">
        <v>2319.113363537333</v>
      </c>
      <c r="BH100" s="100">
        <v>10.255436562609026</v>
      </c>
      <c r="BI100" s="100">
        <v>3322.7614462853244</v>
      </c>
      <c r="BJ100" s="100">
        <v>8.5776782517162768</v>
      </c>
      <c r="BK100" s="100">
        <v>2779.1677535560739</v>
      </c>
      <c r="BL100" s="100">
        <v>7.4634210278413695</v>
      </c>
      <c r="BM100" s="100">
        <v>2418.1484130206036</v>
      </c>
      <c r="BN100" s="100">
        <v>0.52506169611008324</v>
      </c>
      <c r="BO100" s="100">
        <v>170.11998953966696</v>
      </c>
      <c r="BP100" s="100">
        <v>8</v>
      </c>
      <c r="BQ100" s="100">
        <v>2592</v>
      </c>
      <c r="BR100" s="100">
        <v>8</v>
      </c>
      <c r="BS100" s="100">
        <v>2592</v>
      </c>
      <c r="BT100" s="100">
        <v>8</v>
      </c>
      <c r="BU100" s="100">
        <v>2592</v>
      </c>
      <c r="BV100" s="100">
        <v>9</v>
      </c>
      <c r="BW100" s="100">
        <v>2916</v>
      </c>
      <c r="BX100" s="100">
        <v>11</v>
      </c>
      <c r="BY100" s="100">
        <v>3564</v>
      </c>
      <c r="BZ100" s="100">
        <v>1.2959168272405948</v>
      </c>
      <c r="CA100" s="100">
        <v>419.87705202595271</v>
      </c>
      <c r="CB100" s="100">
        <v>11</v>
      </c>
      <c r="CC100" s="100">
        <v>3564</v>
      </c>
      <c r="CD100" s="100">
        <v>9</v>
      </c>
      <c r="CE100" s="100">
        <v>2916</v>
      </c>
      <c r="CF100" s="100">
        <v>8</v>
      </c>
      <c r="CG100" s="100">
        <v>2592</v>
      </c>
      <c r="CH100" s="100">
        <v>11</v>
      </c>
      <c r="CI100" s="100">
        <v>3564</v>
      </c>
      <c r="CJ100" s="100">
        <v>9.8479251770734724</v>
      </c>
      <c r="CK100" s="100">
        <v>3190.7277573718052</v>
      </c>
      <c r="CL100" s="100">
        <v>7.8582600757658794</v>
      </c>
      <c r="CM100" s="100">
        <v>2546.076264548145</v>
      </c>
      <c r="CN100" s="100">
        <v>7.1572293959299289</v>
      </c>
      <c r="CO100" s="100">
        <v>2318.9423242812968</v>
      </c>
      <c r="CP100" s="100">
        <v>0.45701093681160537</v>
      </c>
      <c r="CQ100" s="100">
        <v>148.07154352696014</v>
      </c>
      <c r="CR100" s="100">
        <v>12</v>
      </c>
      <c r="CS100" s="100">
        <v>3888</v>
      </c>
      <c r="CT100" s="100">
        <v>4.5530304176804135</v>
      </c>
      <c r="CU100" s="100">
        <v>1475.181855328454</v>
      </c>
    </row>
    <row r="101" spans="2:99">
      <c r="C101" s="99" t="s">
        <v>267</v>
      </c>
      <c r="D101" s="100">
        <v>8.4452540866725681</v>
      </c>
      <c r="E101" s="100">
        <v>6110.9858571162704</v>
      </c>
      <c r="F101" s="100">
        <v>7.5290335203938348</v>
      </c>
      <c r="G101" s="100">
        <v>5448.008655356979</v>
      </c>
      <c r="H101" s="100">
        <v>7.207279951146222</v>
      </c>
      <c r="I101" s="100">
        <v>5215.1877726494067</v>
      </c>
      <c r="J101" s="100">
        <v>8</v>
      </c>
      <c r="K101" s="100">
        <v>5788.8</v>
      </c>
      <c r="L101" s="100">
        <v>7</v>
      </c>
      <c r="M101" s="100">
        <v>5065.2</v>
      </c>
      <c r="N101" s="100">
        <v>2.2011838834168418</v>
      </c>
      <c r="O101" s="100">
        <v>1592.7766580404268</v>
      </c>
      <c r="P101" s="100">
        <v>6</v>
      </c>
      <c r="Q101" s="100">
        <v>4341.6000000000004</v>
      </c>
      <c r="R101" s="100">
        <v>9</v>
      </c>
      <c r="S101" s="100">
        <v>6512.4000000000005</v>
      </c>
      <c r="T101" s="100">
        <v>8</v>
      </c>
      <c r="U101" s="100">
        <v>5788.8</v>
      </c>
      <c r="V101" s="100">
        <v>6.1046356576569369</v>
      </c>
      <c r="W101" s="100">
        <v>4417.3143618805598</v>
      </c>
      <c r="X101" s="100">
        <v>8</v>
      </c>
      <c r="Y101" s="100">
        <v>5788.8</v>
      </c>
      <c r="Z101" s="100">
        <v>11</v>
      </c>
      <c r="AA101" s="100">
        <v>7959.6</v>
      </c>
      <c r="AB101" s="100">
        <v>9</v>
      </c>
      <c r="AC101" s="100">
        <v>6512.4000000000005</v>
      </c>
      <c r="AD101" s="100">
        <v>2.3961171180751917</v>
      </c>
      <c r="AE101" s="100">
        <v>1733.8303466392088</v>
      </c>
      <c r="AF101" s="100">
        <v>12</v>
      </c>
      <c r="AG101" s="100">
        <v>8683.2000000000007</v>
      </c>
      <c r="AH101" s="100">
        <v>12</v>
      </c>
      <c r="AI101" s="100">
        <v>8683.2000000000007</v>
      </c>
      <c r="AJ101" s="100">
        <v>8.3498356405551455</v>
      </c>
      <c r="AK101" s="100">
        <v>6041.9410695057031</v>
      </c>
      <c r="AL101" s="100">
        <v>8.5448555033040972</v>
      </c>
      <c r="AM101" s="100">
        <v>6183.057442190845</v>
      </c>
      <c r="AN101" s="100">
        <v>6.8759775662951457</v>
      </c>
      <c r="AO101" s="100">
        <v>4975.4573669711672</v>
      </c>
      <c r="AP101" s="100">
        <v>8</v>
      </c>
      <c r="AQ101" s="100">
        <v>5788.8</v>
      </c>
      <c r="AR101" s="100">
        <v>8.6547969365490065</v>
      </c>
      <c r="AS101" s="100">
        <v>6262.6110632868613</v>
      </c>
      <c r="AT101" s="100">
        <v>8.8080704361632023</v>
      </c>
      <c r="AU101" s="100">
        <v>6373.5197676076932</v>
      </c>
      <c r="AV101" s="100">
        <v>8.6589832588415501</v>
      </c>
      <c r="AW101" s="100">
        <v>6265.640286097746</v>
      </c>
      <c r="AX101" s="100">
        <v>7.345577537928083</v>
      </c>
      <c r="AY101" s="100">
        <v>5315.2599064447613</v>
      </c>
      <c r="AZ101" s="100">
        <v>8.3739583932380164</v>
      </c>
      <c r="BA101" s="100">
        <v>6059.3962933470284</v>
      </c>
      <c r="BB101" s="100">
        <v>0.47709932963848917</v>
      </c>
      <c r="BC101" s="100">
        <v>345.22907492641076</v>
      </c>
      <c r="BD101" s="100">
        <v>9</v>
      </c>
      <c r="BE101" s="100">
        <v>6512.4000000000005</v>
      </c>
      <c r="BF101" s="100">
        <v>7.1577572948683112</v>
      </c>
      <c r="BG101" s="100">
        <v>5179.3531785667101</v>
      </c>
      <c r="BH101" s="100">
        <v>10.255436562609026</v>
      </c>
      <c r="BI101" s="100">
        <v>7420.8338967038908</v>
      </c>
      <c r="BJ101" s="100">
        <v>7.8628717307399212</v>
      </c>
      <c r="BK101" s="100">
        <v>5689.5739843634074</v>
      </c>
      <c r="BL101" s="100">
        <v>7.4634210278413695</v>
      </c>
      <c r="BM101" s="100">
        <v>5400.5314557460151</v>
      </c>
      <c r="BN101" s="100">
        <v>0.52506169611008324</v>
      </c>
      <c r="BO101" s="100">
        <v>379.93464330525626</v>
      </c>
      <c r="BP101" s="100">
        <v>7</v>
      </c>
      <c r="BQ101" s="100">
        <v>5065.2</v>
      </c>
      <c r="BR101" s="100">
        <v>8</v>
      </c>
      <c r="BS101" s="100">
        <v>5788.8</v>
      </c>
      <c r="BT101" s="100">
        <v>8</v>
      </c>
      <c r="BU101" s="100">
        <v>5788.8</v>
      </c>
      <c r="BV101" s="100">
        <v>8</v>
      </c>
      <c r="BW101" s="100">
        <v>5788.8</v>
      </c>
      <c r="BX101" s="100">
        <v>12</v>
      </c>
      <c r="BY101" s="100">
        <v>8683.2000000000007</v>
      </c>
      <c r="BZ101" s="100">
        <v>1.1962309174528567</v>
      </c>
      <c r="CA101" s="100">
        <v>865.59269186888719</v>
      </c>
      <c r="CB101" s="100">
        <v>10</v>
      </c>
      <c r="CC101" s="100">
        <v>7236</v>
      </c>
      <c r="CD101" s="100">
        <v>8</v>
      </c>
      <c r="CE101" s="100">
        <v>5788.8</v>
      </c>
      <c r="CF101" s="100">
        <v>8</v>
      </c>
      <c r="CG101" s="100">
        <v>5788.8</v>
      </c>
      <c r="CH101" s="100">
        <v>10</v>
      </c>
      <c r="CI101" s="100">
        <v>7236</v>
      </c>
      <c r="CJ101" s="100">
        <v>9.8479251770734724</v>
      </c>
      <c r="CK101" s="100">
        <v>7125.9586581303647</v>
      </c>
      <c r="CL101" s="100">
        <v>7.8582600757658794</v>
      </c>
      <c r="CM101" s="100">
        <v>5686.2369908241908</v>
      </c>
      <c r="CN101" s="100">
        <v>7.80788661374174</v>
      </c>
      <c r="CO101" s="100">
        <v>5649.7867537035236</v>
      </c>
      <c r="CP101" s="100">
        <v>0.52229821349897765</v>
      </c>
      <c r="CQ101" s="100">
        <v>377.93498728786022</v>
      </c>
      <c r="CR101" s="100">
        <v>10</v>
      </c>
      <c r="CS101" s="100">
        <v>7236</v>
      </c>
      <c r="CT101" s="100">
        <v>4.5530304176804135</v>
      </c>
      <c r="CU101" s="100">
        <v>3294.5728102335474</v>
      </c>
    </row>
    <row r="102" spans="2:99">
      <c r="C102" s="99" t="s">
        <v>268</v>
      </c>
      <c r="D102" s="100">
        <v>9.2897794953398254</v>
      </c>
      <c r="E102" s="100">
        <v>4938.4467797226516</v>
      </c>
      <c r="F102" s="100">
        <v>7.5290335203938348</v>
      </c>
      <c r="G102" s="100">
        <v>4002.4342194413625</v>
      </c>
      <c r="H102" s="100">
        <v>6.3063699572529446</v>
      </c>
      <c r="I102" s="100">
        <v>3352.4662692756656</v>
      </c>
      <c r="J102" s="100">
        <v>7</v>
      </c>
      <c r="K102" s="100">
        <v>3721.2000000000003</v>
      </c>
      <c r="L102" s="100">
        <v>8</v>
      </c>
      <c r="M102" s="100">
        <v>4252.8</v>
      </c>
      <c r="N102" s="100">
        <v>2.2011838834168418</v>
      </c>
      <c r="O102" s="100">
        <v>1170.1493524243931</v>
      </c>
      <c r="P102" s="100">
        <v>7</v>
      </c>
      <c r="Q102" s="100">
        <v>3721.2000000000003</v>
      </c>
      <c r="R102" s="100">
        <v>7</v>
      </c>
      <c r="S102" s="100">
        <v>3721.2000000000003</v>
      </c>
      <c r="T102" s="100">
        <v>7</v>
      </c>
      <c r="U102" s="100">
        <v>3721.2000000000003</v>
      </c>
      <c r="V102" s="100">
        <v>7.4612213593584791</v>
      </c>
      <c r="W102" s="100">
        <v>3966.3852746349676</v>
      </c>
      <c r="X102" s="100">
        <v>9</v>
      </c>
      <c r="Y102" s="100">
        <v>4784.4000000000005</v>
      </c>
      <c r="Z102" s="100">
        <v>11</v>
      </c>
      <c r="AA102" s="100">
        <v>5847.6</v>
      </c>
      <c r="AB102" s="100">
        <v>8</v>
      </c>
      <c r="AC102" s="100">
        <v>4252.8</v>
      </c>
      <c r="AD102" s="100">
        <v>2.156505406267673</v>
      </c>
      <c r="AE102" s="100">
        <v>1146.3982739718949</v>
      </c>
      <c r="AF102" s="100">
        <v>13</v>
      </c>
      <c r="AG102" s="100">
        <v>6910.8</v>
      </c>
      <c r="AH102" s="100">
        <v>11</v>
      </c>
      <c r="AI102" s="100">
        <v>5847.6</v>
      </c>
      <c r="AJ102" s="100">
        <v>7.5907596732319504</v>
      </c>
      <c r="AK102" s="100">
        <v>4035.2478422901049</v>
      </c>
      <c r="AL102" s="100">
        <v>8.5448555033040972</v>
      </c>
      <c r="AM102" s="100">
        <v>4542.4451855564585</v>
      </c>
      <c r="AN102" s="100">
        <v>7.8582600757658811</v>
      </c>
      <c r="AO102" s="100">
        <v>4177.4510562771429</v>
      </c>
      <c r="AP102" s="100">
        <v>7</v>
      </c>
      <c r="AQ102" s="100">
        <v>3721.2000000000003</v>
      </c>
      <c r="AR102" s="100">
        <v>8.6547969365490065</v>
      </c>
      <c r="AS102" s="100">
        <v>4600.8900514694524</v>
      </c>
      <c r="AT102" s="100">
        <v>7.5497746595684587</v>
      </c>
      <c r="AU102" s="100">
        <v>4013.460209026593</v>
      </c>
      <c r="AV102" s="100">
        <v>8.6589832588415501</v>
      </c>
      <c r="AW102" s="100">
        <v>4603.1155004001685</v>
      </c>
      <c r="AX102" s="100">
        <v>8.6811370902786429</v>
      </c>
      <c r="AY102" s="100">
        <v>4614.8924771921265</v>
      </c>
      <c r="AZ102" s="100">
        <v>9.8964962829176564</v>
      </c>
      <c r="BA102" s="100">
        <v>5260.9774239990265</v>
      </c>
      <c r="BB102" s="100">
        <v>0.54525637672970195</v>
      </c>
      <c r="BC102" s="100">
        <v>289.85828986950958</v>
      </c>
      <c r="BD102" s="100">
        <v>9</v>
      </c>
      <c r="BE102" s="100">
        <v>4784.4000000000005</v>
      </c>
      <c r="BF102" s="100">
        <v>6.5612775202959517</v>
      </c>
      <c r="BG102" s="100">
        <v>3487.9751297893281</v>
      </c>
      <c r="BH102" s="100">
        <v>8.6776770914384063</v>
      </c>
      <c r="BI102" s="100">
        <v>4613.0531418086566</v>
      </c>
      <c r="BJ102" s="100">
        <v>7.1480652097635637</v>
      </c>
      <c r="BK102" s="100">
        <v>3799.9114655103108</v>
      </c>
      <c r="BL102" s="100">
        <v>7.4634210278413695</v>
      </c>
      <c r="BM102" s="100">
        <v>3967.554618400472</v>
      </c>
      <c r="BN102" s="100">
        <v>0.59069440812384366</v>
      </c>
      <c r="BO102" s="100">
        <v>314.01314735863531</v>
      </c>
      <c r="BP102" s="100">
        <v>8</v>
      </c>
      <c r="BQ102" s="100">
        <v>4252.8</v>
      </c>
      <c r="BR102" s="100">
        <v>9</v>
      </c>
      <c r="BS102" s="100">
        <v>4784.4000000000005</v>
      </c>
      <c r="BT102" s="100">
        <v>8</v>
      </c>
      <c r="BU102" s="100">
        <v>4252.8</v>
      </c>
      <c r="BV102" s="100">
        <v>8</v>
      </c>
      <c r="BW102" s="100">
        <v>4252.8</v>
      </c>
      <c r="BX102" s="100">
        <v>12</v>
      </c>
      <c r="BY102" s="100">
        <v>6379.2000000000007</v>
      </c>
      <c r="BZ102" s="100">
        <v>1.1962309174528567</v>
      </c>
      <c r="CA102" s="100">
        <v>635.9163557179387</v>
      </c>
      <c r="CB102" s="100">
        <v>11</v>
      </c>
      <c r="CC102" s="100">
        <v>5847.6</v>
      </c>
      <c r="CD102" s="100">
        <v>8</v>
      </c>
      <c r="CE102" s="100">
        <v>4252.8</v>
      </c>
      <c r="CF102" s="100">
        <v>8</v>
      </c>
      <c r="CG102" s="100">
        <v>4252.8</v>
      </c>
      <c r="CH102" s="100">
        <v>9</v>
      </c>
      <c r="CI102" s="100">
        <v>4784.4000000000005</v>
      </c>
      <c r="CJ102" s="100">
        <v>8.4410787232058322</v>
      </c>
      <c r="CK102" s="100">
        <v>4487.2774492562203</v>
      </c>
      <c r="CL102" s="100">
        <v>8.840542585236614</v>
      </c>
      <c r="CM102" s="100">
        <v>4699.6324383117844</v>
      </c>
      <c r="CN102" s="100">
        <v>7.1572293959299289</v>
      </c>
      <c r="CO102" s="100">
        <v>3804.7831468763502</v>
      </c>
      <c r="CP102" s="100">
        <v>0.45701093681160537</v>
      </c>
      <c r="CQ102" s="100">
        <v>242.94701400904944</v>
      </c>
      <c r="CR102" s="100">
        <v>10</v>
      </c>
      <c r="CS102" s="100">
        <v>5316</v>
      </c>
      <c r="CT102" s="100">
        <v>4.5530304176804135</v>
      </c>
      <c r="CU102" s="100">
        <v>2420.3909700389081</v>
      </c>
    </row>
    <row r="103" spans="2:99">
      <c r="C103" s="99" t="s">
        <v>269</v>
      </c>
      <c r="D103" s="100">
        <v>8.4452540866725681</v>
      </c>
      <c r="E103" s="100">
        <v>4975.9437078674764</v>
      </c>
      <c r="F103" s="100">
        <v>8.3655928004375948</v>
      </c>
      <c r="G103" s="100">
        <v>4929.0072780178307</v>
      </c>
      <c r="H103" s="100">
        <v>6.3063699572529446</v>
      </c>
      <c r="I103" s="100">
        <v>3715.7131788134343</v>
      </c>
      <c r="J103" s="100">
        <v>7</v>
      </c>
      <c r="K103" s="100">
        <v>4124.3999999999996</v>
      </c>
      <c r="L103" s="100">
        <v>6</v>
      </c>
      <c r="M103" s="100">
        <v>3535.2</v>
      </c>
      <c r="N103" s="100">
        <v>2.2011838834168418</v>
      </c>
      <c r="O103" s="100">
        <v>1296.9375441092031</v>
      </c>
      <c r="P103" s="100">
        <v>7</v>
      </c>
      <c r="Q103" s="100">
        <v>4124.3999999999996</v>
      </c>
      <c r="R103" s="100">
        <v>8</v>
      </c>
      <c r="S103" s="100">
        <v>4713.5999999999995</v>
      </c>
      <c r="T103" s="100">
        <v>8</v>
      </c>
      <c r="U103" s="100">
        <v>4713.5999999999995</v>
      </c>
      <c r="V103" s="100">
        <v>6.1046356576569369</v>
      </c>
      <c r="W103" s="100">
        <v>3596.8513294914669</v>
      </c>
      <c r="X103" s="100">
        <v>9</v>
      </c>
      <c r="Y103" s="100">
        <v>5302.7999999999993</v>
      </c>
      <c r="Z103" s="100">
        <v>9</v>
      </c>
      <c r="AA103" s="100">
        <v>5302.7999999999993</v>
      </c>
      <c r="AB103" s="100">
        <v>9</v>
      </c>
      <c r="AC103" s="100">
        <v>5302.7999999999993</v>
      </c>
      <c r="AD103" s="100">
        <v>1.9168936944601536</v>
      </c>
      <c r="AE103" s="100">
        <v>1129.4337647759223</v>
      </c>
      <c r="AF103" s="100">
        <v>12</v>
      </c>
      <c r="AG103" s="100">
        <v>7070.4</v>
      </c>
      <c r="AH103" s="100">
        <v>12</v>
      </c>
      <c r="AI103" s="100">
        <v>7070.4</v>
      </c>
      <c r="AJ103" s="100">
        <v>7.5907596732319504</v>
      </c>
      <c r="AK103" s="100">
        <v>4472.4755994682646</v>
      </c>
      <c r="AL103" s="100">
        <v>7.7680504575491796</v>
      </c>
      <c r="AM103" s="100">
        <v>4576.9353295879764</v>
      </c>
      <c r="AN103" s="100">
        <v>5.8936950568244111</v>
      </c>
      <c r="AO103" s="100">
        <v>3472.5651274809425</v>
      </c>
      <c r="AP103" s="100">
        <v>9</v>
      </c>
      <c r="AQ103" s="100">
        <v>5302.7999999999993</v>
      </c>
      <c r="AR103" s="100">
        <v>7.9335638585032555</v>
      </c>
      <c r="AS103" s="100">
        <v>4674.4558254301173</v>
      </c>
      <c r="AT103" s="100">
        <v>7.5497746595684587</v>
      </c>
      <c r="AU103" s="100">
        <v>4448.327229417735</v>
      </c>
      <c r="AV103" s="100">
        <v>7.9374013206047547</v>
      </c>
      <c r="AW103" s="100">
        <v>4676.7168581003207</v>
      </c>
      <c r="AX103" s="100">
        <v>8.0133573141033629</v>
      </c>
      <c r="AY103" s="100">
        <v>4721.4701294697006</v>
      </c>
      <c r="AZ103" s="100">
        <v>9.1352273380778364</v>
      </c>
      <c r="BA103" s="100">
        <v>5382.4759475954606</v>
      </c>
      <c r="BB103" s="100">
        <v>0.47709932963848917</v>
      </c>
      <c r="BC103" s="100">
        <v>281.10692502299776</v>
      </c>
      <c r="BD103" s="100">
        <v>9</v>
      </c>
      <c r="BE103" s="100">
        <v>5302.7999999999993</v>
      </c>
      <c r="BF103" s="100">
        <v>6.5612775202959517</v>
      </c>
      <c r="BG103" s="100">
        <v>3865.9047149583744</v>
      </c>
      <c r="BH103" s="100">
        <v>8.6776770914384063</v>
      </c>
      <c r="BI103" s="100">
        <v>5112.8873422755087</v>
      </c>
      <c r="BJ103" s="100">
        <v>7.8628717307399212</v>
      </c>
      <c r="BK103" s="100">
        <v>4632.8040237519608</v>
      </c>
      <c r="BL103" s="100">
        <v>7.4634210278413695</v>
      </c>
      <c r="BM103" s="100">
        <v>4397.4476696041347</v>
      </c>
      <c r="BN103" s="100">
        <v>0.52506169611008324</v>
      </c>
      <c r="BO103" s="100">
        <v>309.36635134806102</v>
      </c>
      <c r="BP103" s="100">
        <v>7</v>
      </c>
      <c r="BQ103" s="100">
        <v>4124.3999999999996</v>
      </c>
      <c r="BR103" s="100">
        <v>8</v>
      </c>
      <c r="BS103" s="100">
        <v>4713.5999999999995</v>
      </c>
      <c r="BT103" s="100">
        <v>9</v>
      </c>
      <c r="BU103" s="100">
        <v>5302.7999999999993</v>
      </c>
      <c r="BV103" s="100">
        <v>8</v>
      </c>
      <c r="BW103" s="100">
        <v>4713.5999999999995</v>
      </c>
      <c r="BX103" s="100">
        <v>10</v>
      </c>
      <c r="BY103" s="100">
        <v>5891.9999999999991</v>
      </c>
      <c r="BZ103" s="100">
        <v>1.1962309174528567</v>
      </c>
      <c r="CA103" s="100">
        <v>704.81925656322312</v>
      </c>
      <c r="CB103" s="100">
        <v>11</v>
      </c>
      <c r="CC103" s="100">
        <v>6481.1999999999989</v>
      </c>
      <c r="CD103" s="100">
        <v>8</v>
      </c>
      <c r="CE103" s="100">
        <v>4713.5999999999995</v>
      </c>
      <c r="CF103" s="100">
        <v>8</v>
      </c>
      <c r="CG103" s="100">
        <v>4713.5999999999995</v>
      </c>
      <c r="CH103" s="100">
        <v>10</v>
      </c>
      <c r="CI103" s="100">
        <v>5891.9999999999991</v>
      </c>
      <c r="CJ103" s="100">
        <v>8.4410787232058322</v>
      </c>
      <c r="CK103" s="100">
        <v>4973.4835837128758</v>
      </c>
      <c r="CL103" s="100">
        <v>8.840542585236614</v>
      </c>
      <c r="CM103" s="100">
        <v>5208.8476912214128</v>
      </c>
      <c r="CN103" s="100">
        <v>7.1572293959299289</v>
      </c>
      <c r="CO103" s="100">
        <v>4217.0395600819138</v>
      </c>
      <c r="CP103" s="100">
        <v>0.45701093681160537</v>
      </c>
      <c r="CQ103" s="100">
        <v>269.27084396939784</v>
      </c>
      <c r="CR103" s="100">
        <v>11</v>
      </c>
      <c r="CS103" s="100">
        <v>6481.1999999999989</v>
      </c>
      <c r="CT103" s="100">
        <v>4.5530304176804135</v>
      </c>
      <c r="CU103" s="100">
        <v>2682.6455220972994</v>
      </c>
    </row>
    <row r="104" spans="2:99">
      <c r="C104" s="99" t="s">
        <v>270</v>
      </c>
      <c r="D104" s="100">
        <v>8.4452540866725681</v>
      </c>
      <c r="E104" s="100">
        <v>5340.7786844117318</v>
      </c>
      <c r="F104" s="100">
        <v>8.3655928004375948</v>
      </c>
      <c r="G104" s="100">
        <v>5290.4008869967347</v>
      </c>
      <c r="H104" s="100">
        <v>6.3063699572529446</v>
      </c>
      <c r="I104" s="100">
        <v>3988.1483609667621</v>
      </c>
      <c r="J104" s="100">
        <v>7</v>
      </c>
      <c r="K104" s="100">
        <v>4426.8</v>
      </c>
      <c r="L104" s="100">
        <v>7</v>
      </c>
      <c r="M104" s="100">
        <v>4426.8</v>
      </c>
      <c r="N104" s="100">
        <v>2.2011838834168418</v>
      </c>
      <c r="O104" s="100">
        <v>1392.0286878728107</v>
      </c>
      <c r="P104" s="100">
        <v>7</v>
      </c>
      <c r="Q104" s="100">
        <v>4426.8</v>
      </c>
      <c r="R104" s="100">
        <v>8</v>
      </c>
      <c r="S104" s="100">
        <v>5059.2</v>
      </c>
      <c r="T104" s="100">
        <v>8</v>
      </c>
      <c r="U104" s="100">
        <v>5059.2</v>
      </c>
      <c r="V104" s="100">
        <v>6.7829285085077089</v>
      </c>
      <c r="W104" s="100">
        <v>4289.5239887802745</v>
      </c>
      <c r="X104" s="100">
        <v>10</v>
      </c>
      <c r="Y104" s="100">
        <v>6324</v>
      </c>
      <c r="Z104" s="100">
        <v>10</v>
      </c>
      <c r="AA104" s="100">
        <v>6324</v>
      </c>
      <c r="AB104" s="100">
        <v>9</v>
      </c>
      <c r="AC104" s="100">
        <v>5691.5999999999995</v>
      </c>
      <c r="AD104" s="100">
        <v>2.156505406267673</v>
      </c>
      <c r="AE104" s="100">
        <v>1363.7740189236763</v>
      </c>
      <c r="AF104" s="100">
        <v>12</v>
      </c>
      <c r="AG104" s="100">
        <v>7588.7999999999993</v>
      </c>
      <c r="AH104" s="100">
        <v>13</v>
      </c>
      <c r="AI104" s="100">
        <v>8221.1999999999989</v>
      </c>
      <c r="AJ104" s="100">
        <v>7.5907596732319504</v>
      </c>
      <c r="AK104" s="100">
        <v>4800.3964173518852</v>
      </c>
      <c r="AL104" s="100">
        <v>8.5448555033040972</v>
      </c>
      <c r="AM104" s="100">
        <v>5403.7666202895107</v>
      </c>
      <c r="AN104" s="100">
        <v>6.8759775662951457</v>
      </c>
      <c r="AO104" s="100">
        <v>4348.3682129250501</v>
      </c>
      <c r="AP104" s="100">
        <v>7</v>
      </c>
      <c r="AQ104" s="100">
        <v>4426.8</v>
      </c>
      <c r="AR104" s="100">
        <v>7.2123307804575054</v>
      </c>
      <c r="AS104" s="100">
        <v>4561.0779855613264</v>
      </c>
      <c r="AT104" s="100">
        <v>8.8080704361632023</v>
      </c>
      <c r="AU104" s="100">
        <v>5570.2237438296088</v>
      </c>
      <c r="AV104" s="100">
        <v>8.6589832588415501</v>
      </c>
      <c r="AW104" s="100">
        <v>5475.941012891396</v>
      </c>
      <c r="AX104" s="100">
        <v>8.0133573141033629</v>
      </c>
      <c r="AY104" s="100">
        <v>5067.6471654389661</v>
      </c>
      <c r="AZ104" s="100">
        <v>9.8964962829176564</v>
      </c>
      <c r="BA104" s="100">
        <v>6258.5442493171258</v>
      </c>
      <c r="BB104" s="100">
        <v>0.54525637672970195</v>
      </c>
      <c r="BC104" s="100">
        <v>344.82013264386353</v>
      </c>
      <c r="BD104" s="100">
        <v>8</v>
      </c>
      <c r="BE104" s="100">
        <v>5059.2</v>
      </c>
      <c r="BF104" s="100">
        <v>6.5612775202959517</v>
      </c>
      <c r="BG104" s="100">
        <v>4149.3519038351596</v>
      </c>
      <c r="BH104" s="100">
        <v>10.255436562609026</v>
      </c>
      <c r="BI104" s="100">
        <v>6485.538082193948</v>
      </c>
      <c r="BJ104" s="100">
        <v>8.5776782517162768</v>
      </c>
      <c r="BK104" s="100">
        <v>5424.5237263853733</v>
      </c>
      <c r="BL104" s="100">
        <v>7.4634210278413695</v>
      </c>
      <c r="BM104" s="100">
        <v>4719.8674580068819</v>
      </c>
      <c r="BN104" s="100">
        <v>0.59069440812384366</v>
      </c>
      <c r="BO104" s="100">
        <v>373.5551436975187</v>
      </c>
      <c r="BP104" s="100">
        <v>8</v>
      </c>
      <c r="BQ104" s="100">
        <v>5059.2</v>
      </c>
      <c r="BR104" s="100">
        <v>8</v>
      </c>
      <c r="BS104" s="100">
        <v>5059.2</v>
      </c>
      <c r="BT104" s="100">
        <v>8</v>
      </c>
      <c r="BU104" s="100">
        <v>5059.2</v>
      </c>
      <c r="BV104" s="100">
        <v>7</v>
      </c>
      <c r="BW104" s="100">
        <v>4426.8</v>
      </c>
      <c r="BX104" s="100">
        <v>11</v>
      </c>
      <c r="BY104" s="100">
        <v>6956.4</v>
      </c>
      <c r="BZ104" s="100">
        <v>1.3956027370283326</v>
      </c>
      <c r="CA104" s="100">
        <v>882.57917089671753</v>
      </c>
      <c r="CB104" s="100">
        <v>10</v>
      </c>
      <c r="CC104" s="100">
        <v>6324</v>
      </c>
      <c r="CD104" s="100">
        <v>8</v>
      </c>
      <c r="CE104" s="100">
        <v>5059.2</v>
      </c>
      <c r="CF104" s="100">
        <v>7</v>
      </c>
      <c r="CG104" s="100">
        <v>4426.8</v>
      </c>
      <c r="CH104" s="100">
        <v>9</v>
      </c>
      <c r="CI104" s="100">
        <v>5691.5999999999995</v>
      </c>
      <c r="CJ104" s="100">
        <v>9.1445019501396523</v>
      </c>
      <c r="CK104" s="100">
        <v>5782.9830332683159</v>
      </c>
      <c r="CL104" s="100">
        <v>7.8582600757658794</v>
      </c>
      <c r="CM104" s="100">
        <v>4969.5636719143422</v>
      </c>
      <c r="CN104" s="100">
        <v>7.1572293959299289</v>
      </c>
      <c r="CO104" s="100">
        <v>4526.2318699860871</v>
      </c>
      <c r="CP104" s="100">
        <v>0.45701093681160537</v>
      </c>
      <c r="CQ104" s="100">
        <v>289.01371643965922</v>
      </c>
      <c r="CR104" s="100">
        <v>12</v>
      </c>
      <c r="CS104" s="100">
        <v>7588.7999999999993</v>
      </c>
      <c r="CT104" s="100">
        <v>4.5530304176804135</v>
      </c>
      <c r="CU104" s="100">
        <v>2879.3364361410936</v>
      </c>
    </row>
    <row r="105" spans="2:99">
      <c r="C105" s="99" t="s">
        <v>271</v>
      </c>
      <c r="D105" s="100">
        <v>9.2897794953398254</v>
      </c>
      <c r="E105" s="100">
        <v>5172.5492230052141</v>
      </c>
      <c r="F105" s="100">
        <v>8.3655928004375948</v>
      </c>
      <c r="G105" s="100">
        <v>4657.9620712836522</v>
      </c>
      <c r="H105" s="100">
        <v>6.3063699572529446</v>
      </c>
      <c r="I105" s="100">
        <v>3511.3867921984393</v>
      </c>
      <c r="J105" s="100">
        <v>7</v>
      </c>
      <c r="K105" s="100">
        <v>3897.5999999999995</v>
      </c>
      <c r="L105" s="100">
        <v>7</v>
      </c>
      <c r="M105" s="100">
        <v>3897.5999999999995</v>
      </c>
      <c r="N105" s="100">
        <v>2.2011838834168418</v>
      </c>
      <c r="O105" s="100">
        <v>1225.6191862864973</v>
      </c>
      <c r="P105" s="100">
        <v>7</v>
      </c>
      <c r="Q105" s="100">
        <v>3897.5999999999995</v>
      </c>
      <c r="R105" s="100">
        <v>8</v>
      </c>
      <c r="S105" s="100">
        <v>4454.3999999999996</v>
      </c>
      <c r="T105" s="100">
        <v>7</v>
      </c>
      <c r="U105" s="100">
        <v>3897.5999999999995</v>
      </c>
      <c r="V105" s="100">
        <v>6.7829285085077089</v>
      </c>
      <c r="W105" s="100">
        <v>3776.7345935370922</v>
      </c>
      <c r="X105" s="100">
        <v>10</v>
      </c>
      <c r="Y105" s="100">
        <v>5568</v>
      </c>
      <c r="Z105" s="100">
        <v>11</v>
      </c>
      <c r="AA105" s="100">
        <v>6124.7999999999993</v>
      </c>
      <c r="AB105" s="100">
        <v>8</v>
      </c>
      <c r="AC105" s="100">
        <v>4454.3999999999996</v>
      </c>
      <c r="AD105" s="100">
        <v>2.156505406267673</v>
      </c>
      <c r="AE105" s="100">
        <v>1200.7422102098401</v>
      </c>
      <c r="AF105" s="100">
        <v>13</v>
      </c>
      <c r="AG105" s="100">
        <v>7238.4</v>
      </c>
      <c r="AH105" s="100">
        <v>11</v>
      </c>
      <c r="AI105" s="100">
        <v>6124.7999999999993</v>
      </c>
      <c r="AJ105" s="100">
        <v>6.8316837059087554</v>
      </c>
      <c r="AK105" s="100">
        <v>3803.8814874499949</v>
      </c>
      <c r="AL105" s="100">
        <v>7.7680504575491796</v>
      </c>
      <c r="AM105" s="100">
        <v>4325.2504947633824</v>
      </c>
      <c r="AN105" s="100">
        <v>6.8759775662951457</v>
      </c>
      <c r="AO105" s="100">
        <v>3828.5443089131368</v>
      </c>
      <c r="AP105" s="100">
        <v>7</v>
      </c>
      <c r="AQ105" s="100">
        <v>3897.5999999999995</v>
      </c>
      <c r="AR105" s="100">
        <v>9.3760300145947557</v>
      </c>
      <c r="AS105" s="100">
        <v>5220.5735121263597</v>
      </c>
      <c r="AT105" s="100">
        <v>8.8080704361632023</v>
      </c>
      <c r="AU105" s="100">
        <v>4904.3336188556705</v>
      </c>
      <c r="AV105" s="100">
        <v>8.6589832588415501</v>
      </c>
      <c r="AW105" s="100">
        <v>4821.3218785229747</v>
      </c>
      <c r="AX105" s="100">
        <v>8.0133573141033629</v>
      </c>
      <c r="AY105" s="100">
        <v>4461.837352492752</v>
      </c>
      <c r="AZ105" s="100">
        <v>8.3739583932380164</v>
      </c>
      <c r="BA105" s="100">
        <v>4662.6200333549268</v>
      </c>
      <c r="BB105" s="100">
        <v>0.47709932963848917</v>
      </c>
      <c r="BC105" s="100">
        <v>265.64890674271072</v>
      </c>
      <c r="BD105" s="100">
        <v>8</v>
      </c>
      <c r="BE105" s="100">
        <v>4454.3999999999996</v>
      </c>
      <c r="BF105" s="100">
        <v>7.1577572948683112</v>
      </c>
      <c r="BG105" s="100">
        <v>3985.4392617826752</v>
      </c>
      <c r="BH105" s="100">
        <v>8.6776770914384063</v>
      </c>
      <c r="BI105" s="100">
        <v>4831.7306045129044</v>
      </c>
      <c r="BJ105" s="100">
        <v>7.8628717307399212</v>
      </c>
      <c r="BK105" s="100">
        <v>4378.046979675988</v>
      </c>
      <c r="BL105" s="100">
        <v>7.4634210278413695</v>
      </c>
      <c r="BM105" s="100">
        <v>4155.6328283020739</v>
      </c>
      <c r="BN105" s="100">
        <v>0.52506169611008324</v>
      </c>
      <c r="BO105" s="100">
        <v>292.35435239409435</v>
      </c>
      <c r="BP105" s="100">
        <v>7</v>
      </c>
      <c r="BQ105" s="100">
        <v>3897.5999999999995</v>
      </c>
      <c r="BR105" s="100">
        <v>9</v>
      </c>
      <c r="BS105" s="100">
        <v>5011.2</v>
      </c>
      <c r="BT105" s="100">
        <v>8</v>
      </c>
      <c r="BU105" s="100">
        <v>4454.3999999999996</v>
      </c>
      <c r="BV105" s="100">
        <v>9</v>
      </c>
      <c r="BW105" s="100">
        <v>5011.2</v>
      </c>
      <c r="BX105" s="100">
        <v>11</v>
      </c>
      <c r="BY105" s="100">
        <v>6124.7999999999993</v>
      </c>
      <c r="BZ105" s="100">
        <v>1.2959168272405948</v>
      </c>
      <c r="CA105" s="100">
        <v>721.56648940756315</v>
      </c>
      <c r="CB105" s="100">
        <v>11</v>
      </c>
      <c r="CC105" s="100">
        <v>6124.7999999999993</v>
      </c>
      <c r="CD105" s="100">
        <v>8</v>
      </c>
      <c r="CE105" s="100">
        <v>4454.3999999999996</v>
      </c>
      <c r="CF105" s="100">
        <v>7</v>
      </c>
      <c r="CG105" s="100">
        <v>3897.5999999999995</v>
      </c>
      <c r="CH105" s="100">
        <v>10</v>
      </c>
      <c r="CI105" s="100">
        <v>5568</v>
      </c>
      <c r="CJ105" s="100">
        <v>9.8479251770734724</v>
      </c>
      <c r="CK105" s="100">
        <v>5483.3247385945087</v>
      </c>
      <c r="CL105" s="100">
        <v>7.8582600757658794</v>
      </c>
      <c r="CM105" s="100">
        <v>4375.4792101864414</v>
      </c>
      <c r="CN105" s="100">
        <v>7.1572293959299289</v>
      </c>
      <c r="CO105" s="100">
        <v>3985.1453276537841</v>
      </c>
      <c r="CP105" s="100">
        <v>0.52229821349897765</v>
      </c>
      <c r="CQ105" s="100">
        <v>290.81564527623073</v>
      </c>
      <c r="CR105" s="100">
        <v>11</v>
      </c>
      <c r="CS105" s="100">
        <v>6124.7999999999993</v>
      </c>
      <c r="CT105" s="100">
        <v>4.5530304176804135</v>
      </c>
      <c r="CU105" s="100">
        <v>2535.1273365644543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532</v>
      </c>
      <c r="E109" s="100">
        <f>SUM(L$6:L$19)+SUM(N$6:N$19)+SUM(P$6:P$19)+SUM(R$6:R$19)</f>
        <v>476</v>
      </c>
      <c r="F109" s="100">
        <f>SUM(T$6:T$19)+SUM(V$6:V$19)+SUM(X$6:X$19)+SUM(Z$6:Z$19)</f>
        <v>504</v>
      </c>
      <c r="G109" s="100">
        <f>SUM(AB$6:AB$19)+SUM(AD$6:AD$19)+SUM(AF$6:AF$19)+SUM(AH$6:AH$19)</f>
        <v>458.68827797436279</v>
      </c>
      <c r="H109" s="100">
        <f>SUM(AJ$6:AJ$19)+SUM(AL$6:AL$19)+SUM(AN$6:AN$19)+SUM(AP$6:AP$19)</f>
        <v>474.33985307492014</v>
      </c>
      <c r="I109" s="100">
        <f>SUM(AR$6:AR$19)+SUM(AT$6:AT$19)+SUM(AV$6:AV$19)+SUM(AX$6:AX$19)</f>
        <v>256.45159611024792</v>
      </c>
      <c r="J109" s="100">
        <f>SUM(AZ$6:AZ$19)+SUM(BB$6:BB$19)+SUM(BD$6:BD$19)+SUM(BF$6:BF$19)</f>
        <v>437.80159619568911</v>
      </c>
      <c r="K109" s="100">
        <f>SUM(BH$6:BH$19)+SUM(BJ$6:BJ$19)+SUM(BL$6:BL$19)+SUM(BN$6:BN$19)</f>
        <v>367.63235171282099</v>
      </c>
      <c r="L109" s="100">
        <f>SUM(BP$6:BP$19)+SUM(BR$6:BR$19)+SUM(BT$6:BT$19)+SUM(BV$6:BV$19)</f>
        <v>515.52835164667317</v>
      </c>
      <c r="M109" s="100">
        <f>SUM(BX$6:BX$19)+SUM(BZ$6:BZ$19)+SUM(CB$6:CB$19)+SUM(CD$6:CD$19)</f>
        <v>490.43778981053805</v>
      </c>
      <c r="N109" s="100">
        <f>SUM(CF$6:CF$19)+SUM(CH$6:CH$19)+SUM(CJ$6:CJ$19)+SUM(CL$6:CL$19)</f>
        <v>549</v>
      </c>
      <c r="O109" s="100">
        <f>SUM(CN$6:CN$19)+SUM(CP$6:CP$19)+SUM(CR$6:CR$19)+SUM(CT$6:CT$19)</f>
        <v>320.06371146163372</v>
      </c>
    </row>
    <row r="110" spans="2:99">
      <c r="C110" s="99" t="s">
        <v>127</v>
      </c>
      <c r="D110" s="100">
        <f>SUM(D$20:D$36)+SUM(F$20:F$36)+SUM(H$20:H$36)+SUM(J$20:J$36)</f>
        <v>994</v>
      </c>
      <c r="E110" s="100">
        <f>SUM(L$20:L$36)+SUM(N$20:N$36)+SUM(P$20:P$36)+SUM(R$20:R$36)</f>
        <v>1062</v>
      </c>
      <c r="F110" s="100">
        <f>SUM(T$20:T$36)+SUM(V$20:V$36)+SUM(X$20:X$36)+SUM(Z$20:Z$36)</f>
        <v>1090</v>
      </c>
      <c r="G110" s="100">
        <f>SUM(AB$20:AB$36)+SUM(AD$20:AD$36)+SUM(AF$20:AF$36)+SUM(AH$20:AH$36)</f>
        <v>963.4686319699008</v>
      </c>
      <c r="H110" s="100">
        <f>SUM(AJ$20:AJ$36)+SUM(AL$20:AL$36)+SUM(AN$20:AN$36)+SUM(AP$20:AP$36)</f>
        <v>1089.2414386580865</v>
      </c>
      <c r="I110" s="100">
        <f>SUM(AR$20:AR$36)+SUM(AT$20:AT$36)+SUM(AV$20:AV$36)+SUM(AX$20:AX$36)</f>
        <v>658.36685122018775</v>
      </c>
      <c r="J110" s="100">
        <f>SUM(AZ$20:AZ$36)+SUM(BB$20:BB$36)+SUM(BD$20:BD$36)+SUM(BF$20:BF$36)</f>
        <v>849.06320834707117</v>
      </c>
      <c r="K110" s="100">
        <f>SUM(BH$20:BH$36)+SUM(BJ$20:BJ$36)+SUM(BL$20:BL$36)+SUM(BN$20:BN$36)</f>
        <v>842.3665217437474</v>
      </c>
      <c r="L110" s="100">
        <f>SUM(BP$20:BP$36)+SUM(BR$20:BR$36)+SUM(BT$20:BT$36)+SUM(BV$20:BV$36)</f>
        <v>1096.2434601258267</v>
      </c>
      <c r="M110" s="100">
        <f>SUM(BX$20:BX$36)+SUM(BZ$20:BZ$36)+SUM(CB$20:CB$36)+SUM(CD$20:CD$36)</f>
        <v>1005.4456144022449</v>
      </c>
      <c r="N110" s="100">
        <f>SUM(CF$20:CF$36)+SUM(CH$20:CH$36)+SUM(CJ$20:CJ$36)+SUM(CL$20:CL$36)</f>
        <v>1150</v>
      </c>
      <c r="O110" s="100">
        <f>SUM(CN$20:CN$36)+SUM(CP$20:CP$36)+SUM(CR$20:CR$36)+SUM(CT$20:CT$36)</f>
        <v>769.80288948102145</v>
      </c>
    </row>
    <row r="111" spans="2:99">
      <c r="C111" s="99" t="s">
        <v>128</v>
      </c>
      <c r="D111" s="100">
        <f>SUM(D$37:D$48)+SUM(F$37:F$48)+SUM(H$37:H$48)+SUM(J$37:J$48)</f>
        <v>545</v>
      </c>
      <c r="E111" s="100">
        <f>SUM(L$37:L$48)+SUM(N$37:N$48)+SUM(P$37:P$48)+SUM(R$37:R$48)</f>
        <v>511</v>
      </c>
      <c r="F111" s="100">
        <f>SUM(T$37:T$48)+SUM(V$37:V$48)+SUM(X$37:X$48)+SUM(Z$37:Z$48)</f>
        <v>530</v>
      </c>
      <c r="G111" s="100">
        <f>SUM(AB$37:AB$48)+SUM(AD$37:AD$48)+SUM(AF$37:AF$48)+SUM(AH$37:AH$48)</f>
        <v>478.45946323209557</v>
      </c>
      <c r="H111" s="100">
        <f>SUM(AJ$37:AJ$48)+SUM(AL$37:AL$48)+SUM(AN$37:AN$48)+SUM(AP$37:AP$48)</f>
        <v>486.16759639853854</v>
      </c>
      <c r="I111" s="100">
        <f>SUM(AR$37:AR$48)+SUM(AT$37:AT$48)+SUM(AV$37:AV$48)+SUM(AX$37:AX$48)</f>
        <v>278.05451183239921</v>
      </c>
      <c r="J111" s="100">
        <f>SUM(AZ$37:AZ$48)+SUM(BB$37:BB$48)+SUM(BD$37:BD$48)+SUM(BF$37:BF$48)</f>
        <v>499.15270021538112</v>
      </c>
      <c r="K111" s="100">
        <f>SUM(BH$37:BH$48)+SUM(BJ$37:BJ$48)+SUM(BL$37:BL$48)+SUM(BN$37:BN$48)</f>
        <v>452.56589422055259</v>
      </c>
      <c r="L111" s="100">
        <f>SUM(BP$37:BP$48)+SUM(BR$37:BR$48)+SUM(BT$37:BT$48)+SUM(BV$37:BV$48)</f>
        <v>513.19295294312496</v>
      </c>
      <c r="M111" s="100">
        <f>SUM(BX$37:BX$48)+SUM(BZ$37:BZ$48)+SUM(CB$37:CB$48)+SUM(CD$37:CD$48)</f>
        <v>471.07394707702224</v>
      </c>
      <c r="N111" s="100">
        <f>SUM(CF$37:CF$48)+SUM(CH$37:CH$48)+SUM(CJ$37:CJ$48)+SUM(CL$37:CL$48)</f>
        <v>575</v>
      </c>
      <c r="O111" s="100">
        <f>SUM(CN$37:CN$48)+SUM(CP$37:CP$48)+SUM(CR$37:CR$48)+SUM(CT$37:CT$48)</f>
        <v>363.55395004085051</v>
      </c>
    </row>
    <row r="112" spans="2:99">
      <c r="C112" s="99" t="s">
        <v>129</v>
      </c>
      <c r="D112" s="100">
        <f>SUM(D$49:D$70)+SUM(F$49:F$70)+SUM(H$49:H$70)+SUM(J$49:J$70)</f>
        <v>644.97080567215858</v>
      </c>
      <c r="E112" s="100">
        <f>SUM(L$49:L$70)+SUM(N$49:N$70)+SUM(P$49:P$70)+SUM(R$49:R$70)</f>
        <v>714.21711490653229</v>
      </c>
      <c r="F112" s="100">
        <f>SUM(T$49:T$70)+SUM(V$49:V$70)+SUM(X$49:X$70)+SUM(Z$49:Z$70)</f>
        <v>818.7032412009454</v>
      </c>
      <c r="G112" s="100">
        <f>SUM(AB$49:AB$70)+SUM(AD$49:AD$70)+SUM(AF$49:AF$70)+SUM(AH$49:AH$70)</f>
        <v>778.63586096040297</v>
      </c>
      <c r="H112" s="100">
        <f>SUM(AJ$49:AJ$70)+SUM(AL$49:AL$70)+SUM(AN$49:AN$70)+SUM(AP$49:AP$70)</f>
        <v>661.51173743446134</v>
      </c>
      <c r="I112" s="100">
        <f>SUM(AR$49:AR$70)+SUM(AT$49:AT$70)+SUM(AV$49:AV$70)+SUM(AX$49:AX$70)</f>
        <v>499.05021456242088</v>
      </c>
      <c r="J112" s="100">
        <f>SUM(AZ$49:AZ$70)+SUM(BB$49:BB$70)+SUM(BD$49:BD$70)+SUM(BF$49:BF$70)</f>
        <v>668.57585358332574</v>
      </c>
      <c r="K112" s="100">
        <f>SUM(BH$49:BH$70)+SUM(BJ$49:BJ$70)+SUM(BL$49:BL$70)+SUM(BN$49:BN$70)</f>
        <v>597.9317348992638</v>
      </c>
      <c r="L112" s="100">
        <f>SUM(BP$49:BP$70)+SUM(BR$49:BR$70)+SUM(BT$49:BT$70)+SUM(BV$49:BV$70)</f>
        <v>783.97957654260165</v>
      </c>
      <c r="M112" s="100">
        <f>SUM(BX$49:BX$70)+SUM(BZ$49:BZ$70)+SUM(CB$49:CB$70)+SUM(CD$49:CD$70)</f>
        <v>683.76554395744483</v>
      </c>
      <c r="N112" s="100">
        <f>SUM(CF$49:CF$70)+SUM(CH$49:CH$70)+SUM(CJ$49:CJ$70)+SUM(CL$49:CL$70)</f>
        <v>704.03718876782034</v>
      </c>
      <c r="O112" s="100">
        <f>SUM(CN$49:CN$70)+SUM(CP$49:CP$70)+SUM(CR$49:CR$70)+SUM(CT$49:CT$70)</f>
        <v>551.61469784594181</v>
      </c>
    </row>
    <row r="113" spans="2:15">
      <c r="C113" s="99" t="s">
        <v>130</v>
      </c>
      <c r="D113" s="100">
        <f>SUM(D$71:D$86)+SUM(F$71:F$86)+SUM(H$71:H$86)+SUM(J$71:J$86)</f>
        <v>750</v>
      </c>
      <c r="E113" s="100">
        <f>SUM(L$71:L$86)+SUM(N$71:N$86)+SUM(P$71:P$86)+SUM(R$71:R$86)</f>
        <v>601</v>
      </c>
      <c r="F113" s="100">
        <f>SUM(T$71:T$86)+SUM(V$71:V$86)+SUM(X$71:X$86)+SUM(Z$71:Z$86)</f>
        <v>703.91029210225372</v>
      </c>
      <c r="G113" s="100">
        <f>SUM(AB$71:AB$86)+SUM(AD$71:AD$86)+SUM(AF$71:AF$86)+SUM(AH$71:AH$86)</f>
        <v>682.07685730186597</v>
      </c>
      <c r="H113" s="100">
        <f>SUM(AJ$71:AJ$86)+SUM(AL$71:AL$86)+SUM(AN$71:AN$86)+SUM(AP$71:AP$86)</f>
        <v>494.32041294432702</v>
      </c>
      <c r="I113" s="100">
        <f>SUM(AR$71:AR$86)+SUM(AT$71:AT$86)+SUM(AV$71:AV$86)+SUM(AX$71:AX$86)</f>
        <v>654.93886576263446</v>
      </c>
      <c r="J113" s="100">
        <f>SUM(AZ$71:AZ$86)+SUM(BB$71:BB$86)+SUM(BD$71:BD$86)+SUM(BF$71:BF$86)</f>
        <v>565.25437347112643</v>
      </c>
      <c r="K113" s="100">
        <f>SUM(BH$71:BH$86)+SUM(BJ$71:BJ$86)+SUM(BL$71:BL$86)+SUM(BN$71:BN$86)</f>
        <v>551.15196130214986</v>
      </c>
      <c r="L113" s="100">
        <f>SUM(BP$71:BP$86)+SUM(BR$71:BR$86)+SUM(BT$71:BT$86)+SUM(BV$71:BV$86)</f>
        <v>623.16207390244324</v>
      </c>
      <c r="M113" s="100">
        <f>SUM(BX$71:BX$86)+SUM(BZ$71:BZ$86)+SUM(CB$71:CB$86)+SUM(CD$71:CD$86)</f>
        <v>536.26304268357796</v>
      </c>
      <c r="N113" s="100">
        <f>SUM(CF$71:CF$86)+SUM(CH$71:CH$86)+SUM(CJ$71:CJ$86)+SUM(CL$71:CL$86)</f>
        <v>698.25802643482109</v>
      </c>
      <c r="O113" s="100">
        <f>SUM(CN$71:CN$86)+SUM(CP$71:CP$86)+SUM(CR$71:CR$86)+SUM(CT$71:CT$86)</f>
        <v>614</v>
      </c>
    </row>
    <row r="114" spans="2:15">
      <c r="C114" s="99" t="s">
        <v>131</v>
      </c>
      <c r="D114" s="100">
        <f>SUM(D$87:D$94)+SUM(F$87:F$94)+SUM(H$87:H$94)+SUM(J$87:J$94)</f>
        <v>208.98862542323661</v>
      </c>
      <c r="E114" s="100">
        <f>SUM(L$87:L$94)+SUM(N$87:N$94)+SUM(P$87:P$94)+SUM(R$87:R$94)</f>
        <v>169.15931023115465</v>
      </c>
      <c r="F114" s="100">
        <f>SUM(T$87:T$94)+SUM(V$87:V$94)+SUM(X$87:X$94)+SUM(Z$87:Z$94)</f>
        <v>260.51537811210625</v>
      </c>
      <c r="G114" s="100">
        <f>SUM(AB$87:AB$94)+SUM(AD$87:AD$94)+SUM(AF$87:AF$94)+SUM(AH$87:AH$94)</f>
        <v>204.45980901399099</v>
      </c>
      <c r="H114" s="100">
        <f>SUM(AJ$87:AJ$94)+SUM(AL$87:AL$94)+SUM(AN$87:AN$94)+SUM(AP$87:AP$94)</f>
        <v>217.31649344801542</v>
      </c>
      <c r="I114" s="100">
        <f>SUM(AR$87:AR$94)+SUM(AT$87:AT$94)+SUM(AV$87:AV$94)+SUM(AX$87:AX$94)</f>
        <v>199.9826275134688</v>
      </c>
      <c r="J114" s="100">
        <f>SUM(AZ$87:AZ$94)+SUM(BB$87:BB$94)+SUM(BD$87:BD$94)+SUM(BF$87:BF$94)</f>
        <v>145.63431774069039</v>
      </c>
      <c r="K114" s="100">
        <f>SUM(BH$87:BH$94)+SUM(BJ$87:BJ$94)+SUM(BL$87:BL$94)+SUM(BN$87:BN$94)</f>
        <v>154.48624090111281</v>
      </c>
      <c r="L114" s="100">
        <f>SUM(BP$87:BP$94)+SUM(BR$87:BR$94)+SUM(BT$87:BT$94)+SUM(BV$87:BV$94)</f>
        <v>246</v>
      </c>
      <c r="M114" s="100">
        <f>SUM(BX$87:BX$94)+SUM(BZ$87:BZ$94)+SUM(CB$87:CB$94)+SUM(CD$87:CD$94)</f>
        <v>242.07141779068417</v>
      </c>
      <c r="N114" s="100">
        <f>SUM(CF$87:CF$94)+SUM(CH$87:CH$94)+SUM(CJ$87:CJ$94)+SUM(CL$87:CL$94)</f>
        <v>239.76456255039761</v>
      </c>
      <c r="O114" s="100">
        <f>SUM(CN$87:CN$94)+SUM(CP$87:CP$94)+SUM(CR$87:CR$94)+SUM(CT$87:CT$94)</f>
        <v>177.30760260270318</v>
      </c>
    </row>
    <row r="115" spans="2:15">
      <c r="C115" s="99" t="s">
        <v>132</v>
      </c>
      <c r="D115" s="100">
        <f>SUM(D$95:D$105)+SUM(F$95:F$105)+SUM(H$95:H$105)+SUM(J$95:J$105)</f>
        <v>333.56272040063925</v>
      </c>
      <c r="E115" s="100">
        <f>SUM(L$95:L$105)+SUM(N$95:N$105)+SUM(P$95:P$105)+SUM(R$95:R$105)</f>
        <v>265.53573536884164</v>
      </c>
      <c r="F115" s="100">
        <f>SUM(T$95:T$105)+SUM(V$95:V$105)+SUM(X$95:X$105)+SUM(Z$95:Z$105)</f>
        <v>369.25562789188325</v>
      </c>
      <c r="G115" s="100">
        <f>SUM(AB$95:AB$105)+SUM(AD$95:AD$105)+SUM(AF$95:AF$105)+SUM(AH$95:AH$105)</f>
        <v>388.96117118075193</v>
      </c>
      <c r="H115" s="100">
        <f>SUM(AJ$95:AJ$105)+SUM(AL$95:AL$105)+SUM(AN$95:AN$105)+SUM(AP$95:AP$105)</f>
        <v>334.81481093650518</v>
      </c>
      <c r="I115" s="100">
        <f>SUM(AR$95:AR$105)+SUM(AT$95:AT$105)+SUM(AV$95:AV$105)+SUM(AX$95:AX$105)</f>
        <v>361.96691202384926</v>
      </c>
      <c r="J115" s="100">
        <f>SUM(AZ$95:AZ$105)+SUM(BB$95:BB$105)+SUM(BD$95:BD$105)+SUM(BF$95:BF$105)</f>
        <v>272.84118432383605</v>
      </c>
      <c r="K115" s="100">
        <f>SUM(BH$95:BH$105)+SUM(BJ$95:BJ$105)+SUM(BL$95:BL$105)+SUM(BN$95:BN$105)</f>
        <v>277.24998973616238</v>
      </c>
      <c r="L115" s="100">
        <f>SUM(BP$95:BP$105)+SUM(BR$95:BR$105)+SUM(BT$95:BT$105)+SUM(BV$95:BV$105)</f>
        <v>345</v>
      </c>
      <c r="M115" s="100">
        <f>SUM(BX$95:BX$105)+SUM(BZ$95:BZ$105)+SUM(CB$95:CB$105)+SUM(CD$95:CD$105)</f>
        <v>333.65696964092012</v>
      </c>
      <c r="N115" s="100">
        <f>SUM(CF$95:CF$105)+SUM(CH$95:CH$105)+SUM(CJ$95:CJ$105)+SUM(CL$95:CL$105)</f>
        <v>378.71608802136541</v>
      </c>
      <c r="O115" s="100">
        <f>SUM(CN$95:CN$105)+SUM(CP$95:CP$105)+SUM(CR$95:CR$105)+SUM(CT$95:CT$105)</f>
        <v>252.99465944779274</v>
      </c>
    </row>
    <row r="116" spans="2:15">
      <c r="C116" s="99" t="s">
        <v>278</v>
      </c>
      <c r="D116" s="100">
        <f t="shared" ref="D116:O116" si="0">SUM(D$109:D$115)</f>
        <v>4008.522151496034</v>
      </c>
      <c r="E116" s="100">
        <f t="shared" si="0"/>
        <v>3798.9121605065284</v>
      </c>
      <c r="F116" s="100">
        <f t="shared" si="0"/>
        <v>4276.3845393071879</v>
      </c>
      <c r="G116" s="100">
        <f t="shared" si="0"/>
        <v>3954.7500716333711</v>
      </c>
      <c r="H116" s="100">
        <f t="shared" si="0"/>
        <v>3757.7123428948544</v>
      </c>
      <c r="I116" s="100">
        <f t="shared" si="0"/>
        <v>2908.8115790252082</v>
      </c>
      <c r="J116" s="100">
        <f t="shared" si="0"/>
        <v>3438.3232338771195</v>
      </c>
      <c r="K116" s="100">
        <f t="shared" si="0"/>
        <v>3243.3846945158102</v>
      </c>
      <c r="L116" s="100">
        <f t="shared" si="0"/>
        <v>4123.1064151606697</v>
      </c>
      <c r="M116" s="100">
        <f t="shared" si="0"/>
        <v>3762.7143253624326</v>
      </c>
      <c r="N116" s="100">
        <f t="shared" si="0"/>
        <v>4294.7758657744043</v>
      </c>
      <c r="O116" s="100">
        <f t="shared" si="0"/>
        <v>3049.3375108799437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3724000</v>
      </c>
      <c r="E120" s="100">
        <f>E109*pricing!E15*2000</f>
        <v>3332000</v>
      </c>
      <c r="F120" s="100">
        <f>F109*pricing!F15*2000</f>
        <v>3528000</v>
      </c>
      <c r="G120" s="100">
        <f>G109*pricing!G15*2000</f>
        <v>3210817.9458205397</v>
      </c>
      <c r="H120" s="100">
        <f>H109*pricing!H15*2000</f>
        <v>3320378.9715244411</v>
      </c>
      <c r="I120" s="100">
        <f>I109*pricing!I15*2000</f>
        <v>1795161.1727717353</v>
      </c>
      <c r="J120" s="100">
        <f>J109*pricing!J15*2000</f>
        <v>3064611.173369824</v>
      </c>
      <c r="K120" s="100">
        <f>K109*pricing!K15*2000</f>
        <v>2573426.4619897469</v>
      </c>
      <c r="L120" s="100">
        <f>L109*pricing!L15*2000</f>
        <v>3608698.4615267119</v>
      </c>
      <c r="M120" s="100">
        <f>M109*pricing!M15*2000</f>
        <v>3433064.5286737662</v>
      </c>
      <c r="N120" s="100">
        <f>N109*pricing!N15*2000</f>
        <v>3843000</v>
      </c>
      <c r="O120" s="100">
        <f>O109*pricing!O15*2000</f>
        <v>2240445.980231436</v>
      </c>
    </row>
    <row r="121" spans="2:15">
      <c r="C121" s="99" t="s">
        <v>127</v>
      </c>
      <c r="D121" s="100">
        <f>D110*pricing!D16*2000</f>
        <v>6958000</v>
      </c>
      <c r="E121" s="100">
        <f>E110*pricing!E16*2000</f>
        <v>7434000</v>
      </c>
      <c r="F121" s="100">
        <f>F110*pricing!F16*2000</f>
        <v>7630000</v>
      </c>
      <c r="G121" s="100">
        <f>G110*pricing!G16*2000</f>
        <v>6744280.4237893047</v>
      </c>
      <c r="H121" s="100">
        <f>H110*pricing!H16*2000</f>
        <v>7624690.0706066051</v>
      </c>
      <c r="I121" s="100">
        <f>I110*pricing!I16*2000</f>
        <v>4608567.9585413141</v>
      </c>
      <c r="J121" s="100">
        <f>J110*pricing!J16*2000</f>
        <v>5943442.4584294986</v>
      </c>
      <c r="K121" s="100">
        <f>K110*pricing!K16*2000</f>
        <v>5896565.6522062318</v>
      </c>
      <c r="L121" s="100">
        <f>L110*pricing!L16*2000</f>
        <v>7673704.2208807869</v>
      </c>
      <c r="M121" s="100">
        <f>M110*pricing!M16*2000</f>
        <v>7038119.3008157145</v>
      </c>
      <c r="N121" s="100">
        <f>N110*pricing!N16*2000</f>
        <v>8050000</v>
      </c>
      <c r="O121" s="100">
        <f>O110*pricing!O16*2000</f>
        <v>5388620.2263671504</v>
      </c>
    </row>
    <row r="122" spans="2:15">
      <c r="C122" s="99" t="s">
        <v>128</v>
      </c>
      <c r="D122" s="100">
        <f>D111*pricing!D17*2000</f>
        <v>3815000</v>
      </c>
      <c r="E122" s="100">
        <f>E111*pricing!E17*2000</f>
        <v>3577000</v>
      </c>
      <c r="F122" s="100">
        <f>F111*pricing!F17*2000</f>
        <v>3710000</v>
      </c>
      <c r="G122" s="100">
        <f>G111*pricing!G17*2000</f>
        <v>3349216.2426246693</v>
      </c>
      <c r="H122" s="100">
        <f>H111*pricing!H17*2000</f>
        <v>3403173.1747897696</v>
      </c>
      <c r="I122" s="100">
        <f>I111*pricing!I17*2000</f>
        <v>1946381.5828267946</v>
      </c>
      <c r="J122" s="100">
        <f>J111*pricing!J17*2000</f>
        <v>3494068.9015076677</v>
      </c>
      <c r="K122" s="100">
        <f>K111*pricing!K17*2000</f>
        <v>3167961.2595438678</v>
      </c>
      <c r="L122" s="100">
        <f>L111*pricing!L17*2000</f>
        <v>3592350.6706018746</v>
      </c>
      <c r="M122" s="100">
        <f>M111*pricing!M17*2000</f>
        <v>3297517.6295391559</v>
      </c>
      <c r="N122" s="100">
        <f>N111*pricing!N17*2000</f>
        <v>4025000</v>
      </c>
      <c r="O122" s="100">
        <f>O111*pricing!O17*2000</f>
        <v>2544877.6502859537</v>
      </c>
    </row>
    <row r="123" spans="2:15">
      <c r="C123" s="99" t="s">
        <v>129</v>
      </c>
      <c r="D123" s="100">
        <f>D112*pricing!D18*2000</f>
        <v>4514795.6397051103</v>
      </c>
      <c r="E123" s="100">
        <f>E112*pricing!E18*2000</f>
        <v>4999519.804345726</v>
      </c>
      <c r="F123" s="100">
        <f>F112*pricing!F18*2000</f>
        <v>5730922.6884066174</v>
      </c>
      <c r="G123" s="100">
        <f>G112*pricing!G18*2000</f>
        <v>5450451.0267228205</v>
      </c>
      <c r="H123" s="100">
        <f>H112*pricing!H18*2000</f>
        <v>4630582.1620412301</v>
      </c>
      <c r="I123" s="100">
        <f>I112*pricing!I18*2000</f>
        <v>3493351.5019369461</v>
      </c>
      <c r="J123" s="100">
        <f>J112*pricing!J18*2000</f>
        <v>4680030.9750832804</v>
      </c>
      <c r="K123" s="100">
        <f>K112*pricing!K18*2000</f>
        <v>4185522.1442948468</v>
      </c>
      <c r="L123" s="100">
        <f>L112*pricing!L18*2000</f>
        <v>5487857.0357982116</v>
      </c>
      <c r="M123" s="100">
        <f>M112*pricing!M18*2000</f>
        <v>4786358.8077021139</v>
      </c>
      <c r="N123" s="100">
        <f>N112*pricing!N18*2000</f>
        <v>4928260.3213747423</v>
      </c>
      <c r="O123" s="100">
        <f>O112*pricing!O18*2000</f>
        <v>3861302.8849215927</v>
      </c>
    </row>
    <row r="124" spans="2:15">
      <c r="C124" s="99" t="s">
        <v>130</v>
      </c>
      <c r="D124" s="100">
        <f>D113*pricing!D19*2000</f>
        <v>5250000</v>
      </c>
      <c r="E124" s="100">
        <f>E113*pricing!E19*2000</f>
        <v>4207000</v>
      </c>
      <c r="F124" s="100">
        <f>F113*pricing!F19*2000</f>
        <v>4927372.0447157761</v>
      </c>
      <c r="G124" s="100">
        <f>G113*pricing!G19*2000</f>
        <v>4774538.0011130618</v>
      </c>
      <c r="H124" s="100">
        <f>H113*pricing!H19*2000</f>
        <v>3460242.8906102893</v>
      </c>
      <c r="I124" s="100">
        <f>I113*pricing!I19*2000</f>
        <v>4584572.0603384413</v>
      </c>
      <c r="J124" s="100">
        <f>J113*pricing!J19*2000</f>
        <v>3956780.6142978854</v>
      </c>
      <c r="K124" s="100">
        <f>K113*pricing!K19*2000</f>
        <v>3858063.7291150489</v>
      </c>
      <c r="L124" s="100">
        <f>L113*pricing!L19*2000</f>
        <v>4362134.5173171032</v>
      </c>
      <c r="M124" s="100">
        <f>M113*pricing!M19*2000</f>
        <v>3753841.2987850457</v>
      </c>
      <c r="N124" s="100">
        <f>N113*pricing!N19*2000</f>
        <v>4887806.1850437475</v>
      </c>
      <c r="O124" s="100">
        <f>O113*pricing!O19*2000</f>
        <v>4298000</v>
      </c>
    </row>
    <row r="125" spans="2:15">
      <c r="C125" s="99" t="s">
        <v>131</v>
      </c>
      <c r="D125" s="100">
        <f>D114*pricing!D20*2000</f>
        <v>1462920.3779626563</v>
      </c>
      <c r="E125" s="100">
        <f>E114*pricing!E20*2000</f>
        <v>1184115.1716180826</v>
      </c>
      <c r="F125" s="100">
        <f>F114*pricing!F20*2000</f>
        <v>1823607.6467847438</v>
      </c>
      <c r="G125" s="100">
        <f>G114*pricing!G20*2000</f>
        <v>1431218.6630979369</v>
      </c>
      <c r="H125" s="100">
        <f>H114*pricing!H20*2000</f>
        <v>1521215.4541361078</v>
      </c>
      <c r="I125" s="100">
        <f>I114*pricing!I20*2000</f>
        <v>1399878.3925942816</v>
      </c>
      <c r="J125" s="100">
        <f>J114*pricing!J20*2000</f>
        <v>1019440.2241848327</v>
      </c>
      <c r="K125" s="100">
        <f>K114*pricing!K20*2000</f>
        <v>1081403.6863077898</v>
      </c>
      <c r="L125" s="100">
        <f>L114*pricing!L20*2000</f>
        <v>1722000</v>
      </c>
      <c r="M125" s="100">
        <f>M114*pricing!M20*2000</f>
        <v>1694499.9245347893</v>
      </c>
      <c r="N125" s="100">
        <f>N114*pricing!N20*2000</f>
        <v>1678351.9378527834</v>
      </c>
      <c r="O125" s="100">
        <f>O114*pricing!O20*2000</f>
        <v>1241153.2182189224</v>
      </c>
    </row>
    <row r="126" spans="2:15">
      <c r="C126" s="99" t="s">
        <v>132</v>
      </c>
      <c r="D126" s="100">
        <f>D115*pricing!D21*2000</f>
        <v>2334939.0428044749</v>
      </c>
      <c r="E126" s="100">
        <f>E115*pricing!E21*2000</f>
        <v>1858750.1475818914</v>
      </c>
      <c r="F126" s="100">
        <f>F115*pricing!F21*2000</f>
        <v>2584789.3952431828</v>
      </c>
      <c r="G126" s="100">
        <f>G115*pricing!G21*2000</f>
        <v>2722728.1982652633</v>
      </c>
      <c r="H126" s="100">
        <f>H115*pricing!H21*2000</f>
        <v>2343703.6765555362</v>
      </c>
      <c r="I126" s="100">
        <f>I115*pricing!I21*2000</f>
        <v>2533768.3841669448</v>
      </c>
      <c r="J126" s="100">
        <f>J115*pricing!J21*2000</f>
        <v>1909888.2902668524</v>
      </c>
      <c r="K126" s="100">
        <f>K115*pricing!K21*2000</f>
        <v>1940749.9281531365</v>
      </c>
      <c r="L126" s="100">
        <f>L115*pricing!L21*2000</f>
        <v>2415000</v>
      </c>
      <c r="M126" s="100">
        <f>M115*pricing!M21*2000</f>
        <v>2335598.787486441</v>
      </c>
      <c r="N126" s="100">
        <f>N115*pricing!N21*2000</f>
        <v>2651012.6161495578</v>
      </c>
      <c r="O126" s="100">
        <f>O115*pricing!O21*2000</f>
        <v>1770962.616134549</v>
      </c>
    </row>
    <row r="127" spans="2:15">
      <c r="C127" s="99" t="s">
        <v>278</v>
      </c>
      <c r="D127" s="100">
        <f t="shared" ref="D127:O127" si="1">SUM(D$120:D$126)</f>
        <v>28059655.060472243</v>
      </c>
      <c r="E127" s="100">
        <f t="shared" si="1"/>
        <v>26592385.123545699</v>
      </c>
      <c r="F127" s="100">
        <f t="shared" si="1"/>
        <v>29934691.775150321</v>
      </c>
      <c r="G127" s="100">
        <f t="shared" si="1"/>
        <v>27683250.501433596</v>
      </c>
      <c r="H127" s="100">
        <f t="shared" si="1"/>
        <v>26303986.40026398</v>
      </c>
      <c r="I127" s="100">
        <f t="shared" si="1"/>
        <v>20361681.053176459</v>
      </c>
      <c r="J127" s="100">
        <f t="shared" si="1"/>
        <v>24068262.637139842</v>
      </c>
      <c r="K127" s="100">
        <f t="shared" si="1"/>
        <v>22703692.861610666</v>
      </c>
      <c r="L127" s="100">
        <f t="shared" si="1"/>
        <v>28861744.906124689</v>
      </c>
      <c r="M127" s="100">
        <f t="shared" si="1"/>
        <v>26339000.277537029</v>
      </c>
      <c r="N127" s="100">
        <f t="shared" si="1"/>
        <v>30063431.060420834</v>
      </c>
      <c r="O127" s="100">
        <f t="shared" si="1"/>
        <v>21345362.576159604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268473.59999999998</v>
      </c>
      <c r="E131" s="106">
        <f>SUM(M$6:M$19)+SUM(O$6:O$19)+SUM(Q$6:Q$19)+SUM(S$6:S$19)</f>
        <v>241724.39999999997</v>
      </c>
      <c r="F131" s="106">
        <f>SUM(U$6:U$19)+SUM(W$6:W$19)+SUM(Y$6:Y$19)+SUM(AA$6:AA$19)</f>
        <v>256026</v>
      </c>
      <c r="G131" s="106">
        <f>SUM(AC$6:AC$19)+SUM(AE$6:AE$19)+SUM(AG$6:AG$19)+SUM(AI$6:AI$19)</f>
        <v>232031.6402319404</v>
      </c>
      <c r="H131" s="106">
        <f>SUM(AK$6:AK$19)+SUM(AM$6:AM$19)+SUM(AO$6:AO$19)+SUM(AQ$6:AQ$19)</f>
        <v>239427.8190329636</v>
      </c>
      <c r="I131" s="106">
        <f>SUM(AS$6:AS$19)+SUM(AU$6:AU$19)+SUM(AW$6:AW$19)+SUM(AY$6:AY$19)</f>
        <v>129650.38691315384</v>
      </c>
      <c r="J131" s="106">
        <f>SUM(BA$6:BA$19)+SUM(BC$6:BC$19)+SUM(BE$6:BE$19)+SUM(BG$6:BG$19)</f>
        <v>222110.91110674545</v>
      </c>
      <c r="K131" s="106">
        <f>SUM(BI$6:BI$19)+SUM(BK$6:BK$19)+SUM(BM$6:BM$19)+SUM(BO$6:BO$19)</f>
        <v>185827.41006649146</v>
      </c>
      <c r="L131" s="106">
        <f>SUM(BQ$6:BQ$19)+SUM(BS$6:BS$19)+SUM(BU$6:BU$19)+SUM(BW$6:BW$19)</f>
        <v>260577.86084107941</v>
      </c>
      <c r="M131" s="106">
        <f>SUM(BY$6:BY$19)+SUM(CA$6:CA$19)+SUM(CC$6:CC$19)+SUM(CE$6:CE$19)</f>
        <v>247985.3582747787</v>
      </c>
      <c r="N131" s="106">
        <f>SUM(CG$6:CG$19)+SUM(CI$6:CI$19)+SUM(CK$6:CK$19)+SUM(CM$6:CM$19)</f>
        <v>277345.19999999995</v>
      </c>
      <c r="O131" s="106">
        <f>SUM(CO$6:CO$19)+SUM(CQ$6:CQ$19)+SUM(CS$6:CS$19)+SUM(CU$6:CU$19)</f>
        <v>161387.28716893017</v>
      </c>
    </row>
    <row r="132" spans="2:15">
      <c r="C132" s="105" t="s">
        <v>127</v>
      </c>
      <c r="D132" s="106">
        <f>SUM(E$20:E$36)+SUM(G$20:G$36)+SUM(I$20:I$36)+SUM(K$20:K$36)</f>
        <v>428832</v>
      </c>
      <c r="E132" s="106">
        <f>SUM(M$20:M$36)+SUM(O$20:O$36)+SUM(Q$20:Q$36)+SUM(S$20:S$36)</f>
        <v>455005.20000000007</v>
      </c>
      <c r="F132" s="106">
        <f>SUM(U$20:U$36)+SUM(W$20:W$36)+SUM(Y$20:Y$36)+SUM(AA$20:AA$36)</f>
        <v>466700.4</v>
      </c>
      <c r="G132" s="106">
        <f>SUM(AC$20:AC$36)+SUM(AE$20:AE$36)+SUM(AG$20:AG$36)+SUM(AI$20:AI$36)</f>
        <v>411376.60539572267</v>
      </c>
      <c r="H132" s="106">
        <f>SUM(AK$20:AK$36)+SUM(AM$20:AM$36)+SUM(AO$20:AO$36)+SUM(AQ$20:AQ$36)</f>
        <v>463038.02355712902</v>
      </c>
      <c r="I132" s="106">
        <f>SUM(AS$20:AS$36)+SUM(AU$20:AU$36)+SUM(AW$20:AW$36)+SUM(AY$20:AY$36)</f>
        <v>280162.85390768712</v>
      </c>
      <c r="J132" s="106">
        <f>SUM(BA$20:BA$36)+SUM(BC$20:BC$36)+SUM(BE$20:BE$36)+SUM(BG$20:BG$36)</f>
        <v>363105.43580623798</v>
      </c>
      <c r="K132" s="106">
        <f>SUM(BI$20:BI$36)+SUM(BK$20:BK$36)+SUM(BM$20:BM$36)+SUM(BO$20:BO$36)</f>
        <v>361583.7341104743</v>
      </c>
      <c r="L132" s="106">
        <f>SUM(BQ$20:BQ$36)+SUM(BS$20:BS$36)+SUM(BU$20:BU$36)+SUM(BW$20:BW$36)</f>
        <v>468353.48555036384</v>
      </c>
      <c r="M132" s="106">
        <f>SUM(BY$20:BY$36)+SUM(CA$20:CA$36)+SUM(CC$20:CC$36)+SUM(CE$20:CE$36)</f>
        <v>430380.70781725063</v>
      </c>
      <c r="N132" s="106">
        <f>SUM(CG$20:CG$36)+SUM(CI$20:CI$36)+SUM(CK$20:CK$36)+SUM(CM$20:CM$36)</f>
        <v>496143.6</v>
      </c>
      <c r="O132" s="106">
        <f>SUM(CO$20:CO$36)+SUM(CQ$20:CQ$36)+SUM(CS$20:CS$36)+SUM(CU$20:CU$36)</f>
        <v>329244.36909704085</v>
      </c>
    </row>
    <row r="133" spans="2:15">
      <c r="C133" s="105" t="s">
        <v>128</v>
      </c>
      <c r="D133" s="106">
        <f>SUM(E$37:E$48)+SUM(G$37:G$48)+SUM(I$37:I$48)+SUM(K$37:K$48)</f>
        <v>574464</v>
      </c>
      <c r="E133" s="106">
        <f>SUM(M$37:M$48)+SUM(O$37:O$48)+SUM(Q$37:Q$48)+SUM(S$37:S$48)</f>
        <v>536310</v>
      </c>
      <c r="F133" s="106">
        <f>SUM(U$37:U$48)+SUM(W$37:W$48)+SUM(Y$37:Y$48)+SUM(AA$37:AA$48)</f>
        <v>558565.19999999995</v>
      </c>
      <c r="G133" s="106">
        <f>SUM(AC$37:AC$48)+SUM(AE$37:AE$48)+SUM(AG$37:AG$48)+SUM(AI$37:AI$48)</f>
        <v>502929.4613047496</v>
      </c>
      <c r="H133" s="106">
        <f>SUM(AK$37:AK$48)+SUM(AM$37:AM$48)+SUM(AO$37:AO$48)+SUM(AQ$37:AQ$48)</f>
        <v>509797.64137839817</v>
      </c>
      <c r="I133" s="106">
        <f>SUM(AS$37:AS$48)+SUM(AU$37:AU$48)+SUM(AW$37:AW$48)+SUM(AY$37:AY$48)</f>
        <v>291684.01794972317</v>
      </c>
      <c r="J133" s="106">
        <f>SUM(BA$37:BA$48)+SUM(BC$37:BC$48)+SUM(BE$37:BE$48)+SUM(BG$37:BG$48)</f>
        <v>524481.10004652338</v>
      </c>
      <c r="K133" s="106">
        <f>SUM(BI$37:BI$48)+SUM(BK$37:BK$48)+SUM(BM$37:BM$48)+SUM(BO$37:BO$48)</f>
        <v>475649.01601359743</v>
      </c>
      <c r="L133" s="106">
        <f>SUM(BQ$37:BQ$48)+SUM(BS$37:BS$48)+SUM(BU$37:BU$48)+SUM(BW$37:BW$48)</f>
        <v>539487.72075595707</v>
      </c>
      <c r="M133" s="106">
        <f>SUM(BY$37:BY$48)+SUM(CA$37:CA$48)+SUM(CC$37:CC$48)+SUM(CE$37:CE$48)</f>
        <v>494255.03347644501</v>
      </c>
      <c r="N133" s="106">
        <f>SUM(CG$37:CG$48)+SUM(CI$37:CI$48)+SUM(CK$37:CK$48)+SUM(CM$37:CM$48)</f>
        <v>602748</v>
      </c>
      <c r="O133" s="106">
        <f>SUM(CO$37:CO$48)+SUM(CQ$37:CQ$48)+SUM(CS$37:CS$48)+SUM(CU$37:CU$48)</f>
        <v>382760.04873258399</v>
      </c>
    </row>
    <row r="134" spans="2:15">
      <c r="C134" s="105" t="s">
        <v>129</v>
      </c>
      <c r="D134" s="106">
        <f>SUM(E$49:E$70)+SUM(G$49:G$70)+SUM(I$49:I$70)+SUM(K$49:K$70)</f>
        <v>540806.62961330032</v>
      </c>
      <c r="E134" s="106">
        <f>SUM(M$49:M$70)+SUM(O$49:O$70)+SUM(Q$49:Q$70)+SUM(S$49:S$70)</f>
        <v>595846.55124949338</v>
      </c>
      <c r="F134" s="106">
        <f>SUM(U$49:U$70)+SUM(W$49:W$70)+SUM(Y$49:Y$70)+SUM(AA$49:AA$70)</f>
        <v>685910.80114168732</v>
      </c>
      <c r="G134" s="106">
        <f>SUM(AC$49:AC$70)+SUM(AE$49:AE$70)+SUM(AG$49:AG$70)+SUM(AI$49:AI$70)</f>
        <v>654101.81114438223</v>
      </c>
      <c r="H134" s="106">
        <f>SUM(AK$49:AK$70)+SUM(AM$49:AM$70)+SUM(AO$49:AO$70)+SUM(AQ$49:AQ$70)</f>
        <v>549021.9078573318</v>
      </c>
      <c r="I134" s="106">
        <f>SUM(AS$49:AS$70)+SUM(AU$49:AU$70)+SUM(AW$49:AW$70)+SUM(AY$49:AY$70)</f>
        <v>428094.06420310697</v>
      </c>
      <c r="J134" s="106">
        <f>SUM(BA$49:BA$70)+SUM(BC$49:BC$70)+SUM(BE$49:BE$70)+SUM(BG$49:BG$70)</f>
        <v>552637.21234498371</v>
      </c>
      <c r="K134" s="106">
        <f>SUM(BI$49:BI$70)+SUM(BK$49:BK$70)+SUM(BM$49:BM$70)+SUM(BO$49:BO$70)</f>
        <v>498490.86076372815</v>
      </c>
      <c r="L134" s="106">
        <f>SUM(BQ$49:BQ$70)+SUM(BS$49:BS$70)+SUM(BU$49:BU$70)+SUM(BW$49:BW$70)</f>
        <v>663196.77656713582</v>
      </c>
      <c r="M134" s="106">
        <f>SUM(BY$49:BY$70)+SUM(CA$49:CA$70)+SUM(CC$49:CC$70)+SUM(CE$49:CE$70)</f>
        <v>562174.47885219683</v>
      </c>
      <c r="N134" s="106">
        <f>SUM(CG$49:CG$70)+SUM(CI$49:CI$70)+SUM(CK$49:CK$70)+SUM(CM$49:CM$70)</f>
        <v>589338.48458206863</v>
      </c>
      <c r="O134" s="106">
        <f>SUM(CO$49:CO$70)+SUM(CQ$49:CQ$70)+SUM(CS$49:CS$70)+SUM(CU$49:CU$70)</f>
        <v>465748.92471352371</v>
      </c>
    </row>
    <row r="135" spans="2:15">
      <c r="C135" s="105" t="s">
        <v>130</v>
      </c>
      <c r="D135" s="106">
        <f>SUM(E$71:E$86)+SUM(G$71:G$86)+SUM(I$71:I$86)+SUM(K$71:K$86)</f>
        <v>420598.79999999993</v>
      </c>
      <c r="E135" s="106">
        <f>SUM(M$71:M$86)+SUM(O$71:O$86)+SUM(Q$71:Q$86)+SUM(S$71:S$86)</f>
        <v>338011.2</v>
      </c>
      <c r="F135" s="106">
        <f>SUM(U$71:U$86)+SUM(W$71:W$86)+SUM(Y$71:Y$86)+SUM(AA$71:AA$86)</f>
        <v>392969.8449124227</v>
      </c>
      <c r="G135" s="106">
        <f>SUM(AC$71:AC$86)+SUM(AE$71:AE$86)+SUM(AG$71:AG$86)+SUM(AI$71:AI$86)</f>
        <v>384624.88895849988</v>
      </c>
      <c r="H135" s="106">
        <f>SUM(AK$71:AK$86)+SUM(AM$71:AM$86)+SUM(AO$71:AO$86)+SUM(AQ$71:AQ$86)</f>
        <v>277596.19158759096</v>
      </c>
      <c r="I135" s="106">
        <f>SUM(AS$71:AS$86)+SUM(AU$71:AU$86)+SUM(AW$71:AW$86)+SUM(AY$71:AY$86)</f>
        <v>367262.61010051175</v>
      </c>
      <c r="J135" s="106">
        <f>SUM(BA$71:BA$86)+SUM(BC$71:BC$86)+SUM(BE$71:BE$86)+SUM(BG$71:BG$86)</f>
        <v>316664.19562810397</v>
      </c>
      <c r="K135" s="106">
        <f>SUM(BI$71:BI$86)+SUM(BK$71:BK$86)+SUM(BM$71:BM$86)+SUM(BO$71:BO$86)</f>
        <v>309676.95073424547</v>
      </c>
      <c r="L135" s="106">
        <f>SUM(BQ$71:BQ$86)+SUM(BS$71:BS$86)+SUM(BU$71:BU$86)+SUM(BW$71:BW$86)</f>
        <v>348260.7596397904</v>
      </c>
      <c r="M135" s="106">
        <f>SUM(BY$71:BY$86)+SUM(CA$71:CA$86)+SUM(CC$71:CC$86)+SUM(CE$71:CE$86)</f>
        <v>299440.04269137152</v>
      </c>
      <c r="N135" s="106">
        <f>SUM(CG$71:CG$86)+SUM(CI$71:CI$86)+SUM(CK$71:CK$86)+SUM(CM$71:CM$86)</f>
        <v>394171.54188271065</v>
      </c>
      <c r="O135" s="106">
        <f>SUM(CO$71:CO$86)+SUM(CQ$71:CQ$86)+SUM(CS$71:CS$86)+SUM(CU$71:CU$86)</f>
        <v>342637.2</v>
      </c>
    </row>
    <row r="136" spans="2:15">
      <c r="C136" s="105" t="s">
        <v>131</v>
      </c>
      <c r="D136" s="106">
        <f>SUM(E$87:E$94)+SUM(G$87:G$94)+SUM(I$87:I$94)+SUM(K$87:K$94)</f>
        <v>210381.9170050917</v>
      </c>
      <c r="E136" s="106">
        <f>SUM(M$87:M$94)+SUM(O$87:O$94)+SUM(Q$87:Q$94)+SUM(S$87:S$94)</f>
        <v>169257.21756858096</v>
      </c>
      <c r="F136" s="106">
        <f>SUM(U$87:U$94)+SUM(W$87:W$94)+SUM(Y$87:Y$94)+SUM(AA$87:AA$94)</f>
        <v>262254.84065121331</v>
      </c>
      <c r="G136" s="106">
        <f>SUM(AC$87:AC$94)+SUM(AE$87:AE$94)+SUM(AG$87:AG$94)+SUM(AI$87:AI$94)</f>
        <v>204811.23162878584</v>
      </c>
      <c r="H136" s="106">
        <f>SUM(AK$87:AK$94)+SUM(AM$87:AM$94)+SUM(AO$87:AO$94)+SUM(AQ$87:AQ$94)</f>
        <v>218119.61304610025</v>
      </c>
      <c r="I136" s="106">
        <f>SUM(AS$87:AS$94)+SUM(AU$87:AU$94)+SUM(AW$87:AW$94)+SUM(AY$87:AY$94)</f>
        <v>200611.30097007268</v>
      </c>
      <c r="J136" s="106">
        <f>SUM(BA$87:BA$94)+SUM(BC$87:BC$94)+SUM(BE$87:BE$94)+SUM(BG$87:BG$94)</f>
        <v>145772.46410009387</v>
      </c>
      <c r="K136" s="106">
        <f>SUM(BI$87:BI$94)+SUM(BK$87:BK$94)+SUM(BM$87:BM$94)+SUM(BO$87:BO$94)</f>
        <v>154531.66247895069</v>
      </c>
      <c r="L136" s="106">
        <f>SUM(BQ$87:BQ$94)+SUM(BS$87:BS$94)+SUM(BU$87:BU$94)+SUM(BW$87:BW$94)</f>
        <v>247582.8</v>
      </c>
      <c r="M136" s="106">
        <f>SUM(BY$87:BY$94)+SUM(CA$87:CA$94)+SUM(CC$87:CC$94)+SUM(CE$87:CE$94)</f>
        <v>242334.46107476129</v>
      </c>
      <c r="N136" s="106">
        <f>SUM(CG$87:CG$94)+SUM(CI$87:CI$94)+SUM(CK$87:CK$94)+SUM(CM$87:CM$94)</f>
        <v>240982.54370790889</v>
      </c>
      <c r="O136" s="106">
        <f>SUM(CO$87:CO$94)+SUM(CQ$87:CQ$94)+SUM(CS$87:CS$94)+SUM(CU$87:CU$94)</f>
        <v>178487.34607361071</v>
      </c>
    </row>
    <row r="137" spans="2:15">
      <c r="C137" s="105" t="s">
        <v>132</v>
      </c>
      <c r="D137" s="106">
        <f>SUM(E$95:E$105)+SUM(G$95:G$105)+SUM(I$95:I$105)+SUM(K$95:K$105)</f>
        <v>270930.66490015388</v>
      </c>
      <c r="E137" s="106">
        <f>SUM(M$95:M$105)+SUM(O$95:O$105)+SUM(Q$95:Q$105)+SUM(S$95:S$105)</f>
        <v>216882.48940466443</v>
      </c>
      <c r="F137" s="106">
        <f>SUM(U$95:U$105)+SUM(W$95:W$105)+SUM(Y$95:Y$105)+SUM(AA$95:AA$105)</f>
        <v>299540.19556003634</v>
      </c>
      <c r="G137" s="106">
        <f>SUM(AC$95:AC$105)+SUM(AE$95:AE$105)+SUM(AG$95:AG$105)+SUM(AI$95:AI$105)</f>
        <v>310669.42850482085</v>
      </c>
      <c r="H137" s="106">
        <f>SUM(AK$95:AK$105)+SUM(AM$95:AM$105)+SUM(AO$95:AO$105)+SUM(AQ$95:AQ$105)</f>
        <v>274611.68696692784</v>
      </c>
      <c r="I137" s="106">
        <f>SUM(AS$95:AS$105)+SUM(AU$95:AU$105)+SUM(AW$95:AW$105)+SUM(AY$95:AY$105)</f>
        <v>291763.56858974497</v>
      </c>
      <c r="J137" s="106">
        <f>SUM(BA$95:BA$105)+SUM(BC$95:BC$105)+SUM(BE$95:BE$105)+SUM(BG$95:BG$105)</f>
        <v>219467.66839306016</v>
      </c>
      <c r="K137" s="106">
        <f>SUM(BI$95:BI$105)+SUM(BK$95:BK$105)+SUM(BM$95:BM$105)+SUM(BO$95:BO$105)</f>
        <v>222917.47565283757</v>
      </c>
      <c r="L137" s="106">
        <f>SUM(BQ$95:BQ$105)+SUM(BS$95:BS$105)+SUM(BU$95:BU$105)+SUM(BW$95:BW$105)</f>
        <v>278328</v>
      </c>
      <c r="M137" s="106">
        <f>SUM(BY$95:BY$105)+SUM(CA$95:CA$105)+SUM(CC$95:CC$105)+SUM(CE$95:CE$105)</f>
        <v>268512.84280443355</v>
      </c>
      <c r="N137" s="106">
        <f>SUM(CG$95:CG$105)+SUM(CI$95:CI$105)+SUM(CK$95:CK$105)+SUM(CM$95:CM$105)</f>
        <v>304088.27427288669</v>
      </c>
      <c r="O137" s="106">
        <f>SUM(CO$95:CO$105)+SUM(CQ$95:CQ$105)+SUM(CS$95:CS$105)+SUM(CU$95:CU$105)</f>
        <v>205952.17879519708</v>
      </c>
    </row>
    <row r="138" spans="2:15">
      <c r="C138" s="105" t="s">
        <v>278</v>
      </c>
      <c r="D138" s="100">
        <f t="shared" ref="D138:O138" si="2">SUM(D$131:D$137)</f>
        <v>2714487.611518546</v>
      </c>
      <c r="E138" s="100">
        <f t="shared" si="2"/>
        <v>2553037.058222739</v>
      </c>
      <c r="F138" s="100">
        <f t="shared" si="2"/>
        <v>2921967.2822653595</v>
      </c>
      <c r="G138" s="100">
        <f t="shared" si="2"/>
        <v>2700545.0671689017</v>
      </c>
      <c r="H138" s="100">
        <f t="shared" si="2"/>
        <v>2531612.8834264418</v>
      </c>
      <c r="I138" s="100">
        <f t="shared" si="2"/>
        <v>1989228.8026340003</v>
      </c>
      <c r="J138" s="100">
        <f t="shared" si="2"/>
        <v>2344238.9874257483</v>
      </c>
      <c r="K138" s="100">
        <f t="shared" si="2"/>
        <v>2208677.1098203254</v>
      </c>
      <c r="L138" s="100">
        <f t="shared" si="2"/>
        <v>2805787.4033543263</v>
      </c>
      <c r="M138" s="100">
        <f t="shared" si="2"/>
        <v>2545082.924991237</v>
      </c>
      <c r="N138" s="100">
        <f t="shared" si="2"/>
        <v>2904817.6444455748</v>
      </c>
      <c r="O138" s="100">
        <f t="shared" si="2"/>
        <v>2066217.3545808864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7</v>
      </c>
      <c r="E6" s="100">
        <v>4048.7999999999997</v>
      </c>
      <c r="F6" s="100">
        <v>5</v>
      </c>
      <c r="G6" s="100">
        <v>2892</v>
      </c>
      <c r="H6" s="100">
        <v>7</v>
      </c>
      <c r="I6" s="100">
        <v>4048.7999999999997</v>
      </c>
      <c r="J6" s="100">
        <v>9</v>
      </c>
      <c r="K6" s="100">
        <v>5205.5999999999995</v>
      </c>
      <c r="L6" s="100">
        <v>6</v>
      </c>
      <c r="M6" s="100">
        <v>3470.3999999999996</v>
      </c>
      <c r="N6" s="100">
        <v>5</v>
      </c>
      <c r="O6" s="100">
        <v>2892</v>
      </c>
      <c r="P6" s="100">
        <v>5</v>
      </c>
      <c r="Q6" s="100">
        <v>2892</v>
      </c>
      <c r="R6" s="100">
        <v>6</v>
      </c>
      <c r="S6" s="100">
        <v>3470.3999999999996</v>
      </c>
      <c r="T6" s="100">
        <v>6</v>
      </c>
      <c r="U6" s="100">
        <v>3470.3999999999996</v>
      </c>
      <c r="V6" s="100">
        <v>6</v>
      </c>
      <c r="W6" s="100">
        <v>3470.3999999999996</v>
      </c>
      <c r="X6" s="100">
        <v>5</v>
      </c>
      <c r="Y6" s="100">
        <v>2892</v>
      </c>
      <c r="Z6" s="100">
        <v>5</v>
      </c>
      <c r="AA6" s="100">
        <v>2892</v>
      </c>
      <c r="AB6" s="100">
        <v>9</v>
      </c>
      <c r="AC6" s="100">
        <v>5205.5999999999995</v>
      </c>
      <c r="AD6" s="100">
        <v>8</v>
      </c>
      <c r="AE6" s="100">
        <v>4627.2</v>
      </c>
      <c r="AF6" s="100">
        <v>9</v>
      </c>
      <c r="AG6" s="100">
        <v>5205.5999999999995</v>
      </c>
      <c r="AH6" s="100">
        <v>6.4772393825868102</v>
      </c>
      <c r="AI6" s="100">
        <v>3746.4352588882107</v>
      </c>
      <c r="AJ6" s="100">
        <v>7</v>
      </c>
      <c r="AK6" s="100">
        <v>4048.7999999999997</v>
      </c>
      <c r="AL6" s="100">
        <v>5</v>
      </c>
      <c r="AM6" s="100">
        <v>2892</v>
      </c>
      <c r="AN6" s="100">
        <v>5.0995717954633957</v>
      </c>
      <c r="AO6" s="100">
        <v>2949.5923264960279</v>
      </c>
      <c r="AP6" s="100">
        <v>7.291192194544279</v>
      </c>
      <c r="AQ6" s="100">
        <v>4217.225565324411</v>
      </c>
      <c r="AR6" s="100">
        <v>7.4700709003500334</v>
      </c>
      <c r="AS6" s="100">
        <v>4320.6890087624588</v>
      </c>
      <c r="AT6" s="100">
        <v>6</v>
      </c>
      <c r="AU6" s="100">
        <v>3470.3999999999996</v>
      </c>
      <c r="AV6" s="100">
        <v>9</v>
      </c>
      <c r="AW6" s="100">
        <v>5205.5999999999995</v>
      </c>
      <c r="AX6" s="100">
        <v>7.5496108274188085</v>
      </c>
      <c r="AY6" s="100">
        <v>4366.6949025790391</v>
      </c>
      <c r="AZ6" s="100">
        <v>5.7518805610078827</v>
      </c>
      <c r="BA6" s="100">
        <v>3326.8877164869591</v>
      </c>
      <c r="BB6" s="100">
        <v>10.494719704836289</v>
      </c>
      <c r="BC6" s="100">
        <v>6070.1458772773094</v>
      </c>
      <c r="BD6" s="100">
        <v>4.0161171427590059</v>
      </c>
      <c r="BE6" s="100">
        <v>2322.9221553718089</v>
      </c>
      <c r="BF6" s="100">
        <v>6</v>
      </c>
      <c r="BG6" s="100">
        <v>3470.3999999999996</v>
      </c>
      <c r="BH6" s="100">
        <v>4.2145583245834555</v>
      </c>
      <c r="BI6" s="100">
        <v>2437.7005349390706</v>
      </c>
      <c r="BJ6" s="100">
        <v>1.9397953848722871</v>
      </c>
      <c r="BK6" s="100">
        <v>1121.9776506101307</v>
      </c>
      <c r="BL6" s="100">
        <v>10</v>
      </c>
      <c r="BM6" s="100">
        <v>5784</v>
      </c>
      <c r="BN6" s="100">
        <v>6</v>
      </c>
      <c r="BO6" s="100">
        <v>3470.3999999999996</v>
      </c>
      <c r="BP6" s="100">
        <v>9</v>
      </c>
      <c r="BQ6" s="100">
        <v>5205.5999999999995</v>
      </c>
      <c r="BR6" s="100">
        <v>6</v>
      </c>
      <c r="BS6" s="100">
        <v>3470.3999999999996</v>
      </c>
      <c r="BT6" s="100">
        <v>7</v>
      </c>
      <c r="BU6" s="100">
        <v>4048.7999999999997</v>
      </c>
      <c r="BV6" s="100">
        <v>9.3772244368589917</v>
      </c>
      <c r="BW6" s="100">
        <v>5423.7866142792409</v>
      </c>
      <c r="BX6" s="100">
        <v>7.0265444650928339</v>
      </c>
      <c r="BY6" s="100">
        <v>4064.1533186096949</v>
      </c>
      <c r="BZ6" s="100">
        <v>7</v>
      </c>
      <c r="CA6" s="100">
        <v>4048.7999999999997</v>
      </c>
      <c r="CB6" s="100">
        <v>11</v>
      </c>
      <c r="CC6" s="100">
        <v>6362.4</v>
      </c>
      <c r="CD6" s="100">
        <v>4.0646627409976999</v>
      </c>
      <c r="CE6" s="100">
        <v>2351.0009293930693</v>
      </c>
      <c r="CF6" s="100">
        <v>4.1843623103443139</v>
      </c>
      <c r="CG6" s="100">
        <v>2420.2351603031511</v>
      </c>
      <c r="CH6" s="100">
        <v>6.5210196524743846</v>
      </c>
      <c r="CI6" s="100">
        <v>3771.7577669911839</v>
      </c>
      <c r="CJ6" s="100">
        <v>10</v>
      </c>
      <c r="CK6" s="100">
        <v>5784</v>
      </c>
      <c r="CL6" s="100">
        <v>7</v>
      </c>
      <c r="CM6" s="100">
        <v>4048.7999999999997</v>
      </c>
      <c r="CN6" s="100">
        <v>9.3310552644157898</v>
      </c>
      <c r="CO6" s="100">
        <v>5397.0823649380927</v>
      </c>
      <c r="CP6" s="100">
        <v>4.0010838199590983</v>
      </c>
      <c r="CQ6" s="100">
        <v>2314.2268814643426</v>
      </c>
      <c r="CR6" s="100">
        <v>8.4160613543001084</v>
      </c>
      <c r="CS6" s="100">
        <v>4867.8498873271828</v>
      </c>
      <c r="CT6" s="100">
        <v>5.2866831093091644</v>
      </c>
      <c r="CU6" s="100">
        <v>3057.8175104244206</v>
      </c>
    </row>
    <row r="7" spans="1:99">
      <c r="C7" s="99" t="s">
        <v>173</v>
      </c>
      <c r="D7" s="100">
        <v>8</v>
      </c>
      <c r="E7" s="100">
        <v>6307.2</v>
      </c>
      <c r="F7" s="100">
        <v>5</v>
      </c>
      <c r="G7" s="100">
        <v>3942</v>
      </c>
      <c r="H7" s="100">
        <v>6</v>
      </c>
      <c r="I7" s="100">
        <v>4730.3999999999996</v>
      </c>
      <c r="J7" s="100">
        <v>8</v>
      </c>
      <c r="K7" s="100">
        <v>6307.2</v>
      </c>
      <c r="L7" s="100">
        <v>6</v>
      </c>
      <c r="M7" s="100">
        <v>4730.3999999999996</v>
      </c>
      <c r="N7" s="100">
        <v>5</v>
      </c>
      <c r="O7" s="100">
        <v>3942</v>
      </c>
      <c r="P7" s="100">
        <v>5</v>
      </c>
      <c r="Q7" s="100">
        <v>3942</v>
      </c>
      <c r="R7" s="100">
        <v>6</v>
      </c>
      <c r="S7" s="100">
        <v>4730.3999999999996</v>
      </c>
      <c r="T7" s="100">
        <v>6</v>
      </c>
      <c r="U7" s="100">
        <v>4730.3999999999996</v>
      </c>
      <c r="V7" s="100">
        <v>6</v>
      </c>
      <c r="W7" s="100">
        <v>4730.3999999999996</v>
      </c>
      <c r="X7" s="100">
        <v>5</v>
      </c>
      <c r="Y7" s="100">
        <v>3942</v>
      </c>
      <c r="Z7" s="100">
        <v>5</v>
      </c>
      <c r="AA7" s="100">
        <v>3942</v>
      </c>
      <c r="AB7" s="100">
        <v>9</v>
      </c>
      <c r="AC7" s="100">
        <v>7095.5999999999995</v>
      </c>
      <c r="AD7" s="100">
        <v>8</v>
      </c>
      <c r="AE7" s="100">
        <v>6307.2</v>
      </c>
      <c r="AF7" s="100">
        <v>10</v>
      </c>
      <c r="AG7" s="100">
        <v>7884</v>
      </c>
      <c r="AH7" s="100">
        <v>6.4772393825868102</v>
      </c>
      <c r="AI7" s="100">
        <v>5106.6555292314406</v>
      </c>
      <c r="AJ7" s="100">
        <v>8</v>
      </c>
      <c r="AK7" s="100">
        <v>6307.2</v>
      </c>
      <c r="AL7" s="100">
        <v>5</v>
      </c>
      <c r="AM7" s="100">
        <v>3942</v>
      </c>
      <c r="AN7" s="100">
        <v>5.0995717954633957</v>
      </c>
      <c r="AO7" s="100">
        <v>4020.5024035433412</v>
      </c>
      <c r="AP7" s="100">
        <v>8.3235468828269763</v>
      </c>
      <c r="AQ7" s="100">
        <v>6562.2843624207881</v>
      </c>
      <c r="AR7" s="100">
        <v>7.4700709003500334</v>
      </c>
      <c r="AS7" s="100">
        <v>5889.4038978359658</v>
      </c>
      <c r="AT7" s="100">
        <v>6</v>
      </c>
      <c r="AU7" s="100">
        <v>4730.3999999999996</v>
      </c>
      <c r="AV7" s="100">
        <v>8</v>
      </c>
      <c r="AW7" s="100">
        <v>6307.2</v>
      </c>
      <c r="AX7" s="100">
        <v>6.5995754480932458</v>
      </c>
      <c r="AY7" s="100">
        <v>5203.1052832767145</v>
      </c>
      <c r="AZ7" s="100">
        <v>5.7518805610078827</v>
      </c>
      <c r="BA7" s="100">
        <v>4534.7826342986145</v>
      </c>
      <c r="BB7" s="100">
        <v>9.453493062766599</v>
      </c>
      <c r="BC7" s="100">
        <v>7453.133930685186</v>
      </c>
      <c r="BD7" s="100">
        <v>4.0161171427590059</v>
      </c>
      <c r="BE7" s="100">
        <v>3166.3067553512001</v>
      </c>
      <c r="BF7" s="100">
        <v>6</v>
      </c>
      <c r="BG7" s="100">
        <v>4730.3999999999996</v>
      </c>
      <c r="BH7" s="100">
        <v>4.9020563339292247</v>
      </c>
      <c r="BI7" s="100">
        <v>3864.7812136698008</v>
      </c>
      <c r="BJ7" s="100">
        <v>1.697320961763251</v>
      </c>
      <c r="BK7" s="100">
        <v>1338.167846254147</v>
      </c>
      <c r="BL7" s="100">
        <v>9</v>
      </c>
      <c r="BM7" s="100">
        <v>7095.5999999999995</v>
      </c>
      <c r="BN7" s="100">
        <v>7</v>
      </c>
      <c r="BO7" s="100">
        <v>5518.8</v>
      </c>
      <c r="BP7" s="100">
        <v>9</v>
      </c>
      <c r="BQ7" s="100">
        <v>7095.5999999999995</v>
      </c>
      <c r="BR7" s="100">
        <v>7</v>
      </c>
      <c r="BS7" s="100">
        <v>5518.8</v>
      </c>
      <c r="BT7" s="100">
        <v>7</v>
      </c>
      <c r="BU7" s="100">
        <v>5518.8</v>
      </c>
      <c r="BV7" s="100">
        <v>10.345789067120743</v>
      </c>
      <c r="BW7" s="100">
        <v>8156.6201005179937</v>
      </c>
      <c r="BX7" s="100">
        <v>7.807271627880926</v>
      </c>
      <c r="BY7" s="100">
        <v>6155.252951421322</v>
      </c>
      <c r="BZ7" s="100">
        <v>7</v>
      </c>
      <c r="CA7" s="100">
        <v>5518.8</v>
      </c>
      <c r="CB7" s="100">
        <v>11</v>
      </c>
      <c r="CC7" s="100">
        <v>8672.4</v>
      </c>
      <c r="CD7" s="100">
        <v>4.0850029751644561</v>
      </c>
      <c r="CE7" s="100">
        <v>3220.6163456196573</v>
      </c>
      <c r="CF7" s="100">
        <v>4.1843623103443139</v>
      </c>
      <c r="CG7" s="100">
        <v>3298.9512454754572</v>
      </c>
      <c r="CH7" s="100">
        <v>6.5210196524743846</v>
      </c>
      <c r="CI7" s="100">
        <v>5141.1718940108049</v>
      </c>
      <c r="CJ7" s="100">
        <v>9</v>
      </c>
      <c r="CK7" s="100">
        <v>7095.5999999999995</v>
      </c>
      <c r="CL7" s="100">
        <v>8</v>
      </c>
      <c r="CM7" s="100">
        <v>6307.2</v>
      </c>
      <c r="CN7" s="100">
        <v>8.2896733563638172</v>
      </c>
      <c r="CO7" s="100">
        <v>6535.5784741572334</v>
      </c>
      <c r="CP7" s="100">
        <v>4.0010838199590983</v>
      </c>
      <c r="CQ7" s="100">
        <v>3154.4544836557529</v>
      </c>
      <c r="CR7" s="100">
        <v>7.4160613543001084</v>
      </c>
      <c r="CS7" s="100">
        <v>5846.8227717302052</v>
      </c>
      <c r="CT7" s="100">
        <v>5.26553661842516</v>
      </c>
      <c r="CU7" s="100">
        <v>4151.3490699663962</v>
      </c>
    </row>
    <row r="8" spans="1:99">
      <c r="C8" s="99" t="s">
        <v>174</v>
      </c>
      <c r="D8" s="100">
        <v>8</v>
      </c>
      <c r="E8" s="100">
        <v>2476.7999999999997</v>
      </c>
      <c r="F8" s="100">
        <v>6</v>
      </c>
      <c r="G8" s="100">
        <v>1857.6</v>
      </c>
      <c r="H8" s="100">
        <v>6</v>
      </c>
      <c r="I8" s="100">
        <v>1857.6</v>
      </c>
      <c r="J8" s="100">
        <v>9</v>
      </c>
      <c r="K8" s="100">
        <v>2786.3999999999996</v>
      </c>
      <c r="L8" s="100">
        <v>7</v>
      </c>
      <c r="M8" s="100">
        <v>2167.1999999999998</v>
      </c>
      <c r="N8" s="100">
        <v>6</v>
      </c>
      <c r="O8" s="100">
        <v>1857.6</v>
      </c>
      <c r="P8" s="100">
        <v>5</v>
      </c>
      <c r="Q8" s="100">
        <v>1547.9999999999998</v>
      </c>
      <c r="R8" s="100">
        <v>6</v>
      </c>
      <c r="S8" s="100">
        <v>1857.6</v>
      </c>
      <c r="T8" s="100">
        <v>6</v>
      </c>
      <c r="U8" s="100">
        <v>1857.6</v>
      </c>
      <c r="V8" s="100">
        <v>6</v>
      </c>
      <c r="W8" s="100">
        <v>1857.6</v>
      </c>
      <c r="X8" s="100">
        <v>6</v>
      </c>
      <c r="Y8" s="100">
        <v>1857.6</v>
      </c>
      <c r="Z8" s="100">
        <v>6</v>
      </c>
      <c r="AA8" s="100">
        <v>1857.6</v>
      </c>
      <c r="AB8" s="100">
        <v>9</v>
      </c>
      <c r="AC8" s="100">
        <v>2786.3999999999996</v>
      </c>
      <c r="AD8" s="100">
        <v>9</v>
      </c>
      <c r="AE8" s="100">
        <v>2786.3999999999996</v>
      </c>
      <c r="AF8" s="100">
        <v>9</v>
      </c>
      <c r="AG8" s="100">
        <v>2786.3999999999996</v>
      </c>
      <c r="AH8" s="100">
        <v>5.5206247810037929</v>
      </c>
      <c r="AI8" s="100">
        <v>1709.1854321987742</v>
      </c>
      <c r="AJ8" s="100">
        <v>7</v>
      </c>
      <c r="AK8" s="100">
        <v>2167.1999999999998</v>
      </c>
      <c r="AL8" s="100">
        <v>5</v>
      </c>
      <c r="AM8" s="100">
        <v>1547.9999999999998</v>
      </c>
      <c r="AN8" s="100">
        <v>6.1120182698963195</v>
      </c>
      <c r="AO8" s="100">
        <v>1892.2808563599003</v>
      </c>
      <c r="AP8" s="100">
        <v>8.2588375062615818</v>
      </c>
      <c r="AQ8" s="100">
        <v>2556.9360919385854</v>
      </c>
      <c r="AR8" s="100">
        <v>6.4273371821363936</v>
      </c>
      <c r="AS8" s="100">
        <v>1989.9035915894272</v>
      </c>
      <c r="AT8" s="100">
        <v>5</v>
      </c>
      <c r="AU8" s="100">
        <v>1547.9999999999998</v>
      </c>
      <c r="AV8" s="100">
        <v>8</v>
      </c>
      <c r="AW8" s="100">
        <v>2476.7999999999997</v>
      </c>
      <c r="AX8" s="100">
        <v>8.5496108274188085</v>
      </c>
      <c r="AY8" s="100">
        <v>2646.9595121688626</v>
      </c>
      <c r="AZ8" s="100">
        <v>5.7518805610078827</v>
      </c>
      <c r="BA8" s="100">
        <v>1780.7822216880402</v>
      </c>
      <c r="BB8" s="100">
        <v>10.494719704836289</v>
      </c>
      <c r="BC8" s="100">
        <v>3249.1652206173148</v>
      </c>
      <c r="BD8" s="100">
        <v>4.6854699998855063</v>
      </c>
      <c r="BE8" s="100">
        <v>1450.6215119645526</v>
      </c>
      <c r="BF8" s="100">
        <v>6</v>
      </c>
      <c r="BG8" s="100">
        <v>1857.6</v>
      </c>
      <c r="BH8" s="100">
        <v>4.8721995777596101</v>
      </c>
      <c r="BI8" s="100">
        <v>1508.4329892743751</v>
      </c>
      <c r="BJ8" s="100">
        <v>1.9397953848722871</v>
      </c>
      <c r="BK8" s="100">
        <v>600.56065115646004</v>
      </c>
      <c r="BL8" s="100">
        <v>9</v>
      </c>
      <c r="BM8" s="100">
        <v>2786.3999999999996</v>
      </c>
      <c r="BN8" s="100">
        <v>7</v>
      </c>
      <c r="BO8" s="100">
        <v>2167.1999999999998</v>
      </c>
      <c r="BP8" s="100">
        <v>10</v>
      </c>
      <c r="BQ8" s="100">
        <v>3095.9999999999995</v>
      </c>
      <c r="BR8" s="100">
        <v>7</v>
      </c>
      <c r="BS8" s="100">
        <v>2167.1999999999998</v>
      </c>
      <c r="BT8" s="100">
        <v>7</v>
      </c>
      <c r="BU8" s="100">
        <v>2167.1999999999998</v>
      </c>
      <c r="BV8" s="100">
        <v>10.345789067120743</v>
      </c>
      <c r="BW8" s="100">
        <v>3203.0562951805814</v>
      </c>
      <c r="BX8" s="100">
        <v>7.0265444650928339</v>
      </c>
      <c r="BY8" s="100">
        <v>2175.4181663927411</v>
      </c>
      <c r="BZ8" s="100">
        <v>7</v>
      </c>
      <c r="CA8" s="100">
        <v>2167.1999999999998</v>
      </c>
      <c r="CB8" s="100">
        <v>12</v>
      </c>
      <c r="CC8" s="100">
        <v>3715.2</v>
      </c>
      <c r="CD8" s="100">
        <v>4.0443225068309454</v>
      </c>
      <c r="CE8" s="100">
        <v>1252.1222481148607</v>
      </c>
      <c r="CF8" s="100">
        <v>3.5865962660094119</v>
      </c>
      <c r="CG8" s="100">
        <v>1110.4102039565139</v>
      </c>
      <c r="CH8" s="100">
        <v>6.5210196524743846</v>
      </c>
      <c r="CI8" s="100">
        <v>2018.9076844060692</v>
      </c>
      <c r="CJ8" s="100">
        <v>11</v>
      </c>
      <c r="CK8" s="100">
        <v>3405.5999999999995</v>
      </c>
      <c r="CL8" s="100">
        <v>8</v>
      </c>
      <c r="CM8" s="100">
        <v>2476.7999999999997</v>
      </c>
      <c r="CN8" s="100">
        <v>9.3310552644157898</v>
      </c>
      <c r="CO8" s="100">
        <v>2888.8947098631284</v>
      </c>
      <c r="CP8" s="100">
        <v>4.0010838199590983</v>
      </c>
      <c r="CQ8" s="100">
        <v>1238.7355506593367</v>
      </c>
      <c r="CR8" s="100">
        <v>7.4160613543001084</v>
      </c>
      <c r="CS8" s="100">
        <v>2296.0125952913131</v>
      </c>
      <c r="CT8" s="100">
        <v>4.7039730951379255</v>
      </c>
      <c r="CU8" s="100">
        <v>1456.3500702547017</v>
      </c>
    </row>
    <row r="9" spans="1:99">
      <c r="C9" s="99" t="s">
        <v>175</v>
      </c>
      <c r="D9" s="100">
        <v>8</v>
      </c>
      <c r="E9" s="100">
        <v>5616</v>
      </c>
      <c r="F9" s="100">
        <v>5</v>
      </c>
      <c r="G9" s="100">
        <v>3510</v>
      </c>
      <c r="H9" s="100">
        <v>7</v>
      </c>
      <c r="I9" s="100">
        <v>4914</v>
      </c>
      <c r="J9" s="100">
        <v>8</v>
      </c>
      <c r="K9" s="100">
        <v>5616</v>
      </c>
      <c r="L9" s="100">
        <v>6</v>
      </c>
      <c r="M9" s="100">
        <v>4212</v>
      </c>
      <c r="N9" s="100">
        <v>6</v>
      </c>
      <c r="O9" s="100">
        <v>4212</v>
      </c>
      <c r="P9" s="100">
        <v>5</v>
      </c>
      <c r="Q9" s="100">
        <v>3510</v>
      </c>
      <c r="R9" s="100">
        <v>6</v>
      </c>
      <c r="S9" s="100">
        <v>4212</v>
      </c>
      <c r="T9" s="100">
        <v>6</v>
      </c>
      <c r="U9" s="100">
        <v>4212</v>
      </c>
      <c r="V9" s="100">
        <v>6</v>
      </c>
      <c r="W9" s="100">
        <v>4212</v>
      </c>
      <c r="X9" s="100">
        <v>5</v>
      </c>
      <c r="Y9" s="100">
        <v>3510</v>
      </c>
      <c r="Z9" s="100">
        <v>6</v>
      </c>
      <c r="AA9" s="100">
        <v>4212</v>
      </c>
      <c r="AB9" s="100">
        <v>8</v>
      </c>
      <c r="AC9" s="100">
        <v>5616</v>
      </c>
      <c r="AD9" s="100">
        <v>9</v>
      </c>
      <c r="AE9" s="100">
        <v>6318</v>
      </c>
      <c r="AF9" s="100">
        <v>9</v>
      </c>
      <c r="AG9" s="100">
        <v>6318</v>
      </c>
      <c r="AH9" s="100">
        <v>6.5206247810037929</v>
      </c>
      <c r="AI9" s="100">
        <v>4577.4785962646629</v>
      </c>
      <c r="AJ9" s="100">
        <v>7</v>
      </c>
      <c r="AK9" s="100">
        <v>4914</v>
      </c>
      <c r="AL9" s="100">
        <v>5</v>
      </c>
      <c r="AM9" s="100">
        <v>3510</v>
      </c>
      <c r="AN9" s="100">
        <v>5.1120182698963195</v>
      </c>
      <c r="AO9" s="100">
        <v>3588.6368254672161</v>
      </c>
      <c r="AP9" s="100">
        <v>8.2911921945442781</v>
      </c>
      <c r="AQ9" s="100">
        <v>5820.4169205700837</v>
      </c>
      <c r="AR9" s="100">
        <v>7.4700709003500334</v>
      </c>
      <c r="AS9" s="100">
        <v>5243.9897720457238</v>
      </c>
      <c r="AT9" s="100">
        <v>5</v>
      </c>
      <c r="AU9" s="100">
        <v>3510</v>
      </c>
      <c r="AV9" s="100">
        <v>9</v>
      </c>
      <c r="AW9" s="100">
        <v>6318</v>
      </c>
      <c r="AX9" s="100">
        <v>7.5496108274188085</v>
      </c>
      <c r="AY9" s="100">
        <v>5299.8268008480036</v>
      </c>
      <c r="AZ9" s="100">
        <v>5.7518805610078827</v>
      </c>
      <c r="BA9" s="100">
        <v>4037.8201538275334</v>
      </c>
      <c r="BB9" s="100">
        <v>9.453493062766599</v>
      </c>
      <c r="BC9" s="100">
        <v>6636.3521300621524</v>
      </c>
      <c r="BD9" s="100">
        <v>4.0161171427590059</v>
      </c>
      <c r="BE9" s="100">
        <v>2819.3142342168221</v>
      </c>
      <c r="BF9" s="100">
        <v>7</v>
      </c>
      <c r="BG9" s="100">
        <v>4914</v>
      </c>
      <c r="BH9" s="100">
        <v>4.8721995777596101</v>
      </c>
      <c r="BI9" s="100">
        <v>3420.2841035872461</v>
      </c>
      <c r="BJ9" s="100">
        <v>1.697320961763251</v>
      </c>
      <c r="BK9" s="100">
        <v>1191.5193151578021</v>
      </c>
      <c r="BL9" s="100">
        <v>10</v>
      </c>
      <c r="BM9" s="100">
        <v>7020</v>
      </c>
      <c r="BN9" s="100">
        <v>7</v>
      </c>
      <c r="BO9" s="100">
        <v>4914</v>
      </c>
      <c r="BP9" s="100">
        <v>8</v>
      </c>
      <c r="BQ9" s="100">
        <v>5616</v>
      </c>
      <c r="BR9" s="100">
        <v>6</v>
      </c>
      <c r="BS9" s="100">
        <v>4212</v>
      </c>
      <c r="BT9" s="100">
        <v>7</v>
      </c>
      <c r="BU9" s="100">
        <v>4914</v>
      </c>
      <c r="BV9" s="100">
        <v>10.314353697382494</v>
      </c>
      <c r="BW9" s="100">
        <v>7240.6762955625109</v>
      </c>
      <c r="BX9" s="100">
        <v>6.245817302304741</v>
      </c>
      <c r="BY9" s="100">
        <v>4384.5637462179284</v>
      </c>
      <c r="BZ9" s="100">
        <v>6</v>
      </c>
      <c r="CA9" s="100">
        <v>4212</v>
      </c>
      <c r="CB9" s="100">
        <v>10</v>
      </c>
      <c r="CC9" s="100">
        <v>7020</v>
      </c>
      <c r="CD9" s="100">
        <v>3.6582340679240799</v>
      </c>
      <c r="CE9" s="100">
        <v>2568.0803156827042</v>
      </c>
      <c r="CF9" s="100">
        <v>4.1843623103443139</v>
      </c>
      <c r="CG9" s="100">
        <v>2937.4223418617084</v>
      </c>
      <c r="CH9" s="100">
        <v>6.5210196524743846</v>
      </c>
      <c r="CI9" s="100">
        <v>4577.7557960370177</v>
      </c>
      <c r="CJ9" s="100">
        <v>10</v>
      </c>
      <c r="CK9" s="100">
        <v>7020</v>
      </c>
      <c r="CL9" s="100">
        <v>7</v>
      </c>
      <c r="CM9" s="100">
        <v>4914</v>
      </c>
      <c r="CN9" s="100">
        <v>9.3310552644157898</v>
      </c>
      <c r="CO9" s="100">
        <v>6550.4007956198848</v>
      </c>
      <c r="CP9" s="100">
        <v>4.0010838199590983</v>
      </c>
      <c r="CQ9" s="100">
        <v>2808.7608416112871</v>
      </c>
      <c r="CR9" s="100">
        <v>8.4160613543001084</v>
      </c>
      <c r="CS9" s="100">
        <v>5908.0750707186762</v>
      </c>
      <c r="CT9" s="100">
        <v>5.2866831093091644</v>
      </c>
      <c r="CU9" s="100">
        <v>3711.2515427350336</v>
      </c>
    </row>
    <row r="10" spans="1:99">
      <c r="C10" s="99" t="s">
        <v>176</v>
      </c>
      <c r="D10" s="100">
        <v>7</v>
      </c>
      <c r="E10" s="100">
        <v>3813.5999999999995</v>
      </c>
      <c r="F10" s="100">
        <v>5</v>
      </c>
      <c r="G10" s="100">
        <v>2724</v>
      </c>
      <c r="H10" s="100">
        <v>6</v>
      </c>
      <c r="I10" s="100">
        <v>3268.7999999999997</v>
      </c>
      <c r="J10" s="100">
        <v>9</v>
      </c>
      <c r="K10" s="100">
        <v>4903.2</v>
      </c>
      <c r="L10" s="100">
        <v>6</v>
      </c>
      <c r="M10" s="100">
        <v>3268.7999999999997</v>
      </c>
      <c r="N10" s="100">
        <v>5</v>
      </c>
      <c r="O10" s="100">
        <v>2724</v>
      </c>
      <c r="P10" s="100">
        <v>4</v>
      </c>
      <c r="Q10" s="100">
        <v>2179.1999999999998</v>
      </c>
      <c r="R10" s="100">
        <v>6</v>
      </c>
      <c r="S10" s="100">
        <v>3268.7999999999997</v>
      </c>
      <c r="T10" s="100">
        <v>6</v>
      </c>
      <c r="U10" s="100">
        <v>3268.7999999999997</v>
      </c>
      <c r="V10" s="100">
        <v>5</v>
      </c>
      <c r="W10" s="100">
        <v>2724</v>
      </c>
      <c r="X10" s="100">
        <v>5</v>
      </c>
      <c r="Y10" s="100">
        <v>2724</v>
      </c>
      <c r="Z10" s="100">
        <v>6</v>
      </c>
      <c r="AA10" s="100">
        <v>3268.7999999999997</v>
      </c>
      <c r="AB10" s="100">
        <v>9</v>
      </c>
      <c r="AC10" s="100">
        <v>4903.2</v>
      </c>
      <c r="AD10" s="100">
        <v>9</v>
      </c>
      <c r="AE10" s="100">
        <v>4903.2</v>
      </c>
      <c r="AF10" s="100">
        <v>9</v>
      </c>
      <c r="AG10" s="100">
        <v>4903.2</v>
      </c>
      <c r="AH10" s="100">
        <v>5.4338539841698275</v>
      </c>
      <c r="AI10" s="100">
        <v>2960.3636505757217</v>
      </c>
      <c r="AJ10" s="100">
        <v>7</v>
      </c>
      <c r="AK10" s="100">
        <v>3813.5999999999995</v>
      </c>
      <c r="AL10" s="100">
        <v>5</v>
      </c>
      <c r="AM10" s="100">
        <v>2724</v>
      </c>
      <c r="AN10" s="100">
        <v>5.0995717954633957</v>
      </c>
      <c r="AO10" s="100">
        <v>2778.2467141684579</v>
      </c>
      <c r="AP10" s="100">
        <v>8.2911921945442781</v>
      </c>
      <c r="AQ10" s="100">
        <v>4517.0415075877227</v>
      </c>
      <c r="AR10" s="100">
        <v>6.3846034639227547</v>
      </c>
      <c r="AS10" s="100">
        <v>3478.3319671451163</v>
      </c>
      <c r="AT10" s="100">
        <v>6</v>
      </c>
      <c r="AU10" s="100">
        <v>3268.7999999999997</v>
      </c>
      <c r="AV10" s="100">
        <v>9</v>
      </c>
      <c r="AW10" s="100">
        <v>4903.2</v>
      </c>
      <c r="AX10" s="100">
        <v>7.5995754480932458</v>
      </c>
      <c r="AY10" s="100">
        <v>4140.2487041211998</v>
      </c>
      <c r="AZ10" s="100">
        <v>5.7518805610078827</v>
      </c>
      <c r="BA10" s="100">
        <v>3133.6245296370944</v>
      </c>
      <c r="BB10" s="100">
        <v>11.453493062766599</v>
      </c>
      <c r="BC10" s="100">
        <v>6239.8630205952422</v>
      </c>
      <c r="BD10" s="100">
        <v>4.0161171427590059</v>
      </c>
      <c r="BE10" s="100">
        <v>2187.980619375106</v>
      </c>
      <c r="BF10" s="100">
        <v>6</v>
      </c>
      <c r="BG10" s="100">
        <v>3268.7999999999997</v>
      </c>
      <c r="BH10" s="100">
        <v>4.2444150807530701</v>
      </c>
      <c r="BI10" s="100">
        <v>2312.3573359942725</v>
      </c>
      <c r="BJ10" s="100">
        <v>1.697320961763251</v>
      </c>
      <c r="BK10" s="100">
        <v>924.70045996861904</v>
      </c>
      <c r="BL10" s="100">
        <v>9</v>
      </c>
      <c r="BM10" s="100">
        <v>4903.2</v>
      </c>
      <c r="BN10" s="100">
        <v>7</v>
      </c>
      <c r="BO10" s="100">
        <v>3813.5999999999995</v>
      </c>
      <c r="BP10" s="100">
        <v>9</v>
      </c>
      <c r="BQ10" s="100">
        <v>4903.2</v>
      </c>
      <c r="BR10" s="100">
        <v>7</v>
      </c>
      <c r="BS10" s="100">
        <v>3813.5999999999995</v>
      </c>
      <c r="BT10" s="100">
        <v>7</v>
      </c>
      <c r="BU10" s="100">
        <v>3813.5999999999995</v>
      </c>
      <c r="BV10" s="100">
        <v>11.345789067120743</v>
      </c>
      <c r="BW10" s="100">
        <v>6181.1858837673799</v>
      </c>
      <c r="BX10" s="100">
        <v>7.807271627880926</v>
      </c>
      <c r="BY10" s="100">
        <v>4253.4015828695283</v>
      </c>
      <c r="BZ10" s="100">
        <v>6</v>
      </c>
      <c r="CA10" s="100">
        <v>3268.7999999999997</v>
      </c>
      <c r="CB10" s="100">
        <v>11</v>
      </c>
      <c r="CC10" s="100">
        <v>5992.7999999999993</v>
      </c>
      <c r="CD10" s="100">
        <v>4.0443225068309454</v>
      </c>
      <c r="CE10" s="100">
        <v>2203.3469017214989</v>
      </c>
      <c r="CF10" s="100">
        <v>3.5865962660094119</v>
      </c>
      <c r="CG10" s="100">
        <v>1953.9776457219275</v>
      </c>
      <c r="CH10" s="100">
        <v>6.5210196524743846</v>
      </c>
      <c r="CI10" s="100">
        <v>3552.6515066680445</v>
      </c>
      <c r="CJ10" s="100">
        <v>11</v>
      </c>
      <c r="CK10" s="100">
        <v>5992.7999999999993</v>
      </c>
      <c r="CL10" s="100">
        <v>7</v>
      </c>
      <c r="CM10" s="100">
        <v>3813.5999999999995</v>
      </c>
      <c r="CN10" s="100">
        <v>9.3310552644157898</v>
      </c>
      <c r="CO10" s="100">
        <v>5083.558908053722</v>
      </c>
      <c r="CP10" s="100">
        <v>4.0010838199590983</v>
      </c>
      <c r="CQ10" s="100">
        <v>2179.7904651137164</v>
      </c>
      <c r="CR10" s="100">
        <v>8.4622903936667875</v>
      </c>
      <c r="CS10" s="100">
        <v>4610.255806469665</v>
      </c>
      <c r="CT10" s="100">
        <v>5.8271001417123935</v>
      </c>
      <c r="CU10" s="100">
        <v>3174.6041572049116</v>
      </c>
    </row>
    <row r="11" spans="1:99">
      <c r="C11" s="99" t="s">
        <v>177</v>
      </c>
      <c r="D11" s="100">
        <v>8</v>
      </c>
      <c r="E11" s="100">
        <v>4262.3999999999996</v>
      </c>
      <c r="F11" s="100">
        <v>6</v>
      </c>
      <c r="G11" s="100">
        <v>3196.7999999999997</v>
      </c>
      <c r="H11" s="100">
        <v>6</v>
      </c>
      <c r="I11" s="100">
        <v>3196.7999999999997</v>
      </c>
      <c r="J11" s="100">
        <v>8</v>
      </c>
      <c r="K11" s="100">
        <v>4262.3999999999996</v>
      </c>
      <c r="L11" s="100">
        <v>6</v>
      </c>
      <c r="M11" s="100">
        <v>3196.7999999999997</v>
      </c>
      <c r="N11" s="100">
        <v>6</v>
      </c>
      <c r="O11" s="100">
        <v>3196.7999999999997</v>
      </c>
      <c r="P11" s="100">
        <v>5</v>
      </c>
      <c r="Q11" s="100">
        <v>2664</v>
      </c>
      <c r="R11" s="100">
        <v>7</v>
      </c>
      <c r="S11" s="100">
        <v>3729.5999999999995</v>
      </c>
      <c r="T11" s="100">
        <v>6</v>
      </c>
      <c r="U11" s="100">
        <v>3196.7999999999997</v>
      </c>
      <c r="V11" s="100">
        <v>6</v>
      </c>
      <c r="W11" s="100">
        <v>3196.7999999999997</v>
      </c>
      <c r="X11" s="100">
        <v>5</v>
      </c>
      <c r="Y11" s="100">
        <v>2664</v>
      </c>
      <c r="Z11" s="100">
        <v>5</v>
      </c>
      <c r="AA11" s="100">
        <v>2664</v>
      </c>
      <c r="AB11" s="100">
        <v>9</v>
      </c>
      <c r="AC11" s="100">
        <v>4795.2</v>
      </c>
      <c r="AD11" s="100">
        <v>8</v>
      </c>
      <c r="AE11" s="100">
        <v>4262.3999999999996</v>
      </c>
      <c r="AF11" s="100">
        <v>8</v>
      </c>
      <c r="AG11" s="100">
        <v>4262.3999999999996</v>
      </c>
      <c r="AH11" s="100">
        <v>5.4772393825868102</v>
      </c>
      <c r="AI11" s="100">
        <v>2918.2731430422523</v>
      </c>
      <c r="AJ11" s="100">
        <v>7</v>
      </c>
      <c r="AK11" s="100">
        <v>3729.5999999999995</v>
      </c>
      <c r="AL11" s="100">
        <v>5</v>
      </c>
      <c r="AM11" s="100">
        <v>2664</v>
      </c>
      <c r="AN11" s="100">
        <v>5.0995717954633957</v>
      </c>
      <c r="AO11" s="100">
        <v>2717.0518526228971</v>
      </c>
      <c r="AP11" s="100">
        <v>8.2911921945442781</v>
      </c>
      <c r="AQ11" s="100">
        <v>4417.5472012531909</v>
      </c>
      <c r="AR11" s="100">
        <v>6.3846034639227547</v>
      </c>
      <c r="AS11" s="100">
        <v>3401.7167255780432</v>
      </c>
      <c r="AT11" s="100">
        <v>5</v>
      </c>
      <c r="AU11" s="100">
        <v>2664</v>
      </c>
      <c r="AV11" s="100">
        <v>9</v>
      </c>
      <c r="AW11" s="100">
        <v>4795.2</v>
      </c>
      <c r="AX11" s="100">
        <v>7.5496108274188085</v>
      </c>
      <c r="AY11" s="100">
        <v>4022.4326488487409</v>
      </c>
      <c r="AZ11" s="100">
        <v>5.7518805610078827</v>
      </c>
      <c r="BA11" s="100">
        <v>3064.6019629049997</v>
      </c>
      <c r="BB11" s="100">
        <v>10.412266420696907</v>
      </c>
      <c r="BC11" s="100">
        <v>5547.6555489473121</v>
      </c>
      <c r="BD11" s="100">
        <v>4.0161171427590059</v>
      </c>
      <c r="BE11" s="100">
        <v>2139.7872136619981</v>
      </c>
      <c r="BF11" s="100">
        <v>6</v>
      </c>
      <c r="BG11" s="100">
        <v>3196.7999999999997</v>
      </c>
      <c r="BH11" s="100">
        <v>4.2145583245834555</v>
      </c>
      <c r="BI11" s="100">
        <v>2245.5166753380649</v>
      </c>
      <c r="BJ11" s="100">
        <v>1.9397953848722871</v>
      </c>
      <c r="BK11" s="100">
        <v>1033.5229810599544</v>
      </c>
      <c r="BL11" s="100">
        <v>10</v>
      </c>
      <c r="BM11" s="100">
        <v>5328</v>
      </c>
      <c r="BN11" s="100">
        <v>8</v>
      </c>
      <c r="BO11" s="100">
        <v>4262.3999999999996</v>
      </c>
      <c r="BP11" s="100">
        <v>10</v>
      </c>
      <c r="BQ11" s="100">
        <v>5328</v>
      </c>
      <c r="BR11" s="100">
        <v>7</v>
      </c>
      <c r="BS11" s="100">
        <v>3729.5999999999995</v>
      </c>
      <c r="BT11" s="100">
        <v>7</v>
      </c>
      <c r="BU11" s="100">
        <v>3729.5999999999995</v>
      </c>
      <c r="BV11" s="100">
        <v>11.345789067120743</v>
      </c>
      <c r="BW11" s="100">
        <v>6045.0364149619309</v>
      </c>
      <c r="BX11" s="100">
        <v>7.0265444650928339</v>
      </c>
      <c r="BY11" s="100">
        <v>3743.7428910014614</v>
      </c>
      <c r="BZ11" s="100">
        <v>7</v>
      </c>
      <c r="CA11" s="100">
        <v>3729.5999999999995</v>
      </c>
      <c r="CB11" s="100">
        <v>10</v>
      </c>
      <c r="CC11" s="100">
        <v>5328</v>
      </c>
      <c r="CD11" s="100">
        <v>4.0443225068309454</v>
      </c>
      <c r="CE11" s="100">
        <v>2154.8150316395277</v>
      </c>
      <c r="CF11" s="100">
        <v>3.5865962660094119</v>
      </c>
      <c r="CG11" s="100">
        <v>1910.9384905298145</v>
      </c>
      <c r="CH11" s="100">
        <v>6.5210196524743846</v>
      </c>
      <c r="CI11" s="100">
        <v>3474.3992708383516</v>
      </c>
      <c r="CJ11" s="100">
        <v>11</v>
      </c>
      <c r="CK11" s="100">
        <v>5860.7999999999993</v>
      </c>
      <c r="CL11" s="100">
        <v>7</v>
      </c>
      <c r="CM11" s="100">
        <v>3729.5999999999995</v>
      </c>
      <c r="CN11" s="100">
        <v>9.2896733563638172</v>
      </c>
      <c r="CO11" s="100">
        <v>4949.5379642706412</v>
      </c>
      <c r="CP11" s="100">
        <v>4.0010838199590983</v>
      </c>
      <c r="CQ11" s="100">
        <v>2131.7774592742076</v>
      </c>
      <c r="CR11" s="100">
        <v>7.4160613543001084</v>
      </c>
      <c r="CS11" s="100">
        <v>3951.2774895710972</v>
      </c>
      <c r="CT11" s="100">
        <v>5.26553661842516</v>
      </c>
      <c r="CU11" s="100">
        <v>2805.4779102969251</v>
      </c>
    </row>
    <row r="12" spans="1:99">
      <c r="C12" s="99" t="s">
        <v>178</v>
      </c>
      <c r="D12" s="100">
        <v>8</v>
      </c>
      <c r="E12" s="100">
        <v>4502.3999999999996</v>
      </c>
      <c r="F12" s="100">
        <v>5</v>
      </c>
      <c r="G12" s="100">
        <v>2814</v>
      </c>
      <c r="H12" s="100">
        <v>7</v>
      </c>
      <c r="I12" s="100">
        <v>3939.5999999999995</v>
      </c>
      <c r="J12" s="100">
        <v>8</v>
      </c>
      <c r="K12" s="100">
        <v>4502.3999999999996</v>
      </c>
      <c r="L12" s="100">
        <v>6</v>
      </c>
      <c r="M12" s="100">
        <v>3376.7999999999997</v>
      </c>
      <c r="N12" s="100">
        <v>5</v>
      </c>
      <c r="O12" s="100">
        <v>2814</v>
      </c>
      <c r="P12" s="100">
        <v>5</v>
      </c>
      <c r="Q12" s="100">
        <v>2814</v>
      </c>
      <c r="R12" s="100">
        <v>6</v>
      </c>
      <c r="S12" s="100">
        <v>3376.7999999999997</v>
      </c>
      <c r="T12" s="100">
        <v>7</v>
      </c>
      <c r="U12" s="100">
        <v>3939.5999999999995</v>
      </c>
      <c r="V12" s="100">
        <v>6</v>
      </c>
      <c r="W12" s="100">
        <v>3376.7999999999997</v>
      </c>
      <c r="X12" s="100">
        <v>5</v>
      </c>
      <c r="Y12" s="100">
        <v>2814</v>
      </c>
      <c r="Z12" s="100">
        <v>6</v>
      </c>
      <c r="AA12" s="100">
        <v>3376.7999999999997</v>
      </c>
      <c r="AB12" s="100">
        <v>8</v>
      </c>
      <c r="AC12" s="100">
        <v>4502.3999999999996</v>
      </c>
      <c r="AD12" s="100">
        <v>9</v>
      </c>
      <c r="AE12" s="100">
        <v>5065.2</v>
      </c>
      <c r="AF12" s="100">
        <v>9</v>
      </c>
      <c r="AG12" s="100">
        <v>5065.2</v>
      </c>
      <c r="AH12" s="100">
        <v>5.4772393825868102</v>
      </c>
      <c r="AI12" s="100">
        <v>3082.5903245198565</v>
      </c>
      <c r="AJ12" s="100">
        <v>7</v>
      </c>
      <c r="AK12" s="100">
        <v>3939.5999999999995</v>
      </c>
      <c r="AL12" s="100">
        <v>5</v>
      </c>
      <c r="AM12" s="100">
        <v>2814</v>
      </c>
      <c r="AN12" s="100">
        <v>5.1120182698963195</v>
      </c>
      <c r="AO12" s="100">
        <v>2877.0438822976485</v>
      </c>
      <c r="AP12" s="100">
        <v>7.3235468828269763</v>
      </c>
      <c r="AQ12" s="100">
        <v>4121.6921856550216</v>
      </c>
      <c r="AR12" s="100">
        <v>6.3846034639227547</v>
      </c>
      <c r="AS12" s="100">
        <v>3593.254829495726</v>
      </c>
      <c r="AT12" s="100">
        <v>5</v>
      </c>
      <c r="AU12" s="100">
        <v>2814</v>
      </c>
      <c r="AV12" s="100">
        <v>9</v>
      </c>
      <c r="AW12" s="100">
        <v>5065.2</v>
      </c>
      <c r="AX12" s="100">
        <v>7.5496108274188085</v>
      </c>
      <c r="AY12" s="100">
        <v>4248.9209736713046</v>
      </c>
      <c r="AZ12" s="100">
        <v>5.7518805610078827</v>
      </c>
      <c r="BA12" s="100">
        <v>3237.1583797352359</v>
      </c>
      <c r="BB12" s="100">
        <v>10.453493062766599</v>
      </c>
      <c r="BC12" s="100">
        <v>5883.2258957250415</v>
      </c>
      <c r="BD12" s="100">
        <v>4.0161171427590059</v>
      </c>
      <c r="BE12" s="100">
        <v>2260.2707279447682</v>
      </c>
      <c r="BF12" s="100">
        <v>6</v>
      </c>
      <c r="BG12" s="100">
        <v>3376.7999999999997</v>
      </c>
      <c r="BH12" s="100">
        <v>4.2145583245834555</v>
      </c>
      <c r="BI12" s="100">
        <v>2371.9534250755687</v>
      </c>
      <c r="BJ12" s="100">
        <v>1.697320961763251</v>
      </c>
      <c r="BK12" s="100">
        <v>955.25223728035758</v>
      </c>
      <c r="BL12" s="100">
        <v>9</v>
      </c>
      <c r="BM12" s="100">
        <v>5065.2</v>
      </c>
      <c r="BN12" s="100">
        <v>7</v>
      </c>
      <c r="BO12" s="100">
        <v>3939.5999999999995</v>
      </c>
      <c r="BP12" s="100">
        <v>8</v>
      </c>
      <c r="BQ12" s="100">
        <v>4502.3999999999996</v>
      </c>
      <c r="BR12" s="100">
        <v>7</v>
      </c>
      <c r="BS12" s="100">
        <v>3939.5999999999995</v>
      </c>
      <c r="BT12" s="100">
        <v>7</v>
      </c>
      <c r="BU12" s="100">
        <v>3939.5999999999995</v>
      </c>
      <c r="BV12" s="100">
        <v>10.377224436858992</v>
      </c>
      <c r="BW12" s="100">
        <v>5840.3019130642397</v>
      </c>
      <c r="BX12" s="100">
        <v>7.0265444650928339</v>
      </c>
      <c r="BY12" s="100">
        <v>3954.5392249542465</v>
      </c>
      <c r="BZ12" s="100">
        <v>6</v>
      </c>
      <c r="CA12" s="100">
        <v>3376.7999999999997</v>
      </c>
      <c r="CB12" s="100">
        <v>12</v>
      </c>
      <c r="CC12" s="100">
        <v>6753.5999999999995</v>
      </c>
      <c r="CD12" s="100">
        <v>4.0646627409976999</v>
      </c>
      <c r="CE12" s="100">
        <v>2287.5921906335052</v>
      </c>
      <c r="CF12" s="100">
        <v>3.5865962660094119</v>
      </c>
      <c r="CG12" s="100">
        <v>2018.5363785100969</v>
      </c>
      <c r="CH12" s="100">
        <v>6.5210196524743846</v>
      </c>
      <c r="CI12" s="100">
        <v>3670.0298604125833</v>
      </c>
      <c r="CJ12" s="100">
        <v>9</v>
      </c>
      <c r="CK12" s="100">
        <v>5065.2</v>
      </c>
      <c r="CL12" s="100">
        <v>7</v>
      </c>
      <c r="CM12" s="100">
        <v>3939.5999999999995</v>
      </c>
      <c r="CN12" s="100">
        <v>9.3310552644157898</v>
      </c>
      <c r="CO12" s="100">
        <v>5251.5179028132061</v>
      </c>
      <c r="CP12" s="100">
        <v>4.5726672228103977</v>
      </c>
      <c r="CQ12" s="100">
        <v>2573.4971129976916</v>
      </c>
      <c r="CR12" s="100">
        <v>8.4160613543001084</v>
      </c>
      <c r="CS12" s="100">
        <v>4736.5593302001007</v>
      </c>
      <c r="CT12" s="100">
        <v>5.848246632596398</v>
      </c>
      <c r="CU12" s="100">
        <v>3291.3932048252527</v>
      </c>
    </row>
    <row r="13" spans="1:99">
      <c r="C13" s="99" t="s">
        <v>179</v>
      </c>
      <c r="D13" s="100">
        <v>8</v>
      </c>
      <c r="E13" s="100">
        <v>681.6</v>
      </c>
      <c r="F13" s="100">
        <v>5</v>
      </c>
      <c r="G13" s="100">
        <v>426</v>
      </c>
      <c r="H13" s="100">
        <v>6</v>
      </c>
      <c r="I13" s="100">
        <v>511.20000000000005</v>
      </c>
      <c r="J13" s="100">
        <v>8</v>
      </c>
      <c r="K13" s="100">
        <v>681.6</v>
      </c>
      <c r="L13" s="100">
        <v>7</v>
      </c>
      <c r="M13" s="100">
        <v>596.4</v>
      </c>
      <c r="N13" s="100">
        <v>5</v>
      </c>
      <c r="O13" s="100">
        <v>426</v>
      </c>
      <c r="P13" s="100">
        <v>5</v>
      </c>
      <c r="Q13" s="100">
        <v>426</v>
      </c>
      <c r="R13" s="100">
        <v>7</v>
      </c>
      <c r="S13" s="100">
        <v>596.4</v>
      </c>
      <c r="T13" s="100">
        <v>6</v>
      </c>
      <c r="U13" s="100">
        <v>511.20000000000005</v>
      </c>
      <c r="V13" s="100">
        <v>6</v>
      </c>
      <c r="W13" s="100">
        <v>511.20000000000005</v>
      </c>
      <c r="X13" s="100">
        <v>6</v>
      </c>
      <c r="Y13" s="100">
        <v>511.20000000000005</v>
      </c>
      <c r="Z13" s="100">
        <v>6</v>
      </c>
      <c r="AA13" s="100">
        <v>511.20000000000005</v>
      </c>
      <c r="AB13" s="100">
        <v>11</v>
      </c>
      <c r="AC13" s="100">
        <v>937.2</v>
      </c>
      <c r="AD13" s="100">
        <v>9</v>
      </c>
      <c r="AE13" s="100">
        <v>766.80000000000007</v>
      </c>
      <c r="AF13" s="100">
        <v>8</v>
      </c>
      <c r="AG13" s="100">
        <v>681.6</v>
      </c>
      <c r="AH13" s="100">
        <v>6.5206247810037929</v>
      </c>
      <c r="AI13" s="100">
        <v>555.55723134152322</v>
      </c>
      <c r="AJ13" s="100">
        <v>8</v>
      </c>
      <c r="AK13" s="100">
        <v>681.6</v>
      </c>
      <c r="AL13" s="100">
        <v>6</v>
      </c>
      <c r="AM13" s="100">
        <v>511.20000000000005</v>
      </c>
      <c r="AN13" s="100">
        <v>5.0995717954633957</v>
      </c>
      <c r="AO13" s="100">
        <v>434.4835169734813</v>
      </c>
      <c r="AP13" s="100">
        <v>8.3235468828269763</v>
      </c>
      <c r="AQ13" s="100">
        <v>709.16619441685839</v>
      </c>
      <c r="AR13" s="100">
        <v>6.4700709003500334</v>
      </c>
      <c r="AS13" s="100">
        <v>551.25004070982288</v>
      </c>
      <c r="AT13" s="100">
        <v>5</v>
      </c>
      <c r="AU13" s="100">
        <v>426</v>
      </c>
      <c r="AV13" s="100">
        <v>9</v>
      </c>
      <c r="AW13" s="100">
        <v>766.80000000000007</v>
      </c>
      <c r="AX13" s="100">
        <v>8.5496108274188085</v>
      </c>
      <c r="AY13" s="100">
        <v>728.42684249608249</v>
      </c>
      <c r="AZ13" s="100">
        <v>5.7518805610078827</v>
      </c>
      <c r="BA13" s="100">
        <v>490.06022379787163</v>
      </c>
      <c r="BB13" s="100">
        <v>10.494719704836289</v>
      </c>
      <c r="BC13" s="100">
        <v>894.15011885205183</v>
      </c>
      <c r="BD13" s="100">
        <v>4.0161171427590059</v>
      </c>
      <c r="BE13" s="100">
        <v>342.17318056306732</v>
      </c>
      <c r="BF13" s="100">
        <v>6</v>
      </c>
      <c r="BG13" s="100">
        <v>511.20000000000005</v>
      </c>
      <c r="BH13" s="100">
        <v>4.9020563339292247</v>
      </c>
      <c r="BI13" s="100">
        <v>417.65519965076993</v>
      </c>
      <c r="BJ13" s="100">
        <v>1.697320961763251</v>
      </c>
      <c r="BK13" s="100">
        <v>144.61174594222899</v>
      </c>
      <c r="BL13" s="100">
        <v>9</v>
      </c>
      <c r="BM13" s="100">
        <v>766.80000000000007</v>
      </c>
      <c r="BN13" s="100">
        <v>7</v>
      </c>
      <c r="BO13" s="100">
        <v>596.4</v>
      </c>
      <c r="BP13" s="100">
        <v>10</v>
      </c>
      <c r="BQ13" s="100">
        <v>852</v>
      </c>
      <c r="BR13" s="100">
        <v>7</v>
      </c>
      <c r="BS13" s="100">
        <v>596.4</v>
      </c>
      <c r="BT13" s="100">
        <v>6</v>
      </c>
      <c r="BU13" s="100">
        <v>511.20000000000005</v>
      </c>
      <c r="BV13" s="100">
        <v>10.377224436858992</v>
      </c>
      <c r="BW13" s="100">
        <v>884.13952202038615</v>
      </c>
      <c r="BX13" s="100">
        <v>7.0265444650928339</v>
      </c>
      <c r="BY13" s="100">
        <v>598.66158842590949</v>
      </c>
      <c r="BZ13" s="100">
        <v>7</v>
      </c>
      <c r="CA13" s="100">
        <v>596.4</v>
      </c>
      <c r="CB13" s="100">
        <v>11</v>
      </c>
      <c r="CC13" s="100">
        <v>937.2</v>
      </c>
      <c r="CD13" s="100">
        <v>4.4914316482380769</v>
      </c>
      <c r="CE13" s="100">
        <v>382.66997642988417</v>
      </c>
      <c r="CF13" s="100">
        <v>4.1843623103443139</v>
      </c>
      <c r="CG13" s="100">
        <v>356.50766884133554</v>
      </c>
      <c r="CH13" s="100">
        <v>6.5210196524743846</v>
      </c>
      <c r="CI13" s="100">
        <v>555.59087439081759</v>
      </c>
      <c r="CJ13" s="100">
        <v>11</v>
      </c>
      <c r="CK13" s="100">
        <v>937.2</v>
      </c>
      <c r="CL13" s="100">
        <v>7</v>
      </c>
      <c r="CM13" s="100">
        <v>596.4</v>
      </c>
      <c r="CN13" s="100">
        <v>10.289673356363817</v>
      </c>
      <c r="CO13" s="100">
        <v>876.68016996219728</v>
      </c>
      <c r="CP13" s="100">
        <v>4.0010838199590983</v>
      </c>
      <c r="CQ13" s="100">
        <v>340.89234146051518</v>
      </c>
      <c r="CR13" s="100">
        <v>8.4160613543001084</v>
      </c>
      <c r="CS13" s="100">
        <v>717.04842738636921</v>
      </c>
      <c r="CT13" s="100">
        <v>4.7251195860219308</v>
      </c>
      <c r="CU13" s="100">
        <v>402.58018872906854</v>
      </c>
    </row>
    <row r="14" spans="1:99">
      <c r="C14" s="99" t="s">
        <v>180</v>
      </c>
      <c r="D14" s="100">
        <v>7</v>
      </c>
      <c r="E14" s="100">
        <v>3418.7999999999997</v>
      </c>
      <c r="F14" s="100">
        <v>6</v>
      </c>
      <c r="G14" s="100">
        <v>2930.3999999999996</v>
      </c>
      <c r="H14" s="100">
        <v>6</v>
      </c>
      <c r="I14" s="100">
        <v>2930.3999999999996</v>
      </c>
      <c r="J14" s="100">
        <v>8</v>
      </c>
      <c r="K14" s="100">
        <v>3907.2</v>
      </c>
      <c r="L14" s="100">
        <v>6</v>
      </c>
      <c r="M14" s="100">
        <v>2930.3999999999996</v>
      </c>
      <c r="N14" s="100">
        <v>6</v>
      </c>
      <c r="O14" s="100">
        <v>2930.3999999999996</v>
      </c>
      <c r="P14" s="100">
        <v>5</v>
      </c>
      <c r="Q14" s="100">
        <v>2442</v>
      </c>
      <c r="R14" s="100">
        <v>7</v>
      </c>
      <c r="S14" s="100">
        <v>3418.7999999999997</v>
      </c>
      <c r="T14" s="100">
        <v>7</v>
      </c>
      <c r="U14" s="100">
        <v>3418.7999999999997</v>
      </c>
      <c r="V14" s="100">
        <v>6</v>
      </c>
      <c r="W14" s="100">
        <v>2930.3999999999996</v>
      </c>
      <c r="X14" s="100">
        <v>6</v>
      </c>
      <c r="Y14" s="100">
        <v>2930.3999999999996</v>
      </c>
      <c r="Z14" s="100">
        <v>5</v>
      </c>
      <c r="AA14" s="100">
        <v>2442</v>
      </c>
      <c r="AB14" s="100">
        <v>10</v>
      </c>
      <c r="AC14" s="100">
        <v>4884</v>
      </c>
      <c r="AD14" s="100">
        <v>8</v>
      </c>
      <c r="AE14" s="100">
        <v>3907.2</v>
      </c>
      <c r="AF14" s="100">
        <v>10</v>
      </c>
      <c r="AG14" s="100">
        <v>4884</v>
      </c>
      <c r="AH14" s="100">
        <v>5.4338539841698275</v>
      </c>
      <c r="AI14" s="100">
        <v>2653.8942858685436</v>
      </c>
      <c r="AJ14" s="100">
        <v>8</v>
      </c>
      <c r="AK14" s="100">
        <v>3907.2</v>
      </c>
      <c r="AL14" s="100">
        <v>5</v>
      </c>
      <c r="AM14" s="100">
        <v>2442</v>
      </c>
      <c r="AN14" s="100">
        <v>5.1120182698963195</v>
      </c>
      <c r="AO14" s="100">
        <v>2496.7097230173622</v>
      </c>
      <c r="AP14" s="100">
        <v>7.291192194544279</v>
      </c>
      <c r="AQ14" s="100">
        <v>3561.0182678154256</v>
      </c>
      <c r="AR14" s="100">
        <v>6.4273371821363936</v>
      </c>
      <c r="AS14" s="100">
        <v>3139.1114797554146</v>
      </c>
      <c r="AT14" s="100">
        <v>5</v>
      </c>
      <c r="AU14" s="100">
        <v>2442</v>
      </c>
      <c r="AV14" s="100">
        <v>9</v>
      </c>
      <c r="AW14" s="100">
        <v>4395.5999999999995</v>
      </c>
      <c r="AX14" s="100">
        <v>7.5995754480932458</v>
      </c>
      <c r="AY14" s="100">
        <v>3711.6326488487412</v>
      </c>
      <c r="AZ14" s="100">
        <v>5.7518805610078827</v>
      </c>
      <c r="BA14" s="100">
        <v>2809.21846599625</v>
      </c>
      <c r="BB14" s="100">
        <v>11.494719704836289</v>
      </c>
      <c r="BC14" s="100">
        <v>5614.021103842043</v>
      </c>
      <c r="BD14" s="100">
        <v>4.0161171427590059</v>
      </c>
      <c r="BE14" s="100">
        <v>1961.4716125234984</v>
      </c>
      <c r="BF14" s="100">
        <v>6</v>
      </c>
      <c r="BG14" s="100">
        <v>2930.3999999999996</v>
      </c>
      <c r="BH14" s="100">
        <v>4.2145583245834555</v>
      </c>
      <c r="BI14" s="100">
        <v>2058.3902857265593</v>
      </c>
      <c r="BJ14" s="100">
        <v>1.9397953848722871</v>
      </c>
      <c r="BK14" s="100">
        <v>947.39606597162492</v>
      </c>
      <c r="BL14" s="100">
        <v>9</v>
      </c>
      <c r="BM14" s="100">
        <v>4395.5999999999995</v>
      </c>
      <c r="BN14" s="100">
        <v>7</v>
      </c>
      <c r="BO14" s="100">
        <v>3418.7999999999997</v>
      </c>
      <c r="BP14" s="100">
        <v>9</v>
      </c>
      <c r="BQ14" s="100">
        <v>4395.5999999999995</v>
      </c>
      <c r="BR14" s="100">
        <v>7</v>
      </c>
      <c r="BS14" s="100">
        <v>3418.7999999999997</v>
      </c>
      <c r="BT14" s="100">
        <v>7</v>
      </c>
      <c r="BU14" s="100">
        <v>3418.7999999999997</v>
      </c>
      <c r="BV14" s="100">
        <v>11.314353697382494</v>
      </c>
      <c r="BW14" s="100">
        <v>5525.9303458016093</v>
      </c>
      <c r="BX14" s="100">
        <v>6.245817302304741</v>
      </c>
      <c r="BY14" s="100">
        <v>3050.4571704456353</v>
      </c>
      <c r="BZ14" s="100">
        <v>6</v>
      </c>
      <c r="CA14" s="100">
        <v>2930.3999999999996</v>
      </c>
      <c r="CB14" s="100">
        <v>11</v>
      </c>
      <c r="CC14" s="100">
        <v>5372.4</v>
      </c>
      <c r="CD14" s="100">
        <v>4.4710914140713216</v>
      </c>
      <c r="CE14" s="100">
        <v>2183.6810466324332</v>
      </c>
      <c r="CF14" s="100">
        <v>3.5865962660094119</v>
      </c>
      <c r="CG14" s="100">
        <v>1751.6936163189966</v>
      </c>
      <c r="CH14" s="100">
        <v>6.5210196524743846</v>
      </c>
      <c r="CI14" s="100">
        <v>3184.8659982684894</v>
      </c>
      <c r="CJ14" s="100">
        <v>10</v>
      </c>
      <c r="CK14" s="100">
        <v>4884</v>
      </c>
      <c r="CL14" s="100">
        <v>7</v>
      </c>
      <c r="CM14" s="100">
        <v>3418.7999999999997</v>
      </c>
      <c r="CN14" s="100">
        <v>9.3310552644157898</v>
      </c>
      <c r="CO14" s="100">
        <v>4557.2873911406714</v>
      </c>
      <c r="CP14" s="100">
        <v>4.0010838199590983</v>
      </c>
      <c r="CQ14" s="100">
        <v>1954.1293376680235</v>
      </c>
      <c r="CR14" s="100">
        <v>8.4160613543001084</v>
      </c>
      <c r="CS14" s="100">
        <v>4110.404365440173</v>
      </c>
      <c r="CT14" s="100">
        <v>5.8271001417123935</v>
      </c>
      <c r="CU14" s="100">
        <v>2845.9557092123327</v>
      </c>
    </row>
    <row r="15" spans="1:99">
      <c r="C15" s="99" t="s">
        <v>181</v>
      </c>
      <c r="D15" s="100">
        <v>8</v>
      </c>
      <c r="E15" s="100">
        <v>6105.5999999999995</v>
      </c>
      <c r="F15" s="100">
        <v>5</v>
      </c>
      <c r="G15" s="100">
        <v>3815.9999999999995</v>
      </c>
      <c r="H15" s="100">
        <v>6</v>
      </c>
      <c r="I15" s="100">
        <v>4579.2</v>
      </c>
      <c r="J15" s="100">
        <v>9</v>
      </c>
      <c r="K15" s="100">
        <v>6868.7999999999993</v>
      </c>
      <c r="L15" s="100">
        <v>6</v>
      </c>
      <c r="M15" s="100">
        <v>4579.2</v>
      </c>
      <c r="N15" s="100">
        <v>6</v>
      </c>
      <c r="O15" s="100">
        <v>4579.2</v>
      </c>
      <c r="P15" s="100">
        <v>5</v>
      </c>
      <c r="Q15" s="100">
        <v>3815.9999999999995</v>
      </c>
      <c r="R15" s="100">
        <v>7</v>
      </c>
      <c r="S15" s="100">
        <v>5342.4</v>
      </c>
      <c r="T15" s="100">
        <v>6</v>
      </c>
      <c r="U15" s="100">
        <v>4579.2</v>
      </c>
      <c r="V15" s="100">
        <v>6</v>
      </c>
      <c r="W15" s="100">
        <v>4579.2</v>
      </c>
      <c r="X15" s="100">
        <v>5</v>
      </c>
      <c r="Y15" s="100">
        <v>3815.9999999999995</v>
      </c>
      <c r="Z15" s="100">
        <v>6</v>
      </c>
      <c r="AA15" s="100">
        <v>4579.2</v>
      </c>
      <c r="AB15" s="100">
        <v>9</v>
      </c>
      <c r="AC15" s="100">
        <v>6868.7999999999993</v>
      </c>
      <c r="AD15" s="100">
        <v>9</v>
      </c>
      <c r="AE15" s="100">
        <v>6868.7999999999993</v>
      </c>
      <c r="AF15" s="100">
        <v>8</v>
      </c>
      <c r="AG15" s="100">
        <v>6105.5999999999995</v>
      </c>
      <c r="AH15" s="100">
        <v>5.4338539841698275</v>
      </c>
      <c r="AI15" s="100">
        <v>4147.1173607184119</v>
      </c>
      <c r="AJ15" s="100">
        <v>7</v>
      </c>
      <c r="AK15" s="100">
        <v>5342.4</v>
      </c>
      <c r="AL15" s="100">
        <v>5</v>
      </c>
      <c r="AM15" s="100">
        <v>3815.9999999999995</v>
      </c>
      <c r="AN15" s="100">
        <v>5.0995717954633957</v>
      </c>
      <c r="AO15" s="100">
        <v>3891.9931942976632</v>
      </c>
      <c r="AP15" s="100">
        <v>7.3235468828269763</v>
      </c>
      <c r="AQ15" s="100">
        <v>5589.3309809735474</v>
      </c>
      <c r="AR15" s="100">
        <v>6.4273371821363936</v>
      </c>
      <c r="AS15" s="100">
        <v>4905.3437374064952</v>
      </c>
      <c r="AT15" s="100">
        <v>5</v>
      </c>
      <c r="AU15" s="100">
        <v>3815.9999999999995</v>
      </c>
      <c r="AV15" s="100">
        <v>8</v>
      </c>
      <c r="AW15" s="100">
        <v>6105.5999999999995</v>
      </c>
      <c r="AX15" s="100">
        <v>7.5496108274188085</v>
      </c>
      <c r="AY15" s="100">
        <v>5761.862983486034</v>
      </c>
      <c r="AZ15" s="100">
        <v>5.7518805610078827</v>
      </c>
      <c r="BA15" s="100">
        <v>4389.835244161216</v>
      </c>
      <c r="BB15" s="100">
        <v>10.494719704836289</v>
      </c>
      <c r="BC15" s="100">
        <v>8009.5700787310552</v>
      </c>
      <c r="BD15" s="100">
        <v>4.0161171427590059</v>
      </c>
      <c r="BE15" s="100">
        <v>3065.1006033536728</v>
      </c>
      <c r="BF15" s="100">
        <v>7</v>
      </c>
      <c r="BG15" s="100">
        <v>5342.4</v>
      </c>
      <c r="BH15" s="100">
        <v>4.8721995777596101</v>
      </c>
      <c r="BI15" s="100">
        <v>3718.4627177461339</v>
      </c>
      <c r="BJ15" s="100">
        <v>1.9397953848722871</v>
      </c>
      <c r="BK15" s="100">
        <v>1480.4518377345294</v>
      </c>
      <c r="BL15" s="100">
        <v>9</v>
      </c>
      <c r="BM15" s="100">
        <v>6868.7999999999993</v>
      </c>
      <c r="BN15" s="100">
        <v>7</v>
      </c>
      <c r="BO15" s="100">
        <v>5342.4</v>
      </c>
      <c r="BP15" s="100">
        <v>9</v>
      </c>
      <c r="BQ15" s="100">
        <v>6868.7999999999993</v>
      </c>
      <c r="BR15" s="100">
        <v>7</v>
      </c>
      <c r="BS15" s="100">
        <v>5342.4</v>
      </c>
      <c r="BT15" s="100">
        <v>7</v>
      </c>
      <c r="BU15" s="100">
        <v>5342.4</v>
      </c>
      <c r="BV15" s="100">
        <v>11.345789067120743</v>
      </c>
      <c r="BW15" s="100">
        <v>8659.1062160265501</v>
      </c>
      <c r="BX15" s="100">
        <v>7.807271627880926</v>
      </c>
      <c r="BY15" s="100">
        <v>5958.5097063987223</v>
      </c>
      <c r="BZ15" s="100">
        <v>6</v>
      </c>
      <c r="CA15" s="100">
        <v>4579.2</v>
      </c>
      <c r="CB15" s="100">
        <v>11</v>
      </c>
      <c r="CC15" s="100">
        <v>8395.1999999999989</v>
      </c>
      <c r="CD15" s="100">
        <v>4.0646627409976999</v>
      </c>
      <c r="CE15" s="100">
        <v>3102.1506039294441</v>
      </c>
      <c r="CF15" s="100">
        <v>3.5865962660094119</v>
      </c>
      <c r="CG15" s="100">
        <v>2737.2902702183828</v>
      </c>
      <c r="CH15" s="100">
        <v>6.5210196524743846</v>
      </c>
      <c r="CI15" s="100">
        <v>4976.8421987684496</v>
      </c>
      <c r="CJ15" s="100">
        <v>10</v>
      </c>
      <c r="CK15" s="100">
        <v>7631.9999999999991</v>
      </c>
      <c r="CL15" s="100">
        <v>8</v>
      </c>
      <c r="CM15" s="100">
        <v>6105.5999999999995</v>
      </c>
      <c r="CN15" s="100">
        <v>8.2896733563638172</v>
      </c>
      <c r="CO15" s="100">
        <v>6326.6787055768646</v>
      </c>
      <c r="CP15" s="100">
        <v>4.0010838199590983</v>
      </c>
      <c r="CQ15" s="100">
        <v>3053.6271713927836</v>
      </c>
      <c r="CR15" s="100">
        <v>8.4160613543001084</v>
      </c>
      <c r="CS15" s="100">
        <v>6423.1380256018419</v>
      </c>
      <c r="CT15" s="100">
        <v>5.26553661842516</v>
      </c>
      <c r="CU15" s="100">
        <v>4018.6575471820815</v>
      </c>
    </row>
    <row r="16" spans="1:99">
      <c r="C16" s="99" t="s">
        <v>182</v>
      </c>
      <c r="D16" s="100">
        <v>8</v>
      </c>
      <c r="E16" s="100">
        <v>2726.4</v>
      </c>
      <c r="F16" s="100">
        <v>5</v>
      </c>
      <c r="G16" s="100">
        <v>1704</v>
      </c>
      <c r="H16" s="100">
        <v>7</v>
      </c>
      <c r="I16" s="100">
        <v>2385.6</v>
      </c>
      <c r="J16" s="100">
        <v>8</v>
      </c>
      <c r="K16" s="100">
        <v>2726.4</v>
      </c>
      <c r="L16" s="100">
        <v>7</v>
      </c>
      <c r="M16" s="100">
        <v>2385.6</v>
      </c>
      <c r="N16" s="100">
        <v>5</v>
      </c>
      <c r="O16" s="100">
        <v>1704</v>
      </c>
      <c r="P16" s="100">
        <v>5</v>
      </c>
      <c r="Q16" s="100">
        <v>1704</v>
      </c>
      <c r="R16" s="100">
        <v>6</v>
      </c>
      <c r="S16" s="100">
        <v>2044.8000000000002</v>
      </c>
      <c r="T16" s="100">
        <v>6</v>
      </c>
      <c r="U16" s="100">
        <v>2044.8000000000002</v>
      </c>
      <c r="V16" s="100">
        <v>6</v>
      </c>
      <c r="W16" s="100">
        <v>2044.8000000000002</v>
      </c>
      <c r="X16" s="100">
        <v>5</v>
      </c>
      <c r="Y16" s="100">
        <v>1704</v>
      </c>
      <c r="Z16" s="100">
        <v>6</v>
      </c>
      <c r="AA16" s="100">
        <v>2044.8000000000002</v>
      </c>
      <c r="AB16" s="100">
        <v>10</v>
      </c>
      <c r="AC16" s="100">
        <v>3408</v>
      </c>
      <c r="AD16" s="100">
        <v>10</v>
      </c>
      <c r="AE16" s="100">
        <v>3408</v>
      </c>
      <c r="AF16" s="100">
        <v>9</v>
      </c>
      <c r="AG16" s="100">
        <v>3067.2000000000003</v>
      </c>
      <c r="AH16" s="100">
        <v>6.4772393825868102</v>
      </c>
      <c r="AI16" s="100">
        <v>2207.4431815855851</v>
      </c>
      <c r="AJ16" s="100">
        <v>8</v>
      </c>
      <c r="AK16" s="100">
        <v>2726.4</v>
      </c>
      <c r="AL16" s="100">
        <v>5</v>
      </c>
      <c r="AM16" s="100">
        <v>1704</v>
      </c>
      <c r="AN16" s="100">
        <v>5.1120182698963195</v>
      </c>
      <c r="AO16" s="100">
        <v>1742.1758263806657</v>
      </c>
      <c r="AP16" s="100">
        <v>8.3235468828269763</v>
      </c>
      <c r="AQ16" s="100">
        <v>2836.6647776674336</v>
      </c>
      <c r="AR16" s="100">
        <v>7.4273371821363936</v>
      </c>
      <c r="AS16" s="100">
        <v>2531.236511672083</v>
      </c>
      <c r="AT16" s="100">
        <v>6</v>
      </c>
      <c r="AU16" s="100">
        <v>2044.8000000000002</v>
      </c>
      <c r="AV16" s="100">
        <v>9</v>
      </c>
      <c r="AW16" s="100">
        <v>3067.2000000000003</v>
      </c>
      <c r="AX16" s="100">
        <v>7.5995754480932458</v>
      </c>
      <c r="AY16" s="100">
        <v>2589.9353127101781</v>
      </c>
      <c r="AZ16" s="100">
        <v>5.7518805610078827</v>
      </c>
      <c r="BA16" s="100">
        <v>1960.2408951914865</v>
      </c>
      <c r="BB16" s="100">
        <v>11.453493062766599</v>
      </c>
      <c r="BC16" s="100">
        <v>3903.3504357908569</v>
      </c>
      <c r="BD16" s="100">
        <v>4.0161171427590059</v>
      </c>
      <c r="BE16" s="100">
        <v>1368.6927222522693</v>
      </c>
      <c r="BF16" s="100">
        <v>7</v>
      </c>
      <c r="BG16" s="100">
        <v>2385.6</v>
      </c>
      <c r="BH16" s="100">
        <v>4.8721995777596101</v>
      </c>
      <c r="BI16" s="100">
        <v>1660.4456161004753</v>
      </c>
      <c r="BJ16" s="100">
        <v>1.9397953848722871</v>
      </c>
      <c r="BK16" s="100">
        <v>661.08226716447541</v>
      </c>
      <c r="BL16" s="100">
        <v>10</v>
      </c>
      <c r="BM16" s="100">
        <v>3408</v>
      </c>
      <c r="BN16" s="100">
        <v>7</v>
      </c>
      <c r="BO16" s="100">
        <v>2385.6</v>
      </c>
      <c r="BP16" s="100">
        <v>10</v>
      </c>
      <c r="BQ16" s="100">
        <v>3408</v>
      </c>
      <c r="BR16" s="100">
        <v>7</v>
      </c>
      <c r="BS16" s="100">
        <v>2385.6</v>
      </c>
      <c r="BT16" s="100">
        <v>7</v>
      </c>
      <c r="BU16" s="100">
        <v>2385.6</v>
      </c>
      <c r="BV16" s="100">
        <v>10.345789067120743</v>
      </c>
      <c r="BW16" s="100">
        <v>3525.8449140747493</v>
      </c>
      <c r="BX16" s="100">
        <v>7.0265444650928339</v>
      </c>
      <c r="BY16" s="100">
        <v>2394.6463537036379</v>
      </c>
      <c r="BZ16" s="100">
        <v>6</v>
      </c>
      <c r="CA16" s="100">
        <v>2044.8000000000002</v>
      </c>
      <c r="CB16" s="100">
        <v>10</v>
      </c>
      <c r="CC16" s="100">
        <v>3408</v>
      </c>
      <c r="CD16" s="100">
        <v>4.0443225068309454</v>
      </c>
      <c r="CE16" s="100">
        <v>1378.3051103279863</v>
      </c>
      <c r="CF16" s="100">
        <v>3.5865962660094119</v>
      </c>
      <c r="CG16" s="100">
        <v>1222.3120074560077</v>
      </c>
      <c r="CH16" s="100">
        <v>6.5210196524743846</v>
      </c>
      <c r="CI16" s="100">
        <v>2222.3634975632704</v>
      </c>
      <c r="CJ16" s="100">
        <v>11</v>
      </c>
      <c r="CK16" s="100">
        <v>3748.8</v>
      </c>
      <c r="CL16" s="100">
        <v>8</v>
      </c>
      <c r="CM16" s="100">
        <v>2726.4</v>
      </c>
      <c r="CN16" s="100">
        <v>10.33105526441579</v>
      </c>
      <c r="CO16" s="100">
        <v>3520.8236341129013</v>
      </c>
      <c r="CP16" s="100">
        <v>4.0010838199590983</v>
      </c>
      <c r="CQ16" s="100">
        <v>1363.5693658420607</v>
      </c>
      <c r="CR16" s="100">
        <v>7.4160613543001084</v>
      </c>
      <c r="CS16" s="100">
        <v>2527.3937095454771</v>
      </c>
      <c r="CT16" s="100">
        <v>5.2866831093091644</v>
      </c>
      <c r="CU16" s="100">
        <v>1801.7016036525633</v>
      </c>
    </row>
    <row r="17" spans="2:99">
      <c r="C17" s="99" t="s">
        <v>183</v>
      </c>
      <c r="D17" s="100">
        <v>8</v>
      </c>
      <c r="E17" s="100">
        <v>3379.2</v>
      </c>
      <c r="F17" s="100">
        <v>5</v>
      </c>
      <c r="G17" s="100">
        <v>2112</v>
      </c>
      <c r="H17" s="100">
        <v>7</v>
      </c>
      <c r="I17" s="100">
        <v>2956.7999999999997</v>
      </c>
      <c r="J17" s="100">
        <v>8</v>
      </c>
      <c r="K17" s="100">
        <v>3379.2</v>
      </c>
      <c r="L17" s="100">
        <v>7</v>
      </c>
      <c r="M17" s="100">
        <v>2956.7999999999997</v>
      </c>
      <c r="N17" s="100">
        <v>5</v>
      </c>
      <c r="O17" s="100">
        <v>2112</v>
      </c>
      <c r="P17" s="100">
        <v>5</v>
      </c>
      <c r="Q17" s="100">
        <v>2112</v>
      </c>
      <c r="R17" s="100">
        <v>7</v>
      </c>
      <c r="S17" s="100">
        <v>2956.7999999999997</v>
      </c>
      <c r="T17" s="100">
        <v>6</v>
      </c>
      <c r="U17" s="100">
        <v>2534.3999999999996</v>
      </c>
      <c r="V17" s="100">
        <v>6</v>
      </c>
      <c r="W17" s="100">
        <v>2534.3999999999996</v>
      </c>
      <c r="X17" s="100">
        <v>5</v>
      </c>
      <c r="Y17" s="100">
        <v>2112</v>
      </c>
      <c r="Z17" s="100">
        <v>5</v>
      </c>
      <c r="AA17" s="100">
        <v>2112</v>
      </c>
      <c r="AB17" s="100">
        <v>10</v>
      </c>
      <c r="AC17" s="100">
        <v>4224</v>
      </c>
      <c r="AD17" s="100">
        <v>8</v>
      </c>
      <c r="AE17" s="100">
        <v>3379.2</v>
      </c>
      <c r="AF17" s="100">
        <v>9</v>
      </c>
      <c r="AG17" s="100">
        <v>3801.6</v>
      </c>
      <c r="AH17" s="100">
        <v>6.4772393825868102</v>
      </c>
      <c r="AI17" s="100">
        <v>2735.9859152046683</v>
      </c>
      <c r="AJ17" s="100">
        <v>7</v>
      </c>
      <c r="AK17" s="100">
        <v>2956.7999999999997</v>
      </c>
      <c r="AL17" s="100">
        <v>5</v>
      </c>
      <c r="AM17" s="100">
        <v>2112</v>
      </c>
      <c r="AN17" s="100">
        <v>5.0995717954633957</v>
      </c>
      <c r="AO17" s="100">
        <v>2154.059126403738</v>
      </c>
      <c r="AP17" s="100">
        <v>7.291192194544279</v>
      </c>
      <c r="AQ17" s="100">
        <v>3079.7995829755032</v>
      </c>
      <c r="AR17" s="100">
        <v>7.4700709003500334</v>
      </c>
      <c r="AS17" s="100">
        <v>3155.3579483078538</v>
      </c>
      <c r="AT17" s="100">
        <v>6</v>
      </c>
      <c r="AU17" s="100">
        <v>2534.3999999999996</v>
      </c>
      <c r="AV17" s="100">
        <v>10</v>
      </c>
      <c r="AW17" s="100">
        <v>4224</v>
      </c>
      <c r="AX17" s="100">
        <v>7.5496108274188085</v>
      </c>
      <c r="AY17" s="100">
        <v>3188.9556135017046</v>
      </c>
      <c r="AZ17" s="100">
        <v>5.7518805610078827</v>
      </c>
      <c r="BA17" s="100">
        <v>2429.5943489697297</v>
      </c>
      <c r="BB17" s="100">
        <v>10.494719704836289</v>
      </c>
      <c r="BC17" s="100">
        <v>4432.9696033228483</v>
      </c>
      <c r="BD17" s="100">
        <v>4.0161171427590059</v>
      </c>
      <c r="BE17" s="100">
        <v>1696.407881101404</v>
      </c>
      <c r="BF17" s="100">
        <v>7</v>
      </c>
      <c r="BG17" s="100">
        <v>2956.7999999999997</v>
      </c>
      <c r="BH17" s="100">
        <v>4.2742718369226846</v>
      </c>
      <c r="BI17" s="100">
        <v>1805.4524239161419</v>
      </c>
      <c r="BJ17" s="100">
        <v>1.9397953848722871</v>
      </c>
      <c r="BK17" s="100">
        <v>819.36957057005407</v>
      </c>
      <c r="BL17" s="100">
        <v>10</v>
      </c>
      <c r="BM17" s="100">
        <v>4224</v>
      </c>
      <c r="BN17" s="100">
        <v>7</v>
      </c>
      <c r="BO17" s="100">
        <v>2956.7999999999997</v>
      </c>
      <c r="BP17" s="100">
        <v>9</v>
      </c>
      <c r="BQ17" s="100">
        <v>3801.6</v>
      </c>
      <c r="BR17" s="100">
        <v>6</v>
      </c>
      <c r="BS17" s="100">
        <v>2534.3999999999996</v>
      </c>
      <c r="BT17" s="100">
        <v>7</v>
      </c>
      <c r="BU17" s="100">
        <v>2956.7999999999997</v>
      </c>
      <c r="BV17" s="100">
        <v>11.345789067120743</v>
      </c>
      <c r="BW17" s="100">
        <v>4792.461301951801</v>
      </c>
      <c r="BX17" s="100">
        <v>7.807271627880926</v>
      </c>
      <c r="BY17" s="100">
        <v>3297.7915356169028</v>
      </c>
      <c r="BZ17" s="100">
        <v>7</v>
      </c>
      <c r="CA17" s="100">
        <v>2956.7999999999997</v>
      </c>
      <c r="CB17" s="100">
        <v>11</v>
      </c>
      <c r="CC17" s="100">
        <v>4646.3999999999996</v>
      </c>
      <c r="CD17" s="100">
        <v>3.6582340679240799</v>
      </c>
      <c r="CE17" s="100">
        <v>1545.2380702911312</v>
      </c>
      <c r="CF17" s="100">
        <v>3.5865962660094119</v>
      </c>
      <c r="CG17" s="100">
        <v>1514.9782627623756</v>
      </c>
      <c r="CH17" s="100">
        <v>6.5210196524743846</v>
      </c>
      <c r="CI17" s="100">
        <v>2754.4787012051797</v>
      </c>
      <c r="CJ17" s="100">
        <v>9</v>
      </c>
      <c r="CK17" s="100">
        <v>3801.6</v>
      </c>
      <c r="CL17" s="100">
        <v>7</v>
      </c>
      <c r="CM17" s="100">
        <v>2956.7999999999997</v>
      </c>
      <c r="CN17" s="100">
        <v>10.33105526441579</v>
      </c>
      <c r="CO17" s="100">
        <v>4363.8377436892297</v>
      </c>
      <c r="CP17" s="100">
        <v>4.0010838199590983</v>
      </c>
      <c r="CQ17" s="100">
        <v>1690.0578055507231</v>
      </c>
      <c r="CR17" s="100">
        <v>7.3698323149334293</v>
      </c>
      <c r="CS17" s="100">
        <v>3113.0171698278805</v>
      </c>
      <c r="CT17" s="100">
        <v>5.26553661842516</v>
      </c>
      <c r="CU17" s="100">
        <v>2224.1626676227875</v>
      </c>
    </row>
    <row r="18" spans="2:99">
      <c r="C18" s="99" t="s">
        <v>184</v>
      </c>
      <c r="D18" s="100">
        <v>8</v>
      </c>
      <c r="E18" s="100">
        <v>5222.3999999999996</v>
      </c>
      <c r="F18" s="100">
        <v>6</v>
      </c>
      <c r="G18" s="100">
        <v>3916.7999999999997</v>
      </c>
      <c r="H18" s="100">
        <v>6</v>
      </c>
      <c r="I18" s="100">
        <v>3916.7999999999997</v>
      </c>
      <c r="J18" s="100">
        <v>8</v>
      </c>
      <c r="K18" s="100">
        <v>5222.3999999999996</v>
      </c>
      <c r="L18" s="100">
        <v>6</v>
      </c>
      <c r="M18" s="100">
        <v>3916.7999999999997</v>
      </c>
      <c r="N18" s="100">
        <v>6</v>
      </c>
      <c r="O18" s="100">
        <v>3916.7999999999997</v>
      </c>
      <c r="P18" s="100">
        <v>4</v>
      </c>
      <c r="Q18" s="100">
        <v>2611.1999999999998</v>
      </c>
      <c r="R18" s="100">
        <v>7</v>
      </c>
      <c r="S18" s="100">
        <v>4569.5999999999995</v>
      </c>
      <c r="T18" s="100">
        <v>6</v>
      </c>
      <c r="U18" s="100">
        <v>3916.7999999999997</v>
      </c>
      <c r="V18" s="100">
        <v>6</v>
      </c>
      <c r="W18" s="100">
        <v>3916.7999999999997</v>
      </c>
      <c r="X18" s="100">
        <v>5</v>
      </c>
      <c r="Y18" s="100">
        <v>3264</v>
      </c>
      <c r="Z18" s="100">
        <v>6</v>
      </c>
      <c r="AA18" s="100">
        <v>3916.7999999999997</v>
      </c>
      <c r="AB18" s="100">
        <v>10</v>
      </c>
      <c r="AC18" s="100">
        <v>6528</v>
      </c>
      <c r="AD18" s="100">
        <v>9</v>
      </c>
      <c r="AE18" s="100">
        <v>5875.2</v>
      </c>
      <c r="AF18" s="100">
        <v>8</v>
      </c>
      <c r="AG18" s="100">
        <v>5222.3999999999996</v>
      </c>
      <c r="AH18" s="100">
        <v>5.4772393825868102</v>
      </c>
      <c r="AI18" s="100">
        <v>3575.5418689526696</v>
      </c>
      <c r="AJ18" s="100">
        <v>7</v>
      </c>
      <c r="AK18" s="100">
        <v>4569.5999999999995</v>
      </c>
      <c r="AL18" s="100">
        <v>5</v>
      </c>
      <c r="AM18" s="100">
        <v>3264</v>
      </c>
      <c r="AN18" s="100">
        <v>5.1120182698963195</v>
      </c>
      <c r="AO18" s="100">
        <v>3337.1255265883169</v>
      </c>
      <c r="AP18" s="100">
        <v>8.3235468828269763</v>
      </c>
      <c r="AQ18" s="100">
        <v>5433.6114051094501</v>
      </c>
      <c r="AR18" s="100">
        <v>7.4273371821363936</v>
      </c>
      <c r="AS18" s="100">
        <v>4848.5657124986374</v>
      </c>
      <c r="AT18" s="100">
        <v>5</v>
      </c>
      <c r="AU18" s="100">
        <v>3264</v>
      </c>
      <c r="AV18" s="100">
        <v>8</v>
      </c>
      <c r="AW18" s="100">
        <v>5222.3999999999996</v>
      </c>
      <c r="AX18" s="100">
        <v>6.4996462067443712</v>
      </c>
      <c r="AY18" s="100">
        <v>4242.9690437627251</v>
      </c>
      <c r="AZ18" s="100">
        <v>5.7518805610078827</v>
      </c>
      <c r="BA18" s="100">
        <v>3754.8276302259455</v>
      </c>
      <c r="BB18" s="100">
        <v>9.453493062766599</v>
      </c>
      <c r="BC18" s="100">
        <v>6171.2402713740357</v>
      </c>
      <c r="BD18" s="100">
        <v>4.6854699998855063</v>
      </c>
      <c r="BE18" s="100">
        <v>3058.6748159252584</v>
      </c>
      <c r="BF18" s="100">
        <v>7</v>
      </c>
      <c r="BG18" s="100">
        <v>4569.5999999999995</v>
      </c>
      <c r="BH18" s="100">
        <v>4.2145583245834555</v>
      </c>
      <c r="BI18" s="100">
        <v>2751.2636742880795</v>
      </c>
      <c r="BJ18" s="100">
        <v>1.697320961763251</v>
      </c>
      <c r="BK18" s="100">
        <v>1108.0111238390502</v>
      </c>
      <c r="BL18" s="100">
        <v>9</v>
      </c>
      <c r="BM18" s="100">
        <v>5875.2</v>
      </c>
      <c r="BN18" s="100">
        <v>7</v>
      </c>
      <c r="BO18" s="100">
        <v>4569.5999999999995</v>
      </c>
      <c r="BP18" s="100">
        <v>10</v>
      </c>
      <c r="BQ18" s="100">
        <v>6528</v>
      </c>
      <c r="BR18" s="100">
        <v>6</v>
      </c>
      <c r="BS18" s="100">
        <v>3916.7999999999997</v>
      </c>
      <c r="BT18" s="100">
        <v>7</v>
      </c>
      <c r="BU18" s="100">
        <v>4569.5999999999995</v>
      </c>
      <c r="BV18" s="100">
        <v>10.377224436858992</v>
      </c>
      <c r="BW18" s="100">
        <v>6774.2521123815495</v>
      </c>
      <c r="BX18" s="100">
        <v>6.245817302304741</v>
      </c>
      <c r="BY18" s="100">
        <v>4077.2695349445348</v>
      </c>
      <c r="BZ18" s="100">
        <v>7</v>
      </c>
      <c r="CA18" s="100">
        <v>4569.5999999999995</v>
      </c>
      <c r="CB18" s="100">
        <v>10</v>
      </c>
      <c r="CC18" s="100">
        <v>6528</v>
      </c>
      <c r="CD18" s="100">
        <v>3.6175535995905683</v>
      </c>
      <c r="CE18" s="100">
        <v>2361.5389898127228</v>
      </c>
      <c r="CF18" s="100">
        <v>3.5865962660094119</v>
      </c>
      <c r="CG18" s="100">
        <v>2341.3300424509439</v>
      </c>
      <c r="CH18" s="100">
        <v>6.5210196524743846</v>
      </c>
      <c r="CI18" s="100">
        <v>4256.9216291352777</v>
      </c>
      <c r="CJ18" s="100">
        <v>11</v>
      </c>
      <c r="CK18" s="100">
        <v>7180.7999999999993</v>
      </c>
      <c r="CL18" s="100">
        <v>7</v>
      </c>
      <c r="CM18" s="100">
        <v>4569.5999999999995</v>
      </c>
      <c r="CN18" s="100">
        <v>8.3310552644157898</v>
      </c>
      <c r="CO18" s="100">
        <v>5438.5128766106272</v>
      </c>
      <c r="CP18" s="100">
        <v>4.0010838199590983</v>
      </c>
      <c r="CQ18" s="100">
        <v>2611.9075176692991</v>
      </c>
      <c r="CR18" s="100">
        <v>8.4160613543001084</v>
      </c>
      <c r="CS18" s="100">
        <v>5494.0048520871105</v>
      </c>
      <c r="CT18" s="100">
        <v>5.848246632596398</v>
      </c>
      <c r="CU18" s="100">
        <v>3817.7354017589282</v>
      </c>
    </row>
    <row r="19" spans="2:99">
      <c r="C19" s="99" t="s">
        <v>185</v>
      </c>
      <c r="D19" s="100">
        <v>7</v>
      </c>
      <c r="E19" s="100">
        <v>2310</v>
      </c>
      <c r="F19" s="100">
        <v>5</v>
      </c>
      <c r="G19" s="100">
        <v>1650</v>
      </c>
      <c r="H19" s="100">
        <v>6</v>
      </c>
      <c r="I19" s="100">
        <v>1980</v>
      </c>
      <c r="J19" s="100">
        <v>9</v>
      </c>
      <c r="K19" s="100">
        <v>2970</v>
      </c>
      <c r="L19" s="100">
        <v>6</v>
      </c>
      <c r="M19" s="100">
        <v>1980</v>
      </c>
      <c r="N19" s="100">
        <v>6</v>
      </c>
      <c r="O19" s="100">
        <v>1980</v>
      </c>
      <c r="P19" s="100">
        <v>5</v>
      </c>
      <c r="Q19" s="100">
        <v>1650</v>
      </c>
      <c r="R19" s="100">
        <v>7</v>
      </c>
      <c r="S19" s="100">
        <v>2310</v>
      </c>
      <c r="T19" s="100">
        <v>6</v>
      </c>
      <c r="U19" s="100">
        <v>1980</v>
      </c>
      <c r="V19" s="100">
        <v>6</v>
      </c>
      <c r="W19" s="100">
        <v>1980</v>
      </c>
      <c r="X19" s="100">
        <v>5</v>
      </c>
      <c r="Y19" s="100">
        <v>1650</v>
      </c>
      <c r="Z19" s="100">
        <v>6</v>
      </c>
      <c r="AA19" s="100">
        <v>1980</v>
      </c>
      <c r="AB19" s="100">
        <v>9</v>
      </c>
      <c r="AC19" s="100">
        <v>2970</v>
      </c>
      <c r="AD19" s="100">
        <v>9</v>
      </c>
      <c r="AE19" s="100">
        <v>2970</v>
      </c>
      <c r="AF19" s="100">
        <v>9</v>
      </c>
      <c r="AG19" s="100">
        <v>2970</v>
      </c>
      <c r="AH19" s="100">
        <v>6.5206247810037929</v>
      </c>
      <c r="AI19" s="100">
        <v>2151.8061777312519</v>
      </c>
      <c r="AJ19" s="100">
        <v>8</v>
      </c>
      <c r="AK19" s="100">
        <v>2640</v>
      </c>
      <c r="AL19" s="100">
        <v>5</v>
      </c>
      <c r="AM19" s="100">
        <v>1650</v>
      </c>
      <c r="AN19" s="100">
        <v>5.0995717954633957</v>
      </c>
      <c r="AO19" s="100">
        <v>1682.8586925029206</v>
      </c>
      <c r="AP19" s="100">
        <v>8.3235468828269763</v>
      </c>
      <c r="AQ19" s="100">
        <v>2746.7704713329022</v>
      </c>
      <c r="AR19" s="100">
        <v>6.4273371821363936</v>
      </c>
      <c r="AS19" s="100">
        <v>2121.02127010501</v>
      </c>
      <c r="AT19" s="100">
        <v>6</v>
      </c>
      <c r="AU19" s="100">
        <v>1980</v>
      </c>
      <c r="AV19" s="100">
        <v>9</v>
      </c>
      <c r="AW19" s="100">
        <v>2970</v>
      </c>
      <c r="AX19" s="100">
        <v>7.6495400687676831</v>
      </c>
      <c r="AY19" s="100">
        <v>2524.3482226933356</v>
      </c>
      <c r="AZ19" s="100">
        <v>5.7518805610078827</v>
      </c>
      <c r="BA19" s="100">
        <v>1898.1205851326013</v>
      </c>
      <c r="BB19" s="100">
        <v>10.453493062766599</v>
      </c>
      <c r="BC19" s="100">
        <v>3449.6527107129778</v>
      </c>
      <c r="BD19" s="100">
        <v>4.0161171427590059</v>
      </c>
      <c r="BE19" s="100">
        <v>1325.318657110472</v>
      </c>
      <c r="BF19" s="100">
        <v>6</v>
      </c>
      <c r="BG19" s="100">
        <v>1980</v>
      </c>
      <c r="BH19" s="100">
        <v>4.2145583245834555</v>
      </c>
      <c r="BI19" s="100">
        <v>1390.8042471125402</v>
      </c>
      <c r="BJ19" s="100">
        <v>1.9397953848722871</v>
      </c>
      <c r="BK19" s="100">
        <v>640.13247700785473</v>
      </c>
      <c r="BL19" s="100">
        <v>9</v>
      </c>
      <c r="BM19" s="100">
        <v>2970</v>
      </c>
      <c r="BN19" s="100">
        <v>6</v>
      </c>
      <c r="BO19" s="100">
        <v>1980</v>
      </c>
      <c r="BP19" s="100">
        <v>9</v>
      </c>
      <c r="BQ19" s="100">
        <v>2970</v>
      </c>
      <c r="BR19" s="100">
        <v>7</v>
      </c>
      <c r="BS19" s="100">
        <v>2310</v>
      </c>
      <c r="BT19" s="100">
        <v>7</v>
      </c>
      <c r="BU19" s="100">
        <v>2310</v>
      </c>
      <c r="BV19" s="100">
        <v>11.345789067120743</v>
      </c>
      <c r="BW19" s="100">
        <v>3744.1103921498452</v>
      </c>
      <c r="BX19" s="100">
        <v>7.0265444650928339</v>
      </c>
      <c r="BY19" s="100">
        <v>2318.7596734806352</v>
      </c>
      <c r="BZ19" s="100">
        <v>6</v>
      </c>
      <c r="CA19" s="100">
        <v>1980</v>
      </c>
      <c r="CB19" s="100">
        <v>10</v>
      </c>
      <c r="CC19" s="100">
        <v>3300</v>
      </c>
      <c r="CD19" s="100">
        <v>4.0850029751644561</v>
      </c>
      <c r="CE19" s="100">
        <v>1348.0509818042706</v>
      </c>
      <c r="CF19" s="100">
        <v>4.1843623103443139</v>
      </c>
      <c r="CG19" s="100">
        <v>1380.8395624136235</v>
      </c>
      <c r="CH19" s="100">
        <v>6.5210196524743846</v>
      </c>
      <c r="CI19" s="100">
        <v>2151.9364853165471</v>
      </c>
      <c r="CJ19" s="100">
        <v>11</v>
      </c>
      <c r="CK19" s="100">
        <v>3630</v>
      </c>
      <c r="CL19" s="100">
        <v>9</v>
      </c>
      <c r="CM19" s="100">
        <v>2970</v>
      </c>
      <c r="CN19" s="100">
        <v>9.3310552644157898</v>
      </c>
      <c r="CO19" s="100">
        <v>3079.2482372572108</v>
      </c>
      <c r="CP19" s="100">
        <v>4.0010838199590983</v>
      </c>
      <c r="CQ19" s="100">
        <v>1320.3576605865026</v>
      </c>
      <c r="CR19" s="100">
        <v>7.3698323149334293</v>
      </c>
      <c r="CS19" s="100">
        <v>2432.0446639280317</v>
      </c>
      <c r="CT19" s="100">
        <v>5.2866831093091644</v>
      </c>
      <c r="CU19" s="100">
        <v>1744.6054260720243</v>
      </c>
    </row>
    <row r="20" spans="2:99">
      <c r="B20" s="99" t="s">
        <v>127</v>
      </c>
      <c r="C20" s="99" t="s">
        <v>186</v>
      </c>
      <c r="D20" s="100">
        <v>15</v>
      </c>
      <c r="E20" s="100">
        <v>4302</v>
      </c>
      <c r="F20" s="100">
        <v>10</v>
      </c>
      <c r="G20" s="100">
        <v>2868</v>
      </c>
      <c r="H20" s="100">
        <v>14</v>
      </c>
      <c r="I20" s="100">
        <v>4015.2000000000003</v>
      </c>
      <c r="J20" s="100">
        <v>13</v>
      </c>
      <c r="K20" s="100">
        <v>3728.4</v>
      </c>
      <c r="L20" s="100">
        <v>8</v>
      </c>
      <c r="M20" s="100">
        <v>2294.4</v>
      </c>
      <c r="N20" s="100">
        <v>8</v>
      </c>
      <c r="O20" s="100">
        <v>2294.4</v>
      </c>
      <c r="P20" s="100">
        <v>11</v>
      </c>
      <c r="Q20" s="100">
        <v>3154.8</v>
      </c>
      <c r="R20" s="100">
        <v>15</v>
      </c>
      <c r="S20" s="100">
        <v>4302</v>
      </c>
      <c r="T20" s="100">
        <v>9</v>
      </c>
      <c r="U20" s="100">
        <v>2581.2000000000003</v>
      </c>
      <c r="V20" s="100">
        <v>13</v>
      </c>
      <c r="W20" s="100">
        <v>3728.4</v>
      </c>
      <c r="X20" s="100">
        <v>8</v>
      </c>
      <c r="Y20" s="100">
        <v>2294.4</v>
      </c>
      <c r="Z20" s="100">
        <v>9</v>
      </c>
      <c r="AA20" s="100">
        <v>2581.2000000000003</v>
      </c>
      <c r="AB20" s="100">
        <v>11</v>
      </c>
      <c r="AC20" s="100">
        <v>3154.8</v>
      </c>
      <c r="AD20" s="100">
        <v>9</v>
      </c>
      <c r="AE20" s="100">
        <v>2581.2000000000003</v>
      </c>
      <c r="AF20" s="100">
        <v>12</v>
      </c>
      <c r="AG20" s="100">
        <v>3441.6000000000004</v>
      </c>
      <c r="AH20" s="100">
        <v>10.824322569922673</v>
      </c>
      <c r="AI20" s="100">
        <v>3104.4157130538229</v>
      </c>
      <c r="AJ20" s="100">
        <v>15</v>
      </c>
      <c r="AK20" s="100">
        <v>4302</v>
      </c>
      <c r="AL20" s="100">
        <v>14</v>
      </c>
      <c r="AM20" s="100">
        <v>4015.2000000000003</v>
      </c>
      <c r="AN20" s="100">
        <v>8.1866971164938658</v>
      </c>
      <c r="AO20" s="100">
        <v>2347.9447330104408</v>
      </c>
      <c r="AP20" s="100">
        <v>14.452965635957767</v>
      </c>
      <c r="AQ20" s="100">
        <v>4145.1105443926881</v>
      </c>
      <c r="AR20" s="100">
        <v>12.641005773204592</v>
      </c>
      <c r="AS20" s="100">
        <v>3625.440455755077</v>
      </c>
      <c r="AT20" s="100">
        <v>11</v>
      </c>
      <c r="AU20" s="100">
        <v>3154.8</v>
      </c>
      <c r="AV20" s="100">
        <v>13</v>
      </c>
      <c r="AW20" s="100">
        <v>3728.4</v>
      </c>
      <c r="AX20" s="100">
        <v>10.849398551465432</v>
      </c>
      <c r="AY20" s="100">
        <v>3111.6075045602861</v>
      </c>
      <c r="AZ20" s="100">
        <v>7.9088357713858395</v>
      </c>
      <c r="BA20" s="100">
        <v>2268.2540992334589</v>
      </c>
      <c r="BB20" s="100">
        <v>13.700852915184743</v>
      </c>
      <c r="BC20" s="100">
        <v>3929.4046160749845</v>
      </c>
      <c r="BD20" s="100">
        <v>5.3548228570120076</v>
      </c>
      <c r="BE20" s="100">
        <v>1535.7631953910438</v>
      </c>
      <c r="BF20" s="100">
        <v>12</v>
      </c>
      <c r="BG20" s="100">
        <v>3441.6000000000004</v>
      </c>
      <c r="BH20" s="100">
        <v>7.7416186398211435</v>
      </c>
      <c r="BI20" s="100">
        <v>2220.296225900704</v>
      </c>
      <c r="BJ20" s="100">
        <v>2.9096930773084302</v>
      </c>
      <c r="BK20" s="100">
        <v>834.49997457205779</v>
      </c>
      <c r="BL20" s="100">
        <v>14</v>
      </c>
      <c r="BM20" s="100">
        <v>4015.2000000000003</v>
      </c>
      <c r="BN20" s="100">
        <v>9</v>
      </c>
      <c r="BO20" s="100">
        <v>2581.2000000000003</v>
      </c>
      <c r="BP20" s="100">
        <v>14</v>
      </c>
      <c r="BQ20" s="100">
        <v>4015.2000000000003</v>
      </c>
      <c r="BR20" s="100">
        <v>11</v>
      </c>
      <c r="BS20" s="100">
        <v>3154.8</v>
      </c>
      <c r="BT20" s="100">
        <v>8</v>
      </c>
      <c r="BU20" s="100">
        <v>2294.4</v>
      </c>
      <c r="BV20" s="100">
        <v>16</v>
      </c>
      <c r="BW20" s="100">
        <v>4588.8</v>
      </c>
      <c r="BX20" s="100">
        <v>10.930180279033298</v>
      </c>
      <c r="BY20" s="100">
        <v>3134.7757040267497</v>
      </c>
      <c r="BZ20" s="100">
        <v>14</v>
      </c>
      <c r="CA20" s="100">
        <v>4015.2000000000003</v>
      </c>
      <c r="CB20" s="100">
        <v>15</v>
      </c>
      <c r="CC20" s="100">
        <v>4302</v>
      </c>
      <c r="CD20" s="100">
        <v>4.7558546924058991</v>
      </c>
      <c r="CE20" s="100">
        <v>1363.9791257820118</v>
      </c>
      <c r="CF20" s="100">
        <v>7.7709585763537268</v>
      </c>
      <c r="CG20" s="100">
        <v>2228.7109196982487</v>
      </c>
      <c r="CH20" s="100">
        <v>13.042039304948769</v>
      </c>
      <c r="CI20" s="100">
        <v>3740.456872659307</v>
      </c>
      <c r="CJ20" s="100">
        <v>15</v>
      </c>
      <c r="CK20" s="100">
        <v>4302</v>
      </c>
      <c r="CL20" s="100">
        <v>15</v>
      </c>
      <c r="CM20" s="100">
        <v>4302</v>
      </c>
      <c r="CN20" s="100">
        <v>14.620728620779607</v>
      </c>
      <c r="CO20" s="100">
        <v>4193.2249684395911</v>
      </c>
      <c r="CP20" s="100">
        <v>6.859000834215597</v>
      </c>
      <c r="CQ20" s="100">
        <v>1967.1614392530332</v>
      </c>
      <c r="CR20" s="100">
        <v>14.693435590500181</v>
      </c>
      <c r="CS20" s="100">
        <v>4214.0773273554523</v>
      </c>
      <c r="CT20" s="100">
        <v>8.7829431943366014</v>
      </c>
      <c r="CU20" s="100">
        <v>2518.9481081357376</v>
      </c>
    </row>
    <row r="21" spans="2:99">
      <c r="C21" s="99" t="s">
        <v>187</v>
      </c>
      <c r="D21" s="100">
        <v>13</v>
      </c>
      <c r="E21" s="100">
        <v>811.19999999999993</v>
      </c>
      <c r="F21" s="100">
        <v>10</v>
      </c>
      <c r="G21" s="100">
        <v>624</v>
      </c>
      <c r="H21" s="100">
        <v>14</v>
      </c>
      <c r="I21" s="100">
        <v>873.6</v>
      </c>
      <c r="J21" s="100">
        <v>15</v>
      </c>
      <c r="K21" s="100">
        <v>936</v>
      </c>
      <c r="L21" s="100">
        <v>9</v>
      </c>
      <c r="M21" s="100">
        <v>561.6</v>
      </c>
      <c r="N21" s="100">
        <v>8</v>
      </c>
      <c r="O21" s="100">
        <v>499.2</v>
      </c>
      <c r="P21" s="100">
        <v>10</v>
      </c>
      <c r="Q21" s="100">
        <v>624</v>
      </c>
      <c r="R21" s="100">
        <v>13</v>
      </c>
      <c r="S21" s="100">
        <v>811.19999999999993</v>
      </c>
      <c r="T21" s="100">
        <v>10</v>
      </c>
      <c r="U21" s="100">
        <v>624</v>
      </c>
      <c r="V21" s="100">
        <v>12</v>
      </c>
      <c r="W21" s="100">
        <v>748.8</v>
      </c>
      <c r="X21" s="100">
        <v>9</v>
      </c>
      <c r="Y21" s="100">
        <v>561.6</v>
      </c>
      <c r="Z21" s="100">
        <v>10</v>
      </c>
      <c r="AA21" s="100">
        <v>624</v>
      </c>
      <c r="AB21" s="100">
        <v>11</v>
      </c>
      <c r="AC21" s="100">
        <v>686.4</v>
      </c>
      <c r="AD21" s="100">
        <v>9</v>
      </c>
      <c r="AE21" s="100">
        <v>561.6</v>
      </c>
      <c r="AF21" s="100">
        <v>13</v>
      </c>
      <c r="AG21" s="100">
        <v>811.19999999999993</v>
      </c>
      <c r="AH21" s="100">
        <v>11.95447876517362</v>
      </c>
      <c r="AI21" s="100">
        <v>745.95947494683389</v>
      </c>
      <c r="AJ21" s="100">
        <v>14</v>
      </c>
      <c r="AK21" s="100">
        <v>873.6</v>
      </c>
      <c r="AL21" s="100">
        <v>13</v>
      </c>
      <c r="AM21" s="100">
        <v>811.19999999999993</v>
      </c>
      <c r="AN21" s="100">
        <v>7.1618041676280173</v>
      </c>
      <c r="AO21" s="100">
        <v>446.89658005998825</v>
      </c>
      <c r="AP21" s="100">
        <v>14.452965635957767</v>
      </c>
      <c r="AQ21" s="100">
        <v>901.86505568376469</v>
      </c>
      <c r="AR21" s="100">
        <v>12.72647320963187</v>
      </c>
      <c r="AS21" s="100">
        <v>794.13192828102865</v>
      </c>
      <c r="AT21" s="100">
        <v>12</v>
      </c>
      <c r="AU21" s="100">
        <v>748.8</v>
      </c>
      <c r="AV21" s="100">
        <v>12</v>
      </c>
      <c r="AW21" s="100">
        <v>748.8</v>
      </c>
      <c r="AX21" s="100">
        <v>10.799433930790995</v>
      </c>
      <c r="AY21" s="100">
        <v>673.88467728135811</v>
      </c>
      <c r="AZ21" s="100">
        <v>7.9088357713858395</v>
      </c>
      <c r="BA21" s="100">
        <v>493.5113521344764</v>
      </c>
      <c r="BB21" s="100">
        <v>15.700852915184743</v>
      </c>
      <c r="BC21" s="100">
        <v>979.73322190752799</v>
      </c>
      <c r="BD21" s="100">
        <v>6.0241757141385079</v>
      </c>
      <c r="BE21" s="100">
        <v>375.90856456224287</v>
      </c>
      <c r="BF21" s="100">
        <v>12</v>
      </c>
      <c r="BG21" s="100">
        <v>748.8</v>
      </c>
      <c r="BH21" s="100">
        <v>8.3694031368276836</v>
      </c>
      <c r="BI21" s="100">
        <v>522.25075573804747</v>
      </c>
      <c r="BJ21" s="100">
        <v>3.394641923526502</v>
      </c>
      <c r="BK21" s="100">
        <v>211.82565602805371</v>
      </c>
      <c r="BL21" s="100">
        <v>14</v>
      </c>
      <c r="BM21" s="100">
        <v>873.6</v>
      </c>
      <c r="BN21" s="100">
        <v>8</v>
      </c>
      <c r="BO21" s="100">
        <v>499.2</v>
      </c>
      <c r="BP21" s="100">
        <v>14</v>
      </c>
      <c r="BQ21" s="100">
        <v>873.6</v>
      </c>
      <c r="BR21" s="100">
        <v>10</v>
      </c>
      <c r="BS21" s="100">
        <v>624</v>
      </c>
      <c r="BT21" s="100">
        <v>10</v>
      </c>
      <c r="BU21" s="100">
        <v>624</v>
      </c>
      <c r="BV21" s="100">
        <v>17</v>
      </c>
      <c r="BW21" s="100">
        <v>1060.8</v>
      </c>
      <c r="BX21" s="100">
        <v>11.710907441821391</v>
      </c>
      <c r="BY21" s="100">
        <v>730.76062436965481</v>
      </c>
      <c r="BZ21" s="100">
        <v>15</v>
      </c>
      <c r="CA21" s="100">
        <v>936</v>
      </c>
      <c r="CB21" s="100">
        <v>17</v>
      </c>
      <c r="CC21" s="100">
        <v>1060.8</v>
      </c>
      <c r="CD21" s="100">
        <v>4.7355144582391437</v>
      </c>
      <c r="CE21" s="100">
        <v>295.49610219412256</v>
      </c>
      <c r="CF21" s="100">
        <v>7.7709585763537268</v>
      </c>
      <c r="CG21" s="100">
        <v>484.90781516447254</v>
      </c>
      <c r="CH21" s="100">
        <v>11.178890832813231</v>
      </c>
      <c r="CI21" s="100">
        <v>697.56278796754555</v>
      </c>
      <c r="CJ21" s="100">
        <v>14</v>
      </c>
      <c r="CK21" s="100">
        <v>873.6</v>
      </c>
      <c r="CL21" s="100">
        <v>13</v>
      </c>
      <c r="CM21" s="100">
        <v>811.19999999999993</v>
      </c>
      <c r="CN21" s="100">
        <v>12.703492436883554</v>
      </c>
      <c r="CO21" s="100">
        <v>792.69792806153373</v>
      </c>
      <c r="CP21" s="100">
        <v>8.0021676399181967</v>
      </c>
      <c r="CQ21" s="100">
        <v>499.33526073089547</v>
      </c>
      <c r="CR21" s="100">
        <v>14.785893669233538</v>
      </c>
      <c r="CS21" s="100">
        <v>922.63976496017278</v>
      </c>
      <c r="CT21" s="100">
        <v>8.7617967034525961</v>
      </c>
      <c r="CU21" s="100">
        <v>546.73611429544201</v>
      </c>
    </row>
    <row r="22" spans="2:99">
      <c r="C22" s="99" t="s">
        <v>188</v>
      </c>
      <c r="D22" s="100">
        <v>13</v>
      </c>
      <c r="E22" s="100">
        <v>2433.6</v>
      </c>
      <c r="F22" s="100">
        <v>9</v>
      </c>
      <c r="G22" s="100">
        <v>1684.8</v>
      </c>
      <c r="H22" s="100">
        <v>16</v>
      </c>
      <c r="I22" s="100">
        <v>2995.2</v>
      </c>
      <c r="J22" s="100">
        <v>15</v>
      </c>
      <c r="K22" s="100">
        <v>2808</v>
      </c>
      <c r="L22" s="100">
        <v>8</v>
      </c>
      <c r="M22" s="100">
        <v>1497.6</v>
      </c>
      <c r="N22" s="100">
        <v>7</v>
      </c>
      <c r="O22" s="100">
        <v>1310.3999999999999</v>
      </c>
      <c r="P22" s="100">
        <v>10</v>
      </c>
      <c r="Q22" s="100">
        <v>1872</v>
      </c>
      <c r="R22" s="100">
        <v>13</v>
      </c>
      <c r="S22" s="100">
        <v>2433.6</v>
      </c>
      <c r="T22" s="100">
        <v>9</v>
      </c>
      <c r="U22" s="100">
        <v>1684.8</v>
      </c>
      <c r="V22" s="100">
        <v>14</v>
      </c>
      <c r="W22" s="100">
        <v>2620.7999999999997</v>
      </c>
      <c r="X22" s="100">
        <v>8</v>
      </c>
      <c r="Y22" s="100">
        <v>1497.6</v>
      </c>
      <c r="Z22" s="100">
        <v>10</v>
      </c>
      <c r="AA22" s="100">
        <v>1872</v>
      </c>
      <c r="AB22" s="100">
        <v>12</v>
      </c>
      <c r="AC22" s="100">
        <v>2246.3999999999996</v>
      </c>
      <c r="AD22" s="100">
        <v>8</v>
      </c>
      <c r="AE22" s="100">
        <v>1497.6</v>
      </c>
      <c r="AF22" s="100">
        <v>13</v>
      </c>
      <c r="AG22" s="100">
        <v>2433.6</v>
      </c>
      <c r="AH22" s="100">
        <v>10.824322569922673</v>
      </c>
      <c r="AI22" s="100">
        <v>2026.3131850895243</v>
      </c>
      <c r="AJ22" s="100">
        <v>16</v>
      </c>
      <c r="AK22" s="100">
        <v>2995.2</v>
      </c>
      <c r="AL22" s="100">
        <v>14</v>
      </c>
      <c r="AM22" s="100">
        <v>2620.7999999999997</v>
      </c>
      <c r="AN22" s="100">
        <v>8.1618041676280164</v>
      </c>
      <c r="AO22" s="100">
        <v>1527.8897401799645</v>
      </c>
      <c r="AP22" s="100">
        <v>12.485320324240465</v>
      </c>
      <c r="AQ22" s="100">
        <v>2337.2519646978149</v>
      </c>
      <c r="AR22" s="100">
        <v>13.72647320963187</v>
      </c>
      <c r="AS22" s="100">
        <v>2569.5957848430858</v>
      </c>
      <c r="AT22" s="100">
        <v>12</v>
      </c>
      <c r="AU22" s="100">
        <v>2246.3999999999996</v>
      </c>
      <c r="AV22" s="100">
        <v>13</v>
      </c>
      <c r="AW22" s="100">
        <v>2433.6</v>
      </c>
      <c r="AX22" s="100">
        <v>9.799433930790995</v>
      </c>
      <c r="AY22" s="100">
        <v>1834.4540318440741</v>
      </c>
      <c r="AZ22" s="100">
        <v>7.9088357713858395</v>
      </c>
      <c r="BA22" s="100">
        <v>1480.5340564034291</v>
      </c>
      <c r="BB22" s="100">
        <v>14.659626273115052</v>
      </c>
      <c r="BC22" s="100">
        <v>2744.2820383271373</v>
      </c>
      <c r="BD22" s="100">
        <v>4.6854699998855063</v>
      </c>
      <c r="BE22" s="100">
        <v>877.11998397856667</v>
      </c>
      <c r="BF22" s="100">
        <v>14</v>
      </c>
      <c r="BG22" s="100">
        <v>2620.7999999999997</v>
      </c>
      <c r="BH22" s="100">
        <v>7.7416186398211435</v>
      </c>
      <c r="BI22" s="100">
        <v>1449.231009374518</v>
      </c>
      <c r="BJ22" s="100">
        <v>2.9096930773084302</v>
      </c>
      <c r="BK22" s="100">
        <v>544.69454407213811</v>
      </c>
      <c r="BL22" s="100">
        <v>12</v>
      </c>
      <c r="BM22" s="100">
        <v>2246.3999999999996</v>
      </c>
      <c r="BN22" s="100">
        <v>9</v>
      </c>
      <c r="BO22" s="100">
        <v>1684.8</v>
      </c>
      <c r="BP22" s="100">
        <v>14</v>
      </c>
      <c r="BQ22" s="100">
        <v>2620.7999999999997</v>
      </c>
      <c r="BR22" s="100">
        <v>10</v>
      </c>
      <c r="BS22" s="100">
        <v>1872</v>
      </c>
      <c r="BT22" s="100">
        <v>9</v>
      </c>
      <c r="BU22" s="100">
        <v>1684.8</v>
      </c>
      <c r="BV22" s="100">
        <v>15</v>
      </c>
      <c r="BW22" s="100">
        <v>2808</v>
      </c>
      <c r="BX22" s="100">
        <v>10.930180279033298</v>
      </c>
      <c r="BY22" s="100">
        <v>2046.1297482350333</v>
      </c>
      <c r="BZ22" s="100">
        <v>13</v>
      </c>
      <c r="CA22" s="100">
        <v>2433.6</v>
      </c>
      <c r="CB22" s="100">
        <v>16</v>
      </c>
      <c r="CC22" s="100">
        <v>2995.2</v>
      </c>
      <c r="CD22" s="100">
        <v>4.7355144582391437</v>
      </c>
      <c r="CE22" s="100">
        <v>886.48830658236761</v>
      </c>
      <c r="CF22" s="100">
        <v>7.7709585763537268</v>
      </c>
      <c r="CG22" s="100">
        <v>1454.7234454934176</v>
      </c>
      <c r="CH22" s="100">
        <v>12.110465068880998</v>
      </c>
      <c r="CI22" s="100">
        <v>2267.0790608945226</v>
      </c>
      <c r="CJ22" s="100">
        <v>14</v>
      </c>
      <c r="CK22" s="100">
        <v>2620.7999999999997</v>
      </c>
      <c r="CL22" s="100">
        <v>13</v>
      </c>
      <c r="CM22" s="100">
        <v>2433.6</v>
      </c>
      <c r="CN22" s="100">
        <v>15.66211052883158</v>
      </c>
      <c r="CO22" s="100">
        <v>2931.9470909972715</v>
      </c>
      <c r="CP22" s="100">
        <v>7.4305842370668964</v>
      </c>
      <c r="CQ22" s="100">
        <v>1391.0053691789228</v>
      </c>
      <c r="CR22" s="100">
        <v>14.785893669233538</v>
      </c>
      <c r="CS22" s="100">
        <v>2767.919294880518</v>
      </c>
      <c r="CT22" s="100">
        <v>8.8252361761046103</v>
      </c>
      <c r="CU22" s="100">
        <v>1652.0842121667829</v>
      </c>
    </row>
    <row r="23" spans="2:99">
      <c r="C23" s="99" t="s">
        <v>189</v>
      </c>
      <c r="D23" s="100">
        <v>13</v>
      </c>
      <c r="E23" s="100">
        <v>3822</v>
      </c>
      <c r="F23" s="100">
        <v>10</v>
      </c>
      <c r="G23" s="100">
        <v>2940</v>
      </c>
      <c r="H23" s="100">
        <v>16</v>
      </c>
      <c r="I23" s="100">
        <v>4704</v>
      </c>
      <c r="J23" s="100">
        <v>13</v>
      </c>
      <c r="K23" s="100">
        <v>3822</v>
      </c>
      <c r="L23" s="100">
        <v>7</v>
      </c>
      <c r="M23" s="100">
        <v>2058</v>
      </c>
      <c r="N23" s="100">
        <v>8</v>
      </c>
      <c r="O23" s="100">
        <v>2352</v>
      </c>
      <c r="P23" s="100">
        <v>10</v>
      </c>
      <c r="Q23" s="100">
        <v>2940</v>
      </c>
      <c r="R23" s="100">
        <v>14</v>
      </c>
      <c r="S23" s="100">
        <v>4116</v>
      </c>
      <c r="T23" s="100">
        <v>10</v>
      </c>
      <c r="U23" s="100">
        <v>2940</v>
      </c>
      <c r="V23" s="100">
        <v>12</v>
      </c>
      <c r="W23" s="100">
        <v>3528</v>
      </c>
      <c r="X23" s="100">
        <v>9</v>
      </c>
      <c r="Y23" s="100">
        <v>2646</v>
      </c>
      <c r="Z23" s="100">
        <v>9</v>
      </c>
      <c r="AA23" s="100">
        <v>2646</v>
      </c>
      <c r="AB23" s="100">
        <v>10</v>
      </c>
      <c r="AC23" s="100">
        <v>2940</v>
      </c>
      <c r="AD23" s="100">
        <v>9</v>
      </c>
      <c r="AE23" s="100">
        <v>2646</v>
      </c>
      <c r="AF23" s="100">
        <v>14</v>
      </c>
      <c r="AG23" s="100">
        <v>4116</v>
      </c>
      <c r="AH23" s="100">
        <v>11.867707968339655</v>
      </c>
      <c r="AI23" s="100">
        <v>3489.1061426918586</v>
      </c>
      <c r="AJ23" s="100">
        <v>14</v>
      </c>
      <c r="AK23" s="100">
        <v>4116</v>
      </c>
      <c r="AL23" s="100">
        <v>13</v>
      </c>
      <c r="AM23" s="100">
        <v>3822</v>
      </c>
      <c r="AN23" s="100">
        <v>7.174250642060942</v>
      </c>
      <c r="AO23" s="100">
        <v>2109.2296887659168</v>
      </c>
      <c r="AP23" s="100">
        <v>12.485320324240465</v>
      </c>
      <c r="AQ23" s="100">
        <v>3670.6841753266967</v>
      </c>
      <c r="AR23" s="100">
        <v>12.68373949141823</v>
      </c>
      <c r="AS23" s="100">
        <v>3729.0194104769594</v>
      </c>
      <c r="AT23" s="100">
        <v>12</v>
      </c>
      <c r="AU23" s="100">
        <v>3528</v>
      </c>
      <c r="AV23" s="100">
        <v>14</v>
      </c>
      <c r="AW23" s="100">
        <v>4116</v>
      </c>
      <c r="AX23" s="100">
        <v>10.849398551465432</v>
      </c>
      <c r="AY23" s="100">
        <v>3189.7231741308369</v>
      </c>
      <c r="AZ23" s="100">
        <v>7.9088357713858395</v>
      </c>
      <c r="BA23" s="100">
        <v>2325.197716787437</v>
      </c>
      <c r="BB23" s="100">
        <v>13.742079557254435</v>
      </c>
      <c r="BC23" s="100">
        <v>4040.1713898328039</v>
      </c>
      <c r="BD23" s="100">
        <v>6.0241757141385079</v>
      </c>
      <c r="BE23" s="100">
        <v>1771.1076599567214</v>
      </c>
      <c r="BF23" s="100">
        <v>13</v>
      </c>
      <c r="BG23" s="100">
        <v>3822</v>
      </c>
      <c r="BH23" s="100">
        <v>8.4291166491669109</v>
      </c>
      <c r="BI23" s="100">
        <v>2478.1602948550717</v>
      </c>
      <c r="BJ23" s="100">
        <v>3.394641923526502</v>
      </c>
      <c r="BK23" s="100">
        <v>998.02472551679159</v>
      </c>
      <c r="BL23" s="100">
        <v>13</v>
      </c>
      <c r="BM23" s="100">
        <v>3822</v>
      </c>
      <c r="BN23" s="100">
        <v>8</v>
      </c>
      <c r="BO23" s="100">
        <v>2352</v>
      </c>
      <c r="BP23" s="100">
        <v>14</v>
      </c>
      <c r="BQ23" s="100">
        <v>4116</v>
      </c>
      <c r="BR23" s="100">
        <v>9</v>
      </c>
      <c r="BS23" s="100">
        <v>2646</v>
      </c>
      <c r="BT23" s="100">
        <v>10</v>
      </c>
      <c r="BU23" s="100">
        <v>2940</v>
      </c>
      <c r="BV23" s="100">
        <v>17</v>
      </c>
      <c r="BW23" s="100">
        <v>4998</v>
      </c>
      <c r="BX23" s="100">
        <v>12.491634604609482</v>
      </c>
      <c r="BY23" s="100">
        <v>3672.5405737551878</v>
      </c>
      <c r="BZ23" s="100">
        <v>14</v>
      </c>
      <c r="CA23" s="100">
        <v>4116</v>
      </c>
      <c r="CB23" s="100">
        <v>16</v>
      </c>
      <c r="CC23" s="100">
        <v>4704</v>
      </c>
      <c r="CD23" s="100">
        <v>4.6948339899056331</v>
      </c>
      <c r="CE23" s="100">
        <v>1380.2811930322562</v>
      </c>
      <c r="CF23" s="100">
        <v>8.3687246206886279</v>
      </c>
      <c r="CG23" s="100">
        <v>2460.4050384824568</v>
      </c>
      <c r="CH23" s="100">
        <v>12.110465068880998</v>
      </c>
      <c r="CI23" s="100">
        <v>3560.4767302510136</v>
      </c>
      <c r="CJ23" s="100">
        <v>14</v>
      </c>
      <c r="CK23" s="100">
        <v>4116</v>
      </c>
      <c r="CL23" s="100">
        <v>14</v>
      </c>
      <c r="CM23" s="100">
        <v>4116</v>
      </c>
      <c r="CN23" s="100">
        <v>14.703492436883554</v>
      </c>
      <c r="CO23" s="100">
        <v>4322.8267764437651</v>
      </c>
      <c r="CP23" s="100">
        <v>8.0021676399181967</v>
      </c>
      <c r="CQ23" s="100">
        <v>2352.63728613595</v>
      </c>
      <c r="CR23" s="100">
        <v>13.785893669233538</v>
      </c>
      <c r="CS23" s="100">
        <v>4053.0527387546599</v>
      </c>
      <c r="CT23" s="100">
        <v>8.2636726528173767</v>
      </c>
      <c r="CU23" s="100">
        <v>2429.5197599283088</v>
      </c>
    </row>
    <row r="24" spans="2:99">
      <c r="C24" s="99" t="s">
        <v>190</v>
      </c>
      <c r="D24" s="100">
        <v>13</v>
      </c>
      <c r="E24" s="100">
        <v>4773.5999999999995</v>
      </c>
      <c r="F24" s="100">
        <v>9</v>
      </c>
      <c r="G24" s="100">
        <v>3304.7999999999997</v>
      </c>
      <c r="H24" s="100">
        <v>14</v>
      </c>
      <c r="I24" s="100">
        <v>5140.8</v>
      </c>
      <c r="J24" s="100">
        <v>13</v>
      </c>
      <c r="K24" s="100">
        <v>4773.5999999999995</v>
      </c>
      <c r="L24" s="100">
        <v>8</v>
      </c>
      <c r="M24" s="100">
        <v>2937.6</v>
      </c>
      <c r="N24" s="100">
        <v>7</v>
      </c>
      <c r="O24" s="100">
        <v>2570.4</v>
      </c>
      <c r="P24" s="100">
        <v>10</v>
      </c>
      <c r="Q24" s="100">
        <v>3672</v>
      </c>
      <c r="R24" s="100">
        <v>13</v>
      </c>
      <c r="S24" s="100">
        <v>4773.5999999999995</v>
      </c>
      <c r="T24" s="100">
        <v>10</v>
      </c>
      <c r="U24" s="100">
        <v>3672</v>
      </c>
      <c r="V24" s="100">
        <v>12</v>
      </c>
      <c r="W24" s="100">
        <v>4406.3999999999996</v>
      </c>
      <c r="X24" s="100">
        <v>8</v>
      </c>
      <c r="Y24" s="100">
        <v>2937.6</v>
      </c>
      <c r="Z24" s="100">
        <v>10</v>
      </c>
      <c r="AA24" s="100">
        <v>3672</v>
      </c>
      <c r="AB24" s="100">
        <v>12</v>
      </c>
      <c r="AC24" s="100">
        <v>4406.3999999999996</v>
      </c>
      <c r="AD24" s="100">
        <v>8</v>
      </c>
      <c r="AE24" s="100">
        <v>2937.6</v>
      </c>
      <c r="AF24" s="100">
        <v>12</v>
      </c>
      <c r="AG24" s="100">
        <v>4406.3999999999996</v>
      </c>
      <c r="AH24" s="100">
        <v>10.95447876517362</v>
      </c>
      <c r="AI24" s="100">
        <v>4022.4846025717534</v>
      </c>
      <c r="AJ24" s="100">
        <v>16</v>
      </c>
      <c r="AK24" s="100">
        <v>5875.2</v>
      </c>
      <c r="AL24" s="100">
        <v>15</v>
      </c>
      <c r="AM24" s="100">
        <v>5508</v>
      </c>
      <c r="AN24" s="100">
        <v>8.174250642060942</v>
      </c>
      <c r="AO24" s="100">
        <v>3001.5848357647778</v>
      </c>
      <c r="AP24" s="100">
        <v>13.420610947675069</v>
      </c>
      <c r="AQ24" s="100">
        <v>4928.0483399862851</v>
      </c>
      <c r="AR24" s="100">
        <v>13.641005773204592</v>
      </c>
      <c r="AS24" s="100">
        <v>5008.9773199207257</v>
      </c>
      <c r="AT24" s="100">
        <v>12</v>
      </c>
      <c r="AU24" s="100">
        <v>4406.3999999999996</v>
      </c>
      <c r="AV24" s="100">
        <v>13</v>
      </c>
      <c r="AW24" s="100">
        <v>4773.5999999999995</v>
      </c>
      <c r="AX24" s="100">
        <v>10.799433930790995</v>
      </c>
      <c r="AY24" s="100">
        <v>3965.5521393864533</v>
      </c>
      <c r="AZ24" s="100">
        <v>7.1898507012598545</v>
      </c>
      <c r="BA24" s="100">
        <v>2640.1131775026183</v>
      </c>
      <c r="BB24" s="100">
        <v>14.659626273115052</v>
      </c>
      <c r="BC24" s="100">
        <v>5383.0147674878472</v>
      </c>
      <c r="BD24" s="100">
        <v>5.3548228570120076</v>
      </c>
      <c r="BE24" s="100">
        <v>1966.2909530948091</v>
      </c>
      <c r="BF24" s="100">
        <v>13</v>
      </c>
      <c r="BG24" s="100">
        <v>4773.5999999999995</v>
      </c>
      <c r="BH24" s="100">
        <v>8.3694031368276836</v>
      </c>
      <c r="BI24" s="100">
        <v>3073.2448318431252</v>
      </c>
      <c r="BJ24" s="100">
        <v>3.1521675004174661</v>
      </c>
      <c r="BK24" s="100">
        <v>1157.4759061532934</v>
      </c>
      <c r="BL24" s="100">
        <v>15</v>
      </c>
      <c r="BM24" s="100">
        <v>5508</v>
      </c>
      <c r="BN24" s="100">
        <v>9</v>
      </c>
      <c r="BO24" s="100">
        <v>3304.7999999999997</v>
      </c>
      <c r="BP24" s="100">
        <v>14</v>
      </c>
      <c r="BQ24" s="100">
        <v>5140.8</v>
      </c>
      <c r="BR24" s="100">
        <v>10</v>
      </c>
      <c r="BS24" s="100">
        <v>3672</v>
      </c>
      <c r="BT24" s="100">
        <v>9</v>
      </c>
      <c r="BU24" s="100">
        <v>3304.7999999999997</v>
      </c>
      <c r="BV24" s="100">
        <v>16</v>
      </c>
      <c r="BW24" s="100">
        <v>5875.2</v>
      </c>
      <c r="BX24" s="100">
        <v>11.710907441821391</v>
      </c>
      <c r="BY24" s="100">
        <v>4300.2452126368144</v>
      </c>
      <c r="BZ24" s="100">
        <v>14</v>
      </c>
      <c r="CA24" s="100">
        <v>5140.8</v>
      </c>
      <c r="CB24" s="100">
        <v>16</v>
      </c>
      <c r="CC24" s="100">
        <v>5875.2</v>
      </c>
      <c r="CD24" s="100">
        <v>4.7151742240723875</v>
      </c>
      <c r="CE24" s="100">
        <v>1731.4119750793807</v>
      </c>
      <c r="CF24" s="100">
        <v>8.3687246206886279</v>
      </c>
      <c r="CG24" s="100">
        <v>3072.9956807168642</v>
      </c>
      <c r="CH24" s="100">
        <v>11.178890832813231</v>
      </c>
      <c r="CI24" s="100">
        <v>4104.8887138090186</v>
      </c>
      <c r="CJ24" s="100">
        <v>14</v>
      </c>
      <c r="CK24" s="100">
        <v>5140.8</v>
      </c>
      <c r="CL24" s="100">
        <v>14</v>
      </c>
      <c r="CM24" s="100">
        <v>5140.8</v>
      </c>
      <c r="CN24" s="100">
        <v>14.620728620779607</v>
      </c>
      <c r="CO24" s="100">
        <v>5368.7315495502717</v>
      </c>
      <c r="CP24" s="100">
        <v>6.859000834215597</v>
      </c>
      <c r="CQ24" s="100">
        <v>2518.625106323967</v>
      </c>
      <c r="CR24" s="100">
        <v>14.693435590500181</v>
      </c>
      <c r="CS24" s="100">
        <v>5395.4295488316666</v>
      </c>
      <c r="CT24" s="100">
        <v>8.8040896852206068</v>
      </c>
      <c r="CU24" s="100">
        <v>3232.8617324130068</v>
      </c>
    </row>
    <row r="25" spans="2:99">
      <c r="C25" s="99" t="s">
        <v>191</v>
      </c>
      <c r="D25" s="100">
        <v>14</v>
      </c>
      <c r="E25" s="100">
        <v>7425.5999999999995</v>
      </c>
      <c r="F25" s="100">
        <v>10</v>
      </c>
      <c r="G25" s="100">
        <v>5304</v>
      </c>
      <c r="H25" s="100">
        <v>15</v>
      </c>
      <c r="I25" s="100">
        <v>7956</v>
      </c>
      <c r="J25" s="100">
        <v>15</v>
      </c>
      <c r="K25" s="100">
        <v>7956</v>
      </c>
      <c r="L25" s="100">
        <v>8</v>
      </c>
      <c r="M25" s="100">
        <v>4243.2</v>
      </c>
      <c r="N25" s="100">
        <v>8</v>
      </c>
      <c r="O25" s="100">
        <v>4243.2</v>
      </c>
      <c r="P25" s="100">
        <v>11</v>
      </c>
      <c r="Q25" s="100">
        <v>5834.4</v>
      </c>
      <c r="R25" s="100">
        <v>14</v>
      </c>
      <c r="S25" s="100">
        <v>7425.5999999999995</v>
      </c>
      <c r="T25" s="100">
        <v>9</v>
      </c>
      <c r="U25" s="100">
        <v>4773.5999999999995</v>
      </c>
      <c r="V25" s="100">
        <v>13</v>
      </c>
      <c r="W25" s="100">
        <v>6895.2</v>
      </c>
      <c r="X25" s="100">
        <v>8</v>
      </c>
      <c r="Y25" s="100">
        <v>4243.2</v>
      </c>
      <c r="Z25" s="100">
        <v>10</v>
      </c>
      <c r="AA25" s="100">
        <v>5304</v>
      </c>
      <c r="AB25" s="100">
        <v>12</v>
      </c>
      <c r="AC25" s="100">
        <v>6364.7999999999993</v>
      </c>
      <c r="AD25" s="100">
        <v>8</v>
      </c>
      <c r="AE25" s="100">
        <v>4243.2</v>
      </c>
      <c r="AF25" s="100">
        <v>12</v>
      </c>
      <c r="AG25" s="100">
        <v>6364.7999999999993</v>
      </c>
      <c r="AH25" s="100">
        <v>10.95447876517362</v>
      </c>
      <c r="AI25" s="100">
        <v>5810.2555370480877</v>
      </c>
      <c r="AJ25" s="100">
        <v>16</v>
      </c>
      <c r="AK25" s="100">
        <v>8486.4</v>
      </c>
      <c r="AL25" s="100">
        <v>13</v>
      </c>
      <c r="AM25" s="100">
        <v>6895.2</v>
      </c>
      <c r="AN25" s="100">
        <v>8.174250642060942</v>
      </c>
      <c r="AO25" s="100">
        <v>4335.6225405491232</v>
      </c>
      <c r="AP25" s="100">
        <v>13.420610947675069</v>
      </c>
      <c r="AQ25" s="100">
        <v>7118.2920466468559</v>
      </c>
      <c r="AR25" s="100">
        <v>12.72647320963187</v>
      </c>
      <c r="AS25" s="100">
        <v>6750.1213903887437</v>
      </c>
      <c r="AT25" s="100">
        <v>11</v>
      </c>
      <c r="AU25" s="100">
        <v>5834.4</v>
      </c>
      <c r="AV25" s="100">
        <v>12</v>
      </c>
      <c r="AW25" s="100">
        <v>6364.7999999999993</v>
      </c>
      <c r="AX25" s="100">
        <v>10.799433930790995</v>
      </c>
      <c r="AY25" s="100">
        <v>5728.0197568915437</v>
      </c>
      <c r="AZ25" s="100">
        <v>7.9088357713858395</v>
      </c>
      <c r="BA25" s="100">
        <v>4194.846493143049</v>
      </c>
      <c r="BB25" s="100">
        <v>13.618399631045362</v>
      </c>
      <c r="BC25" s="100">
        <v>7223.1991643064594</v>
      </c>
      <c r="BD25" s="100">
        <v>6.0241757141385079</v>
      </c>
      <c r="BE25" s="100">
        <v>3195.2227987790643</v>
      </c>
      <c r="BF25" s="100">
        <v>12</v>
      </c>
      <c r="BG25" s="100">
        <v>6364.7999999999993</v>
      </c>
      <c r="BH25" s="100">
        <v>7.8013321521603718</v>
      </c>
      <c r="BI25" s="100">
        <v>4137.8265735058612</v>
      </c>
      <c r="BJ25" s="100">
        <v>3.394641923526502</v>
      </c>
      <c r="BK25" s="100">
        <v>1800.5180762384566</v>
      </c>
      <c r="BL25" s="100">
        <v>13</v>
      </c>
      <c r="BM25" s="100">
        <v>6895.2</v>
      </c>
      <c r="BN25" s="100">
        <v>9</v>
      </c>
      <c r="BO25" s="100">
        <v>4773.5999999999995</v>
      </c>
      <c r="BP25" s="100">
        <v>14</v>
      </c>
      <c r="BQ25" s="100">
        <v>7425.5999999999995</v>
      </c>
      <c r="BR25" s="100">
        <v>10</v>
      </c>
      <c r="BS25" s="100">
        <v>5304</v>
      </c>
      <c r="BT25" s="100">
        <v>10</v>
      </c>
      <c r="BU25" s="100">
        <v>5304</v>
      </c>
      <c r="BV25" s="100">
        <v>15</v>
      </c>
      <c r="BW25" s="100">
        <v>7956</v>
      </c>
      <c r="BX25" s="100">
        <v>10.930180279033298</v>
      </c>
      <c r="BY25" s="100">
        <v>5797.3676199992606</v>
      </c>
      <c r="BZ25" s="100">
        <v>13</v>
      </c>
      <c r="CA25" s="100">
        <v>6895.2</v>
      </c>
      <c r="CB25" s="100">
        <v>16</v>
      </c>
      <c r="CC25" s="100">
        <v>8486.4</v>
      </c>
      <c r="CD25" s="100">
        <v>4.7151742240723875</v>
      </c>
      <c r="CE25" s="100">
        <v>2500.9284084479941</v>
      </c>
      <c r="CF25" s="100">
        <v>8.3687246206886279</v>
      </c>
      <c r="CG25" s="100">
        <v>4438.7715388132483</v>
      </c>
      <c r="CH25" s="100">
        <v>12.110465068880998</v>
      </c>
      <c r="CI25" s="100">
        <v>6423.3906725344814</v>
      </c>
      <c r="CJ25" s="100">
        <v>15</v>
      </c>
      <c r="CK25" s="100">
        <v>7956</v>
      </c>
      <c r="CL25" s="100">
        <v>15</v>
      </c>
      <c r="CM25" s="100">
        <v>7956</v>
      </c>
      <c r="CN25" s="100">
        <v>12.579346712727633</v>
      </c>
      <c r="CO25" s="100">
        <v>6672.0854964307364</v>
      </c>
      <c r="CP25" s="100">
        <v>7.4305842370668964</v>
      </c>
      <c r="CQ25" s="100">
        <v>3941.1818793402817</v>
      </c>
      <c r="CR25" s="100">
        <v>13.693435590500181</v>
      </c>
      <c r="CS25" s="100">
        <v>7262.9982372012955</v>
      </c>
      <c r="CT25" s="100">
        <v>8.2213796710493661</v>
      </c>
      <c r="CU25" s="100">
        <v>4360.6197775245837</v>
      </c>
    </row>
    <row r="26" spans="2:99">
      <c r="C26" s="99" t="s">
        <v>192</v>
      </c>
      <c r="D26" s="100">
        <v>15</v>
      </c>
      <c r="E26" s="100">
        <v>7290</v>
      </c>
      <c r="F26" s="100">
        <v>10</v>
      </c>
      <c r="G26" s="100">
        <v>4860</v>
      </c>
      <c r="H26" s="100">
        <v>13</v>
      </c>
      <c r="I26" s="100">
        <v>6318</v>
      </c>
      <c r="J26" s="100">
        <v>14</v>
      </c>
      <c r="K26" s="100">
        <v>6804</v>
      </c>
      <c r="L26" s="100">
        <v>8</v>
      </c>
      <c r="M26" s="100">
        <v>3888</v>
      </c>
      <c r="N26" s="100">
        <v>7</v>
      </c>
      <c r="O26" s="100">
        <v>3402</v>
      </c>
      <c r="P26" s="100">
        <v>11</v>
      </c>
      <c r="Q26" s="100">
        <v>5346</v>
      </c>
      <c r="R26" s="100">
        <v>13</v>
      </c>
      <c r="S26" s="100">
        <v>6318</v>
      </c>
      <c r="T26" s="100">
        <v>10</v>
      </c>
      <c r="U26" s="100">
        <v>4860</v>
      </c>
      <c r="V26" s="100">
        <v>13</v>
      </c>
      <c r="W26" s="100">
        <v>6318</v>
      </c>
      <c r="X26" s="100">
        <v>9</v>
      </c>
      <c r="Y26" s="100">
        <v>4374</v>
      </c>
      <c r="Z26" s="100">
        <v>9</v>
      </c>
      <c r="AA26" s="100">
        <v>4374</v>
      </c>
      <c r="AB26" s="100">
        <v>12</v>
      </c>
      <c r="AC26" s="100">
        <v>5832</v>
      </c>
      <c r="AD26" s="100">
        <v>8</v>
      </c>
      <c r="AE26" s="100">
        <v>3888</v>
      </c>
      <c r="AF26" s="100">
        <v>13</v>
      </c>
      <c r="AG26" s="100">
        <v>6318</v>
      </c>
      <c r="AH26" s="100">
        <v>10.824322569922673</v>
      </c>
      <c r="AI26" s="100">
        <v>5260.6207689824187</v>
      </c>
      <c r="AJ26" s="100">
        <v>16</v>
      </c>
      <c r="AK26" s="100">
        <v>7776</v>
      </c>
      <c r="AL26" s="100">
        <v>15</v>
      </c>
      <c r="AM26" s="100">
        <v>7290</v>
      </c>
      <c r="AN26" s="100">
        <v>8.1618041676280164</v>
      </c>
      <c r="AO26" s="100">
        <v>3966.6368254672161</v>
      </c>
      <c r="AP26" s="100">
        <v>12.452965635957767</v>
      </c>
      <c r="AQ26" s="100">
        <v>6052.1412990754752</v>
      </c>
      <c r="AR26" s="100">
        <v>13.641005773204592</v>
      </c>
      <c r="AS26" s="100">
        <v>6629.5288057774314</v>
      </c>
      <c r="AT26" s="100">
        <v>11</v>
      </c>
      <c r="AU26" s="100">
        <v>5346</v>
      </c>
      <c r="AV26" s="100">
        <v>13</v>
      </c>
      <c r="AW26" s="100">
        <v>6318</v>
      </c>
      <c r="AX26" s="100">
        <v>10.749469310116558</v>
      </c>
      <c r="AY26" s="100">
        <v>5224.2420847166468</v>
      </c>
      <c r="AZ26" s="100">
        <v>7.9088357713858395</v>
      </c>
      <c r="BA26" s="100">
        <v>3843.694184893518</v>
      </c>
      <c r="BB26" s="100">
        <v>13.742079557254435</v>
      </c>
      <c r="BC26" s="100">
        <v>6678.6506648256554</v>
      </c>
      <c r="BD26" s="100">
        <v>5.3548228570120076</v>
      </c>
      <c r="BE26" s="100">
        <v>2602.4439085078357</v>
      </c>
      <c r="BF26" s="100">
        <v>14</v>
      </c>
      <c r="BG26" s="100">
        <v>6804</v>
      </c>
      <c r="BH26" s="100">
        <v>7.7416186398211435</v>
      </c>
      <c r="BI26" s="100">
        <v>3762.4266589530757</v>
      </c>
      <c r="BJ26" s="100">
        <v>3.394641923526502</v>
      </c>
      <c r="BK26" s="100">
        <v>1649.7959748338799</v>
      </c>
      <c r="BL26" s="100">
        <v>14</v>
      </c>
      <c r="BM26" s="100">
        <v>6804</v>
      </c>
      <c r="BN26" s="100">
        <v>9</v>
      </c>
      <c r="BO26" s="100">
        <v>4374</v>
      </c>
      <c r="BP26" s="100">
        <v>12</v>
      </c>
      <c r="BQ26" s="100">
        <v>5832</v>
      </c>
      <c r="BR26" s="100">
        <v>9</v>
      </c>
      <c r="BS26" s="100">
        <v>4374</v>
      </c>
      <c r="BT26" s="100">
        <v>9</v>
      </c>
      <c r="BU26" s="100">
        <v>4374</v>
      </c>
      <c r="BV26" s="100">
        <v>15</v>
      </c>
      <c r="BW26" s="100">
        <v>7290</v>
      </c>
      <c r="BX26" s="100">
        <v>11.710907441821391</v>
      </c>
      <c r="BY26" s="100">
        <v>5691.5010167251958</v>
      </c>
      <c r="BZ26" s="100">
        <v>14</v>
      </c>
      <c r="CA26" s="100">
        <v>6804</v>
      </c>
      <c r="CB26" s="100">
        <v>17</v>
      </c>
      <c r="CC26" s="100">
        <v>8262</v>
      </c>
      <c r="CD26" s="100">
        <v>5.1012626629792539</v>
      </c>
      <c r="CE26" s="100">
        <v>2479.2136542079174</v>
      </c>
      <c r="CF26" s="100">
        <v>7.7709585763537268</v>
      </c>
      <c r="CG26" s="100">
        <v>3776.6858681079111</v>
      </c>
      <c r="CH26" s="100">
        <v>11.178890832813231</v>
      </c>
      <c r="CI26" s="100">
        <v>5432.9409447472299</v>
      </c>
      <c r="CJ26" s="100">
        <v>14</v>
      </c>
      <c r="CK26" s="100">
        <v>6804</v>
      </c>
      <c r="CL26" s="100">
        <v>14</v>
      </c>
      <c r="CM26" s="100">
        <v>6804</v>
      </c>
      <c r="CN26" s="100">
        <v>14.620728620779607</v>
      </c>
      <c r="CO26" s="100">
        <v>7105.674109698889</v>
      </c>
      <c r="CP26" s="100">
        <v>6.859000834215597</v>
      </c>
      <c r="CQ26" s="100">
        <v>3333.4744054287803</v>
      </c>
      <c r="CR26" s="100">
        <v>15.739664629866859</v>
      </c>
      <c r="CS26" s="100">
        <v>7649.4770101152935</v>
      </c>
      <c r="CT26" s="100">
        <v>8.8252361761046103</v>
      </c>
      <c r="CU26" s="100">
        <v>4289.0647815868406</v>
      </c>
    </row>
    <row r="27" spans="2:99">
      <c r="C27" s="99" t="s">
        <v>193</v>
      </c>
      <c r="D27" s="100">
        <v>16</v>
      </c>
      <c r="E27" s="100">
        <v>6835.2</v>
      </c>
      <c r="F27" s="100">
        <v>10</v>
      </c>
      <c r="G27" s="100">
        <v>4272</v>
      </c>
      <c r="H27" s="100">
        <v>13</v>
      </c>
      <c r="I27" s="100">
        <v>5553.5999999999995</v>
      </c>
      <c r="J27" s="100">
        <v>16</v>
      </c>
      <c r="K27" s="100">
        <v>6835.2</v>
      </c>
      <c r="L27" s="100">
        <v>9</v>
      </c>
      <c r="M27" s="100">
        <v>3844.7999999999997</v>
      </c>
      <c r="N27" s="100">
        <v>8</v>
      </c>
      <c r="O27" s="100">
        <v>3417.6</v>
      </c>
      <c r="P27" s="100">
        <v>9</v>
      </c>
      <c r="Q27" s="100">
        <v>3844.7999999999997</v>
      </c>
      <c r="R27" s="100">
        <v>13</v>
      </c>
      <c r="S27" s="100">
        <v>5553.5999999999995</v>
      </c>
      <c r="T27" s="100">
        <v>10</v>
      </c>
      <c r="U27" s="100">
        <v>4272</v>
      </c>
      <c r="V27" s="100">
        <v>12</v>
      </c>
      <c r="W27" s="100">
        <v>5126.3999999999996</v>
      </c>
      <c r="X27" s="100">
        <v>8</v>
      </c>
      <c r="Y27" s="100">
        <v>3417.6</v>
      </c>
      <c r="Z27" s="100">
        <v>9</v>
      </c>
      <c r="AA27" s="100">
        <v>3844.7999999999997</v>
      </c>
      <c r="AB27" s="100">
        <v>11</v>
      </c>
      <c r="AC27" s="100">
        <v>4699.2</v>
      </c>
      <c r="AD27" s="100">
        <v>8</v>
      </c>
      <c r="AE27" s="100">
        <v>3417.6</v>
      </c>
      <c r="AF27" s="100">
        <v>14</v>
      </c>
      <c r="AG27" s="100">
        <v>5980.8</v>
      </c>
      <c r="AH27" s="100">
        <v>11.824322569922673</v>
      </c>
      <c r="AI27" s="100">
        <v>5051.3506018709659</v>
      </c>
      <c r="AJ27" s="100">
        <v>14</v>
      </c>
      <c r="AK27" s="100">
        <v>5980.8</v>
      </c>
      <c r="AL27" s="100">
        <v>12</v>
      </c>
      <c r="AM27" s="100">
        <v>5126.3999999999996</v>
      </c>
      <c r="AN27" s="100">
        <v>8.1866971164938658</v>
      </c>
      <c r="AO27" s="100">
        <v>3497.3570081661792</v>
      </c>
      <c r="AP27" s="100">
        <v>13.452965635957767</v>
      </c>
      <c r="AQ27" s="100">
        <v>5747.1069196811577</v>
      </c>
      <c r="AR27" s="100">
        <v>14.598272054990952</v>
      </c>
      <c r="AS27" s="100">
        <v>6236.3818218921342</v>
      </c>
      <c r="AT27" s="100">
        <v>11</v>
      </c>
      <c r="AU27" s="100">
        <v>4699.2</v>
      </c>
      <c r="AV27" s="100">
        <v>13</v>
      </c>
      <c r="AW27" s="100">
        <v>5553.5999999999995</v>
      </c>
      <c r="AX27" s="100">
        <v>9.7494693101165577</v>
      </c>
      <c r="AY27" s="100">
        <v>4164.9732892817938</v>
      </c>
      <c r="AZ27" s="100">
        <v>7.1898507012598545</v>
      </c>
      <c r="BA27" s="100">
        <v>3071.5042195782098</v>
      </c>
      <c r="BB27" s="100">
        <v>13.618399631045362</v>
      </c>
      <c r="BC27" s="100">
        <v>5817.7803223825786</v>
      </c>
      <c r="BD27" s="100">
        <v>5.3548228570120076</v>
      </c>
      <c r="BE27" s="100">
        <v>2287.5803245155294</v>
      </c>
      <c r="BF27" s="100">
        <v>14</v>
      </c>
      <c r="BG27" s="100">
        <v>5980.8</v>
      </c>
      <c r="BH27" s="100">
        <v>7.7117618836515289</v>
      </c>
      <c r="BI27" s="100">
        <v>3294.4646766959331</v>
      </c>
      <c r="BJ27" s="100">
        <v>3.1521675004174661</v>
      </c>
      <c r="BK27" s="100">
        <v>1346.6059561783416</v>
      </c>
      <c r="BL27" s="100">
        <v>14</v>
      </c>
      <c r="BM27" s="100">
        <v>5980.8</v>
      </c>
      <c r="BN27" s="100">
        <v>8</v>
      </c>
      <c r="BO27" s="100">
        <v>3417.6</v>
      </c>
      <c r="BP27" s="100">
        <v>14</v>
      </c>
      <c r="BQ27" s="100">
        <v>5980.8</v>
      </c>
      <c r="BR27" s="100">
        <v>9</v>
      </c>
      <c r="BS27" s="100">
        <v>3844.7999999999997</v>
      </c>
      <c r="BT27" s="100">
        <v>10</v>
      </c>
      <c r="BU27" s="100">
        <v>4272</v>
      </c>
      <c r="BV27" s="100">
        <v>17</v>
      </c>
      <c r="BW27" s="100">
        <v>7262.4</v>
      </c>
      <c r="BX27" s="100">
        <v>11.710907441821391</v>
      </c>
      <c r="BY27" s="100">
        <v>5002.8996591460982</v>
      </c>
      <c r="BZ27" s="100">
        <v>14</v>
      </c>
      <c r="CA27" s="100">
        <v>5980.8</v>
      </c>
      <c r="CB27" s="100">
        <v>15</v>
      </c>
      <c r="CC27" s="100">
        <v>6408</v>
      </c>
      <c r="CD27" s="100">
        <v>4.7151742240723875</v>
      </c>
      <c r="CE27" s="100">
        <v>2014.3224285237238</v>
      </c>
      <c r="CF27" s="100">
        <v>8.9664906650235299</v>
      </c>
      <c r="CG27" s="100">
        <v>3830.4848120980519</v>
      </c>
      <c r="CH27" s="100">
        <v>11.178890832813231</v>
      </c>
      <c r="CI27" s="100">
        <v>4775.6221637778117</v>
      </c>
      <c r="CJ27" s="100">
        <v>13</v>
      </c>
      <c r="CK27" s="100">
        <v>5553.5999999999995</v>
      </c>
      <c r="CL27" s="100">
        <v>13</v>
      </c>
      <c r="CM27" s="100">
        <v>5553.5999999999995</v>
      </c>
      <c r="CN27" s="100">
        <v>13.66211052883158</v>
      </c>
      <c r="CO27" s="100">
        <v>5836.4536179168508</v>
      </c>
      <c r="CP27" s="100">
        <v>6.859000834215597</v>
      </c>
      <c r="CQ27" s="100">
        <v>2930.1651563769028</v>
      </c>
      <c r="CR27" s="100">
        <v>13.785893669233538</v>
      </c>
      <c r="CS27" s="100">
        <v>5889.3337754965669</v>
      </c>
      <c r="CT27" s="100">
        <v>7.6386696568781272</v>
      </c>
      <c r="CU27" s="100">
        <v>3263.2396774183358</v>
      </c>
    </row>
    <row r="28" spans="2:99">
      <c r="C28" s="99" t="s">
        <v>194</v>
      </c>
      <c r="D28" s="100">
        <v>13</v>
      </c>
      <c r="E28" s="100">
        <v>9594</v>
      </c>
      <c r="F28" s="100">
        <v>9</v>
      </c>
      <c r="G28" s="100">
        <v>6642</v>
      </c>
      <c r="H28" s="100">
        <v>14</v>
      </c>
      <c r="I28" s="100">
        <v>10332</v>
      </c>
      <c r="J28" s="100">
        <v>13</v>
      </c>
      <c r="K28" s="100">
        <v>9594</v>
      </c>
      <c r="L28" s="100">
        <v>9</v>
      </c>
      <c r="M28" s="100">
        <v>6642</v>
      </c>
      <c r="N28" s="100">
        <v>7</v>
      </c>
      <c r="O28" s="100">
        <v>5166</v>
      </c>
      <c r="P28" s="100">
        <v>10</v>
      </c>
      <c r="Q28" s="100">
        <v>7380</v>
      </c>
      <c r="R28" s="100">
        <v>15</v>
      </c>
      <c r="S28" s="100">
        <v>11070</v>
      </c>
      <c r="T28" s="100">
        <v>9</v>
      </c>
      <c r="U28" s="100">
        <v>6642</v>
      </c>
      <c r="V28" s="100">
        <v>13</v>
      </c>
      <c r="W28" s="100">
        <v>9594</v>
      </c>
      <c r="X28" s="100">
        <v>8</v>
      </c>
      <c r="Y28" s="100">
        <v>5904</v>
      </c>
      <c r="Z28" s="100">
        <v>10</v>
      </c>
      <c r="AA28" s="100">
        <v>7380</v>
      </c>
      <c r="AB28" s="100">
        <v>11</v>
      </c>
      <c r="AC28" s="100">
        <v>8118</v>
      </c>
      <c r="AD28" s="100">
        <v>9</v>
      </c>
      <c r="AE28" s="100">
        <v>6642</v>
      </c>
      <c r="AF28" s="100">
        <v>14</v>
      </c>
      <c r="AG28" s="100">
        <v>10332</v>
      </c>
      <c r="AH28" s="100">
        <v>10.867707968339655</v>
      </c>
      <c r="AI28" s="100">
        <v>8020.3684806346655</v>
      </c>
      <c r="AJ28" s="100">
        <v>15</v>
      </c>
      <c r="AK28" s="100">
        <v>11070</v>
      </c>
      <c r="AL28" s="100">
        <v>15</v>
      </c>
      <c r="AM28" s="100">
        <v>11070</v>
      </c>
      <c r="AN28" s="100">
        <v>8.1493576931950926</v>
      </c>
      <c r="AO28" s="100">
        <v>6014.2259775779785</v>
      </c>
      <c r="AP28" s="100">
        <v>12.420610947675069</v>
      </c>
      <c r="AQ28" s="100">
        <v>9166.4108793842006</v>
      </c>
      <c r="AR28" s="100">
        <v>13.598272054990952</v>
      </c>
      <c r="AS28" s="100">
        <v>10035.524776583323</v>
      </c>
      <c r="AT28" s="100">
        <v>12</v>
      </c>
      <c r="AU28" s="100">
        <v>8856</v>
      </c>
      <c r="AV28" s="100">
        <v>12</v>
      </c>
      <c r="AW28" s="100">
        <v>8856</v>
      </c>
      <c r="AX28" s="100">
        <v>10.749469310116558</v>
      </c>
      <c r="AY28" s="100">
        <v>7933.1083508660195</v>
      </c>
      <c r="AZ28" s="100">
        <v>6.4708656311338677</v>
      </c>
      <c r="BA28" s="100">
        <v>4775.4988357767943</v>
      </c>
      <c r="BB28" s="100">
        <v>13.700852915184743</v>
      </c>
      <c r="BC28" s="100">
        <v>10111.229451406341</v>
      </c>
      <c r="BD28" s="100">
        <v>5.3548228570120076</v>
      </c>
      <c r="BE28" s="100">
        <v>3951.8592684748614</v>
      </c>
      <c r="BF28" s="100">
        <v>12</v>
      </c>
      <c r="BG28" s="100">
        <v>8856</v>
      </c>
      <c r="BH28" s="100">
        <v>7.8013321521603718</v>
      </c>
      <c r="BI28" s="100">
        <v>5757.3831282943547</v>
      </c>
      <c r="BJ28" s="100">
        <v>3.1521675004174661</v>
      </c>
      <c r="BK28" s="100">
        <v>2326.2996153080899</v>
      </c>
      <c r="BL28" s="100">
        <v>13</v>
      </c>
      <c r="BM28" s="100">
        <v>9594</v>
      </c>
      <c r="BN28" s="100">
        <v>8</v>
      </c>
      <c r="BO28" s="100">
        <v>5904</v>
      </c>
      <c r="BP28" s="100">
        <v>13</v>
      </c>
      <c r="BQ28" s="100">
        <v>9594</v>
      </c>
      <c r="BR28" s="100">
        <v>9</v>
      </c>
      <c r="BS28" s="100">
        <v>6642</v>
      </c>
      <c r="BT28" s="100">
        <v>8</v>
      </c>
      <c r="BU28" s="100">
        <v>5904</v>
      </c>
      <c r="BV28" s="100">
        <v>15</v>
      </c>
      <c r="BW28" s="100">
        <v>11070</v>
      </c>
      <c r="BX28" s="100">
        <v>12.491634604609482</v>
      </c>
      <c r="BY28" s="100">
        <v>9218.8263382017976</v>
      </c>
      <c r="BZ28" s="100">
        <v>12</v>
      </c>
      <c r="CA28" s="100">
        <v>8856</v>
      </c>
      <c r="CB28" s="100">
        <v>16</v>
      </c>
      <c r="CC28" s="100">
        <v>11808</v>
      </c>
      <c r="CD28" s="100">
        <v>4.6744937557388768</v>
      </c>
      <c r="CE28" s="100">
        <v>3449.7763917352909</v>
      </c>
      <c r="CF28" s="100">
        <v>7.7709585763537268</v>
      </c>
      <c r="CG28" s="100">
        <v>5734.9674293490507</v>
      </c>
      <c r="CH28" s="100">
        <v>12.110465068880998</v>
      </c>
      <c r="CI28" s="100">
        <v>8937.5232208341768</v>
      </c>
      <c r="CJ28" s="100">
        <v>16</v>
      </c>
      <c r="CK28" s="100">
        <v>11808</v>
      </c>
      <c r="CL28" s="100">
        <v>14</v>
      </c>
      <c r="CM28" s="100">
        <v>10332</v>
      </c>
      <c r="CN28" s="100">
        <v>12.579346712727633</v>
      </c>
      <c r="CO28" s="100">
        <v>9283.5578739929933</v>
      </c>
      <c r="CP28" s="100">
        <v>8.0021676399181967</v>
      </c>
      <c r="CQ28" s="100">
        <v>5905.5997182596293</v>
      </c>
      <c r="CR28" s="100">
        <v>15.693435590500181</v>
      </c>
      <c r="CS28" s="100">
        <v>11581.755465789134</v>
      </c>
      <c r="CT28" s="100">
        <v>8.8252361761046103</v>
      </c>
      <c r="CU28" s="100">
        <v>6513.0242979652021</v>
      </c>
    </row>
    <row r="29" spans="2:99">
      <c r="C29" s="99" t="s">
        <v>195</v>
      </c>
      <c r="D29" s="100">
        <v>15</v>
      </c>
      <c r="E29" s="100">
        <v>5076</v>
      </c>
      <c r="F29" s="100">
        <v>9</v>
      </c>
      <c r="G29" s="100">
        <v>3045.6</v>
      </c>
      <c r="H29" s="100">
        <v>15</v>
      </c>
      <c r="I29" s="100">
        <v>5076</v>
      </c>
      <c r="J29" s="100">
        <v>15</v>
      </c>
      <c r="K29" s="100">
        <v>5076</v>
      </c>
      <c r="L29" s="100">
        <v>8</v>
      </c>
      <c r="M29" s="100">
        <v>2707.2</v>
      </c>
      <c r="N29" s="100">
        <v>8</v>
      </c>
      <c r="O29" s="100">
        <v>2707.2</v>
      </c>
      <c r="P29" s="100">
        <v>10</v>
      </c>
      <c r="Q29" s="100">
        <v>3384</v>
      </c>
      <c r="R29" s="100">
        <v>13</v>
      </c>
      <c r="S29" s="100">
        <v>4399.2</v>
      </c>
      <c r="T29" s="100">
        <v>10</v>
      </c>
      <c r="U29" s="100">
        <v>3384</v>
      </c>
      <c r="V29" s="100">
        <v>13</v>
      </c>
      <c r="W29" s="100">
        <v>4399.2</v>
      </c>
      <c r="X29" s="100">
        <v>8</v>
      </c>
      <c r="Y29" s="100">
        <v>2707.2</v>
      </c>
      <c r="Z29" s="100">
        <v>9</v>
      </c>
      <c r="AA29" s="100">
        <v>3045.6</v>
      </c>
      <c r="AB29" s="100">
        <v>10</v>
      </c>
      <c r="AC29" s="100">
        <v>3384</v>
      </c>
      <c r="AD29" s="100">
        <v>9</v>
      </c>
      <c r="AE29" s="100">
        <v>3045.6</v>
      </c>
      <c r="AF29" s="100">
        <v>14</v>
      </c>
      <c r="AG29" s="100">
        <v>4737.5999999999995</v>
      </c>
      <c r="AH29" s="100">
        <v>11.824322569922673</v>
      </c>
      <c r="AI29" s="100">
        <v>4001.3507576618322</v>
      </c>
      <c r="AJ29" s="100">
        <v>16</v>
      </c>
      <c r="AK29" s="100">
        <v>5414.4</v>
      </c>
      <c r="AL29" s="100">
        <v>14</v>
      </c>
      <c r="AM29" s="100">
        <v>4737.5999999999995</v>
      </c>
      <c r="AN29" s="100">
        <v>7.1866971164938658</v>
      </c>
      <c r="AO29" s="100">
        <v>2431.978304221524</v>
      </c>
      <c r="AP29" s="100">
        <v>13.420610947675069</v>
      </c>
      <c r="AQ29" s="100">
        <v>4541.5347446932428</v>
      </c>
      <c r="AR29" s="100">
        <v>14.68373949141823</v>
      </c>
      <c r="AS29" s="100">
        <v>4968.9774438959284</v>
      </c>
      <c r="AT29" s="100">
        <v>12</v>
      </c>
      <c r="AU29" s="100">
        <v>4060.7999999999997</v>
      </c>
      <c r="AV29" s="100">
        <v>13</v>
      </c>
      <c r="AW29" s="100">
        <v>4399.2</v>
      </c>
      <c r="AX29" s="100">
        <v>9.8993631721398696</v>
      </c>
      <c r="AY29" s="100">
        <v>3349.9444974521316</v>
      </c>
      <c r="AZ29" s="100">
        <v>7.9088357713858395</v>
      </c>
      <c r="BA29" s="100">
        <v>2676.350025036968</v>
      </c>
      <c r="BB29" s="100">
        <v>13.659626273115052</v>
      </c>
      <c r="BC29" s="100">
        <v>4622.4175308221329</v>
      </c>
      <c r="BD29" s="100">
        <v>5.3548228570120076</v>
      </c>
      <c r="BE29" s="100">
        <v>1812.0720548128631</v>
      </c>
      <c r="BF29" s="100">
        <v>14</v>
      </c>
      <c r="BG29" s="100">
        <v>4737.5999999999995</v>
      </c>
      <c r="BH29" s="100">
        <v>8.4291166491669109</v>
      </c>
      <c r="BI29" s="100">
        <v>2852.4130740780824</v>
      </c>
      <c r="BJ29" s="100">
        <v>3.394641923526502</v>
      </c>
      <c r="BK29" s="100">
        <v>1148.7468269213682</v>
      </c>
      <c r="BL29" s="100">
        <v>14</v>
      </c>
      <c r="BM29" s="100">
        <v>4737.5999999999995</v>
      </c>
      <c r="BN29" s="100">
        <v>9</v>
      </c>
      <c r="BO29" s="100">
        <v>3045.6</v>
      </c>
      <c r="BP29" s="100">
        <v>13</v>
      </c>
      <c r="BQ29" s="100">
        <v>4399.2</v>
      </c>
      <c r="BR29" s="100">
        <v>9</v>
      </c>
      <c r="BS29" s="100">
        <v>3045.6</v>
      </c>
      <c r="BT29" s="100">
        <v>8</v>
      </c>
      <c r="BU29" s="100">
        <v>2707.2</v>
      </c>
      <c r="BV29" s="100">
        <v>15</v>
      </c>
      <c r="BW29" s="100">
        <v>5076</v>
      </c>
      <c r="BX29" s="100">
        <v>10.930180279033298</v>
      </c>
      <c r="BY29" s="100">
        <v>3698.7730064248676</v>
      </c>
      <c r="BZ29" s="100">
        <v>14</v>
      </c>
      <c r="CA29" s="100">
        <v>4737.5999999999995</v>
      </c>
      <c r="CB29" s="100">
        <v>16</v>
      </c>
      <c r="CC29" s="100">
        <v>5414.4</v>
      </c>
      <c r="CD29" s="100">
        <v>4.7151742240723875</v>
      </c>
      <c r="CE29" s="100">
        <v>1595.6149574260958</v>
      </c>
      <c r="CF29" s="100">
        <v>7.7709585763537268</v>
      </c>
      <c r="CG29" s="100">
        <v>2629.6923822381009</v>
      </c>
      <c r="CH29" s="100">
        <v>11.178890832813231</v>
      </c>
      <c r="CI29" s="100">
        <v>3782.9366578239969</v>
      </c>
      <c r="CJ29" s="100">
        <v>15</v>
      </c>
      <c r="CK29" s="100">
        <v>5076</v>
      </c>
      <c r="CL29" s="100">
        <v>13</v>
      </c>
      <c r="CM29" s="100">
        <v>4399.2</v>
      </c>
      <c r="CN29" s="100">
        <v>14.620728620779607</v>
      </c>
      <c r="CO29" s="100">
        <v>4947.6545652718187</v>
      </c>
      <c r="CP29" s="100">
        <v>8.0021676399181967</v>
      </c>
      <c r="CQ29" s="100">
        <v>2707.9335293483177</v>
      </c>
      <c r="CR29" s="100">
        <v>13.739664629866859</v>
      </c>
      <c r="CS29" s="100">
        <v>4649.5025107469446</v>
      </c>
      <c r="CT29" s="100">
        <v>7.7021091295301432</v>
      </c>
      <c r="CU29" s="100">
        <v>2606.3937294330003</v>
      </c>
    </row>
    <row r="30" spans="2:99">
      <c r="C30" s="99" t="s">
        <v>196</v>
      </c>
      <c r="D30" s="100">
        <v>15</v>
      </c>
      <c r="E30" s="100">
        <v>2088</v>
      </c>
      <c r="F30" s="100">
        <v>10</v>
      </c>
      <c r="G30" s="100">
        <v>1392</v>
      </c>
      <c r="H30" s="100">
        <v>16</v>
      </c>
      <c r="I30" s="100">
        <v>2227.1999999999998</v>
      </c>
      <c r="J30" s="100">
        <v>15</v>
      </c>
      <c r="K30" s="100">
        <v>2088</v>
      </c>
      <c r="L30" s="100">
        <v>9</v>
      </c>
      <c r="M30" s="100">
        <v>1252.8</v>
      </c>
      <c r="N30" s="100">
        <v>8</v>
      </c>
      <c r="O30" s="100">
        <v>1113.5999999999999</v>
      </c>
      <c r="P30" s="100">
        <v>11</v>
      </c>
      <c r="Q30" s="100">
        <v>1531.1999999999998</v>
      </c>
      <c r="R30" s="100">
        <v>14</v>
      </c>
      <c r="S30" s="100">
        <v>1948.7999999999997</v>
      </c>
      <c r="T30" s="100">
        <v>9</v>
      </c>
      <c r="U30" s="100">
        <v>1252.8</v>
      </c>
      <c r="V30" s="100">
        <v>12</v>
      </c>
      <c r="W30" s="100">
        <v>1670.3999999999999</v>
      </c>
      <c r="X30" s="100">
        <v>9</v>
      </c>
      <c r="Y30" s="100">
        <v>1252.8</v>
      </c>
      <c r="Z30" s="100">
        <v>9</v>
      </c>
      <c r="AA30" s="100">
        <v>1252.8</v>
      </c>
      <c r="AB30" s="100">
        <v>12</v>
      </c>
      <c r="AC30" s="100">
        <v>1670.3999999999999</v>
      </c>
      <c r="AD30" s="100">
        <v>8</v>
      </c>
      <c r="AE30" s="100">
        <v>1113.5999999999999</v>
      </c>
      <c r="AF30" s="100">
        <v>12</v>
      </c>
      <c r="AG30" s="100">
        <v>1670.3999999999999</v>
      </c>
      <c r="AH30" s="100">
        <v>11.824322569922673</v>
      </c>
      <c r="AI30" s="100">
        <v>1645.9457017332359</v>
      </c>
      <c r="AJ30" s="100">
        <v>15</v>
      </c>
      <c r="AK30" s="100">
        <v>2088</v>
      </c>
      <c r="AL30" s="100">
        <v>15</v>
      </c>
      <c r="AM30" s="100">
        <v>2088</v>
      </c>
      <c r="AN30" s="100">
        <v>8.174250642060942</v>
      </c>
      <c r="AO30" s="100">
        <v>1137.855689374883</v>
      </c>
      <c r="AP30" s="100">
        <v>12.420610947675069</v>
      </c>
      <c r="AQ30" s="100">
        <v>1728.9490439163694</v>
      </c>
      <c r="AR30" s="100">
        <v>13.598272054990952</v>
      </c>
      <c r="AS30" s="100">
        <v>1892.8794700547403</v>
      </c>
      <c r="AT30" s="100">
        <v>13</v>
      </c>
      <c r="AU30" s="100">
        <v>1809.6</v>
      </c>
      <c r="AV30" s="100">
        <v>12</v>
      </c>
      <c r="AW30" s="100">
        <v>1670.3999999999999</v>
      </c>
      <c r="AX30" s="100">
        <v>10.799433930790995</v>
      </c>
      <c r="AY30" s="100">
        <v>1503.2812031661065</v>
      </c>
      <c r="AZ30" s="100">
        <v>7.9088357713858395</v>
      </c>
      <c r="BA30" s="100">
        <v>1100.9099393769088</v>
      </c>
      <c r="BB30" s="100">
        <v>12.742079557254435</v>
      </c>
      <c r="BC30" s="100">
        <v>1773.6974743698172</v>
      </c>
      <c r="BD30" s="100">
        <v>5.3548228570120076</v>
      </c>
      <c r="BE30" s="100">
        <v>745.39134169607144</v>
      </c>
      <c r="BF30" s="100">
        <v>15</v>
      </c>
      <c r="BG30" s="100">
        <v>2088</v>
      </c>
      <c r="BH30" s="100">
        <v>7.7416186398211435</v>
      </c>
      <c r="BI30" s="100">
        <v>1077.6333146631032</v>
      </c>
      <c r="BJ30" s="100">
        <v>3.1521675004174661</v>
      </c>
      <c r="BK30" s="100">
        <v>438.78171605811121</v>
      </c>
      <c r="BL30" s="100">
        <v>13</v>
      </c>
      <c r="BM30" s="100">
        <v>1809.6</v>
      </c>
      <c r="BN30" s="100">
        <v>9</v>
      </c>
      <c r="BO30" s="100">
        <v>1252.8</v>
      </c>
      <c r="BP30" s="100">
        <v>13</v>
      </c>
      <c r="BQ30" s="100">
        <v>1809.6</v>
      </c>
      <c r="BR30" s="100">
        <v>9</v>
      </c>
      <c r="BS30" s="100">
        <v>1252.8</v>
      </c>
      <c r="BT30" s="100">
        <v>8</v>
      </c>
      <c r="BU30" s="100">
        <v>1113.5999999999999</v>
      </c>
      <c r="BV30" s="100">
        <v>17</v>
      </c>
      <c r="BW30" s="100">
        <v>2366.3999999999996</v>
      </c>
      <c r="BX30" s="100">
        <v>12.491634604609482</v>
      </c>
      <c r="BY30" s="100">
        <v>1738.8355369616397</v>
      </c>
      <c r="BZ30" s="100">
        <v>14</v>
      </c>
      <c r="CA30" s="100">
        <v>1948.7999999999997</v>
      </c>
      <c r="CB30" s="100">
        <v>16</v>
      </c>
      <c r="CC30" s="100">
        <v>2227.1999999999998</v>
      </c>
      <c r="CD30" s="100">
        <v>4.329085785165522</v>
      </c>
      <c r="CE30" s="100">
        <v>602.60874129504066</v>
      </c>
      <c r="CF30" s="100">
        <v>7.7709585763537268</v>
      </c>
      <c r="CG30" s="100">
        <v>1081.7174338284387</v>
      </c>
      <c r="CH30" s="100">
        <v>13.042039304948769</v>
      </c>
      <c r="CI30" s="100">
        <v>1815.4518712488684</v>
      </c>
      <c r="CJ30" s="100">
        <v>15</v>
      </c>
      <c r="CK30" s="100">
        <v>2088</v>
      </c>
      <c r="CL30" s="100">
        <v>14</v>
      </c>
      <c r="CM30" s="100">
        <v>1948.7999999999997</v>
      </c>
      <c r="CN30" s="100">
        <v>14.66211052883158</v>
      </c>
      <c r="CO30" s="100">
        <v>2040.9657856133558</v>
      </c>
      <c r="CP30" s="100">
        <v>7.4305842370668964</v>
      </c>
      <c r="CQ30" s="100">
        <v>1034.3373257997118</v>
      </c>
      <c r="CR30" s="100">
        <v>14.785893669233538</v>
      </c>
      <c r="CS30" s="100">
        <v>2058.1963987573081</v>
      </c>
      <c r="CT30" s="100">
        <v>7.6809626386461378</v>
      </c>
      <c r="CU30" s="100">
        <v>1069.1899992995423</v>
      </c>
    </row>
    <row r="31" spans="2:99">
      <c r="C31" s="99" t="s">
        <v>197</v>
      </c>
      <c r="D31" s="100">
        <v>15</v>
      </c>
      <c r="E31" s="100">
        <v>5112</v>
      </c>
      <c r="F31" s="100">
        <v>9</v>
      </c>
      <c r="G31" s="100">
        <v>3067.2000000000003</v>
      </c>
      <c r="H31" s="100">
        <v>13</v>
      </c>
      <c r="I31" s="100">
        <v>4430.4000000000005</v>
      </c>
      <c r="J31" s="100">
        <v>15</v>
      </c>
      <c r="K31" s="100">
        <v>5112</v>
      </c>
      <c r="L31" s="100">
        <v>8</v>
      </c>
      <c r="M31" s="100">
        <v>2726.4</v>
      </c>
      <c r="N31" s="100">
        <v>8</v>
      </c>
      <c r="O31" s="100">
        <v>2726.4</v>
      </c>
      <c r="P31" s="100">
        <v>11</v>
      </c>
      <c r="Q31" s="100">
        <v>3748.8</v>
      </c>
      <c r="R31" s="100">
        <v>14</v>
      </c>
      <c r="S31" s="100">
        <v>4771.2</v>
      </c>
      <c r="T31" s="100">
        <v>10</v>
      </c>
      <c r="U31" s="100">
        <v>3408</v>
      </c>
      <c r="V31" s="100">
        <v>14</v>
      </c>
      <c r="W31" s="100">
        <v>4771.2</v>
      </c>
      <c r="X31" s="100">
        <v>8</v>
      </c>
      <c r="Y31" s="100">
        <v>2726.4</v>
      </c>
      <c r="Z31" s="100">
        <v>9</v>
      </c>
      <c r="AA31" s="100">
        <v>3067.2000000000003</v>
      </c>
      <c r="AB31" s="100">
        <v>11</v>
      </c>
      <c r="AC31" s="100">
        <v>3748.8</v>
      </c>
      <c r="AD31" s="100">
        <v>8</v>
      </c>
      <c r="AE31" s="100">
        <v>2726.4</v>
      </c>
      <c r="AF31" s="100">
        <v>12</v>
      </c>
      <c r="AG31" s="100">
        <v>4089.6000000000004</v>
      </c>
      <c r="AH31" s="100">
        <v>10.867707968339655</v>
      </c>
      <c r="AI31" s="100">
        <v>3703.7148756101546</v>
      </c>
      <c r="AJ31" s="100">
        <v>16</v>
      </c>
      <c r="AK31" s="100">
        <v>5452.8</v>
      </c>
      <c r="AL31" s="100">
        <v>12</v>
      </c>
      <c r="AM31" s="100">
        <v>4089.6000000000004</v>
      </c>
      <c r="AN31" s="100">
        <v>8.174250642060942</v>
      </c>
      <c r="AO31" s="100">
        <v>2785.784618814369</v>
      </c>
      <c r="AP31" s="100">
        <v>12.452965635957767</v>
      </c>
      <c r="AQ31" s="100">
        <v>4243.9706887344073</v>
      </c>
      <c r="AR31" s="100">
        <v>13.68373949141823</v>
      </c>
      <c r="AS31" s="100">
        <v>4663.4184186753328</v>
      </c>
      <c r="AT31" s="100">
        <v>11</v>
      </c>
      <c r="AU31" s="100">
        <v>3748.8</v>
      </c>
      <c r="AV31" s="100">
        <v>13</v>
      </c>
      <c r="AW31" s="100">
        <v>4430.4000000000005</v>
      </c>
      <c r="AX31" s="100">
        <v>9.8493985514654323</v>
      </c>
      <c r="AY31" s="100">
        <v>3356.6750263394192</v>
      </c>
      <c r="AZ31" s="100">
        <v>7.9088357713858395</v>
      </c>
      <c r="BA31" s="100">
        <v>2695.3312308882942</v>
      </c>
      <c r="BB31" s="100">
        <v>13.618399631045362</v>
      </c>
      <c r="BC31" s="100">
        <v>4641.1505942602598</v>
      </c>
      <c r="BD31" s="100">
        <v>4.6854699998855063</v>
      </c>
      <c r="BE31" s="100">
        <v>1596.8081759609806</v>
      </c>
      <c r="BF31" s="100">
        <v>14</v>
      </c>
      <c r="BG31" s="100">
        <v>4771.2</v>
      </c>
      <c r="BH31" s="100">
        <v>7.7416186398211435</v>
      </c>
      <c r="BI31" s="100">
        <v>2638.3436324510458</v>
      </c>
      <c r="BJ31" s="100">
        <v>3.1521675004174661</v>
      </c>
      <c r="BK31" s="100">
        <v>1074.2586841422724</v>
      </c>
      <c r="BL31" s="100">
        <v>14</v>
      </c>
      <c r="BM31" s="100">
        <v>4771.2</v>
      </c>
      <c r="BN31" s="100">
        <v>9</v>
      </c>
      <c r="BO31" s="100">
        <v>3067.2000000000003</v>
      </c>
      <c r="BP31" s="100">
        <v>14</v>
      </c>
      <c r="BQ31" s="100">
        <v>4771.2</v>
      </c>
      <c r="BR31" s="100">
        <v>10</v>
      </c>
      <c r="BS31" s="100">
        <v>3408</v>
      </c>
      <c r="BT31" s="100">
        <v>9</v>
      </c>
      <c r="BU31" s="100">
        <v>3067.2000000000003</v>
      </c>
      <c r="BV31" s="100">
        <v>14</v>
      </c>
      <c r="BW31" s="100">
        <v>4771.2</v>
      </c>
      <c r="BX31" s="100">
        <v>11.710907441821391</v>
      </c>
      <c r="BY31" s="100">
        <v>3991.0772561727299</v>
      </c>
      <c r="BZ31" s="100">
        <v>15</v>
      </c>
      <c r="CA31" s="100">
        <v>5112</v>
      </c>
      <c r="CB31" s="100">
        <v>15</v>
      </c>
      <c r="CC31" s="100">
        <v>5112</v>
      </c>
      <c r="CD31" s="100">
        <v>5.1216028971460092</v>
      </c>
      <c r="CE31" s="100">
        <v>1745.44226734736</v>
      </c>
      <c r="CF31" s="100">
        <v>8.3687246206886279</v>
      </c>
      <c r="CG31" s="100">
        <v>2852.0613507306844</v>
      </c>
      <c r="CH31" s="100">
        <v>12.110465068880998</v>
      </c>
      <c r="CI31" s="100">
        <v>4127.2464954746447</v>
      </c>
      <c r="CJ31" s="100">
        <v>16</v>
      </c>
      <c r="CK31" s="100">
        <v>5452.8</v>
      </c>
      <c r="CL31" s="100">
        <v>12</v>
      </c>
      <c r="CM31" s="100">
        <v>4089.6000000000004</v>
      </c>
      <c r="CN31" s="100">
        <v>13.620728620779607</v>
      </c>
      <c r="CO31" s="100">
        <v>4641.9443139616906</v>
      </c>
      <c r="CP31" s="100">
        <v>6.859000834215597</v>
      </c>
      <c r="CQ31" s="100">
        <v>2337.5474843006755</v>
      </c>
      <c r="CR31" s="100">
        <v>12.785893669233538</v>
      </c>
      <c r="CS31" s="100">
        <v>4357.4325624747898</v>
      </c>
      <c r="CT31" s="100">
        <v>7.6809626386461378</v>
      </c>
      <c r="CU31" s="100">
        <v>2617.672067250604</v>
      </c>
    </row>
    <row r="32" spans="2:99">
      <c r="C32" s="99" t="s">
        <v>198</v>
      </c>
      <c r="D32" s="100">
        <v>13</v>
      </c>
      <c r="E32" s="100">
        <v>10920</v>
      </c>
      <c r="F32" s="100">
        <v>10</v>
      </c>
      <c r="G32" s="100">
        <v>8400</v>
      </c>
      <c r="H32" s="100">
        <v>13</v>
      </c>
      <c r="I32" s="100">
        <v>10920</v>
      </c>
      <c r="J32" s="100">
        <v>15</v>
      </c>
      <c r="K32" s="100">
        <v>12600</v>
      </c>
      <c r="L32" s="100">
        <v>8</v>
      </c>
      <c r="M32" s="100">
        <v>6720</v>
      </c>
      <c r="N32" s="100">
        <v>7</v>
      </c>
      <c r="O32" s="100">
        <v>5880</v>
      </c>
      <c r="P32" s="100">
        <v>11</v>
      </c>
      <c r="Q32" s="100">
        <v>9240</v>
      </c>
      <c r="R32" s="100">
        <v>13</v>
      </c>
      <c r="S32" s="100">
        <v>10920</v>
      </c>
      <c r="T32" s="100">
        <v>9</v>
      </c>
      <c r="U32" s="100">
        <v>7560</v>
      </c>
      <c r="V32" s="100">
        <v>13</v>
      </c>
      <c r="W32" s="100">
        <v>10920</v>
      </c>
      <c r="X32" s="100">
        <v>7</v>
      </c>
      <c r="Y32" s="100">
        <v>5880</v>
      </c>
      <c r="Z32" s="100">
        <v>9</v>
      </c>
      <c r="AA32" s="100">
        <v>7560</v>
      </c>
      <c r="AB32" s="100">
        <v>10</v>
      </c>
      <c r="AC32" s="100">
        <v>8400</v>
      </c>
      <c r="AD32" s="100">
        <v>9</v>
      </c>
      <c r="AE32" s="100">
        <v>7560</v>
      </c>
      <c r="AF32" s="100">
        <v>14</v>
      </c>
      <c r="AG32" s="100">
        <v>11760</v>
      </c>
      <c r="AH32" s="100">
        <v>9.9110933667566385</v>
      </c>
      <c r="AI32" s="100">
        <v>8325.3184280755759</v>
      </c>
      <c r="AJ32" s="100">
        <v>15</v>
      </c>
      <c r="AK32" s="100">
        <v>12600</v>
      </c>
      <c r="AL32" s="100">
        <v>14</v>
      </c>
      <c r="AM32" s="100">
        <v>11760</v>
      </c>
      <c r="AN32" s="100">
        <v>8.1618041676280164</v>
      </c>
      <c r="AO32" s="100">
        <v>6855.915500807534</v>
      </c>
      <c r="AP32" s="100">
        <v>12.388256259392373</v>
      </c>
      <c r="AQ32" s="100">
        <v>10406.135257889593</v>
      </c>
      <c r="AR32" s="100">
        <v>13.641005773204592</v>
      </c>
      <c r="AS32" s="100">
        <v>11458.444849491858</v>
      </c>
      <c r="AT32" s="100">
        <v>11</v>
      </c>
      <c r="AU32" s="100">
        <v>9240</v>
      </c>
      <c r="AV32" s="100">
        <v>13</v>
      </c>
      <c r="AW32" s="100">
        <v>10920</v>
      </c>
      <c r="AX32" s="100">
        <v>10.749469310116558</v>
      </c>
      <c r="AY32" s="100">
        <v>9029.5542204979083</v>
      </c>
      <c r="AZ32" s="100">
        <v>7.9088357713858395</v>
      </c>
      <c r="BA32" s="100">
        <v>6643.4220479641053</v>
      </c>
      <c r="BB32" s="100">
        <v>13.618399631045362</v>
      </c>
      <c r="BC32" s="100">
        <v>11439.455690078104</v>
      </c>
      <c r="BD32" s="100">
        <v>5.3548228570120076</v>
      </c>
      <c r="BE32" s="100">
        <v>4498.0511998900865</v>
      </c>
      <c r="BF32" s="100">
        <v>14</v>
      </c>
      <c r="BG32" s="100">
        <v>11760</v>
      </c>
      <c r="BH32" s="100">
        <v>7.7117618836515289</v>
      </c>
      <c r="BI32" s="100">
        <v>6477.8799822672845</v>
      </c>
      <c r="BJ32" s="100">
        <v>3.1521675004174661</v>
      </c>
      <c r="BK32" s="100">
        <v>2647.8207003506714</v>
      </c>
      <c r="BL32" s="100">
        <v>13</v>
      </c>
      <c r="BM32" s="100">
        <v>10920</v>
      </c>
      <c r="BN32" s="100">
        <v>9</v>
      </c>
      <c r="BO32" s="100">
        <v>7560</v>
      </c>
      <c r="BP32" s="100">
        <v>12</v>
      </c>
      <c r="BQ32" s="100">
        <v>10080</v>
      </c>
      <c r="BR32" s="100">
        <v>10</v>
      </c>
      <c r="BS32" s="100">
        <v>8400</v>
      </c>
      <c r="BT32" s="100">
        <v>10</v>
      </c>
      <c r="BU32" s="100">
        <v>8400</v>
      </c>
      <c r="BV32" s="100">
        <v>15.565836655288487</v>
      </c>
      <c r="BW32" s="100">
        <v>13075.302790442329</v>
      </c>
      <c r="BX32" s="100">
        <v>10.149453116245205</v>
      </c>
      <c r="BY32" s="100">
        <v>8525.5406176459728</v>
      </c>
      <c r="BZ32" s="100">
        <v>14</v>
      </c>
      <c r="CA32" s="100">
        <v>11760</v>
      </c>
      <c r="CB32" s="100">
        <v>17</v>
      </c>
      <c r="CC32" s="100">
        <v>14280</v>
      </c>
      <c r="CD32" s="100">
        <v>4.7151742240723875</v>
      </c>
      <c r="CE32" s="100">
        <v>3960.7463482208054</v>
      </c>
      <c r="CF32" s="100">
        <v>8.3687246206886279</v>
      </c>
      <c r="CG32" s="100">
        <v>7029.7286813784476</v>
      </c>
      <c r="CH32" s="100">
        <v>11.178890832813231</v>
      </c>
      <c r="CI32" s="100">
        <v>9390.268299563113</v>
      </c>
      <c r="CJ32" s="100">
        <v>14</v>
      </c>
      <c r="CK32" s="100">
        <v>11760</v>
      </c>
      <c r="CL32" s="100">
        <v>12</v>
      </c>
      <c r="CM32" s="100">
        <v>10080</v>
      </c>
      <c r="CN32" s="100">
        <v>13.579346712727633</v>
      </c>
      <c r="CO32" s="100">
        <v>11406.651238691211</v>
      </c>
      <c r="CP32" s="100">
        <v>8.0021676399181967</v>
      </c>
      <c r="CQ32" s="100">
        <v>6721.8208175312848</v>
      </c>
      <c r="CR32" s="100">
        <v>14.739664629866859</v>
      </c>
      <c r="CS32" s="100">
        <v>12381.318289088162</v>
      </c>
      <c r="CT32" s="100">
        <v>7.6598161477621316</v>
      </c>
      <c r="CU32" s="100">
        <v>6434.2455641201905</v>
      </c>
    </row>
    <row r="33" spans="2:99">
      <c r="C33" s="99" t="s">
        <v>199</v>
      </c>
      <c r="D33" s="100">
        <v>13</v>
      </c>
      <c r="E33" s="100">
        <v>6162</v>
      </c>
      <c r="F33" s="100">
        <v>10</v>
      </c>
      <c r="G33" s="100">
        <v>4740</v>
      </c>
      <c r="H33" s="100">
        <v>13</v>
      </c>
      <c r="I33" s="100">
        <v>6162</v>
      </c>
      <c r="J33" s="100">
        <v>14</v>
      </c>
      <c r="K33" s="100">
        <v>6636</v>
      </c>
      <c r="L33" s="100">
        <v>8</v>
      </c>
      <c r="M33" s="100">
        <v>3792</v>
      </c>
      <c r="N33" s="100">
        <v>7</v>
      </c>
      <c r="O33" s="100">
        <v>3318</v>
      </c>
      <c r="P33" s="100">
        <v>10</v>
      </c>
      <c r="Q33" s="100">
        <v>4740</v>
      </c>
      <c r="R33" s="100">
        <v>13</v>
      </c>
      <c r="S33" s="100">
        <v>6162</v>
      </c>
      <c r="T33" s="100">
        <v>9</v>
      </c>
      <c r="U33" s="100">
        <v>4266</v>
      </c>
      <c r="V33" s="100">
        <v>13</v>
      </c>
      <c r="W33" s="100">
        <v>6162</v>
      </c>
      <c r="X33" s="100">
        <v>8</v>
      </c>
      <c r="Y33" s="100">
        <v>3792</v>
      </c>
      <c r="Z33" s="100">
        <v>10</v>
      </c>
      <c r="AA33" s="100">
        <v>4740</v>
      </c>
      <c r="AB33" s="100">
        <v>12</v>
      </c>
      <c r="AC33" s="100">
        <v>5688</v>
      </c>
      <c r="AD33" s="100">
        <v>9</v>
      </c>
      <c r="AE33" s="100">
        <v>4266</v>
      </c>
      <c r="AF33" s="100">
        <v>13</v>
      </c>
      <c r="AG33" s="100">
        <v>6162</v>
      </c>
      <c r="AH33" s="100">
        <v>11.824322569922673</v>
      </c>
      <c r="AI33" s="100">
        <v>5604.7288981433467</v>
      </c>
      <c r="AJ33" s="100">
        <v>16</v>
      </c>
      <c r="AK33" s="100">
        <v>7584</v>
      </c>
      <c r="AL33" s="100">
        <v>13</v>
      </c>
      <c r="AM33" s="100">
        <v>6162</v>
      </c>
      <c r="AN33" s="100">
        <v>8.174250642060942</v>
      </c>
      <c r="AO33" s="100">
        <v>3874.5948043368867</v>
      </c>
      <c r="AP33" s="100">
        <v>14.485320324240465</v>
      </c>
      <c r="AQ33" s="100">
        <v>6866.0418336899802</v>
      </c>
      <c r="AR33" s="100">
        <v>14.68373949141823</v>
      </c>
      <c r="AS33" s="100">
        <v>6960.0925189322406</v>
      </c>
      <c r="AT33" s="100">
        <v>12</v>
      </c>
      <c r="AU33" s="100">
        <v>5688</v>
      </c>
      <c r="AV33" s="100">
        <v>13</v>
      </c>
      <c r="AW33" s="100">
        <v>6162</v>
      </c>
      <c r="AX33" s="100">
        <v>9.8493985514654323</v>
      </c>
      <c r="AY33" s="100">
        <v>4668.6149133946146</v>
      </c>
      <c r="AZ33" s="100">
        <v>7.9088357713858395</v>
      </c>
      <c r="BA33" s="100">
        <v>3748.788155636888</v>
      </c>
      <c r="BB33" s="100">
        <v>12.742079557254435</v>
      </c>
      <c r="BC33" s="100">
        <v>6039.7457101386026</v>
      </c>
      <c r="BD33" s="100">
        <v>6.0241757141385079</v>
      </c>
      <c r="BE33" s="100">
        <v>2855.4592885016527</v>
      </c>
      <c r="BF33" s="100">
        <v>13</v>
      </c>
      <c r="BG33" s="100">
        <v>6162</v>
      </c>
      <c r="BH33" s="100">
        <v>7.0839773866449898</v>
      </c>
      <c r="BI33" s="100">
        <v>3357.8052812697251</v>
      </c>
      <c r="BJ33" s="100">
        <v>3.394641923526502</v>
      </c>
      <c r="BK33" s="100">
        <v>1609.0602717515619</v>
      </c>
      <c r="BL33" s="100">
        <v>14</v>
      </c>
      <c r="BM33" s="100">
        <v>6636</v>
      </c>
      <c r="BN33" s="100">
        <v>9</v>
      </c>
      <c r="BO33" s="100">
        <v>4266</v>
      </c>
      <c r="BP33" s="100">
        <v>13</v>
      </c>
      <c r="BQ33" s="100">
        <v>6162</v>
      </c>
      <c r="BR33" s="100">
        <v>10</v>
      </c>
      <c r="BS33" s="100">
        <v>4740</v>
      </c>
      <c r="BT33" s="100">
        <v>9</v>
      </c>
      <c r="BU33" s="100">
        <v>4266</v>
      </c>
      <c r="BV33" s="100">
        <v>16</v>
      </c>
      <c r="BW33" s="100">
        <v>7584</v>
      </c>
      <c r="BX33" s="100">
        <v>10.930180279033298</v>
      </c>
      <c r="BY33" s="100">
        <v>5180.9054522617835</v>
      </c>
      <c r="BZ33" s="100">
        <v>13</v>
      </c>
      <c r="CA33" s="100">
        <v>6162</v>
      </c>
      <c r="CB33" s="100">
        <v>15</v>
      </c>
      <c r="CC33" s="100">
        <v>7110</v>
      </c>
      <c r="CD33" s="100">
        <v>4.6744937557388768</v>
      </c>
      <c r="CE33" s="100">
        <v>2215.7100402202277</v>
      </c>
      <c r="CF33" s="100">
        <v>8.3687246206886279</v>
      </c>
      <c r="CG33" s="100">
        <v>3966.7754702064094</v>
      </c>
      <c r="CH33" s="100">
        <v>11.178890832813231</v>
      </c>
      <c r="CI33" s="100">
        <v>5298.7942547534713</v>
      </c>
      <c r="CJ33" s="100">
        <v>13</v>
      </c>
      <c r="CK33" s="100">
        <v>6162</v>
      </c>
      <c r="CL33" s="100">
        <v>13</v>
      </c>
      <c r="CM33" s="100">
        <v>6162</v>
      </c>
      <c r="CN33" s="100">
        <v>13.620728620779607</v>
      </c>
      <c r="CO33" s="100">
        <v>6456.2253662495341</v>
      </c>
      <c r="CP33" s="100">
        <v>7.4305842370668964</v>
      </c>
      <c r="CQ33" s="100">
        <v>3522.0969283697091</v>
      </c>
      <c r="CR33" s="100">
        <v>14.785893669233538</v>
      </c>
      <c r="CS33" s="100">
        <v>7008.513599216697</v>
      </c>
      <c r="CT33" s="100">
        <v>8.7829431943366014</v>
      </c>
      <c r="CU33" s="100">
        <v>4163.1150741155489</v>
      </c>
    </row>
    <row r="34" spans="2:99">
      <c r="C34" s="99" t="s">
        <v>200</v>
      </c>
      <c r="D34" s="100">
        <v>14</v>
      </c>
      <c r="E34" s="100">
        <v>7677.5999999999995</v>
      </c>
      <c r="F34" s="100">
        <v>9</v>
      </c>
      <c r="G34" s="100">
        <v>4935.5999999999995</v>
      </c>
      <c r="H34" s="100">
        <v>13</v>
      </c>
      <c r="I34" s="100">
        <v>7129.2</v>
      </c>
      <c r="J34" s="100">
        <v>15</v>
      </c>
      <c r="K34" s="100">
        <v>8226</v>
      </c>
      <c r="L34" s="100">
        <v>8</v>
      </c>
      <c r="M34" s="100">
        <v>4387.2</v>
      </c>
      <c r="N34" s="100">
        <v>8</v>
      </c>
      <c r="O34" s="100">
        <v>4387.2</v>
      </c>
      <c r="P34" s="100">
        <v>10</v>
      </c>
      <c r="Q34" s="100">
        <v>5484</v>
      </c>
      <c r="R34" s="100">
        <v>14</v>
      </c>
      <c r="S34" s="100">
        <v>7677.5999999999995</v>
      </c>
      <c r="T34" s="100">
        <v>10</v>
      </c>
      <c r="U34" s="100">
        <v>5484</v>
      </c>
      <c r="V34" s="100">
        <v>13</v>
      </c>
      <c r="W34" s="100">
        <v>7129.2</v>
      </c>
      <c r="X34" s="100">
        <v>8</v>
      </c>
      <c r="Y34" s="100">
        <v>4387.2</v>
      </c>
      <c r="Z34" s="100">
        <v>8</v>
      </c>
      <c r="AA34" s="100">
        <v>4387.2</v>
      </c>
      <c r="AB34" s="100">
        <v>11</v>
      </c>
      <c r="AC34" s="100">
        <v>6032.4</v>
      </c>
      <c r="AD34" s="100">
        <v>8</v>
      </c>
      <c r="AE34" s="100">
        <v>4387.2</v>
      </c>
      <c r="AF34" s="100">
        <v>13</v>
      </c>
      <c r="AG34" s="100">
        <v>7129.2</v>
      </c>
      <c r="AH34" s="100">
        <v>11.824322569922673</v>
      </c>
      <c r="AI34" s="100">
        <v>6484.458497345594</v>
      </c>
      <c r="AJ34" s="100">
        <v>14</v>
      </c>
      <c r="AK34" s="100">
        <v>7677.5999999999995</v>
      </c>
      <c r="AL34" s="100">
        <v>14</v>
      </c>
      <c r="AM34" s="100">
        <v>7677.5999999999995</v>
      </c>
      <c r="AN34" s="100">
        <v>8.1866971164938658</v>
      </c>
      <c r="AO34" s="100">
        <v>4489.5846986852357</v>
      </c>
      <c r="AP34" s="100">
        <v>14.420610947675069</v>
      </c>
      <c r="AQ34" s="100">
        <v>7908.2630437050075</v>
      </c>
      <c r="AR34" s="100">
        <v>12.68373949141823</v>
      </c>
      <c r="AS34" s="100">
        <v>6955.7627370937571</v>
      </c>
      <c r="AT34" s="100">
        <v>11</v>
      </c>
      <c r="AU34" s="100">
        <v>6032.4</v>
      </c>
      <c r="AV34" s="100">
        <v>14</v>
      </c>
      <c r="AW34" s="100">
        <v>7677.5999999999995</v>
      </c>
      <c r="AX34" s="100">
        <v>10.749469310116558</v>
      </c>
      <c r="AY34" s="100">
        <v>5895.0089696679197</v>
      </c>
      <c r="AZ34" s="100">
        <v>7.1898507012598545</v>
      </c>
      <c r="BA34" s="100">
        <v>3942.9141245709038</v>
      </c>
      <c r="BB34" s="100">
        <v>12.742079557254435</v>
      </c>
      <c r="BC34" s="100">
        <v>6987.7564291983317</v>
      </c>
      <c r="BD34" s="100">
        <v>4.6854699998855063</v>
      </c>
      <c r="BE34" s="100">
        <v>2569.5117479372116</v>
      </c>
      <c r="BF34" s="100">
        <v>13</v>
      </c>
      <c r="BG34" s="100">
        <v>7129.2</v>
      </c>
      <c r="BH34" s="100">
        <v>7.7416186398211435</v>
      </c>
      <c r="BI34" s="100">
        <v>4245.5036620779147</v>
      </c>
      <c r="BJ34" s="100">
        <v>3.1521675004174661</v>
      </c>
      <c r="BK34" s="100">
        <v>1728.6486572289384</v>
      </c>
      <c r="BL34" s="100">
        <v>13</v>
      </c>
      <c r="BM34" s="100">
        <v>7129.2</v>
      </c>
      <c r="BN34" s="100">
        <v>8</v>
      </c>
      <c r="BO34" s="100">
        <v>4387.2</v>
      </c>
      <c r="BP34" s="100">
        <v>13</v>
      </c>
      <c r="BQ34" s="100">
        <v>7129.2</v>
      </c>
      <c r="BR34" s="100">
        <v>11</v>
      </c>
      <c r="BS34" s="100">
        <v>6032.4</v>
      </c>
      <c r="BT34" s="100">
        <v>9</v>
      </c>
      <c r="BU34" s="100">
        <v>4935.5999999999995</v>
      </c>
      <c r="BV34" s="100">
        <v>16</v>
      </c>
      <c r="BW34" s="100">
        <v>8774.4</v>
      </c>
      <c r="BX34" s="100">
        <v>10.930180279033298</v>
      </c>
      <c r="BY34" s="100">
        <v>5994.1108650218603</v>
      </c>
      <c r="BZ34" s="100">
        <v>13</v>
      </c>
      <c r="CA34" s="100">
        <v>7129.2</v>
      </c>
      <c r="CB34" s="100">
        <v>16</v>
      </c>
      <c r="CC34" s="100">
        <v>8774.4</v>
      </c>
      <c r="CD34" s="100">
        <v>4.329085785165522</v>
      </c>
      <c r="CE34" s="100">
        <v>2374.0706445847723</v>
      </c>
      <c r="CF34" s="100">
        <v>8.3687246206886279</v>
      </c>
      <c r="CG34" s="100">
        <v>4589.4085819856437</v>
      </c>
      <c r="CH34" s="100">
        <v>12.110465068880998</v>
      </c>
      <c r="CI34" s="100">
        <v>6641.3790437743392</v>
      </c>
      <c r="CJ34" s="100">
        <v>13</v>
      </c>
      <c r="CK34" s="100">
        <v>7129.2</v>
      </c>
      <c r="CL34" s="100">
        <v>13</v>
      </c>
      <c r="CM34" s="100">
        <v>7129.2</v>
      </c>
      <c r="CN34" s="100">
        <v>13.66211052883158</v>
      </c>
      <c r="CO34" s="100">
        <v>7492.3014140112382</v>
      </c>
      <c r="CP34" s="100">
        <v>7.4305842370668964</v>
      </c>
      <c r="CQ34" s="100">
        <v>4074.9323956074859</v>
      </c>
      <c r="CR34" s="100">
        <v>13.739664629866859</v>
      </c>
      <c r="CS34" s="100">
        <v>7534.832083018985</v>
      </c>
      <c r="CT34" s="100">
        <v>8.2636726528173767</v>
      </c>
      <c r="CU34" s="100">
        <v>4531.7980828050495</v>
      </c>
    </row>
    <row r="35" spans="2:99">
      <c r="C35" s="99" t="s">
        <v>201</v>
      </c>
      <c r="D35" s="100">
        <v>15</v>
      </c>
      <c r="E35" s="100">
        <v>7541.9999999999982</v>
      </c>
      <c r="F35" s="100">
        <v>9</v>
      </c>
      <c r="G35" s="100">
        <v>4525.1999999999989</v>
      </c>
      <c r="H35" s="100">
        <v>14</v>
      </c>
      <c r="I35" s="100">
        <v>7039.1999999999989</v>
      </c>
      <c r="J35" s="100">
        <v>15</v>
      </c>
      <c r="K35" s="100">
        <v>7541.9999999999982</v>
      </c>
      <c r="L35" s="100">
        <v>8</v>
      </c>
      <c r="M35" s="100">
        <v>4022.3999999999992</v>
      </c>
      <c r="N35" s="100">
        <v>8</v>
      </c>
      <c r="O35" s="100">
        <v>4022.3999999999992</v>
      </c>
      <c r="P35" s="100">
        <v>10</v>
      </c>
      <c r="Q35" s="100">
        <v>5027.9999999999991</v>
      </c>
      <c r="R35" s="100">
        <v>14</v>
      </c>
      <c r="S35" s="100">
        <v>7039.1999999999989</v>
      </c>
      <c r="T35" s="100">
        <v>9</v>
      </c>
      <c r="U35" s="100">
        <v>4525.1999999999989</v>
      </c>
      <c r="V35" s="100">
        <v>12</v>
      </c>
      <c r="W35" s="100">
        <v>6033.5999999999985</v>
      </c>
      <c r="X35" s="100">
        <v>8</v>
      </c>
      <c r="Y35" s="100">
        <v>4022.3999999999992</v>
      </c>
      <c r="Z35" s="100">
        <v>10</v>
      </c>
      <c r="AA35" s="100">
        <v>5027.9999999999991</v>
      </c>
      <c r="AB35" s="100">
        <v>11</v>
      </c>
      <c r="AC35" s="100">
        <v>5530.7999999999993</v>
      </c>
      <c r="AD35" s="100">
        <v>8</v>
      </c>
      <c r="AE35" s="100">
        <v>4022.3999999999992</v>
      </c>
      <c r="AF35" s="100">
        <v>13</v>
      </c>
      <c r="AG35" s="100">
        <v>6536.3999999999987</v>
      </c>
      <c r="AH35" s="100">
        <v>10.824322569922673</v>
      </c>
      <c r="AI35" s="100">
        <v>5442.4693881571193</v>
      </c>
      <c r="AJ35" s="100">
        <v>16</v>
      </c>
      <c r="AK35" s="100">
        <v>8044.7999999999984</v>
      </c>
      <c r="AL35" s="100">
        <v>13</v>
      </c>
      <c r="AM35" s="100">
        <v>6536.3999999999987</v>
      </c>
      <c r="AN35" s="100">
        <v>8.174250642060942</v>
      </c>
      <c r="AO35" s="100">
        <v>4110.0132228282409</v>
      </c>
      <c r="AP35" s="100">
        <v>12.452965635957767</v>
      </c>
      <c r="AQ35" s="100">
        <v>6261.3511217595642</v>
      </c>
      <c r="AR35" s="100">
        <v>12.68373949141823</v>
      </c>
      <c r="AS35" s="100">
        <v>6377.3842162850842</v>
      </c>
      <c r="AT35" s="100">
        <v>11</v>
      </c>
      <c r="AU35" s="100">
        <v>5530.7999999999993</v>
      </c>
      <c r="AV35" s="100">
        <v>13</v>
      </c>
      <c r="AW35" s="100">
        <v>6536.3999999999987</v>
      </c>
      <c r="AX35" s="100">
        <v>9.799433930790995</v>
      </c>
      <c r="AY35" s="100">
        <v>4927.1553804017112</v>
      </c>
      <c r="AZ35" s="100">
        <v>7.1898507012598545</v>
      </c>
      <c r="BA35" s="100">
        <v>3615.0569325934539</v>
      </c>
      <c r="BB35" s="100">
        <v>14.659626273115052</v>
      </c>
      <c r="BC35" s="100">
        <v>7370.8600901222462</v>
      </c>
      <c r="BD35" s="100">
        <v>6.0241757141385079</v>
      </c>
      <c r="BE35" s="100">
        <v>3028.9555490688413</v>
      </c>
      <c r="BF35" s="100">
        <v>14</v>
      </c>
      <c r="BG35" s="100">
        <v>7039.1999999999989</v>
      </c>
      <c r="BH35" s="100">
        <v>7.0541206304753752</v>
      </c>
      <c r="BI35" s="100">
        <v>3546.8118530030179</v>
      </c>
      <c r="BJ35" s="100">
        <v>2.9096930773084302</v>
      </c>
      <c r="BK35" s="100">
        <v>1462.9936792706785</v>
      </c>
      <c r="BL35" s="100">
        <v>13</v>
      </c>
      <c r="BM35" s="100">
        <v>6536.3999999999987</v>
      </c>
      <c r="BN35" s="100">
        <v>8</v>
      </c>
      <c r="BO35" s="100">
        <v>4022.3999999999992</v>
      </c>
      <c r="BP35" s="100">
        <v>14</v>
      </c>
      <c r="BQ35" s="100">
        <v>7039.1999999999989</v>
      </c>
      <c r="BR35" s="100">
        <v>10</v>
      </c>
      <c r="BS35" s="100">
        <v>5027.9999999999991</v>
      </c>
      <c r="BT35" s="100">
        <v>9</v>
      </c>
      <c r="BU35" s="100">
        <v>4525.1999999999989</v>
      </c>
      <c r="BV35" s="100">
        <v>17</v>
      </c>
      <c r="BW35" s="100">
        <v>8547.5999999999985</v>
      </c>
      <c r="BX35" s="100">
        <v>12.491634604609482</v>
      </c>
      <c r="BY35" s="100">
        <v>6280.7938791976467</v>
      </c>
      <c r="BZ35" s="100">
        <v>12</v>
      </c>
      <c r="CA35" s="100">
        <v>6033.5999999999985</v>
      </c>
      <c r="CB35" s="100">
        <v>17</v>
      </c>
      <c r="CC35" s="100">
        <v>8547.5999999999985</v>
      </c>
      <c r="CD35" s="100">
        <v>5.1622833654795208</v>
      </c>
      <c r="CE35" s="100">
        <v>2595.5960761631027</v>
      </c>
      <c r="CF35" s="100">
        <v>8.3687246206886279</v>
      </c>
      <c r="CG35" s="100">
        <v>4207.7947392822416</v>
      </c>
      <c r="CH35" s="100">
        <v>11.178890832813231</v>
      </c>
      <c r="CI35" s="100">
        <v>5620.746310738491</v>
      </c>
      <c r="CJ35" s="100">
        <v>15</v>
      </c>
      <c r="CK35" s="100">
        <v>7541.9999999999982</v>
      </c>
      <c r="CL35" s="100">
        <v>13</v>
      </c>
      <c r="CM35" s="100">
        <v>6536.3999999999987</v>
      </c>
      <c r="CN35" s="100">
        <v>13.703492436883554</v>
      </c>
      <c r="CO35" s="100">
        <v>6890.1159972650494</v>
      </c>
      <c r="CP35" s="100">
        <v>8.0021676399181967</v>
      </c>
      <c r="CQ35" s="100">
        <v>4023.4898893508685</v>
      </c>
      <c r="CR35" s="100">
        <v>14.832122708600217</v>
      </c>
      <c r="CS35" s="100">
        <v>7457.591297884187</v>
      </c>
      <c r="CT35" s="100">
        <v>8.2002331801653607</v>
      </c>
      <c r="CU35" s="100">
        <v>4123.0772429871422</v>
      </c>
    </row>
    <row r="36" spans="2:99">
      <c r="C36" s="99" t="s">
        <v>202</v>
      </c>
      <c r="D36" s="100">
        <v>14</v>
      </c>
      <c r="E36" s="100">
        <v>10651.199999999999</v>
      </c>
      <c r="F36" s="100">
        <v>10</v>
      </c>
      <c r="G36" s="100">
        <v>7608</v>
      </c>
      <c r="H36" s="100">
        <v>13</v>
      </c>
      <c r="I36" s="100">
        <v>9890.4</v>
      </c>
      <c r="J36" s="100">
        <v>15</v>
      </c>
      <c r="K36" s="100">
        <v>11412</v>
      </c>
      <c r="L36" s="100">
        <v>8</v>
      </c>
      <c r="M36" s="100">
        <v>6086.4</v>
      </c>
      <c r="N36" s="100">
        <v>7</v>
      </c>
      <c r="O36" s="100">
        <v>5325.5999999999995</v>
      </c>
      <c r="P36" s="100">
        <v>10</v>
      </c>
      <c r="Q36" s="100">
        <v>7608</v>
      </c>
      <c r="R36" s="100">
        <v>15</v>
      </c>
      <c r="S36" s="100">
        <v>11412</v>
      </c>
      <c r="T36" s="100">
        <v>9</v>
      </c>
      <c r="U36" s="100">
        <v>6847.2</v>
      </c>
      <c r="V36" s="100">
        <v>13</v>
      </c>
      <c r="W36" s="100">
        <v>9890.4</v>
      </c>
      <c r="X36" s="100">
        <v>8</v>
      </c>
      <c r="Y36" s="100">
        <v>6086.4</v>
      </c>
      <c r="Z36" s="100">
        <v>9</v>
      </c>
      <c r="AA36" s="100">
        <v>6847.2</v>
      </c>
      <c r="AB36" s="100">
        <v>11</v>
      </c>
      <c r="AC36" s="100">
        <v>8368.7999999999993</v>
      </c>
      <c r="AD36" s="100">
        <v>9</v>
      </c>
      <c r="AE36" s="100">
        <v>6847.2</v>
      </c>
      <c r="AF36" s="100">
        <v>12</v>
      </c>
      <c r="AG36" s="100">
        <v>9129.5999999999985</v>
      </c>
      <c r="AH36" s="100">
        <v>10.867707968339655</v>
      </c>
      <c r="AI36" s="100">
        <v>8268.1522223128086</v>
      </c>
      <c r="AJ36" s="100">
        <v>14</v>
      </c>
      <c r="AK36" s="100">
        <v>10651.199999999999</v>
      </c>
      <c r="AL36" s="100">
        <v>14</v>
      </c>
      <c r="AM36" s="100">
        <v>10651.199999999999</v>
      </c>
      <c r="AN36" s="100">
        <v>8.1618041676280164</v>
      </c>
      <c r="AO36" s="100">
        <v>6209.5006107313948</v>
      </c>
      <c r="AP36" s="100">
        <v>13.420610947675069</v>
      </c>
      <c r="AQ36" s="100">
        <v>10210.400808991191</v>
      </c>
      <c r="AR36" s="100">
        <v>13.68373949141823</v>
      </c>
      <c r="AS36" s="100">
        <v>10410.589005070988</v>
      </c>
      <c r="AT36" s="100">
        <v>12</v>
      </c>
      <c r="AU36" s="100">
        <v>9129.5999999999985</v>
      </c>
      <c r="AV36" s="100">
        <v>13</v>
      </c>
      <c r="AW36" s="100">
        <v>9890.4</v>
      </c>
      <c r="AX36" s="100">
        <v>9.8493985514654323</v>
      </c>
      <c r="AY36" s="100">
        <v>7493.4224179549001</v>
      </c>
      <c r="AZ36" s="100">
        <v>7.1898507012598545</v>
      </c>
      <c r="BA36" s="100">
        <v>5470.0384135184968</v>
      </c>
      <c r="BB36" s="100">
        <v>13.700852915184743</v>
      </c>
      <c r="BC36" s="100">
        <v>10423.608897872553</v>
      </c>
      <c r="BD36" s="100">
        <v>5.3548228570120076</v>
      </c>
      <c r="BE36" s="100">
        <v>4073.949229614735</v>
      </c>
      <c r="BF36" s="100">
        <v>14</v>
      </c>
      <c r="BG36" s="100">
        <v>10651.199999999999</v>
      </c>
      <c r="BH36" s="100">
        <v>7.1138341428146017</v>
      </c>
      <c r="BI36" s="100">
        <v>5412.2050158533484</v>
      </c>
      <c r="BJ36" s="100">
        <v>3.394641923526502</v>
      </c>
      <c r="BK36" s="100">
        <v>2582.6435754189624</v>
      </c>
      <c r="BL36" s="100">
        <v>13</v>
      </c>
      <c r="BM36" s="100">
        <v>9890.4</v>
      </c>
      <c r="BN36" s="100">
        <v>9</v>
      </c>
      <c r="BO36" s="100">
        <v>6847.2</v>
      </c>
      <c r="BP36" s="100">
        <v>13</v>
      </c>
      <c r="BQ36" s="100">
        <v>9890.4</v>
      </c>
      <c r="BR36" s="100">
        <v>9</v>
      </c>
      <c r="BS36" s="100">
        <v>6847.2</v>
      </c>
      <c r="BT36" s="100">
        <v>10</v>
      </c>
      <c r="BU36" s="100">
        <v>7608</v>
      </c>
      <c r="BV36" s="100">
        <v>16</v>
      </c>
      <c r="BW36" s="100">
        <v>12172.8</v>
      </c>
      <c r="BX36" s="100">
        <v>11.710907441821391</v>
      </c>
      <c r="BY36" s="100">
        <v>8909.6583817377141</v>
      </c>
      <c r="BZ36" s="100">
        <v>13</v>
      </c>
      <c r="CA36" s="100">
        <v>9890.4</v>
      </c>
      <c r="CB36" s="100">
        <v>16</v>
      </c>
      <c r="CC36" s="100">
        <v>12172.8</v>
      </c>
      <c r="CD36" s="100">
        <v>5.1216028971460092</v>
      </c>
      <c r="CE36" s="100">
        <v>3896.5154841486838</v>
      </c>
      <c r="CF36" s="100">
        <v>7.7709585763537268</v>
      </c>
      <c r="CG36" s="100">
        <v>5912.1452848899153</v>
      </c>
      <c r="CH36" s="100">
        <v>12.110465068880998</v>
      </c>
      <c r="CI36" s="100">
        <v>9213.6418244046636</v>
      </c>
      <c r="CJ36" s="100">
        <v>13</v>
      </c>
      <c r="CK36" s="100">
        <v>9890.4</v>
      </c>
      <c r="CL36" s="100">
        <v>12</v>
      </c>
      <c r="CM36" s="100">
        <v>9129.5999999999985</v>
      </c>
      <c r="CN36" s="100">
        <v>13.579346712727633</v>
      </c>
      <c r="CO36" s="100">
        <v>10331.166979043182</v>
      </c>
      <c r="CP36" s="100">
        <v>6.859000834215597</v>
      </c>
      <c r="CQ36" s="100">
        <v>5218.3278346712259</v>
      </c>
      <c r="CR36" s="100">
        <v>14.693435590500181</v>
      </c>
      <c r="CS36" s="100">
        <v>11178.765797252538</v>
      </c>
      <c r="CT36" s="100">
        <v>8.2636726528173767</v>
      </c>
      <c r="CU36" s="100">
        <v>6287.0021542634595</v>
      </c>
    </row>
    <row r="37" spans="2:99">
      <c r="B37" s="99" t="s">
        <v>128</v>
      </c>
      <c r="C37" s="99" t="s">
        <v>203</v>
      </c>
      <c r="D37" s="100">
        <v>7</v>
      </c>
      <c r="E37" s="100">
        <v>6022.8</v>
      </c>
      <c r="F37" s="100">
        <v>5</v>
      </c>
      <c r="G37" s="100">
        <v>4302</v>
      </c>
      <c r="H37" s="100">
        <v>6</v>
      </c>
      <c r="I37" s="100">
        <v>5162.3999999999996</v>
      </c>
      <c r="J37" s="100">
        <v>6</v>
      </c>
      <c r="K37" s="100">
        <v>5162.3999999999996</v>
      </c>
      <c r="L37" s="100">
        <v>8</v>
      </c>
      <c r="M37" s="100">
        <v>6883.2</v>
      </c>
      <c r="N37" s="100">
        <v>9</v>
      </c>
      <c r="O37" s="100">
        <v>7743.5999999999995</v>
      </c>
      <c r="P37" s="100">
        <v>7</v>
      </c>
      <c r="Q37" s="100">
        <v>6022.8</v>
      </c>
      <c r="R37" s="100">
        <v>8</v>
      </c>
      <c r="S37" s="100">
        <v>6883.2</v>
      </c>
      <c r="T37" s="100">
        <v>6</v>
      </c>
      <c r="U37" s="100">
        <v>5162.3999999999996</v>
      </c>
      <c r="V37" s="100">
        <v>8</v>
      </c>
      <c r="W37" s="100">
        <v>6883.2</v>
      </c>
      <c r="X37" s="100">
        <v>6</v>
      </c>
      <c r="Y37" s="100">
        <v>5162.3999999999996</v>
      </c>
      <c r="Z37" s="100">
        <v>6</v>
      </c>
      <c r="AA37" s="100">
        <v>5162.3999999999996</v>
      </c>
      <c r="AB37" s="100">
        <v>8</v>
      </c>
      <c r="AC37" s="100">
        <v>6883.2</v>
      </c>
      <c r="AD37" s="100">
        <v>5</v>
      </c>
      <c r="AE37" s="100">
        <v>4302</v>
      </c>
      <c r="AF37" s="100">
        <v>7</v>
      </c>
      <c r="AG37" s="100">
        <v>6022.8</v>
      </c>
      <c r="AH37" s="100">
        <v>8.4338539841698275</v>
      </c>
      <c r="AI37" s="100">
        <v>7256.4879679797195</v>
      </c>
      <c r="AJ37" s="100">
        <v>9</v>
      </c>
      <c r="AK37" s="100">
        <v>7743.5999999999995</v>
      </c>
      <c r="AL37" s="100">
        <v>7</v>
      </c>
      <c r="AM37" s="100">
        <v>6022.8</v>
      </c>
      <c r="AN37" s="100">
        <v>8</v>
      </c>
      <c r="AO37" s="100">
        <v>6883.2</v>
      </c>
      <c r="AP37" s="100">
        <v>5</v>
      </c>
      <c r="AQ37" s="100">
        <v>4302</v>
      </c>
      <c r="AR37" s="100">
        <v>9.5555383367773121</v>
      </c>
      <c r="AS37" s="100">
        <v>8221.5851849631999</v>
      </c>
      <c r="AT37" s="100">
        <v>5</v>
      </c>
      <c r="AU37" s="100">
        <v>4302</v>
      </c>
      <c r="AV37" s="100">
        <v>9</v>
      </c>
      <c r="AW37" s="100">
        <v>7743.5999999999995</v>
      </c>
      <c r="AX37" s="100">
        <v>7.5496108274188085</v>
      </c>
      <c r="AY37" s="100">
        <v>6495.6851559111428</v>
      </c>
      <c r="AZ37" s="100">
        <v>4.3139104207559127</v>
      </c>
      <c r="BA37" s="100">
        <v>3711.6885260183872</v>
      </c>
      <c r="BB37" s="100">
        <v>5.5771729889756712</v>
      </c>
      <c r="BC37" s="100">
        <v>4798.5996397146673</v>
      </c>
      <c r="BD37" s="100">
        <v>4.6854699998855063</v>
      </c>
      <c r="BE37" s="100">
        <v>4031.3783879014895</v>
      </c>
      <c r="BF37" s="100">
        <v>8</v>
      </c>
      <c r="BG37" s="100">
        <v>6883.2</v>
      </c>
      <c r="BH37" s="100">
        <v>6.3069091087903768</v>
      </c>
      <c r="BI37" s="100">
        <v>5426.4645972032404</v>
      </c>
      <c r="BJ37" s="100">
        <v>1.2123721155451792</v>
      </c>
      <c r="BK37" s="100">
        <v>1043.1249682150722</v>
      </c>
      <c r="BL37" s="100">
        <v>8</v>
      </c>
      <c r="BM37" s="100">
        <v>6883.2</v>
      </c>
      <c r="BN37" s="100">
        <v>7</v>
      </c>
      <c r="BO37" s="100">
        <v>6022.8</v>
      </c>
      <c r="BP37" s="100">
        <v>9</v>
      </c>
      <c r="BQ37" s="100">
        <v>7743.5999999999995</v>
      </c>
      <c r="BR37" s="100">
        <v>9</v>
      </c>
      <c r="BS37" s="100">
        <v>7743.5999999999995</v>
      </c>
      <c r="BT37" s="100">
        <v>6</v>
      </c>
      <c r="BU37" s="100">
        <v>5162.3999999999996</v>
      </c>
      <c r="BV37" s="100">
        <v>8.3457890671207426</v>
      </c>
      <c r="BW37" s="100">
        <v>7180.7169133506868</v>
      </c>
      <c r="BX37" s="100">
        <v>5.4650901395166489</v>
      </c>
      <c r="BY37" s="100">
        <v>4702.1635560401246</v>
      </c>
      <c r="BZ37" s="100">
        <v>9</v>
      </c>
      <c r="CA37" s="100">
        <v>7743.5999999999995</v>
      </c>
      <c r="CB37" s="100">
        <v>7</v>
      </c>
      <c r="CC37" s="100">
        <v>6022.8</v>
      </c>
      <c r="CD37" s="100">
        <v>3.7192547704243459</v>
      </c>
      <c r="CE37" s="100">
        <v>3200.0468044731069</v>
      </c>
      <c r="CF37" s="100">
        <v>5.3798943990141179</v>
      </c>
      <c r="CG37" s="100">
        <v>4628.8611409117466</v>
      </c>
      <c r="CH37" s="100">
        <v>5.5894454164066154</v>
      </c>
      <c r="CI37" s="100">
        <v>4809.1588362762513</v>
      </c>
      <c r="CJ37" s="100">
        <v>7</v>
      </c>
      <c r="CK37" s="100">
        <v>6022.8</v>
      </c>
      <c r="CL37" s="100">
        <v>5</v>
      </c>
      <c r="CM37" s="100">
        <v>4302</v>
      </c>
      <c r="CN37" s="100">
        <v>6</v>
      </c>
      <c r="CO37" s="100">
        <v>5162.3999999999996</v>
      </c>
      <c r="CP37" s="100">
        <v>4.0010838199590983</v>
      </c>
      <c r="CQ37" s="100">
        <v>3442.532518692808</v>
      </c>
      <c r="CR37" s="100">
        <v>7.4622903936667875</v>
      </c>
      <c r="CS37" s="100">
        <v>6420.5546547109034</v>
      </c>
      <c r="CT37" s="100">
        <v>3.0615755070442332</v>
      </c>
      <c r="CU37" s="100">
        <v>2634.1795662608583</v>
      </c>
    </row>
    <row r="38" spans="2:99">
      <c r="C38" s="99" t="s">
        <v>204</v>
      </c>
      <c r="D38" s="100">
        <v>7</v>
      </c>
      <c r="E38" s="100">
        <v>8694</v>
      </c>
      <c r="F38" s="100">
        <v>6</v>
      </c>
      <c r="G38" s="100">
        <v>7452</v>
      </c>
      <c r="H38" s="100">
        <v>6</v>
      </c>
      <c r="I38" s="100">
        <v>7452</v>
      </c>
      <c r="J38" s="100">
        <v>6</v>
      </c>
      <c r="K38" s="100">
        <v>7452</v>
      </c>
      <c r="L38" s="100">
        <v>8</v>
      </c>
      <c r="M38" s="100">
        <v>9936</v>
      </c>
      <c r="N38" s="100">
        <v>8</v>
      </c>
      <c r="O38" s="100">
        <v>9936</v>
      </c>
      <c r="P38" s="100">
        <v>7</v>
      </c>
      <c r="Q38" s="100">
        <v>8694</v>
      </c>
      <c r="R38" s="100">
        <v>7</v>
      </c>
      <c r="S38" s="100">
        <v>8694</v>
      </c>
      <c r="T38" s="100">
        <v>5</v>
      </c>
      <c r="U38" s="100">
        <v>6210</v>
      </c>
      <c r="V38" s="100">
        <v>9</v>
      </c>
      <c r="W38" s="100">
        <v>11178</v>
      </c>
      <c r="X38" s="100">
        <v>5</v>
      </c>
      <c r="Y38" s="100">
        <v>6210</v>
      </c>
      <c r="Z38" s="100">
        <v>7</v>
      </c>
      <c r="AA38" s="100">
        <v>8694</v>
      </c>
      <c r="AB38" s="100">
        <v>9</v>
      </c>
      <c r="AC38" s="100">
        <v>11178</v>
      </c>
      <c r="AD38" s="100">
        <v>6</v>
      </c>
      <c r="AE38" s="100">
        <v>7452</v>
      </c>
      <c r="AF38" s="100">
        <v>7</v>
      </c>
      <c r="AG38" s="100">
        <v>8694</v>
      </c>
      <c r="AH38" s="100">
        <v>7.4338539841698275</v>
      </c>
      <c r="AI38" s="100">
        <v>9232.8466483389257</v>
      </c>
      <c r="AJ38" s="100">
        <v>9</v>
      </c>
      <c r="AK38" s="100">
        <v>11178</v>
      </c>
      <c r="AL38" s="100">
        <v>7</v>
      </c>
      <c r="AM38" s="100">
        <v>8694</v>
      </c>
      <c r="AN38" s="100">
        <v>8</v>
      </c>
      <c r="AO38" s="100">
        <v>9936</v>
      </c>
      <c r="AP38" s="100">
        <v>6.2264828179788836</v>
      </c>
      <c r="AQ38" s="100">
        <v>7733.2916599297732</v>
      </c>
      <c r="AR38" s="100">
        <v>8.4700709003500343</v>
      </c>
      <c r="AS38" s="100">
        <v>10519.828058234743</v>
      </c>
      <c r="AT38" s="100">
        <v>5</v>
      </c>
      <c r="AU38" s="100">
        <v>6210</v>
      </c>
      <c r="AV38" s="100">
        <v>9</v>
      </c>
      <c r="AW38" s="100">
        <v>11178</v>
      </c>
      <c r="AX38" s="100">
        <v>7.5496108274188085</v>
      </c>
      <c r="AY38" s="100">
        <v>9376.6166476541603</v>
      </c>
      <c r="AZ38" s="100">
        <v>3.5949253506299272</v>
      </c>
      <c r="BA38" s="100">
        <v>4464.8972854823696</v>
      </c>
      <c r="BB38" s="100">
        <v>5.6183996310453619</v>
      </c>
      <c r="BC38" s="100">
        <v>6978.052341758339</v>
      </c>
      <c r="BD38" s="100">
        <v>4.0161171427590059</v>
      </c>
      <c r="BE38" s="100">
        <v>4988.0174913066849</v>
      </c>
      <c r="BF38" s="100">
        <v>9</v>
      </c>
      <c r="BG38" s="100">
        <v>11178</v>
      </c>
      <c r="BH38" s="100">
        <v>5.6791246117838368</v>
      </c>
      <c r="BI38" s="100">
        <v>7053.4727678355257</v>
      </c>
      <c r="BJ38" s="100">
        <v>1.2123721155451792</v>
      </c>
      <c r="BK38" s="100">
        <v>1505.7661675071126</v>
      </c>
      <c r="BL38" s="100">
        <v>8</v>
      </c>
      <c r="BM38" s="100">
        <v>9936</v>
      </c>
      <c r="BN38" s="100">
        <v>8</v>
      </c>
      <c r="BO38" s="100">
        <v>9936</v>
      </c>
      <c r="BP38" s="100">
        <v>9</v>
      </c>
      <c r="BQ38" s="100">
        <v>11178</v>
      </c>
      <c r="BR38" s="100">
        <v>10</v>
      </c>
      <c r="BS38" s="100">
        <v>12420</v>
      </c>
      <c r="BT38" s="100">
        <v>6</v>
      </c>
      <c r="BU38" s="100">
        <v>7452</v>
      </c>
      <c r="BV38" s="100">
        <v>8.3457890671207426</v>
      </c>
      <c r="BW38" s="100">
        <v>10365.470021363963</v>
      </c>
      <c r="BX38" s="100">
        <v>5.4650901395166489</v>
      </c>
      <c r="BY38" s="100">
        <v>6787.6419532796781</v>
      </c>
      <c r="BZ38" s="100">
        <v>8</v>
      </c>
      <c r="CA38" s="100">
        <v>9936</v>
      </c>
      <c r="CB38" s="100">
        <v>6</v>
      </c>
      <c r="CC38" s="100">
        <v>7452</v>
      </c>
      <c r="CD38" s="100">
        <v>3.7192547704243459</v>
      </c>
      <c r="CE38" s="100">
        <v>4619.3144248670378</v>
      </c>
      <c r="CF38" s="100">
        <v>4.7821283546792159</v>
      </c>
      <c r="CG38" s="100">
        <v>5939.4034165115863</v>
      </c>
      <c r="CH38" s="100">
        <v>4.6578711803388462</v>
      </c>
      <c r="CI38" s="100">
        <v>5785.0760059808472</v>
      </c>
      <c r="CJ38" s="100">
        <v>8</v>
      </c>
      <c r="CK38" s="100">
        <v>9936</v>
      </c>
      <c r="CL38" s="100">
        <v>5</v>
      </c>
      <c r="CM38" s="100">
        <v>6210</v>
      </c>
      <c r="CN38" s="100">
        <v>6.4965828966236847</v>
      </c>
      <c r="CO38" s="100">
        <v>8068.755957606616</v>
      </c>
      <c r="CP38" s="100">
        <v>4.5726672228103977</v>
      </c>
      <c r="CQ38" s="100">
        <v>5679.2526907305137</v>
      </c>
      <c r="CR38" s="100">
        <v>6.4622903936667875</v>
      </c>
      <c r="CS38" s="100">
        <v>8026.1646689341496</v>
      </c>
      <c r="CT38" s="100">
        <v>3.0615755070442332</v>
      </c>
      <c r="CU38" s="100">
        <v>3802.4767797489376</v>
      </c>
    </row>
    <row r="39" spans="2:99">
      <c r="C39" s="99" t="s">
        <v>205</v>
      </c>
      <c r="D39" s="100">
        <v>8</v>
      </c>
      <c r="E39" s="100">
        <v>11385.6</v>
      </c>
      <c r="F39" s="100">
        <v>5</v>
      </c>
      <c r="G39" s="100">
        <v>7116</v>
      </c>
      <c r="H39" s="100">
        <v>5</v>
      </c>
      <c r="I39" s="100">
        <v>7116</v>
      </c>
      <c r="J39" s="100">
        <v>6</v>
      </c>
      <c r="K39" s="100">
        <v>8539.2000000000007</v>
      </c>
      <c r="L39" s="100">
        <v>8</v>
      </c>
      <c r="M39" s="100">
        <v>11385.6</v>
      </c>
      <c r="N39" s="100">
        <v>8</v>
      </c>
      <c r="O39" s="100">
        <v>11385.6</v>
      </c>
      <c r="P39" s="100">
        <v>7</v>
      </c>
      <c r="Q39" s="100">
        <v>9962.4</v>
      </c>
      <c r="R39" s="100">
        <v>8</v>
      </c>
      <c r="S39" s="100">
        <v>11385.6</v>
      </c>
      <c r="T39" s="100">
        <v>6</v>
      </c>
      <c r="U39" s="100">
        <v>8539.2000000000007</v>
      </c>
      <c r="V39" s="100">
        <v>9</v>
      </c>
      <c r="W39" s="100">
        <v>12808.800000000001</v>
      </c>
      <c r="X39" s="100">
        <v>5</v>
      </c>
      <c r="Y39" s="100">
        <v>7116</v>
      </c>
      <c r="Z39" s="100">
        <v>7</v>
      </c>
      <c r="AA39" s="100">
        <v>9962.4</v>
      </c>
      <c r="AB39" s="100">
        <v>8</v>
      </c>
      <c r="AC39" s="100">
        <v>11385.6</v>
      </c>
      <c r="AD39" s="100">
        <v>6</v>
      </c>
      <c r="AE39" s="100">
        <v>8539.2000000000007</v>
      </c>
      <c r="AF39" s="100">
        <v>7</v>
      </c>
      <c r="AG39" s="100">
        <v>9962.4</v>
      </c>
      <c r="AH39" s="100">
        <v>6.3904685857528447</v>
      </c>
      <c r="AI39" s="100">
        <v>9094.9148912434484</v>
      </c>
      <c r="AJ39" s="100">
        <v>8</v>
      </c>
      <c r="AK39" s="100">
        <v>11385.6</v>
      </c>
      <c r="AL39" s="100">
        <v>7</v>
      </c>
      <c r="AM39" s="100">
        <v>9962.4</v>
      </c>
      <c r="AN39" s="100">
        <v>8.1618041676280164</v>
      </c>
      <c r="AO39" s="100">
        <v>11615.879691368193</v>
      </c>
      <c r="AP39" s="100">
        <v>6</v>
      </c>
      <c r="AQ39" s="100">
        <v>8539.2000000000007</v>
      </c>
      <c r="AR39" s="100">
        <v>9.4700709003500343</v>
      </c>
      <c r="AS39" s="100">
        <v>13477.804905378169</v>
      </c>
      <c r="AT39" s="100">
        <v>5</v>
      </c>
      <c r="AU39" s="100">
        <v>7116</v>
      </c>
      <c r="AV39" s="100">
        <v>8</v>
      </c>
      <c r="AW39" s="100">
        <v>11385.6</v>
      </c>
      <c r="AX39" s="100">
        <v>7.4996462067443712</v>
      </c>
      <c r="AY39" s="100">
        <v>10673.496481438589</v>
      </c>
      <c r="AZ39" s="100">
        <v>4.3139104207559127</v>
      </c>
      <c r="BA39" s="100">
        <v>6139.557310819815</v>
      </c>
      <c r="BB39" s="100">
        <v>5.5771729889756712</v>
      </c>
      <c r="BC39" s="100">
        <v>7937.432597910175</v>
      </c>
      <c r="BD39" s="100">
        <v>4.6854699998855063</v>
      </c>
      <c r="BE39" s="100">
        <v>6668.3609038370523</v>
      </c>
      <c r="BF39" s="100">
        <v>9</v>
      </c>
      <c r="BG39" s="100">
        <v>12808.800000000001</v>
      </c>
      <c r="BH39" s="100">
        <v>6.3367658649599905</v>
      </c>
      <c r="BI39" s="100">
        <v>9018.4851790110588</v>
      </c>
      <c r="BJ39" s="100">
        <v>1.4548465386542151</v>
      </c>
      <c r="BK39" s="100">
        <v>2070.537593812679</v>
      </c>
      <c r="BL39" s="100">
        <v>8</v>
      </c>
      <c r="BM39" s="100">
        <v>11385.6</v>
      </c>
      <c r="BN39" s="100">
        <v>7</v>
      </c>
      <c r="BO39" s="100">
        <v>9962.4</v>
      </c>
      <c r="BP39" s="100">
        <v>8</v>
      </c>
      <c r="BQ39" s="100">
        <v>11385.6</v>
      </c>
      <c r="BR39" s="100">
        <v>8</v>
      </c>
      <c r="BS39" s="100">
        <v>11385.6</v>
      </c>
      <c r="BT39" s="100">
        <v>5</v>
      </c>
      <c r="BU39" s="100">
        <v>7116</v>
      </c>
      <c r="BV39" s="100">
        <v>8.3143536973824936</v>
      </c>
      <c r="BW39" s="100">
        <v>11832.988182114765</v>
      </c>
      <c r="BX39" s="100">
        <v>6.245817302304741</v>
      </c>
      <c r="BY39" s="100">
        <v>8889.0471846401069</v>
      </c>
      <c r="BZ39" s="100">
        <v>9</v>
      </c>
      <c r="CA39" s="100">
        <v>12808.800000000001</v>
      </c>
      <c r="CB39" s="100">
        <v>7</v>
      </c>
      <c r="CC39" s="100">
        <v>9962.4</v>
      </c>
      <c r="CD39" s="100">
        <v>3.2924858631839693</v>
      </c>
      <c r="CE39" s="100">
        <v>4685.8658804834249</v>
      </c>
      <c r="CF39" s="100">
        <v>5.3798943990141179</v>
      </c>
      <c r="CG39" s="100">
        <v>7656.6657086768928</v>
      </c>
      <c r="CH39" s="100">
        <v>4.6578711803388462</v>
      </c>
      <c r="CI39" s="100">
        <v>6629.0822638582458</v>
      </c>
      <c r="CJ39" s="100">
        <v>7</v>
      </c>
      <c r="CK39" s="100">
        <v>9962.4</v>
      </c>
      <c r="CL39" s="100">
        <v>5</v>
      </c>
      <c r="CM39" s="100">
        <v>7116</v>
      </c>
      <c r="CN39" s="100">
        <v>6</v>
      </c>
      <c r="CO39" s="100">
        <v>8539.2000000000007</v>
      </c>
      <c r="CP39" s="100">
        <v>4.5726672228103977</v>
      </c>
      <c r="CQ39" s="100">
        <v>6507.8199915037585</v>
      </c>
      <c r="CR39" s="100">
        <v>6.4622903936667875</v>
      </c>
      <c r="CS39" s="100">
        <v>9197.1316882665724</v>
      </c>
      <c r="CT39" s="100">
        <v>3.0827219979282381</v>
      </c>
      <c r="CU39" s="100">
        <v>4387.3299474514688</v>
      </c>
    </row>
    <row r="40" spans="2:99">
      <c r="C40" s="99" t="s">
        <v>206</v>
      </c>
      <c r="D40" s="100">
        <v>7</v>
      </c>
      <c r="E40" s="100">
        <v>5073.5999999999995</v>
      </c>
      <c r="F40" s="100">
        <v>6</v>
      </c>
      <c r="G40" s="100">
        <v>4348.7999999999993</v>
      </c>
      <c r="H40" s="100">
        <v>6</v>
      </c>
      <c r="I40" s="100">
        <v>4348.7999999999993</v>
      </c>
      <c r="J40" s="100">
        <v>6</v>
      </c>
      <c r="K40" s="100">
        <v>4348.7999999999993</v>
      </c>
      <c r="L40" s="100">
        <v>9</v>
      </c>
      <c r="M40" s="100">
        <v>6523.2</v>
      </c>
      <c r="N40" s="100">
        <v>10</v>
      </c>
      <c r="O40" s="100">
        <v>7248</v>
      </c>
      <c r="P40" s="100">
        <v>8</v>
      </c>
      <c r="Q40" s="100">
        <v>5798.4</v>
      </c>
      <c r="R40" s="100">
        <v>8</v>
      </c>
      <c r="S40" s="100">
        <v>5798.4</v>
      </c>
      <c r="T40" s="100">
        <v>5</v>
      </c>
      <c r="U40" s="100">
        <v>3624</v>
      </c>
      <c r="V40" s="100">
        <v>8</v>
      </c>
      <c r="W40" s="100">
        <v>5798.4</v>
      </c>
      <c r="X40" s="100">
        <v>6</v>
      </c>
      <c r="Y40" s="100">
        <v>4348.7999999999993</v>
      </c>
      <c r="Z40" s="100">
        <v>6</v>
      </c>
      <c r="AA40" s="100">
        <v>4348.7999999999993</v>
      </c>
      <c r="AB40" s="100">
        <v>9</v>
      </c>
      <c r="AC40" s="100">
        <v>6523.2</v>
      </c>
      <c r="AD40" s="100">
        <v>6</v>
      </c>
      <c r="AE40" s="100">
        <v>4348.7999999999993</v>
      </c>
      <c r="AF40" s="100">
        <v>7</v>
      </c>
      <c r="AG40" s="100">
        <v>5073.5999999999995</v>
      </c>
      <c r="AH40" s="100">
        <v>7.4338539841698275</v>
      </c>
      <c r="AI40" s="100">
        <v>5388.057367726291</v>
      </c>
      <c r="AJ40" s="100">
        <v>8</v>
      </c>
      <c r="AK40" s="100">
        <v>5798.4</v>
      </c>
      <c r="AL40" s="100">
        <v>8</v>
      </c>
      <c r="AM40" s="100">
        <v>5798.4</v>
      </c>
      <c r="AN40" s="100">
        <v>8</v>
      </c>
      <c r="AO40" s="100">
        <v>5798.4</v>
      </c>
      <c r="AP40" s="100">
        <v>7.2588375062615809</v>
      </c>
      <c r="AQ40" s="100">
        <v>5261.2054245383933</v>
      </c>
      <c r="AR40" s="100">
        <v>8.5555383367773121</v>
      </c>
      <c r="AS40" s="100">
        <v>6201.0541864961951</v>
      </c>
      <c r="AT40" s="100">
        <v>6</v>
      </c>
      <c r="AU40" s="100">
        <v>4348.7999999999993</v>
      </c>
      <c r="AV40" s="100">
        <v>9</v>
      </c>
      <c r="AW40" s="100">
        <v>6523.2</v>
      </c>
      <c r="AX40" s="100">
        <v>7.4996462067443712</v>
      </c>
      <c r="AY40" s="100">
        <v>5435.7435706483202</v>
      </c>
      <c r="AZ40" s="100">
        <v>4.3139104207559127</v>
      </c>
      <c r="BA40" s="100">
        <v>3126.7222729638852</v>
      </c>
      <c r="BB40" s="100">
        <v>5.5771729889756712</v>
      </c>
      <c r="BC40" s="100">
        <v>4042.3349824095662</v>
      </c>
      <c r="BD40" s="100">
        <v>4.0161171427590059</v>
      </c>
      <c r="BE40" s="100">
        <v>2910.8817050717271</v>
      </c>
      <c r="BF40" s="100">
        <v>9</v>
      </c>
      <c r="BG40" s="100">
        <v>6523.2</v>
      </c>
      <c r="BH40" s="100">
        <v>6.3367658649599905</v>
      </c>
      <c r="BI40" s="100">
        <v>4592.8878989230006</v>
      </c>
      <c r="BJ40" s="100">
        <v>1.4548465386542151</v>
      </c>
      <c r="BK40" s="100">
        <v>1054.472771216575</v>
      </c>
      <c r="BL40" s="100">
        <v>8</v>
      </c>
      <c r="BM40" s="100">
        <v>5798.4</v>
      </c>
      <c r="BN40" s="100">
        <v>8</v>
      </c>
      <c r="BO40" s="100">
        <v>5798.4</v>
      </c>
      <c r="BP40" s="100">
        <v>8</v>
      </c>
      <c r="BQ40" s="100">
        <v>5798.4</v>
      </c>
      <c r="BR40" s="100">
        <v>9</v>
      </c>
      <c r="BS40" s="100">
        <v>6523.2</v>
      </c>
      <c r="BT40" s="100">
        <v>5</v>
      </c>
      <c r="BU40" s="100">
        <v>3624</v>
      </c>
      <c r="BV40" s="100">
        <v>8.3143536973824936</v>
      </c>
      <c r="BW40" s="100">
        <v>6026.2435598628308</v>
      </c>
      <c r="BX40" s="100">
        <v>5.4650901395166489</v>
      </c>
      <c r="BY40" s="100">
        <v>3961.0973331216669</v>
      </c>
      <c r="BZ40" s="100">
        <v>9</v>
      </c>
      <c r="CA40" s="100">
        <v>6523.2</v>
      </c>
      <c r="CB40" s="100">
        <v>6</v>
      </c>
      <c r="CC40" s="100">
        <v>4348.7999999999993</v>
      </c>
      <c r="CD40" s="100">
        <v>3.7395950045911013</v>
      </c>
      <c r="CE40" s="100">
        <v>2710.45845932763</v>
      </c>
      <c r="CF40" s="100">
        <v>4.7821283546792159</v>
      </c>
      <c r="CG40" s="100">
        <v>3466.0866314714954</v>
      </c>
      <c r="CH40" s="100">
        <v>4.6578711803388462</v>
      </c>
      <c r="CI40" s="100">
        <v>3376.0250315095955</v>
      </c>
      <c r="CJ40" s="100">
        <v>7</v>
      </c>
      <c r="CK40" s="100">
        <v>5073.5999999999995</v>
      </c>
      <c r="CL40" s="100">
        <v>5</v>
      </c>
      <c r="CM40" s="100">
        <v>3624</v>
      </c>
      <c r="CN40" s="100">
        <v>7.4965828966236847</v>
      </c>
      <c r="CO40" s="100">
        <v>5433.5232834728467</v>
      </c>
      <c r="CP40" s="100">
        <v>4.0010838199590983</v>
      </c>
      <c r="CQ40" s="100">
        <v>2899.9855527063542</v>
      </c>
      <c r="CR40" s="100">
        <v>7.5085194330334657</v>
      </c>
      <c r="CS40" s="100">
        <v>5442.1748850626554</v>
      </c>
      <c r="CT40" s="100">
        <v>3.0404290161602279</v>
      </c>
      <c r="CU40" s="100">
        <v>2203.7029509129329</v>
      </c>
    </row>
    <row r="41" spans="2:99">
      <c r="C41" s="99" t="s">
        <v>207</v>
      </c>
      <c r="D41" s="100">
        <v>8</v>
      </c>
      <c r="E41" s="100">
        <v>5280</v>
      </c>
      <c r="F41" s="100">
        <v>5</v>
      </c>
      <c r="G41" s="100">
        <v>3300</v>
      </c>
      <c r="H41" s="100">
        <v>6</v>
      </c>
      <c r="I41" s="100">
        <v>3960</v>
      </c>
      <c r="J41" s="100">
        <v>6</v>
      </c>
      <c r="K41" s="100">
        <v>3960</v>
      </c>
      <c r="L41" s="100">
        <v>9</v>
      </c>
      <c r="M41" s="100">
        <v>5940</v>
      </c>
      <c r="N41" s="100">
        <v>9</v>
      </c>
      <c r="O41" s="100">
        <v>5940</v>
      </c>
      <c r="P41" s="100">
        <v>8</v>
      </c>
      <c r="Q41" s="100">
        <v>5280</v>
      </c>
      <c r="R41" s="100">
        <v>7</v>
      </c>
      <c r="S41" s="100">
        <v>4620</v>
      </c>
      <c r="T41" s="100">
        <v>5</v>
      </c>
      <c r="U41" s="100">
        <v>3300</v>
      </c>
      <c r="V41" s="100">
        <v>9</v>
      </c>
      <c r="W41" s="100">
        <v>5940</v>
      </c>
      <c r="X41" s="100">
        <v>6</v>
      </c>
      <c r="Y41" s="100">
        <v>3960</v>
      </c>
      <c r="Z41" s="100">
        <v>8</v>
      </c>
      <c r="AA41" s="100">
        <v>5280</v>
      </c>
      <c r="AB41" s="100">
        <v>9</v>
      </c>
      <c r="AC41" s="100">
        <v>5940</v>
      </c>
      <c r="AD41" s="100">
        <v>5</v>
      </c>
      <c r="AE41" s="100">
        <v>3300</v>
      </c>
      <c r="AF41" s="100">
        <v>8</v>
      </c>
      <c r="AG41" s="100">
        <v>5280</v>
      </c>
      <c r="AH41" s="100">
        <v>7.4338539841698275</v>
      </c>
      <c r="AI41" s="100">
        <v>4906.343629552086</v>
      </c>
      <c r="AJ41" s="100">
        <v>8</v>
      </c>
      <c r="AK41" s="100">
        <v>5280</v>
      </c>
      <c r="AL41" s="100">
        <v>7</v>
      </c>
      <c r="AM41" s="100">
        <v>4620</v>
      </c>
      <c r="AN41" s="100">
        <v>9</v>
      </c>
      <c r="AO41" s="100">
        <v>5940</v>
      </c>
      <c r="AP41" s="100">
        <v>7</v>
      </c>
      <c r="AQ41" s="100">
        <v>4620</v>
      </c>
      <c r="AR41" s="100">
        <v>10.555538336777312</v>
      </c>
      <c r="AS41" s="100">
        <v>6966.6553022730259</v>
      </c>
      <c r="AT41" s="100">
        <v>6</v>
      </c>
      <c r="AU41" s="100">
        <v>3960</v>
      </c>
      <c r="AV41" s="100">
        <v>8</v>
      </c>
      <c r="AW41" s="100">
        <v>5280</v>
      </c>
      <c r="AX41" s="100">
        <v>8.5995754480932458</v>
      </c>
      <c r="AY41" s="100">
        <v>5675.7197957415419</v>
      </c>
      <c r="AZ41" s="100">
        <v>4.3139104207559127</v>
      </c>
      <c r="BA41" s="100">
        <v>2847.1808776989023</v>
      </c>
      <c r="BB41" s="100">
        <v>5.6596262731150526</v>
      </c>
      <c r="BC41" s="100">
        <v>3735.3533402559347</v>
      </c>
      <c r="BD41" s="100">
        <v>4.0161171427590059</v>
      </c>
      <c r="BE41" s="100">
        <v>2650.6373142209441</v>
      </c>
      <c r="BF41" s="100">
        <v>9</v>
      </c>
      <c r="BG41" s="100">
        <v>5940</v>
      </c>
      <c r="BH41" s="100">
        <v>5.7388381241230659</v>
      </c>
      <c r="BI41" s="100">
        <v>3787.6331619212233</v>
      </c>
      <c r="BJ41" s="100">
        <v>1.4548465386542151</v>
      </c>
      <c r="BK41" s="100">
        <v>960.19871551178198</v>
      </c>
      <c r="BL41" s="100">
        <v>8</v>
      </c>
      <c r="BM41" s="100">
        <v>5280</v>
      </c>
      <c r="BN41" s="100">
        <v>7</v>
      </c>
      <c r="BO41" s="100">
        <v>4620</v>
      </c>
      <c r="BP41" s="100">
        <v>9</v>
      </c>
      <c r="BQ41" s="100">
        <v>5940</v>
      </c>
      <c r="BR41" s="100">
        <v>9</v>
      </c>
      <c r="BS41" s="100">
        <v>5940</v>
      </c>
      <c r="BT41" s="100">
        <v>6</v>
      </c>
      <c r="BU41" s="100">
        <v>3960</v>
      </c>
      <c r="BV41" s="100">
        <v>9.3457890671207426</v>
      </c>
      <c r="BW41" s="100">
        <v>6168.2207842996904</v>
      </c>
      <c r="BX41" s="100">
        <v>5.4650901395166489</v>
      </c>
      <c r="BY41" s="100">
        <v>3606.9594920809882</v>
      </c>
      <c r="BZ41" s="100">
        <v>10</v>
      </c>
      <c r="CA41" s="100">
        <v>6600</v>
      </c>
      <c r="CB41" s="100">
        <v>7</v>
      </c>
      <c r="CC41" s="100">
        <v>4620</v>
      </c>
      <c r="CD41" s="100">
        <v>3.2924858631839693</v>
      </c>
      <c r="CE41" s="100">
        <v>2173.0406697014196</v>
      </c>
      <c r="CF41" s="100">
        <v>5.3798943990141179</v>
      </c>
      <c r="CG41" s="100">
        <v>3550.7303033493176</v>
      </c>
      <c r="CH41" s="100">
        <v>5.5894454164066154</v>
      </c>
      <c r="CI41" s="100">
        <v>3689.0339748283664</v>
      </c>
      <c r="CJ41" s="100">
        <v>7</v>
      </c>
      <c r="CK41" s="100">
        <v>4620</v>
      </c>
      <c r="CL41" s="100">
        <v>6</v>
      </c>
      <c r="CM41" s="100">
        <v>3960</v>
      </c>
      <c r="CN41" s="100">
        <v>7</v>
      </c>
      <c r="CO41" s="100">
        <v>4620</v>
      </c>
      <c r="CP41" s="100">
        <v>4.0010838199590983</v>
      </c>
      <c r="CQ41" s="100">
        <v>2640.7153211730051</v>
      </c>
      <c r="CR41" s="100">
        <v>7.5085194330334657</v>
      </c>
      <c r="CS41" s="100">
        <v>4955.6228258020874</v>
      </c>
      <c r="CT41" s="100">
        <v>3.6231390303314672</v>
      </c>
      <c r="CU41" s="100">
        <v>2391.2717600187684</v>
      </c>
    </row>
    <row r="42" spans="2:99">
      <c r="C42" s="99" t="s">
        <v>208</v>
      </c>
      <c r="D42" s="100">
        <v>8</v>
      </c>
      <c r="E42" s="100">
        <v>6768</v>
      </c>
      <c r="F42" s="100">
        <v>5</v>
      </c>
      <c r="G42" s="100">
        <v>4230</v>
      </c>
      <c r="H42" s="100">
        <v>6</v>
      </c>
      <c r="I42" s="100">
        <v>5076</v>
      </c>
      <c r="J42" s="100">
        <v>6</v>
      </c>
      <c r="K42" s="100">
        <v>5076</v>
      </c>
      <c r="L42" s="100">
        <v>9</v>
      </c>
      <c r="M42" s="100">
        <v>7614</v>
      </c>
      <c r="N42" s="100">
        <v>9</v>
      </c>
      <c r="O42" s="100">
        <v>7614</v>
      </c>
      <c r="P42" s="100">
        <v>8</v>
      </c>
      <c r="Q42" s="100">
        <v>6768</v>
      </c>
      <c r="R42" s="100">
        <v>8</v>
      </c>
      <c r="S42" s="100">
        <v>6768</v>
      </c>
      <c r="T42" s="100">
        <v>5</v>
      </c>
      <c r="U42" s="100">
        <v>4230</v>
      </c>
      <c r="V42" s="100">
        <v>8</v>
      </c>
      <c r="W42" s="100">
        <v>6768</v>
      </c>
      <c r="X42" s="100">
        <v>7</v>
      </c>
      <c r="Y42" s="100">
        <v>5922</v>
      </c>
      <c r="Z42" s="100">
        <v>6</v>
      </c>
      <c r="AA42" s="100">
        <v>5076</v>
      </c>
      <c r="AB42" s="100">
        <v>8</v>
      </c>
      <c r="AC42" s="100">
        <v>6768</v>
      </c>
      <c r="AD42" s="100">
        <v>6</v>
      </c>
      <c r="AE42" s="100">
        <v>5076</v>
      </c>
      <c r="AF42" s="100">
        <v>7</v>
      </c>
      <c r="AG42" s="100">
        <v>5922</v>
      </c>
      <c r="AH42" s="100">
        <v>7.4338539841698275</v>
      </c>
      <c r="AI42" s="100">
        <v>6289.0404706076743</v>
      </c>
      <c r="AJ42" s="100">
        <v>9</v>
      </c>
      <c r="AK42" s="100">
        <v>7614</v>
      </c>
      <c r="AL42" s="100">
        <v>8</v>
      </c>
      <c r="AM42" s="100">
        <v>6768</v>
      </c>
      <c r="AN42" s="100">
        <v>9</v>
      </c>
      <c r="AO42" s="100">
        <v>7614</v>
      </c>
      <c r="AP42" s="100">
        <v>6</v>
      </c>
      <c r="AQ42" s="100">
        <v>5076</v>
      </c>
      <c r="AR42" s="100">
        <v>9.5555383367773121</v>
      </c>
      <c r="AS42" s="100">
        <v>8083.985432913606</v>
      </c>
      <c r="AT42" s="100">
        <v>5</v>
      </c>
      <c r="AU42" s="100">
        <v>4230</v>
      </c>
      <c r="AV42" s="100">
        <v>8</v>
      </c>
      <c r="AW42" s="100">
        <v>6768</v>
      </c>
      <c r="AX42" s="100">
        <v>7.5496108274188085</v>
      </c>
      <c r="AY42" s="100">
        <v>6386.9707599963122</v>
      </c>
      <c r="AZ42" s="100">
        <v>4.3139104207559127</v>
      </c>
      <c r="BA42" s="100">
        <v>3649.5682159595021</v>
      </c>
      <c r="BB42" s="100">
        <v>5.6183996310453619</v>
      </c>
      <c r="BC42" s="100">
        <v>4753.1660878643761</v>
      </c>
      <c r="BD42" s="100">
        <v>4.0161171427590059</v>
      </c>
      <c r="BE42" s="100">
        <v>3397.6351027741189</v>
      </c>
      <c r="BF42" s="100">
        <v>9</v>
      </c>
      <c r="BG42" s="100">
        <v>7614</v>
      </c>
      <c r="BH42" s="100">
        <v>6.3666226211296051</v>
      </c>
      <c r="BI42" s="100">
        <v>5386.1627374756463</v>
      </c>
      <c r="BJ42" s="100">
        <v>1.2123721155451792</v>
      </c>
      <c r="BK42" s="100">
        <v>1025.6668097512215</v>
      </c>
      <c r="BL42" s="100">
        <v>7</v>
      </c>
      <c r="BM42" s="100">
        <v>5922</v>
      </c>
      <c r="BN42" s="100">
        <v>8</v>
      </c>
      <c r="BO42" s="100">
        <v>6768</v>
      </c>
      <c r="BP42" s="100">
        <v>8</v>
      </c>
      <c r="BQ42" s="100">
        <v>6768</v>
      </c>
      <c r="BR42" s="100">
        <v>9</v>
      </c>
      <c r="BS42" s="100">
        <v>7614</v>
      </c>
      <c r="BT42" s="100">
        <v>6</v>
      </c>
      <c r="BU42" s="100">
        <v>5076</v>
      </c>
      <c r="BV42" s="100">
        <v>9.3143536973824936</v>
      </c>
      <c r="BW42" s="100">
        <v>7879.9432279855901</v>
      </c>
      <c r="BX42" s="100">
        <v>5.4650901395166489</v>
      </c>
      <c r="BY42" s="100">
        <v>4623.4662580310851</v>
      </c>
      <c r="BZ42" s="100">
        <v>9</v>
      </c>
      <c r="CA42" s="100">
        <v>7614</v>
      </c>
      <c r="CB42" s="100">
        <v>7</v>
      </c>
      <c r="CC42" s="100">
        <v>5922</v>
      </c>
      <c r="CD42" s="100">
        <v>3.7192547704243459</v>
      </c>
      <c r="CE42" s="100">
        <v>3146.4895357789965</v>
      </c>
      <c r="CF42" s="100">
        <v>5.3798943990141179</v>
      </c>
      <c r="CG42" s="100">
        <v>4551.3906615659434</v>
      </c>
      <c r="CH42" s="100">
        <v>5.5894454164066154</v>
      </c>
      <c r="CI42" s="100">
        <v>4728.6708222799971</v>
      </c>
      <c r="CJ42" s="100">
        <v>8</v>
      </c>
      <c r="CK42" s="100">
        <v>6768</v>
      </c>
      <c r="CL42" s="100">
        <v>6</v>
      </c>
      <c r="CM42" s="100">
        <v>5076</v>
      </c>
      <c r="CN42" s="100">
        <v>7.4965828966236847</v>
      </c>
      <c r="CO42" s="100">
        <v>6342.1091305436375</v>
      </c>
      <c r="CP42" s="100">
        <v>4.5726672228103977</v>
      </c>
      <c r="CQ42" s="100">
        <v>3868.4764704975964</v>
      </c>
      <c r="CR42" s="100">
        <v>7.5085194330334657</v>
      </c>
      <c r="CS42" s="100">
        <v>6352.2074403463121</v>
      </c>
      <c r="CT42" s="100">
        <v>3.6442855212154726</v>
      </c>
      <c r="CU42" s="100">
        <v>3083.0655509482899</v>
      </c>
    </row>
    <row r="43" spans="2:99">
      <c r="C43" s="99" t="s">
        <v>209</v>
      </c>
      <c r="D43" s="100">
        <v>8</v>
      </c>
      <c r="E43" s="100">
        <v>8179.2</v>
      </c>
      <c r="F43" s="100">
        <v>6</v>
      </c>
      <c r="G43" s="100">
        <v>6134.4</v>
      </c>
      <c r="H43" s="100">
        <v>5</v>
      </c>
      <c r="I43" s="100">
        <v>5112</v>
      </c>
      <c r="J43" s="100">
        <v>6</v>
      </c>
      <c r="K43" s="100">
        <v>6134.4</v>
      </c>
      <c r="L43" s="100">
        <v>7</v>
      </c>
      <c r="M43" s="100">
        <v>7156.8</v>
      </c>
      <c r="N43" s="100">
        <v>9</v>
      </c>
      <c r="O43" s="100">
        <v>9201.6</v>
      </c>
      <c r="P43" s="100">
        <v>8</v>
      </c>
      <c r="Q43" s="100">
        <v>8179.2</v>
      </c>
      <c r="R43" s="100">
        <v>7</v>
      </c>
      <c r="S43" s="100">
        <v>7156.8</v>
      </c>
      <c r="T43" s="100">
        <v>6</v>
      </c>
      <c r="U43" s="100">
        <v>6134.4</v>
      </c>
      <c r="V43" s="100">
        <v>8</v>
      </c>
      <c r="W43" s="100">
        <v>8179.2</v>
      </c>
      <c r="X43" s="100">
        <v>6</v>
      </c>
      <c r="Y43" s="100">
        <v>6134.4</v>
      </c>
      <c r="Z43" s="100">
        <v>7</v>
      </c>
      <c r="AA43" s="100">
        <v>7156.8</v>
      </c>
      <c r="AB43" s="100">
        <v>9</v>
      </c>
      <c r="AC43" s="100">
        <v>9201.6</v>
      </c>
      <c r="AD43" s="100">
        <v>6</v>
      </c>
      <c r="AE43" s="100">
        <v>6134.4</v>
      </c>
      <c r="AF43" s="100">
        <v>8</v>
      </c>
      <c r="AG43" s="100">
        <v>8179.2</v>
      </c>
      <c r="AH43" s="100">
        <v>7.4338539841698275</v>
      </c>
      <c r="AI43" s="100">
        <v>7600.3723134152315</v>
      </c>
      <c r="AJ43" s="100">
        <v>8</v>
      </c>
      <c r="AK43" s="100">
        <v>8179.2</v>
      </c>
      <c r="AL43" s="100">
        <v>7</v>
      </c>
      <c r="AM43" s="100">
        <v>7156.8</v>
      </c>
      <c r="AN43" s="100">
        <v>8</v>
      </c>
      <c r="AO43" s="100">
        <v>8179.2</v>
      </c>
      <c r="AP43" s="100">
        <v>6</v>
      </c>
      <c r="AQ43" s="100">
        <v>6134.4</v>
      </c>
      <c r="AR43" s="100">
        <v>9.4700709003500343</v>
      </c>
      <c r="AS43" s="100">
        <v>9682.200488517874</v>
      </c>
      <c r="AT43" s="100">
        <v>5</v>
      </c>
      <c r="AU43" s="100">
        <v>5112</v>
      </c>
      <c r="AV43" s="100">
        <v>9</v>
      </c>
      <c r="AW43" s="100">
        <v>9201.6</v>
      </c>
      <c r="AX43" s="100">
        <v>8.5496108274188085</v>
      </c>
      <c r="AY43" s="100">
        <v>8741.1221099529903</v>
      </c>
      <c r="AZ43" s="100">
        <v>4.3139104207559127</v>
      </c>
      <c r="BA43" s="100">
        <v>4410.5420141808454</v>
      </c>
      <c r="BB43" s="100">
        <v>5.6596262731150526</v>
      </c>
      <c r="BC43" s="100">
        <v>5786.4019016328293</v>
      </c>
      <c r="BD43" s="100">
        <v>4.0161171427590059</v>
      </c>
      <c r="BE43" s="100">
        <v>4106.0781667568071</v>
      </c>
      <c r="BF43" s="100">
        <v>9</v>
      </c>
      <c r="BG43" s="100">
        <v>9201.6</v>
      </c>
      <c r="BH43" s="100">
        <v>6.3666226211296051</v>
      </c>
      <c r="BI43" s="100">
        <v>6509.2349678429082</v>
      </c>
      <c r="BJ43" s="100">
        <v>1.4548465386542151</v>
      </c>
      <c r="BK43" s="100">
        <v>1487.4351011200695</v>
      </c>
      <c r="BL43" s="100">
        <v>8</v>
      </c>
      <c r="BM43" s="100">
        <v>8179.2</v>
      </c>
      <c r="BN43" s="100">
        <v>7</v>
      </c>
      <c r="BO43" s="100">
        <v>7156.8</v>
      </c>
      <c r="BP43" s="100">
        <v>8</v>
      </c>
      <c r="BQ43" s="100">
        <v>8179.2</v>
      </c>
      <c r="BR43" s="100">
        <v>9</v>
      </c>
      <c r="BS43" s="100">
        <v>9201.6</v>
      </c>
      <c r="BT43" s="100">
        <v>6</v>
      </c>
      <c r="BU43" s="100">
        <v>6134.4</v>
      </c>
      <c r="BV43" s="100">
        <v>9.3143536973824936</v>
      </c>
      <c r="BW43" s="100">
        <v>9522.9952202038621</v>
      </c>
      <c r="BX43" s="100">
        <v>5.4650901395166489</v>
      </c>
      <c r="BY43" s="100">
        <v>5587.5081586418219</v>
      </c>
      <c r="BZ43" s="100">
        <v>9</v>
      </c>
      <c r="CA43" s="100">
        <v>9201.6</v>
      </c>
      <c r="CB43" s="100">
        <v>6</v>
      </c>
      <c r="CC43" s="100">
        <v>6134.4</v>
      </c>
      <c r="CD43" s="100">
        <v>3.7395950045911013</v>
      </c>
      <c r="CE43" s="100">
        <v>3823.361932693942</v>
      </c>
      <c r="CF43" s="100">
        <v>5.3798943990141179</v>
      </c>
      <c r="CG43" s="100">
        <v>5500.404033552034</v>
      </c>
      <c r="CH43" s="100">
        <v>4.6578711803388462</v>
      </c>
      <c r="CI43" s="100">
        <v>4762.2074947784358</v>
      </c>
      <c r="CJ43" s="100">
        <v>7</v>
      </c>
      <c r="CK43" s="100">
        <v>7156.8</v>
      </c>
      <c r="CL43" s="100">
        <v>5</v>
      </c>
      <c r="CM43" s="100">
        <v>5112</v>
      </c>
      <c r="CN43" s="100">
        <v>6.4965828966236847</v>
      </c>
      <c r="CO43" s="100">
        <v>6642.1063535080548</v>
      </c>
      <c r="CP43" s="100">
        <v>4.0010838199590983</v>
      </c>
      <c r="CQ43" s="100">
        <v>4090.708097526182</v>
      </c>
      <c r="CR43" s="100">
        <v>7.4622903936667875</v>
      </c>
      <c r="CS43" s="100">
        <v>7629.445698484923</v>
      </c>
      <c r="CT43" s="100">
        <v>3.0827219979282381</v>
      </c>
      <c r="CU43" s="100">
        <v>3151.7749706818304</v>
      </c>
    </row>
    <row r="44" spans="2:99">
      <c r="C44" s="99" t="s">
        <v>210</v>
      </c>
      <c r="D44" s="100">
        <v>8</v>
      </c>
      <c r="E44" s="100">
        <v>8179.2</v>
      </c>
      <c r="F44" s="100">
        <v>5</v>
      </c>
      <c r="G44" s="100">
        <v>5112</v>
      </c>
      <c r="H44" s="100">
        <v>5</v>
      </c>
      <c r="I44" s="100">
        <v>5112</v>
      </c>
      <c r="J44" s="100">
        <v>6</v>
      </c>
      <c r="K44" s="100">
        <v>6134.4</v>
      </c>
      <c r="L44" s="100">
        <v>8</v>
      </c>
      <c r="M44" s="100">
        <v>8179.2</v>
      </c>
      <c r="N44" s="100">
        <v>8</v>
      </c>
      <c r="O44" s="100">
        <v>8179.2</v>
      </c>
      <c r="P44" s="100">
        <v>7</v>
      </c>
      <c r="Q44" s="100">
        <v>7156.8</v>
      </c>
      <c r="R44" s="100">
        <v>7</v>
      </c>
      <c r="S44" s="100">
        <v>7156.8</v>
      </c>
      <c r="T44" s="100">
        <v>6</v>
      </c>
      <c r="U44" s="100">
        <v>6134.4</v>
      </c>
      <c r="V44" s="100">
        <v>8</v>
      </c>
      <c r="W44" s="100">
        <v>8179.2</v>
      </c>
      <c r="X44" s="100">
        <v>6</v>
      </c>
      <c r="Y44" s="100">
        <v>6134.4</v>
      </c>
      <c r="Z44" s="100">
        <v>6</v>
      </c>
      <c r="AA44" s="100">
        <v>6134.4</v>
      </c>
      <c r="AB44" s="100">
        <v>9</v>
      </c>
      <c r="AC44" s="100">
        <v>9201.6</v>
      </c>
      <c r="AD44" s="100">
        <v>5</v>
      </c>
      <c r="AE44" s="100">
        <v>5112</v>
      </c>
      <c r="AF44" s="100">
        <v>8</v>
      </c>
      <c r="AG44" s="100">
        <v>8179.2</v>
      </c>
      <c r="AH44" s="100">
        <v>7.4338539841698275</v>
      </c>
      <c r="AI44" s="100">
        <v>7600.3723134152315</v>
      </c>
      <c r="AJ44" s="100">
        <v>8</v>
      </c>
      <c r="AK44" s="100">
        <v>8179.2</v>
      </c>
      <c r="AL44" s="100">
        <v>7</v>
      </c>
      <c r="AM44" s="100">
        <v>7156.8</v>
      </c>
      <c r="AN44" s="100">
        <v>9</v>
      </c>
      <c r="AO44" s="100">
        <v>9201.6</v>
      </c>
      <c r="AP44" s="100">
        <v>5</v>
      </c>
      <c r="AQ44" s="100">
        <v>5112</v>
      </c>
      <c r="AR44" s="100">
        <v>9.4700709003500343</v>
      </c>
      <c r="AS44" s="100">
        <v>9682.200488517874</v>
      </c>
      <c r="AT44" s="100">
        <v>5</v>
      </c>
      <c r="AU44" s="100">
        <v>5112</v>
      </c>
      <c r="AV44" s="100">
        <v>8</v>
      </c>
      <c r="AW44" s="100">
        <v>8179.2</v>
      </c>
      <c r="AX44" s="100">
        <v>8.4996462067443712</v>
      </c>
      <c r="AY44" s="100">
        <v>8690.0382817754453</v>
      </c>
      <c r="AZ44" s="100">
        <v>4.3139104207559127</v>
      </c>
      <c r="BA44" s="100">
        <v>4410.5420141808454</v>
      </c>
      <c r="BB44" s="100">
        <v>5.6183996310453619</v>
      </c>
      <c r="BC44" s="100">
        <v>5744.2517827807778</v>
      </c>
      <c r="BD44" s="100">
        <v>4.0161171427590059</v>
      </c>
      <c r="BE44" s="100">
        <v>4106.0781667568071</v>
      </c>
      <c r="BF44" s="100">
        <v>10</v>
      </c>
      <c r="BG44" s="100">
        <v>10224</v>
      </c>
      <c r="BH44" s="100">
        <v>5.7089813679534513</v>
      </c>
      <c r="BI44" s="100">
        <v>5836.8625505956088</v>
      </c>
      <c r="BJ44" s="100">
        <v>1.4548465386542151</v>
      </c>
      <c r="BK44" s="100">
        <v>1487.4351011200695</v>
      </c>
      <c r="BL44" s="100">
        <v>8</v>
      </c>
      <c r="BM44" s="100">
        <v>8179.2</v>
      </c>
      <c r="BN44" s="100">
        <v>8</v>
      </c>
      <c r="BO44" s="100">
        <v>8179.2</v>
      </c>
      <c r="BP44" s="100">
        <v>8</v>
      </c>
      <c r="BQ44" s="100">
        <v>8179.2</v>
      </c>
      <c r="BR44" s="100">
        <v>10</v>
      </c>
      <c r="BS44" s="100">
        <v>10224</v>
      </c>
      <c r="BT44" s="100">
        <v>6</v>
      </c>
      <c r="BU44" s="100">
        <v>6134.4</v>
      </c>
      <c r="BV44" s="100">
        <v>8.3772244368589917</v>
      </c>
      <c r="BW44" s="100">
        <v>8564.8742642446323</v>
      </c>
      <c r="BX44" s="100">
        <v>6.245817302304741</v>
      </c>
      <c r="BY44" s="100">
        <v>6385.7236098763669</v>
      </c>
      <c r="BZ44" s="100">
        <v>10</v>
      </c>
      <c r="CA44" s="100">
        <v>10224</v>
      </c>
      <c r="CB44" s="100">
        <v>7</v>
      </c>
      <c r="CC44" s="100">
        <v>7156.8</v>
      </c>
      <c r="CD44" s="100">
        <v>3.7192547704243459</v>
      </c>
      <c r="CE44" s="100">
        <v>3802.566077281851</v>
      </c>
      <c r="CF44" s="100">
        <v>4.7821283546792159</v>
      </c>
      <c r="CG44" s="100">
        <v>4889.2480298240307</v>
      </c>
      <c r="CH44" s="100">
        <v>5.5894454164066154</v>
      </c>
      <c r="CI44" s="100">
        <v>5714.6489937341239</v>
      </c>
      <c r="CJ44" s="100">
        <v>7</v>
      </c>
      <c r="CK44" s="100">
        <v>7156.8</v>
      </c>
      <c r="CL44" s="100">
        <v>5</v>
      </c>
      <c r="CM44" s="100">
        <v>5112</v>
      </c>
      <c r="CN44" s="100">
        <v>7</v>
      </c>
      <c r="CO44" s="100">
        <v>7156.8</v>
      </c>
      <c r="CP44" s="100">
        <v>4.0010838199590983</v>
      </c>
      <c r="CQ44" s="100">
        <v>4090.708097526182</v>
      </c>
      <c r="CR44" s="100">
        <v>7.4622903936667875</v>
      </c>
      <c r="CS44" s="100">
        <v>7629.445698484923</v>
      </c>
      <c r="CT44" s="100">
        <v>3.0404290161602279</v>
      </c>
      <c r="CU44" s="100">
        <v>3108.5346261222171</v>
      </c>
    </row>
    <row r="45" spans="2:99">
      <c r="C45" s="99" t="s">
        <v>211</v>
      </c>
      <c r="D45" s="100">
        <v>7</v>
      </c>
      <c r="E45" s="100">
        <v>8744.4</v>
      </c>
      <c r="F45" s="100">
        <v>5</v>
      </c>
      <c r="G45" s="100">
        <v>6246</v>
      </c>
      <c r="H45" s="100">
        <v>5</v>
      </c>
      <c r="I45" s="100">
        <v>6246</v>
      </c>
      <c r="J45" s="100">
        <v>6</v>
      </c>
      <c r="K45" s="100">
        <v>7495.2000000000007</v>
      </c>
      <c r="L45" s="100">
        <v>8</v>
      </c>
      <c r="M45" s="100">
        <v>9993.6</v>
      </c>
      <c r="N45" s="100">
        <v>8</v>
      </c>
      <c r="O45" s="100">
        <v>9993.6</v>
      </c>
      <c r="P45" s="100">
        <v>7</v>
      </c>
      <c r="Q45" s="100">
        <v>8744.4</v>
      </c>
      <c r="R45" s="100">
        <v>7</v>
      </c>
      <c r="S45" s="100">
        <v>8744.4</v>
      </c>
      <c r="T45" s="100">
        <v>6</v>
      </c>
      <c r="U45" s="100">
        <v>7495.2000000000007</v>
      </c>
      <c r="V45" s="100">
        <v>9</v>
      </c>
      <c r="W45" s="100">
        <v>11242.800000000001</v>
      </c>
      <c r="X45" s="100">
        <v>6</v>
      </c>
      <c r="Y45" s="100">
        <v>7495.2000000000007</v>
      </c>
      <c r="Z45" s="100">
        <v>7</v>
      </c>
      <c r="AA45" s="100">
        <v>8744.4</v>
      </c>
      <c r="AB45" s="100">
        <v>8</v>
      </c>
      <c r="AC45" s="100">
        <v>9993.6</v>
      </c>
      <c r="AD45" s="100">
        <v>5</v>
      </c>
      <c r="AE45" s="100">
        <v>6246</v>
      </c>
      <c r="AF45" s="100">
        <v>7</v>
      </c>
      <c r="AG45" s="100">
        <v>8744.4</v>
      </c>
      <c r="AH45" s="100">
        <v>7.4338539841698275</v>
      </c>
      <c r="AI45" s="100">
        <v>9286.370397024948</v>
      </c>
      <c r="AJ45" s="100">
        <v>9</v>
      </c>
      <c r="AK45" s="100">
        <v>11242.800000000001</v>
      </c>
      <c r="AL45" s="100">
        <v>7</v>
      </c>
      <c r="AM45" s="100">
        <v>8744.4</v>
      </c>
      <c r="AN45" s="100">
        <v>7.1618041676280173</v>
      </c>
      <c r="AO45" s="100">
        <v>8946.525766200919</v>
      </c>
      <c r="AP45" s="100">
        <v>6</v>
      </c>
      <c r="AQ45" s="100">
        <v>7495.2000000000007</v>
      </c>
      <c r="AR45" s="100">
        <v>9.4700709003500343</v>
      </c>
      <c r="AS45" s="100">
        <v>11830.012568717264</v>
      </c>
      <c r="AT45" s="100">
        <v>5</v>
      </c>
      <c r="AU45" s="100">
        <v>6246</v>
      </c>
      <c r="AV45" s="100">
        <v>9</v>
      </c>
      <c r="AW45" s="100">
        <v>11242.800000000001</v>
      </c>
      <c r="AX45" s="100">
        <v>7.5496108274188085</v>
      </c>
      <c r="AY45" s="100">
        <v>9430.9738456115756</v>
      </c>
      <c r="AZ45" s="100">
        <v>4.3139104207559127</v>
      </c>
      <c r="BA45" s="100">
        <v>5388.936897608286</v>
      </c>
      <c r="BB45" s="100">
        <v>5.6183996310453619</v>
      </c>
      <c r="BC45" s="100">
        <v>7018.5048191018659</v>
      </c>
      <c r="BD45" s="100">
        <v>4.6854699998855063</v>
      </c>
      <c r="BE45" s="100">
        <v>5853.0891238569748</v>
      </c>
      <c r="BF45" s="100">
        <v>9</v>
      </c>
      <c r="BG45" s="100">
        <v>11242.800000000001</v>
      </c>
      <c r="BH45" s="100">
        <v>5.6492678556142222</v>
      </c>
      <c r="BI45" s="100">
        <v>7057.0654052332866</v>
      </c>
      <c r="BJ45" s="100">
        <v>1.2123721155451792</v>
      </c>
      <c r="BK45" s="100">
        <v>1514.4952467390378</v>
      </c>
      <c r="BL45" s="100">
        <v>8</v>
      </c>
      <c r="BM45" s="100">
        <v>9993.6</v>
      </c>
      <c r="BN45" s="100">
        <v>7</v>
      </c>
      <c r="BO45" s="100">
        <v>8744.4</v>
      </c>
      <c r="BP45" s="100">
        <v>9</v>
      </c>
      <c r="BQ45" s="100">
        <v>11242.800000000001</v>
      </c>
      <c r="BR45" s="100">
        <v>10</v>
      </c>
      <c r="BS45" s="100">
        <v>12492</v>
      </c>
      <c r="BT45" s="100">
        <v>6</v>
      </c>
      <c r="BU45" s="100">
        <v>7495.2000000000007</v>
      </c>
      <c r="BV45" s="100">
        <v>8.3143536973824936</v>
      </c>
      <c r="BW45" s="100">
        <v>10386.290638770211</v>
      </c>
      <c r="BX45" s="100">
        <v>6.245817302304741</v>
      </c>
      <c r="BY45" s="100">
        <v>7802.2749740390827</v>
      </c>
      <c r="BZ45" s="100">
        <v>10</v>
      </c>
      <c r="CA45" s="100">
        <v>12492</v>
      </c>
      <c r="CB45" s="100">
        <v>7</v>
      </c>
      <c r="CC45" s="100">
        <v>8744.4</v>
      </c>
      <c r="CD45" s="100">
        <v>3.7192547704243459</v>
      </c>
      <c r="CE45" s="100">
        <v>4646.093059214093</v>
      </c>
      <c r="CF45" s="100">
        <v>5.9776604433490208</v>
      </c>
      <c r="CG45" s="100">
        <v>7467.2934258315972</v>
      </c>
      <c r="CH45" s="100">
        <v>5.5894454164066154</v>
      </c>
      <c r="CI45" s="100">
        <v>6982.3352141751438</v>
      </c>
      <c r="CJ45" s="100">
        <v>7</v>
      </c>
      <c r="CK45" s="100">
        <v>8744.4</v>
      </c>
      <c r="CL45" s="100">
        <v>6</v>
      </c>
      <c r="CM45" s="100">
        <v>7495.2000000000007</v>
      </c>
      <c r="CN45" s="100">
        <v>6</v>
      </c>
      <c r="CO45" s="100">
        <v>7495.2000000000007</v>
      </c>
      <c r="CP45" s="100">
        <v>4.0010838199590983</v>
      </c>
      <c r="CQ45" s="100">
        <v>4998.1539078929054</v>
      </c>
      <c r="CR45" s="100">
        <v>6.4622903936667875</v>
      </c>
      <c r="CS45" s="100">
        <v>8072.6931597685516</v>
      </c>
      <c r="CT45" s="100">
        <v>3.0615755070442332</v>
      </c>
      <c r="CU45" s="100">
        <v>3824.5201233996563</v>
      </c>
    </row>
    <row r="46" spans="2:99">
      <c r="C46" s="99" t="s">
        <v>212</v>
      </c>
      <c r="D46" s="100">
        <v>7</v>
      </c>
      <c r="E46" s="100">
        <v>8484</v>
      </c>
      <c r="F46" s="100">
        <v>5</v>
      </c>
      <c r="G46" s="100">
        <v>6060</v>
      </c>
      <c r="H46" s="100">
        <v>6</v>
      </c>
      <c r="I46" s="100">
        <v>7272</v>
      </c>
      <c r="J46" s="100">
        <v>6</v>
      </c>
      <c r="K46" s="100">
        <v>7272</v>
      </c>
      <c r="L46" s="100">
        <v>8</v>
      </c>
      <c r="M46" s="100">
        <v>9696</v>
      </c>
      <c r="N46" s="100">
        <v>8</v>
      </c>
      <c r="O46" s="100">
        <v>9696</v>
      </c>
      <c r="P46" s="100">
        <v>8</v>
      </c>
      <c r="Q46" s="100">
        <v>9696</v>
      </c>
      <c r="R46" s="100">
        <v>7</v>
      </c>
      <c r="S46" s="100">
        <v>8484</v>
      </c>
      <c r="T46" s="100">
        <v>6</v>
      </c>
      <c r="U46" s="100">
        <v>7272</v>
      </c>
      <c r="V46" s="100">
        <v>8</v>
      </c>
      <c r="W46" s="100">
        <v>9696</v>
      </c>
      <c r="X46" s="100">
        <v>6</v>
      </c>
      <c r="Y46" s="100">
        <v>7272</v>
      </c>
      <c r="Z46" s="100">
        <v>7</v>
      </c>
      <c r="AA46" s="100">
        <v>8484</v>
      </c>
      <c r="AB46" s="100">
        <v>8</v>
      </c>
      <c r="AC46" s="100">
        <v>9696</v>
      </c>
      <c r="AD46" s="100">
        <v>5</v>
      </c>
      <c r="AE46" s="100">
        <v>6060</v>
      </c>
      <c r="AF46" s="100">
        <v>7</v>
      </c>
      <c r="AG46" s="100">
        <v>8484</v>
      </c>
      <c r="AH46" s="100">
        <v>6.4338539841698275</v>
      </c>
      <c r="AI46" s="100">
        <v>7797.8310288138309</v>
      </c>
      <c r="AJ46" s="100">
        <v>8</v>
      </c>
      <c r="AK46" s="100">
        <v>9696</v>
      </c>
      <c r="AL46" s="100">
        <v>7</v>
      </c>
      <c r="AM46" s="100">
        <v>8484</v>
      </c>
      <c r="AN46" s="100">
        <v>8</v>
      </c>
      <c r="AO46" s="100">
        <v>9696</v>
      </c>
      <c r="AP46" s="100">
        <v>5</v>
      </c>
      <c r="AQ46" s="100">
        <v>6060</v>
      </c>
      <c r="AR46" s="100">
        <v>8.5128046185636723</v>
      </c>
      <c r="AS46" s="100">
        <v>10317.51919769917</v>
      </c>
      <c r="AT46" s="100">
        <v>5</v>
      </c>
      <c r="AU46" s="100">
        <v>6060</v>
      </c>
      <c r="AV46" s="100">
        <v>8</v>
      </c>
      <c r="AW46" s="100">
        <v>9696</v>
      </c>
      <c r="AX46" s="100">
        <v>6.5496108274188085</v>
      </c>
      <c r="AY46" s="100">
        <v>7938.1283228315961</v>
      </c>
      <c r="AZ46" s="100">
        <v>4.3139104207559127</v>
      </c>
      <c r="BA46" s="100">
        <v>5228.4594299561659</v>
      </c>
      <c r="BB46" s="100">
        <v>6.5771729889756712</v>
      </c>
      <c r="BC46" s="100">
        <v>7971.5336626385133</v>
      </c>
      <c r="BD46" s="100">
        <v>4.0161171427590059</v>
      </c>
      <c r="BE46" s="100">
        <v>4867.5339770239152</v>
      </c>
      <c r="BF46" s="100">
        <v>9</v>
      </c>
      <c r="BG46" s="100">
        <v>10908</v>
      </c>
      <c r="BH46" s="100">
        <v>5.0513401147772958</v>
      </c>
      <c r="BI46" s="100">
        <v>6122.2242191100822</v>
      </c>
      <c r="BJ46" s="100">
        <v>1.2123721155451792</v>
      </c>
      <c r="BK46" s="100">
        <v>1469.3950040407572</v>
      </c>
      <c r="BL46" s="100">
        <v>7</v>
      </c>
      <c r="BM46" s="100">
        <v>8484</v>
      </c>
      <c r="BN46" s="100">
        <v>7</v>
      </c>
      <c r="BO46" s="100">
        <v>8484</v>
      </c>
      <c r="BP46" s="100">
        <v>9</v>
      </c>
      <c r="BQ46" s="100">
        <v>10908</v>
      </c>
      <c r="BR46" s="100">
        <v>9</v>
      </c>
      <c r="BS46" s="100">
        <v>10908</v>
      </c>
      <c r="BT46" s="100">
        <v>5</v>
      </c>
      <c r="BU46" s="100">
        <v>6060</v>
      </c>
      <c r="BV46" s="100">
        <v>7.3143536973824927</v>
      </c>
      <c r="BW46" s="100">
        <v>8864.9966812275816</v>
      </c>
      <c r="BX46" s="100">
        <v>5.4650901395166489</v>
      </c>
      <c r="BY46" s="100">
        <v>6623.6892490941782</v>
      </c>
      <c r="BZ46" s="100">
        <v>8</v>
      </c>
      <c r="CA46" s="100">
        <v>9696</v>
      </c>
      <c r="CB46" s="100">
        <v>6</v>
      </c>
      <c r="CC46" s="100">
        <v>7272</v>
      </c>
      <c r="CD46" s="100">
        <v>3.272145629017214</v>
      </c>
      <c r="CE46" s="100">
        <v>3965.8405023688633</v>
      </c>
      <c r="CF46" s="100">
        <v>5.3798943990141179</v>
      </c>
      <c r="CG46" s="100">
        <v>6520.4320116051113</v>
      </c>
      <c r="CH46" s="100">
        <v>4.6578711803388462</v>
      </c>
      <c r="CI46" s="100">
        <v>5645.3398705706813</v>
      </c>
      <c r="CJ46" s="100">
        <v>6</v>
      </c>
      <c r="CK46" s="100">
        <v>7272</v>
      </c>
      <c r="CL46" s="100">
        <v>5</v>
      </c>
      <c r="CM46" s="100">
        <v>6060</v>
      </c>
      <c r="CN46" s="100">
        <v>6</v>
      </c>
      <c r="CO46" s="100">
        <v>7272</v>
      </c>
      <c r="CP46" s="100">
        <v>4.0010838199590983</v>
      </c>
      <c r="CQ46" s="100">
        <v>4849.3135897904276</v>
      </c>
      <c r="CR46" s="100">
        <v>7.4622903936667875</v>
      </c>
      <c r="CS46" s="100">
        <v>9044.2959571241463</v>
      </c>
      <c r="CT46" s="100">
        <v>3.0827219979282381</v>
      </c>
      <c r="CU46" s="100">
        <v>3736.2590614890246</v>
      </c>
    </row>
    <row r="47" spans="2:99">
      <c r="C47" s="99" t="s">
        <v>213</v>
      </c>
      <c r="D47" s="100">
        <v>7</v>
      </c>
      <c r="E47" s="100">
        <v>10693.199999999999</v>
      </c>
      <c r="F47" s="100">
        <v>5</v>
      </c>
      <c r="G47" s="100">
        <v>7638</v>
      </c>
      <c r="H47" s="100">
        <v>6</v>
      </c>
      <c r="I47" s="100">
        <v>9165.5999999999985</v>
      </c>
      <c r="J47" s="100">
        <v>6</v>
      </c>
      <c r="K47" s="100">
        <v>9165.5999999999985</v>
      </c>
      <c r="L47" s="100">
        <v>8</v>
      </c>
      <c r="M47" s="100">
        <v>12220.8</v>
      </c>
      <c r="N47" s="100">
        <v>8</v>
      </c>
      <c r="O47" s="100">
        <v>12220.8</v>
      </c>
      <c r="P47" s="100">
        <v>7</v>
      </c>
      <c r="Q47" s="100">
        <v>10693.199999999999</v>
      </c>
      <c r="R47" s="100">
        <v>7</v>
      </c>
      <c r="S47" s="100">
        <v>10693.199999999999</v>
      </c>
      <c r="T47" s="100">
        <v>6</v>
      </c>
      <c r="U47" s="100">
        <v>9165.5999999999985</v>
      </c>
      <c r="V47" s="100">
        <v>8</v>
      </c>
      <c r="W47" s="100">
        <v>12220.8</v>
      </c>
      <c r="X47" s="100">
        <v>6</v>
      </c>
      <c r="Y47" s="100">
        <v>9165.5999999999985</v>
      </c>
      <c r="Z47" s="100">
        <v>7</v>
      </c>
      <c r="AA47" s="100">
        <v>10693.199999999999</v>
      </c>
      <c r="AB47" s="100">
        <v>9</v>
      </c>
      <c r="AC47" s="100">
        <v>13748.4</v>
      </c>
      <c r="AD47" s="100">
        <v>5</v>
      </c>
      <c r="AE47" s="100">
        <v>7638</v>
      </c>
      <c r="AF47" s="100">
        <v>7</v>
      </c>
      <c r="AG47" s="100">
        <v>10693.199999999999</v>
      </c>
      <c r="AH47" s="100">
        <v>7.3904685857528447</v>
      </c>
      <c r="AI47" s="100">
        <v>11289.679811596045</v>
      </c>
      <c r="AJ47" s="100">
        <v>8</v>
      </c>
      <c r="AK47" s="100">
        <v>12220.8</v>
      </c>
      <c r="AL47" s="100">
        <v>7</v>
      </c>
      <c r="AM47" s="100">
        <v>10693.199999999999</v>
      </c>
      <c r="AN47" s="100">
        <v>8</v>
      </c>
      <c r="AO47" s="100">
        <v>12220.8</v>
      </c>
      <c r="AP47" s="100">
        <v>5</v>
      </c>
      <c r="AQ47" s="100">
        <v>7638</v>
      </c>
      <c r="AR47" s="100">
        <v>8.5128046185636723</v>
      </c>
      <c r="AS47" s="100">
        <v>13004.160335317865</v>
      </c>
      <c r="AT47" s="100">
        <v>6</v>
      </c>
      <c r="AU47" s="100">
        <v>9165.5999999999985</v>
      </c>
      <c r="AV47" s="100">
        <v>8</v>
      </c>
      <c r="AW47" s="100">
        <v>12220.8</v>
      </c>
      <c r="AX47" s="100">
        <v>7.4996462067443712</v>
      </c>
      <c r="AY47" s="100">
        <v>11456.4595454227</v>
      </c>
      <c r="AZ47" s="100">
        <v>3.5949253506299272</v>
      </c>
      <c r="BA47" s="100">
        <v>5491.6079656222764</v>
      </c>
      <c r="BB47" s="100">
        <v>5.5359463469059804</v>
      </c>
      <c r="BC47" s="100">
        <v>8456.7116395335761</v>
      </c>
      <c r="BD47" s="100">
        <v>4.0161171427590059</v>
      </c>
      <c r="BE47" s="100">
        <v>6135.0205472786574</v>
      </c>
      <c r="BF47" s="100">
        <v>9</v>
      </c>
      <c r="BG47" s="100">
        <v>13748.4</v>
      </c>
      <c r="BH47" s="100">
        <v>4.9916266024380676</v>
      </c>
      <c r="BI47" s="100">
        <v>7625.208797884392</v>
      </c>
      <c r="BJ47" s="100">
        <v>1.2123721155451792</v>
      </c>
      <c r="BK47" s="100">
        <v>1852.0196437068157</v>
      </c>
      <c r="BL47" s="100">
        <v>8</v>
      </c>
      <c r="BM47" s="100">
        <v>12220.8</v>
      </c>
      <c r="BN47" s="100">
        <v>8</v>
      </c>
      <c r="BO47" s="100">
        <v>12220.8</v>
      </c>
      <c r="BP47" s="100">
        <v>9</v>
      </c>
      <c r="BQ47" s="100">
        <v>13748.4</v>
      </c>
      <c r="BR47" s="100">
        <v>10</v>
      </c>
      <c r="BS47" s="100">
        <v>15276</v>
      </c>
      <c r="BT47" s="100">
        <v>5</v>
      </c>
      <c r="BU47" s="100">
        <v>7638</v>
      </c>
      <c r="BV47" s="100">
        <v>8.3457890671207426</v>
      </c>
      <c r="BW47" s="100">
        <v>12749.027378933646</v>
      </c>
      <c r="BX47" s="100">
        <v>5.4650901395166489</v>
      </c>
      <c r="BY47" s="100">
        <v>8348.471697125633</v>
      </c>
      <c r="BZ47" s="100">
        <v>8</v>
      </c>
      <c r="CA47" s="100">
        <v>12220.8</v>
      </c>
      <c r="CB47" s="100">
        <v>7</v>
      </c>
      <c r="CC47" s="100">
        <v>10693.199999999999</v>
      </c>
      <c r="CD47" s="100">
        <v>3.272145629017214</v>
      </c>
      <c r="CE47" s="100">
        <v>4998.5296628866954</v>
      </c>
      <c r="CF47" s="100">
        <v>5.3798943990141179</v>
      </c>
      <c r="CG47" s="100">
        <v>8218.3266839339667</v>
      </c>
      <c r="CH47" s="100">
        <v>4.6578711803388462</v>
      </c>
      <c r="CI47" s="100">
        <v>7115.3640150856208</v>
      </c>
      <c r="CJ47" s="100">
        <v>6</v>
      </c>
      <c r="CK47" s="100">
        <v>9165.5999999999985</v>
      </c>
      <c r="CL47" s="100">
        <v>6</v>
      </c>
      <c r="CM47" s="100">
        <v>9165.5999999999985</v>
      </c>
      <c r="CN47" s="100">
        <v>6</v>
      </c>
      <c r="CO47" s="100">
        <v>9165.5999999999985</v>
      </c>
      <c r="CP47" s="100">
        <v>4.5726672228103977</v>
      </c>
      <c r="CQ47" s="100">
        <v>6985.206449565163</v>
      </c>
      <c r="CR47" s="100">
        <v>7.5085194330334657</v>
      </c>
      <c r="CS47" s="100">
        <v>11470.014285901922</v>
      </c>
      <c r="CT47" s="100">
        <v>3.0615755070442332</v>
      </c>
      <c r="CU47" s="100">
        <v>4676.8627445607708</v>
      </c>
    </row>
    <row r="48" spans="2:99">
      <c r="C48" s="99" t="s">
        <v>214</v>
      </c>
      <c r="D48" s="100">
        <v>7</v>
      </c>
      <c r="E48" s="100">
        <v>6073.2</v>
      </c>
      <c r="F48" s="100">
        <v>6</v>
      </c>
      <c r="G48" s="100">
        <v>5205.6000000000004</v>
      </c>
      <c r="H48" s="100">
        <v>6</v>
      </c>
      <c r="I48" s="100">
        <v>5205.6000000000004</v>
      </c>
      <c r="J48" s="100">
        <v>6</v>
      </c>
      <c r="K48" s="100">
        <v>5205.6000000000004</v>
      </c>
      <c r="L48" s="100">
        <v>8</v>
      </c>
      <c r="M48" s="100">
        <v>6940.8</v>
      </c>
      <c r="N48" s="100">
        <v>9</v>
      </c>
      <c r="O48" s="100">
        <v>7808.4000000000005</v>
      </c>
      <c r="P48" s="100">
        <v>8</v>
      </c>
      <c r="Q48" s="100">
        <v>6940.8</v>
      </c>
      <c r="R48" s="100">
        <v>7</v>
      </c>
      <c r="S48" s="100">
        <v>6073.2</v>
      </c>
      <c r="T48" s="100">
        <v>5</v>
      </c>
      <c r="U48" s="100">
        <v>4338</v>
      </c>
      <c r="V48" s="100">
        <v>8</v>
      </c>
      <c r="W48" s="100">
        <v>6940.8</v>
      </c>
      <c r="X48" s="100">
        <v>6</v>
      </c>
      <c r="Y48" s="100">
        <v>5205.6000000000004</v>
      </c>
      <c r="Z48" s="100">
        <v>7</v>
      </c>
      <c r="AA48" s="100">
        <v>6073.2</v>
      </c>
      <c r="AB48" s="100">
        <v>9</v>
      </c>
      <c r="AC48" s="100">
        <v>7808.4000000000005</v>
      </c>
      <c r="AD48" s="100">
        <v>5</v>
      </c>
      <c r="AE48" s="100">
        <v>4338</v>
      </c>
      <c r="AF48" s="100">
        <v>8</v>
      </c>
      <c r="AG48" s="100">
        <v>6940.8</v>
      </c>
      <c r="AH48" s="100">
        <v>8.4338539841698275</v>
      </c>
      <c r="AI48" s="100">
        <v>7317.2117166657426</v>
      </c>
      <c r="AJ48" s="100">
        <v>8</v>
      </c>
      <c r="AK48" s="100">
        <v>6940.8</v>
      </c>
      <c r="AL48" s="100">
        <v>8</v>
      </c>
      <c r="AM48" s="100">
        <v>6940.8</v>
      </c>
      <c r="AN48" s="100">
        <v>8</v>
      </c>
      <c r="AO48" s="100">
        <v>6940.8</v>
      </c>
      <c r="AP48" s="100">
        <v>6</v>
      </c>
      <c r="AQ48" s="100">
        <v>5205.6000000000004</v>
      </c>
      <c r="AR48" s="100">
        <v>8.5128046185636723</v>
      </c>
      <c r="AS48" s="100">
        <v>7385.7092870658425</v>
      </c>
      <c r="AT48" s="100">
        <v>5</v>
      </c>
      <c r="AU48" s="100">
        <v>4338</v>
      </c>
      <c r="AV48" s="100">
        <v>9</v>
      </c>
      <c r="AW48" s="100">
        <v>7808.4000000000005</v>
      </c>
      <c r="AX48" s="100">
        <v>7.4996462067443712</v>
      </c>
      <c r="AY48" s="100">
        <v>6506.6930489714168</v>
      </c>
      <c r="AZ48" s="100">
        <v>4.3139104207559127</v>
      </c>
      <c r="BA48" s="100">
        <v>3742.7486810478299</v>
      </c>
      <c r="BB48" s="100">
        <v>5.5771729889756712</v>
      </c>
      <c r="BC48" s="100">
        <v>4838.7552852352928</v>
      </c>
      <c r="BD48" s="100">
        <v>4.0161171427590059</v>
      </c>
      <c r="BE48" s="100">
        <v>3484.3832330577138</v>
      </c>
      <c r="BF48" s="100">
        <v>8</v>
      </c>
      <c r="BG48" s="100">
        <v>6940.8</v>
      </c>
      <c r="BH48" s="100">
        <v>5.6791246117838368</v>
      </c>
      <c r="BI48" s="100">
        <v>4927.2085131836566</v>
      </c>
      <c r="BJ48" s="100">
        <v>1.2123721155451792</v>
      </c>
      <c r="BK48" s="100">
        <v>1051.8540474469976</v>
      </c>
      <c r="BL48" s="100">
        <v>8</v>
      </c>
      <c r="BM48" s="100">
        <v>6940.8</v>
      </c>
      <c r="BN48" s="100">
        <v>8</v>
      </c>
      <c r="BO48" s="100">
        <v>6940.8</v>
      </c>
      <c r="BP48" s="100">
        <v>9</v>
      </c>
      <c r="BQ48" s="100">
        <v>7808.4000000000005</v>
      </c>
      <c r="BR48" s="100">
        <v>10</v>
      </c>
      <c r="BS48" s="100">
        <v>8676</v>
      </c>
      <c r="BT48" s="100">
        <v>5</v>
      </c>
      <c r="BU48" s="100">
        <v>4338</v>
      </c>
      <c r="BV48" s="100">
        <v>9.3457890671207426</v>
      </c>
      <c r="BW48" s="100">
        <v>8108.406594633957</v>
      </c>
      <c r="BX48" s="100">
        <v>6.245817302304741</v>
      </c>
      <c r="BY48" s="100">
        <v>5418.8710914795938</v>
      </c>
      <c r="BZ48" s="100">
        <v>9</v>
      </c>
      <c r="CA48" s="100">
        <v>7808.4000000000005</v>
      </c>
      <c r="CB48" s="100">
        <v>7</v>
      </c>
      <c r="CC48" s="100">
        <v>6073.2</v>
      </c>
      <c r="CD48" s="100">
        <v>3.7395950045911013</v>
      </c>
      <c r="CE48" s="100">
        <v>3244.4726259832396</v>
      </c>
      <c r="CF48" s="100">
        <v>5.9776604433490208</v>
      </c>
      <c r="CG48" s="100">
        <v>5186.2182006496105</v>
      </c>
      <c r="CH48" s="100">
        <v>5.5894454164066154</v>
      </c>
      <c r="CI48" s="100">
        <v>4849.4028432743798</v>
      </c>
      <c r="CJ48" s="100">
        <v>7</v>
      </c>
      <c r="CK48" s="100">
        <v>6073.2</v>
      </c>
      <c r="CL48" s="100">
        <v>5</v>
      </c>
      <c r="CM48" s="100">
        <v>4338</v>
      </c>
      <c r="CN48" s="100">
        <v>7.5379648046756591</v>
      </c>
      <c r="CO48" s="100">
        <v>6539.9382645366022</v>
      </c>
      <c r="CP48" s="100">
        <v>4.0010838199590983</v>
      </c>
      <c r="CQ48" s="100">
        <v>3471.3403221965136</v>
      </c>
      <c r="CR48" s="100">
        <v>7.4622903936667875</v>
      </c>
      <c r="CS48" s="100">
        <v>6474.2831455453052</v>
      </c>
      <c r="CT48" s="100">
        <v>3.0615755070442332</v>
      </c>
      <c r="CU48" s="100">
        <v>2656.2229099115766</v>
      </c>
    </row>
    <row r="49" spans="2:99">
      <c r="B49" s="99" t="s">
        <v>129</v>
      </c>
      <c r="C49" s="99" t="s">
        <v>215</v>
      </c>
      <c r="D49" s="100">
        <v>6</v>
      </c>
      <c r="E49" s="100">
        <v>5911.2</v>
      </c>
      <c r="F49" s="100">
        <v>6</v>
      </c>
      <c r="G49" s="100">
        <v>5911.2</v>
      </c>
      <c r="H49" s="100">
        <v>6</v>
      </c>
      <c r="I49" s="100">
        <v>5911.2</v>
      </c>
      <c r="J49" s="100">
        <v>4</v>
      </c>
      <c r="K49" s="100">
        <v>3940.7999999999997</v>
      </c>
      <c r="L49" s="100">
        <v>5</v>
      </c>
      <c r="M49" s="100">
        <v>4926</v>
      </c>
      <c r="N49" s="100">
        <v>3</v>
      </c>
      <c r="O49" s="100">
        <v>2955.6</v>
      </c>
      <c r="P49" s="100">
        <v>4</v>
      </c>
      <c r="Q49" s="100">
        <v>3940.7999999999997</v>
      </c>
      <c r="R49" s="100">
        <v>5</v>
      </c>
      <c r="S49" s="100">
        <v>4926</v>
      </c>
      <c r="T49" s="100">
        <v>4</v>
      </c>
      <c r="U49" s="100">
        <v>3940.7999999999997</v>
      </c>
      <c r="V49" s="100">
        <v>4.2316955557776286</v>
      </c>
      <c r="W49" s="100">
        <v>4169.0664615521191</v>
      </c>
      <c r="X49" s="100">
        <v>4</v>
      </c>
      <c r="Y49" s="100">
        <v>3940.7999999999997</v>
      </c>
      <c r="Z49" s="100">
        <v>6</v>
      </c>
      <c r="AA49" s="100">
        <v>5911.2</v>
      </c>
      <c r="AB49" s="100">
        <v>6.3519799170056368</v>
      </c>
      <c r="AC49" s="100">
        <v>6257.9706142339528</v>
      </c>
      <c r="AD49" s="100">
        <v>5.0240899756298143</v>
      </c>
      <c r="AE49" s="100">
        <v>4949.7334439904926</v>
      </c>
      <c r="AF49" s="100">
        <v>5</v>
      </c>
      <c r="AG49" s="100">
        <v>4926</v>
      </c>
      <c r="AH49" s="100">
        <v>4.2276352817045986</v>
      </c>
      <c r="AI49" s="100">
        <v>4165.0662795353701</v>
      </c>
      <c r="AJ49" s="100">
        <v>7.1036086119159689</v>
      </c>
      <c r="AK49" s="100">
        <v>6998.4752044596125</v>
      </c>
      <c r="AL49" s="100">
        <v>6.4974697734209492</v>
      </c>
      <c r="AM49" s="100">
        <v>6401.3072207743189</v>
      </c>
      <c r="AN49" s="100">
        <v>7.2393849786469682</v>
      </c>
      <c r="AO49" s="100">
        <v>7132.242080962993</v>
      </c>
      <c r="AP49" s="100">
        <v>6.1846051555213233</v>
      </c>
      <c r="AQ49" s="100">
        <v>6093.0729992196075</v>
      </c>
      <c r="AR49" s="100">
        <v>5</v>
      </c>
      <c r="AS49" s="100">
        <v>4926</v>
      </c>
      <c r="AT49" s="100">
        <v>6.2665557530445914</v>
      </c>
      <c r="AU49" s="100">
        <v>6173.8107278995312</v>
      </c>
      <c r="AV49" s="100">
        <v>5.0509920889170301</v>
      </c>
      <c r="AW49" s="100">
        <v>4976.2374060010579</v>
      </c>
      <c r="AX49" s="100">
        <v>4.5959288024695146</v>
      </c>
      <c r="AY49" s="100">
        <v>4527.9090561929652</v>
      </c>
      <c r="AZ49" s="100">
        <v>6.1310727569976287</v>
      </c>
      <c r="BA49" s="100">
        <v>6040.3328801940634</v>
      </c>
      <c r="BB49" s="100">
        <v>5</v>
      </c>
      <c r="BC49" s="100">
        <v>4926</v>
      </c>
      <c r="BD49" s="100">
        <v>6</v>
      </c>
      <c r="BE49" s="100">
        <v>5911.2</v>
      </c>
      <c r="BF49" s="100">
        <v>3.5976269502531824</v>
      </c>
      <c r="BG49" s="100">
        <v>3544.3820713894352</v>
      </c>
      <c r="BH49" s="100">
        <v>4.2462608826617005</v>
      </c>
      <c r="BI49" s="100">
        <v>4183.4162215983069</v>
      </c>
      <c r="BJ49" s="100">
        <v>2.0595644459289582</v>
      </c>
      <c r="BK49" s="100">
        <v>2029.0828921292095</v>
      </c>
      <c r="BL49" s="100">
        <v>3.5381084624614378</v>
      </c>
      <c r="BM49" s="100">
        <v>3485.7444572170084</v>
      </c>
      <c r="BN49" s="100">
        <v>6</v>
      </c>
      <c r="BO49" s="100">
        <v>5911.2</v>
      </c>
      <c r="BP49" s="100">
        <v>5</v>
      </c>
      <c r="BQ49" s="100">
        <v>4926</v>
      </c>
      <c r="BR49" s="100">
        <v>7</v>
      </c>
      <c r="BS49" s="100">
        <v>6896.4</v>
      </c>
      <c r="BT49" s="100">
        <v>6.7645813594435396</v>
      </c>
      <c r="BU49" s="100">
        <v>6664.4655553237744</v>
      </c>
      <c r="BV49" s="100">
        <v>7</v>
      </c>
      <c r="BW49" s="100">
        <v>6896.4</v>
      </c>
      <c r="BX49" s="100">
        <v>4.5498392442250406</v>
      </c>
      <c r="BY49" s="100">
        <v>4482.5016234105096</v>
      </c>
      <c r="BZ49" s="100">
        <v>3.6248544516764678</v>
      </c>
      <c r="CA49" s="100">
        <v>3571.2066057916559</v>
      </c>
      <c r="CB49" s="100">
        <v>4.4069993343119238</v>
      </c>
      <c r="CC49" s="100">
        <v>4341.775744164107</v>
      </c>
      <c r="CD49" s="100">
        <v>6.0325342108036049</v>
      </c>
      <c r="CE49" s="100">
        <v>5943.2527044837107</v>
      </c>
      <c r="CF49" s="100">
        <v>3.5493297297085132E-4</v>
      </c>
      <c r="CG49" s="100">
        <v>0.34967996497088272</v>
      </c>
      <c r="CH49" s="100">
        <v>5</v>
      </c>
      <c r="CI49" s="100">
        <v>4926</v>
      </c>
      <c r="CJ49" s="100">
        <v>4</v>
      </c>
      <c r="CK49" s="100">
        <v>3940.7999999999997</v>
      </c>
      <c r="CL49" s="100">
        <v>6</v>
      </c>
      <c r="CM49" s="100">
        <v>5911.2</v>
      </c>
      <c r="CN49" s="100">
        <v>4</v>
      </c>
      <c r="CO49" s="100">
        <v>3940.7999999999997</v>
      </c>
      <c r="CP49" s="100">
        <v>6</v>
      </c>
      <c r="CQ49" s="100">
        <v>5911.2</v>
      </c>
      <c r="CR49" s="100">
        <v>5</v>
      </c>
      <c r="CS49" s="100">
        <v>4926</v>
      </c>
      <c r="CT49" s="100">
        <v>3</v>
      </c>
      <c r="CU49" s="100">
        <v>2955.6</v>
      </c>
    </row>
    <row r="50" spans="2:99">
      <c r="C50" s="99" t="s">
        <v>216</v>
      </c>
      <c r="D50" s="100">
        <v>7</v>
      </c>
      <c r="E50" s="100">
        <v>1974</v>
      </c>
      <c r="F50" s="100">
        <v>6</v>
      </c>
      <c r="G50" s="100">
        <v>1692</v>
      </c>
      <c r="H50" s="100">
        <v>6</v>
      </c>
      <c r="I50" s="100">
        <v>1692</v>
      </c>
      <c r="J50" s="100">
        <v>5</v>
      </c>
      <c r="K50" s="100">
        <v>1410</v>
      </c>
      <c r="L50" s="100">
        <v>5</v>
      </c>
      <c r="M50" s="100">
        <v>1410</v>
      </c>
      <c r="N50" s="100">
        <v>3</v>
      </c>
      <c r="O50" s="100">
        <v>846</v>
      </c>
      <c r="P50" s="100">
        <v>5</v>
      </c>
      <c r="Q50" s="100">
        <v>1410</v>
      </c>
      <c r="R50" s="100">
        <v>6</v>
      </c>
      <c r="S50" s="100">
        <v>1692</v>
      </c>
      <c r="T50" s="100">
        <v>4</v>
      </c>
      <c r="U50" s="100">
        <v>1128</v>
      </c>
      <c r="V50" s="100">
        <v>4</v>
      </c>
      <c r="W50" s="100">
        <v>1128</v>
      </c>
      <c r="X50" s="100">
        <v>5</v>
      </c>
      <c r="Y50" s="100">
        <v>1410</v>
      </c>
      <c r="Z50" s="100">
        <v>6</v>
      </c>
      <c r="AA50" s="100">
        <v>1692</v>
      </c>
      <c r="AB50" s="100">
        <v>7</v>
      </c>
      <c r="AC50" s="100">
        <v>1974</v>
      </c>
      <c r="AD50" s="100">
        <v>5</v>
      </c>
      <c r="AE50" s="100">
        <v>1410</v>
      </c>
      <c r="AF50" s="100">
        <v>5</v>
      </c>
      <c r="AG50" s="100">
        <v>1410</v>
      </c>
      <c r="AH50" s="100">
        <v>3.5206247810037929</v>
      </c>
      <c r="AI50" s="100">
        <v>992.81618824306963</v>
      </c>
      <c r="AJ50" s="100">
        <v>6</v>
      </c>
      <c r="AK50" s="100">
        <v>1692</v>
      </c>
      <c r="AL50" s="100">
        <v>7</v>
      </c>
      <c r="AM50" s="100">
        <v>1974</v>
      </c>
      <c r="AN50" s="100">
        <v>8.0746788465975463</v>
      </c>
      <c r="AO50" s="100">
        <v>2277.0594347405081</v>
      </c>
      <c r="AP50" s="100">
        <v>6.2588375062615809</v>
      </c>
      <c r="AQ50" s="100">
        <v>1764.9921767657659</v>
      </c>
      <c r="AR50" s="100">
        <v>5.4273371821363936</v>
      </c>
      <c r="AS50" s="100">
        <v>1530.5090853624629</v>
      </c>
      <c r="AT50" s="100">
        <v>6</v>
      </c>
      <c r="AU50" s="100">
        <v>1692</v>
      </c>
      <c r="AV50" s="100">
        <v>5</v>
      </c>
      <c r="AW50" s="100">
        <v>1410</v>
      </c>
      <c r="AX50" s="100">
        <v>5.5496108274188085</v>
      </c>
      <c r="AY50" s="100">
        <v>1564.990253332104</v>
      </c>
      <c r="AZ50" s="100">
        <v>5.0328954908818977</v>
      </c>
      <c r="BA50" s="100">
        <v>1419.2765284286952</v>
      </c>
      <c r="BB50" s="100">
        <v>5.4122664206969082</v>
      </c>
      <c r="BC50" s="100">
        <v>1526.2591306365282</v>
      </c>
      <c r="BD50" s="100">
        <v>4.6854699998855063</v>
      </c>
      <c r="BE50" s="100">
        <v>1321.3025399677128</v>
      </c>
      <c r="BF50" s="100">
        <v>5</v>
      </c>
      <c r="BG50" s="100">
        <v>1410</v>
      </c>
      <c r="BH50" s="100">
        <v>2.8992758182311462</v>
      </c>
      <c r="BI50" s="100">
        <v>817.59578074118326</v>
      </c>
      <c r="BJ50" s="100">
        <v>0.96989769243614354</v>
      </c>
      <c r="BK50" s="100">
        <v>273.5111492669925</v>
      </c>
      <c r="BL50" s="100">
        <v>5</v>
      </c>
      <c r="BM50" s="100">
        <v>1410</v>
      </c>
      <c r="BN50" s="100">
        <v>7</v>
      </c>
      <c r="BO50" s="100">
        <v>1974</v>
      </c>
      <c r="BP50" s="100">
        <v>5</v>
      </c>
      <c r="BQ50" s="100">
        <v>1410</v>
      </c>
      <c r="BR50" s="100">
        <v>7</v>
      </c>
      <c r="BS50" s="100">
        <v>1974</v>
      </c>
      <c r="BT50" s="100">
        <v>7</v>
      </c>
      <c r="BU50" s="100">
        <v>1974</v>
      </c>
      <c r="BV50" s="100">
        <v>6</v>
      </c>
      <c r="BW50" s="100">
        <v>1692</v>
      </c>
      <c r="BX50" s="100">
        <v>3.903635813940463</v>
      </c>
      <c r="BY50" s="100">
        <v>1100.8252995312105</v>
      </c>
      <c r="BZ50" s="100">
        <v>5</v>
      </c>
      <c r="CA50" s="100">
        <v>1410</v>
      </c>
      <c r="CB50" s="100">
        <v>5</v>
      </c>
      <c r="CC50" s="100">
        <v>1410</v>
      </c>
      <c r="CD50" s="100">
        <v>2.7843560192765708</v>
      </c>
      <c r="CE50" s="100">
        <v>785.18839743599301</v>
      </c>
      <c r="CF50" s="100">
        <v>3.5865962660094119</v>
      </c>
      <c r="CG50" s="100">
        <v>1011.4201470146542</v>
      </c>
      <c r="CH50" s="100">
        <v>4.6578711803388462</v>
      </c>
      <c r="CI50" s="100">
        <v>1313.5196728555545</v>
      </c>
      <c r="CJ50" s="100">
        <v>5</v>
      </c>
      <c r="CK50" s="100">
        <v>1410</v>
      </c>
      <c r="CL50" s="100">
        <v>6</v>
      </c>
      <c r="CM50" s="100">
        <v>1692</v>
      </c>
      <c r="CN50" s="100">
        <v>4.3724371724677642</v>
      </c>
      <c r="CO50" s="100">
        <v>1233.0272826359096</v>
      </c>
      <c r="CP50" s="100">
        <v>3.4295004171077985</v>
      </c>
      <c r="CQ50" s="100">
        <v>967.11911762439922</v>
      </c>
      <c r="CR50" s="100">
        <v>5.3698323149334293</v>
      </c>
      <c r="CS50" s="100">
        <v>1514.2927128112271</v>
      </c>
      <c r="CT50" s="100">
        <v>2.4365725111049832</v>
      </c>
      <c r="CU50" s="100">
        <v>687.11344813160531</v>
      </c>
    </row>
    <row r="51" spans="2:99">
      <c r="C51" s="99" t="s">
        <v>217</v>
      </c>
      <c r="D51" s="100">
        <v>6</v>
      </c>
      <c r="E51" s="100">
        <v>5126.3999999999996</v>
      </c>
      <c r="F51" s="100">
        <v>6</v>
      </c>
      <c r="G51" s="100">
        <v>5126.3999999999996</v>
      </c>
      <c r="H51" s="100">
        <v>6</v>
      </c>
      <c r="I51" s="100">
        <v>5126.3999999999996</v>
      </c>
      <c r="J51" s="100">
        <v>5</v>
      </c>
      <c r="K51" s="100">
        <v>4272</v>
      </c>
      <c r="L51" s="100">
        <v>5</v>
      </c>
      <c r="M51" s="100">
        <v>4272</v>
      </c>
      <c r="N51" s="100">
        <v>4</v>
      </c>
      <c r="O51" s="100">
        <v>3417.6</v>
      </c>
      <c r="P51" s="100">
        <v>4</v>
      </c>
      <c r="Q51" s="100">
        <v>3417.6</v>
      </c>
      <c r="R51" s="100">
        <v>6</v>
      </c>
      <c r="S51" s="100">
        <v>5126.3999999999996</v>
      </c>
      <c r="T51" s="100">
        <v>4</v>
      </c>
      <c r="U51" s="100">
        <v>3417.6</v>
      </c>
      <c r="V51" s="100">
        <v>4</v>
      </c>
      <c r="W51" s="100">
        <v>3417.6</v>
      </c>
      <c r="X51" s="100">
        <v>4</v>
      </c>
      <c r="Y51" s="100">
        <v>3417.6</v>
      </c>
      <c r="Z51" s="100">
        <v>5</v>
      </c>
      <c r="AA51" s="100">
        <v>4272</v>
      </c>
      <c r="AB51" s="100">
        <v>6</v>
      </c>
      <c r="AC51" s="100">
        <v>5126.3999999999996</v>
      </c>
      <c r="AD51" s="100">
        <v>5</v>
      </c>
      <c r="AE51" s="100">
        <v>4272</v>
      </c>
      <c r="AF51" s="100">
        <v>5</v>
      </c>
      <c r="AG51" s="100">
        <v>4272</v>
      </c>
      <c r="AH51" s="100">
        <v>4.4772393825868102</v>
      </c>
      <c r="AI51" s="100">
        <v>3825.3533284821706</v>
      </c>
      <c r="AJ51" s="100">
        <v>7</v>
      </c>
      <c r="AK51" s="100">
        <v>5980.8</v>
      </c>
      <c r="AL51" s="100">
        <v>7</v>
      </c>
      <c r="AM51" s="100">
        <v>5980.8</v>
      </c>
      <c r="AN51" s="100">
        <v>7</v>
      </c>
      <c r="AO51" s="100">
        <v>5980.8</v>
      </c>
      <c r="AP51" s="100">
        <v>6.2588375062615809</v>
      </c>
      <c r="AQ51" s="100">
        <v>5347.5507653498944</v>
      </c>
      <c r="AR51" s="100">
        <v>5.3418697457091149</v>
      </c>
      <c r="AS51" s="100">
        <v>4564.0935107338673</v>
      </c>
      <c r="AT51" s="100">
        <v>6</v>
      </c>
      <c r="AU51" s="100">
        <v>5126.3999999999996</v>
      </c>
      <c r="AV51" s="100">
        <v>5</v>
      </c>
      <c r="AW51" s="100">
        <v>4272</v>
      </c>
      <c r="AX51" s="100">
        <v>4.5995754480932458</v>
      </c>
      <c r="AY51" s="100">
        <v>3929.8772628508691</v>
      </c>
      <c r="AZ51" s="100">
        <v>4.3139104207559127</v>
      </c>
      <c r="BA51" s="100">
        <v>3685.8050634938518</v>
      </c>
      <c r="BB51" s="100">
        <v>5.3710397786272175</v>
      </c>
      <c r="BC51" s="100">
        <v>4589.0163868590944</v>
      </c>
      <c r="BD51" s="100">
        <v>4.0161171427590059</v>
      </c>
      <c r="BE51" s="100">
        <v>3431.3704867732945</v>
      </c>
      <c r="BF51" s="100">
        <v>5</v>
      </c>
      <c r="BG51" s="100">
        <v>4272</v>
      </c>
      <c r="BH51" s="100">
        <v>2.9291325744007608</v>
      </c>
      <c r="BI51" s="100">
        <v>2502.6508715680102</v>
      </c>
      <c r="BJ51" s="100">
        <v>0.96989769243614354</v>
      </c>
      <c r="BK51" s="100">
        <v>828.68058841744107</v>
      </c>
      <c r="BL51" s="100">
        <v>5</v>
      </c>
      <c r="BM51" s="100">
        <v>4272</v>
      </c>
      <c r="BN51" s="100">
        <v>7</v>
      </c>
      <c r="BO51" s="100">
        <v>5980.8</v>
      </c>
      <c r="BP51" s="100">
        <v>5</v>
      </c>
      <c r="BQ51" s="100">
        <v>4272</v>
      </c>
      <c r="BR51" s="100">
        <v>7</v>
      </c>
      <c r="BS51" s="100">
        <v>5980.8</v>
      </c>
      <c r="BT51" s="100">
        <v>7</v>
      </c>
      <c r="BU51" s="100">
        <v>5980.8</v>
      </c>
      <c r="BV51" s="100">
        <v>6.3143536973824927</v>
      </c>
      <c r="BW51" s="100">
        <v>5394.9837990436017</v>
      </c>
      <c r="BX51" s="100">
        <v>3.1229086511523705</v>
      </c>
      <c r="BY51" s="100">
        <v>2668.2131515445853</v>
      </c>
      <c r="BZ51" s="100">
        <v>5</v>
      </c>
      <c r="CA51" s="100">
        <v>4272</v>
      </c>
      <c r="CB51" s="100">
        <v>5</v>
      </c>
      <c r="CC51" s="100">
        <v>4272</v>
      </c>
      <c r="CD51" s="100">
        <v>2.3372468778694384</v>
      </c>
      <c r="CE51" s="100">
        <v>1996.9437324516482</v>
      </c>
      <c r="CF51" s="100">
        <v>3.5865962660094119</v>
      </c>
      <c r="CG51" s="100">
        <v>3064.3878496784414</v>
      </c>
      <c r="CH51" s="100">
        <v>4.6578711803388462</v>
      </c>
      <c r="CI51" s="100">
        <v>3979.6851364815102</v>
      </c>
      <c r="CJ51" s="100">
        <v>5</v>
      </c>
      <c r="CK51" s="100">
        <v>4272</v>
      </c>
      <c r="CL51" s="100">
        <v>6</v>
      </c>
      <c r="CM51" s="100">
        <v>5126.3999999999996</v>
      </c>
      <c r="CN51" s="100">
        <v>3.3724371724677638</v>
      </c>
      <c r="CO51" s="100">
        <v>2881.4103201564571</v>
      </c>
      <c r="CP51" s="100">
        <v>3.4295004171077985</v>
      </c>
      <c r="CQ51" s="100">
        <v>2930.1651563769028</v>
      </c>
      <c r="CR51" s="100">
        <v>5.4160613543001084</v>
      </c>
      <c r="CS51" s="100">
        <v>4627.482821114012</v>
      </c>
      <c r="CT51" s="100">
        <v>2.4577190019889885</v>
      </c>
      <c r="CU51" s="100">
        <v>2099.8751152993918</v>
      </c>
    </row>
    <row r="52" spans="2:99">
      <c r="C52" s="99" t="s">
        <v>218</v>
      </c>
      <c r="D52" s="100">
        <v>6</v>
      </c>
      <c r="E52" s="100">
        <v>3240</v>
      </c>
      <c r="F52" s="100">
        <v>6</v>
      </c>
      <c r="G52" s="100">
        <v>3240</v>
      </c>
      <c r="H52" s="100">
        <v>6</v>
      </c>
      <c r="I52" s="100">
        <v>3240</v>
      </c>
      <c r="J52" s="100">
        <v>5</v>
      </c>
      <c r="K52" s="100">
        <v>2700</v>
      </c>
      <c r="L52" s="100">
        <v>5</v>
      </c>
      <c r="M52" s="100">
        <v>2700</v>
      </c>
      <c r="N52" s="100">
        <v>3</v>
      </c>
      <c r="O52" s="100">
        <v>1620</v>
      </c>
      <c r="P52" s="100">
        <v>4</v>
      </c>
      <c r="Q52" s="100">
        <v>2160</v>
      </c>
      <c r="R52" s="100">
        <v>5</v>
      </c>
      <c r="S52" s="100">
        <v>2700</v>
      </c>
      <c r="T52" s="100">
        <v>4</v>
      </c>
      <c r="U52" s="100">
        <v>2160</v>
      </c>
      <c r="V52" s="100">
        <v>5</v>
      </c>
      <c r="W52" s="100">
        <v>2700</v>
      </c>
      <c r="X52" s="100">
        <v>5</v>
      </c>
      <c r="Y52" s="100">
        <v>2700</v>
      </c>
      <c r="Z52" s="100">
        <v>6</v>
      </c>
      <c r="AA52" s="100">
        <v>3240</v>
      </c>
      <c r="AB52" s="100">
        <v>7</v>
      </c>
      <c r="AC52" s="100">
        <v>3780</v>
      </c>
      <c r="AD52" s="100">
        <v>5</v>
      </c>
      <c r="AE52" s="100">
        <v>2700</v>
      </c>
      <c r="AF52" s="100">
        <v>4</v>
      </c>
      <c r="AG52" s="100">
        <v>2160</v>
      </c>
      <c r="AH52" s="100">
        <v>4.4338539841698275</v>
      </c>
      <c r="AI52" s="100">
        <v>2394.281151451707</v>
      </c>
      <c r="AJ52" s="100">
        <v>6</v>
      </c>
      <c r="AK52" s="100">
        <v>3240</v>
      </c>
      <c r="AL52" s="100">
        <v>6</v>
      </c>
      <c r="AM52" s="100">
        <v>3240</v>
      </c>
      <c r="AN52" s="100">
        <v>7.0746788465975463</v>
      </c>
      <c r="AO52" s="100">
        <v>3820.3265771626752</v>
      </c>
      <c r="AP52" s="100">
        <v>5.2588375062615809</v>
      </c>
      <c r="AQ52" s="100">
        <v>2839.7722533812534</v>
      </c>
      <c r="AR52" s="100">
        <v>4.3846034639227547</v>
      </c>
      <c r="AS52" s="100">
        <v>2367.6858705182876</v>
      </c>
      <c r="AT52" s="100">
        <v>6</v>
      </c>
      <c r="AU52" s="100">
        <v>3240</v>
      </c>
      <c r="AV52" s="100">
        <v>5</v>
      </c>
      <c r="AW52" s="100">
        <v>2700</v>
      </c>
      <c r="AX52" s="100">
        <v>4.5496108274188085</v>
      </c>
      <c r="AY52" s="100">
        <v>2456.7898468061567</v>
      </c>
      <c r="AZ52" s="100">
        <v>5.0328954908818977</v>
      </c>
      <c r="BA52" s="100">
        <v>2717.7635650762249</v>
      </c>
      <c r="BB52" s="100">
        <v>5.4122664206969082</v>
      </c>
      <c r="BC52" s="100">
        <v>2922.6238671763304</v>
      </c>
      <c r="BD52" s="100">
        <v>4.6854699998855063</v>
      </c>
      <c r="BE52" s="100">
        <v>2530.1537999381735</v>
      </c>
      <c r="BF52" s="100">
        <v>4</v>
      </c>
      <c r="BG52" s="100">
        <v>2160</v>
      </c>
      <c r="BH52" s="100">
        <v>2.869419062061533</v>
      </c>
      <c r="BI52" s="100">
        <v>1549.4862935132278</v>
      </c>
      <c r="BJ52" s="100">
        <v>0.96989769243614354</v>
      </c>
      <c r="BK52" s="100">
        <v>523.74475391551755</v>
      </c>
      <c r="BL52" s="100">
        <v>5</v>
      </c>
      <c r="BM52" s="100">
        <v>2700</v>
      </c>
      <c r="BN52" s="100">
        <v>6</v>
      </c>
      <c r="BO52" s="100">
        <v>3240</v>
      </c>
      <c r="BP52" s="100">
        <v>5</v>
      </c>
      <c r="BQ52" s="100">
        <v>2700</v>
      </c>
      <c r="BR52" s="100">
        <v>6</v>
      </c>
      <c r="BS52" s="100">
        <v>3240</v>
      </c>
      <c r="BT52" s="100">
        <v>6</v>
      </c>
      <c r="BU52" s="100">
        <v>3240</v>
      </c>
      <c r="BV52" s="100">
        <v>6.3143536973824927</v>
      </c>
      <c r="BW52" s="100">
        <v>3409.7509965865461</v>
      </c>
      <c r="BX52" s="100">
        <v>3.903635813940463</v>
      </c>
      <c r="BY52" s="100">
        <v>2107.9633395278502</v>
      </c>
      <c r="BZ52" s="100">
        <v>5</v>
      </c>
      <c r="CA52" s="100">
        <v>2700</v>
      </c>
      <c r="CB52" s="100">
        <v>5</v>
      </c>
      <c r="CC52" s="100">
        <v>2700</v>
      </c>
      <c r="CD52" s="100">
        <v>2.764015785109815</v>
      </c>
      <c r="CE52" s="100">
        <v>1492.5685239593001</v>
      </c>
      <c r="CF52" s="100">
        <v>3.5865962660094119</v>
      </c>
      <c r="CG52" s="100">
        <v>1936.7619836450824</v>
      </c>
      <c r="CH52" s="100">
        <v>4.6578711803388462</v>
      </c>
      <c r="CI52" s="100">
        <v>2515.250437382977</v>
      </c>
      <c r="CJ52" s="100">
        <v>5</v>
      </c>
      <c r="CK52" s="100">
        <v>2700</v>
      </c>
      <c r="CL52" s="100">
        <v>6</v>
      </c>
      <c r="CM52" s="100">
        <v>3240</v>
      </c>
      <c r="CN52" s="100">
        <v>4.3724371724677642</v>
      </c>
      <c r="CO52" s="100">
        <v>2361.1160731325926</v>
      </c>
      <c r="CP52" s="100">
        <v>3.4295004171077985</v>
      </c>
      <c r="CQ52" s="100">
        <v>1851.9302252382113</v>
      </c>
      <c r="CR52" s="100">
        <v>5.3698323149334293</v>
      </c>
      <c r="CS52" s="100">
        <v>2899.7094500640519</v>
      </c>
      <c r="CT52" s="100">
        <v>2.4365725111049832</v>
      </c>
      <c r="CU52" s="100">
        <v>1315.7491559966909</v>
      </c>
    </row>
    <row r="53" spans="2:99">
      <c r="C53" s="99" t="s">
        <v>219</v>
      </c>
      <c r="D53" s="100">
        <v>5</v>
      </c>
      <c r="E53" s="100">
        <v>2034</v>
      </c>
      <c r="F53" s="100">
        <v>7</v>
      </c>
      <c r="G53" s="100">
        <v>2847.6</v>
      </c>
      <c r="H53" s="100">
        <v>7</v>
      </c>
      <c r="I53" s="100">
        <v>2847.6</v>
      </c>
      <c r="J53" s="100">
        <v>5</v>
      </c>
      <c r="K53" s="100">
        <v>2034</v>
      </c>
      <c r="L53" s="100">
        <v>5</v>
      </c>
      <c r="M53" s="100">
        <v>2034</v>
      </c>
      <c r="N53" s="100">
        <v>3</v>
      </c>
      <c r="O53" s="100">
        <v>1220.4000000000001</v>
      </c>
      <c r="P53" s="100">
        <v>5</v>
      </c>
      <c r="Q53" s="100">
        <v>2034</v>
      </c>
      <c r="R53" s="100">
        <v>6</v>
      </c>
      <c r="S53" s="100">
        <v>2440.8000000000002</v>
      </c>
      <c r="T53" s="100">
        <v>4</v>
      </c>
      <c r="U53" s="100">
        <v>1627.2</v>
      </c>
      <c r="V53" s="100">
        <v>4</v>
      </c>
      <c r="W53" s="100">
        <v>1627.2</v>
      </c>
      <c r="X53" s="100">
        <v>5</v>
      </c>
      <c r="Y53" s="100">
        <v>2034</v>
      </c>
      <c r="Z53" s="100">
        <v>6</v>
      </c>
      <c r="AA53" s="100">
        <v>2440.8000000000002</v>
      </c>
      <c r="AB53" s="100">
        <v>6</v>
      </c>
      <c r="AC53" s="100">
        <v>2440.8000000000002</v>
      </c>
      <c r="AD53" s="100">
        <v>5</v>
      </c>
      <c r="AE53" s="100">
        <v>2034</v>
      </c>
      <c r="AF53" s="100">
        <v>5</v>
      </c>
      <c r="AG53" s="100">
        <v>2034</v>
      </c>
      <c r="AH53" s="100">
        <v>3.5206247810037929</v>
      </c>
      <c r="AI53" s="100">
        <v>1432.1901609123431</v>
      </c>
      <c r="AJ53" s="100">
        <v>7</v>
      </c>
      <c r="AK53" s="100">
        <v>2847.6</v>
      </c>
      <c r="AL53" s="100">
        <v>6</v>
      </c>
      <c r="AM53" s="100">
        <v>2440.8000000000002</v>
      </c>
      <c r="AN53" s="100">
        <v>6.0746788465975463</v>
      </c>
      <c r="AO53" s="100">
        <v>2471.1793547958819</v>
      </c>
      <c r="AP53" s="100">
        <v>6.2588375062615809</v>
      </c>
      <c r="AQ53" s="100">
        <v>2546.095097547211</v>
      </c>
      <c r="AR53" s="100">
        <v>4.3846034639227547</v>
      </c>
      <c r="AS53" s="100">
        <v>1783.6566891237767</v>
      </c>
      <c r="AT53" s="100">
        <v>6</v>
      </c>
      <c r="AU53" s="100">
        <v>2440.8000000000002</v>
      </c>
      <c r="AV53" s="100">
        <v>5</v>
      </c>
      <c r="AW53" s="100">
        <v>2034</v>
      </c>
      <c r="AX53" s="100">
        <v>5.5995754480932458</v>
      </c>
      <c r="AY53" s="100">
        <v>2277.9072922843325</v>
      </c>
      <c r="AZ53" s="100">
        <v>4.3139104207559127</v>
      </c>
      <c r="BA53" s="100">
        <v>1754.8987591635052</v>
      </c>
      <c r="BB53" s="100">
        <v>6.4122664206969082</v>
      </c>
      <c r="BC53" s="100">
        <v>2608.5099799395025</v>
      </c>
      <c r="BD53" s="100">
        <v>4.0161171427590059</v>
      </c>
      <c r="BE53" s="100">
        <v>1633.7564536743637</v>
      </c>
      <c r="BF53" s="100">
        <v>4</v>
      </c>
      <c r="BG53" s="100">
        <v>1627.2</v>
      </c>
      <c r="BH53" s="100">
        <v>2.8992758182311462</v>
      </c>
      <c r="BI53" s="100">
        <v>1179.4254028564303</v>
      </c>
      <c r="BJ53" s="100">
        <v>0.96989769243614354</v>
      </c>
      <c r="BK53" s="100">
        <v>394.55438128302319</v>
      </c>
      <c r="BL53" s="100">
        <v>5</v>
      </c>
      <c r="BM53" s="100">
        <v>2034</v>
      </c>
      <c r="BN53" s="100">
        <v>6</v>
      </c>
      <c r="BO53" s="100">
        <v>2440.8000000000002</v>
      </c>
      <c r="BP53" s="100">
        <v>5</v>
      </c>
      <c r="BQ53" s="100">
        <v>2034</v>
      </c>
      <c r="BR53" s="100">
        <v>7</v>
      </c>
      <c r="BS53" s="100">
        <v>2847.6</v>
      </c>
      <c r="BT53" s="100">
        <v>6</v>
      </c>
      <c r="BU53" s="100">
        <v>2440.8000000000002</v>
      </c>
      <c r="BV53" s="100">
        <v>7.3143536973824927</v>
      </c>
      <c r="BW53" s="100">
        <v>2975.4790840951982</v>
      </c>
      <c r="BX53" s="100">
        <v>3.1229086511523705</v>
      </c>
      <c r="BY53" s="100">
        <v>1270.3992392887844</v>
      </c>
      <c r="BZ53" s="100">
        <v>4</v>
      </c>
      <c r="CA53" s="100">
        <v>1627.2</v>
      </c>
      <c r="CB53" s="100">
        <v>5</v>
      </c>
      <c r="CC53" s="100">
        <v>2034</v>
      </c>
      <c r="CD53" s="100">
        <v>2.7843560192765708</v>
      </c>
      <c r="CE53" s="100">
        <v>1132.6760286417091</v>
      </c>
      <c r="CF53" s="100">
        <v>3.5865962660094119</v>
      </c>
      <c r="CG53" s="100">
        <v>1459.0273610126287</v>
      </c>
      <c r="CH53" s="100">
        <v>4.6578711803388462</v>
      </c>
      <c r="CI53" s="100">
        <v>1894.8219961618427</v>
      </c>
      <c r="CJ53" s="100">
        <v>4</v>
      </c>
      <c r="CK53" s="100">
        <v>1627.2</v>
      </c>
      <c r="CL53" s="100">
        <v>6</v>
      </c>
      <c r="CM53" s="100">
        <v>2440.8000000000002</v>
      </c>
      <c r="CN53" s="100">
        <v>4.3724371724677642</v>
      </c>
      <c r="CO53" s="100">
        <v>1778.7074417598865</v>
      </c>
      <c r="CP53" s="100">
        <v>3.4295004171077985</v>
      </c>
      <c r="CQ53" s="100">
        <v>1395.1207696794525</v>
      </c>
      <c r="CR53" s="100">
        <v>5.4160613543001084</v>
      </c>
      <c r="CS53" s="100">
        <v>2203.2537589292842</v>
      </c>
      <c r="CT53" s="100">
        <v>2.4154260202209779</v>
      </c>
      <c r="CU53" s="100">
        <v>982.59530502589382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6</v>
      </c>
      <c r="G54" s="100">
        <v>2008.8000000000002</v>
      </c>
      <c r="H54" s="100">
        <v>7</v>
      </c>
      <c r="I54" s="100">
        <v>2343.6</v>
      </c>
      <c r="J54" s="100">
        <v>4</v>
      </c>
      <c r="K54" s="100">
        <v>1339.2</v>
      </c>
      <c r="L54" s="100">
        <v>6</v>
      </c>
      <c r="M54" s="100">
        <v>2008.8000000000002</v>
      </c>
      <c r="N54" s="100">
        <v>4</v>
      </c>
      <c r="O54" s="100">
        <v>1339.2</v>
      </c>
      <c r="P54" s="100">
        <v>4</v>
      </c>
      <c r="Q54" s="100">
        <v>1339.2</v>
      </c>
      <c r="R54" s="100">
        <v>5</v>
      </c>
      <c r="S54" s="100">
        <v>1674</v>
      </c>
      <c r="T54" s="100">
        <v>4</v>
      </c>
      <c r="U54" s="100">
        <v>1339.2</v>
      </c>
      <c r="V54" s="100">
        <v>4</v>
      </c>
      <c r="W54" s="100">
        <v>1339.2</v>
      </c>
      <c r="X54" s="100">
        <v>4</v>
      </c>
      <c r="Y54" s="100">
        <v>1339.2</v>
      </c>
      <c r="Z54" s="100">
        <v>6</v>
      </c>
      <c r="AA54" s="100">
        <v>2008.8000000000002</v>
      </c>
      <c r="AB54" s="100">
        <v>6</v>
      </c>
      <c r="AC54" s="100">
        <v>2008.8000000000002</v>
      </c>
      <c r="AD54" s="100">
        <v>5</v>
      </c>
      <c r="AE54" s="100">
        <v>1674</v>
      </c>
      <c r="AF54" s="100">
        <v>5</v>
      </c>
      <c r="AG54" s="100">
        <v>1674</v>
      </c>
      <c r="AH54" s="100">
        <v>3.4772393825868102</v>
      </c>
      <c r="AI54" s="100">
        <v>1164.1797452900641</v>
      </c>
      <c r="AJ54" s="100">
        <v>7</v>
      </c>
      <c r="AK54" s="100">
        <v>2343.6</v>
      </c>
      <c r="AL54" s="100">
        <v>6</v>
      </c>
      <c r="AM54" s="100">
        <v>2008.8000000000002</v>
      </c>
      <c r="AN54" s="100">
        <v>7</v>
      </c>
      <c r="AO54" s="100">
        <v>2343.6</v>
      </c>
      <c r="AP54" s="100">
        <v>6.291192194544279</v>
      </c>
      <c r="AQ54" s="100">
        <v>2106.2911467334247</v>
      </c>
      <c r="AR54" s="100">
        <v>4.3418697457091149</v>
      </c>
      <c r="AS54" s="100">
        <v>1453.6579908634117</v>
      </c>
      <c r="AT54" s="100">
        <v>6</v>
      </c>
      <c r="AU54" s="100">
        <v>2008.8000000000002</v>
      </c>
      <c r="AV54" s="100">
        <v>5</v>
      </c>
      <c r="AW54" s="100">
        <v>1674</v>
      </c>
      <c r="AX54" s="100">
        <v>4.4996462067443712</v>
      </c>
      <c r="AY54" s="100">
        <v>1506.4815500180155</v>
      </c>
      <c r="AZ54" s="100">
        <v>4.3139104207559127</v>
      </c>
      <c r="BA54" s="100">
        <v>1444.2972088690797</v>
      </c>
      <c r="BB54" s="100">
        <v>6.4122664206969082</v>
      </c>
      <c r="BC54" s="100">
        <v>2146.8267976493248</v>
      </c>
      <c r="BD54" s="100">
        <v>4.0161171427590059</v>
      </c>
      <c r="BE54" s="100">
        <v>1344.5960193957153</v>
      </c>
      <c r="BF54" s="100">
        <v>5</v>
      </c>
      <c r="BG54" s="100">
        <v>1674</v>
      </c>
      <c r="BH54" s="100">
        <v>2.8992758182311462</v>
      </c>
      <c r="BI54" s="100">
        <v>970.67754394378778</v>
      </c>
      <c r="BJ54" s="100">
        <v>0.96989769243614354</v>
      </c>
      <c r="BK54" s="100">
        <v>324.72174742762087</v>
      </c>
      <c r="BL54" s="100">
        <v>5</v>
      </c>
      <c r="BM54" s="100">
        <v>1674</v>
      </c>
      <c r="BN54" s="100">
        <v>7</v>
      </c>
      <c r="BO54" s="100">
        <v>2343.6</v>
      </c>
      <c r="BP54" s="100">
        <v>5</v>
      </c>
      <c r="BQ54" s="100">
        <v>1674</v>
      </c>
      <c r="BR54" s="100">
        <v>6</v>
      </c>
      <c r="BS54" s="100">
        <v>2008.8000000000002</v>
      </c>
      <c r="BT54" s="100">
        <v>7</v>
      </c>
      <c r="BU54" s="100">
        <v>2343.6</v>
      </c>
      <c r="BV54" s="100">
        <v>7.3457890671207426</v>
      </c>
      <c r="BW54" s="100">
        <v>2459.3701796720247</v>
      </c>
      <c r="BX54" s="100">
        <v>3.1229086511523705</v>
      </c>
      <c r="BY54" s="100">
        <v>1045.5498164058138</v>
      </c>
      <c r="BZ54" s="100">
        <v>5</v>
      </c>
      <c r="CA54" s="100">
        <v>1674</v>
      </c>
      <c r="CB54" s="100">
        <v>5</v>
      </c>
      <c r="CC54" s="100">
        <v>1674</v>
      </c>
      <c r="CD54" s="100">
        <v>2.7843560192765708</v>
      </c>
      <c r="CE54" s="100">
        <v>932.202395253796</v>
      </c>
      <c r="CF54" s="100">
        <v>3.5865962660094119</v>
      </c>
      <c r="CG54" s="100">
        <v>1200.7924298599512</v>
      </c>
      <c r="CH54" s="100">
        <v>4.6578711803388462</v>
      </c>
      <c r="CI54" s="100">
        <v>1559.4552711774456</v>
      </c>
      <c r="CJ54" s="100">
        <v>5</v>
      </c>
      <c r="CK54" s="100">
        <v>1674</v>
      </c>
      <c r="CL54" s="100">
        <v>6</v>
      </c>
      <c r="CM54" s="100">
        <v>2008.8000000000002</v>
      </c>
      <c r="CN54" s="100">
        <v>3.4138190805197377</v>
      </c>
      <c r="CO54" s="100">
        <v>1142.9466281580083</v>
      </c>
      <c r="CP54" s="100">
        <v>3.4295004171077985</v>
      </c>
      <c r="CQ54" s="100">
        <v>1148.1967396476909</v>
      </c>
      <c r="CR54" s="100">
        <v>4.3698323149334293</v>
      </c>
      <c r="CS54" s="100">
        <v>1463.0198590397122</v>
      </c>
      <c r="CT54" s="100">
        <v>2.4365725111049832</v>
      </c>
      <c r="CU54" s="100">
        <v>815.76447671794836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6</v>
      </c>
      <c r="G55" s="100">
        <v>3981.6000000000004</v>
      </c>
      <c r="H55" s="100">
        <v>6</v>
      </c>
      <c r="I55" s="100">
        <v>3981.6000000000004</v>
      </c>
      <c r="J55" s="100">
        <v>5</v>
      </c>
      <c r="K55" s="100">
        <v>3318</v>
      </c>
      <c r="L55" s="100">
        <v>5</v>
      </c>
      <c r="M55" s="100">
        <v>3318</v>
      </c>
      <c r="N55" s="100">
        <v>4</v>
      </c>
      <c r="O55" s="100">
        <v>2654.4</v>
      </c>
      <c r="P55" s="100">
        <v>4</v>
      </c>
      <c r="Q55" s="100">
        <v>2654.4</v>
      </c>
      <c r="R55" s="100">
        <v>5</v>
      </c>
      <c r="S55" s="100">
        <v>3318</v>
      </c>
      <c r="T55" s="100">
        <v>4</v>
      </c>
      <c r="U55" s="100">
        <v>2654.4</v>
      </c>
      <c r="V55" s="100">
        <v>4</v>
      </c>
      <c r="W55" s="100">
        <v>2654.4</v>
      </c>
      <c r="X55" s="100">
        <v>4</v>
      </c>
      <c r="Y55" s="100">
        <v>2654.4</v>
      </c>
      <c r="Z55" s="100">
        <v>5</v>
      </c>
      <c r="AA55" s="100">
        <v>3318</v>
      </c>
      <c r="AB55" s="100">
        <v>6</v>
      </c>
      <c r="AC55" s="100">
        <v>3981.6000000000004</v>
      </c>
      <c r="AD55" s="100">
        <v>5</v>
      </c>
      <c r="AE55" s="100">
        <v>3318</v>
      </c>
      <c r="AF55" s="100">
        <v>5</v>
      </c>
      <c r="AG55" s="100">
        <v>3318</v>
      </c>
      <c r="AH55" s="100">
        <v>4.4338539841698275</v>
      </c>
      <c r="AI55" s="100">
        <v>2942.3055038950974</v>
      </c>
      <c r="AJ55" s="100">
        <v>6</v>
      </c>
      <c r="AK55" s="100">
        <v>3981.6000000000004</v>
      </c>
      <c r="AL55" s="100">
        <v>6</v>
      </c>
      <c r="AM55" s="100">
        <v>3981.6000000000004</v>
      </c>
      <c r="AN55" s="100">
        <v>7.0746788465975463</v>
      </c>
      <c r="AO55" s="100">
        <v>4694.7568826021316</v>
      </c>
      <c r="AP55" s="100">
        <v>6.2588375062615809</v>
      </c>
      <c r="AQ55" s="100">
        <v>4153.3645691551856</v>
      </c>
      <c r="AR55" s="100">
        <v>5.3846034639227547</v>
      </c>
      <c r="AS55" s="100">
        <v>3573.22285865914</v>
      </c>
      <c r="AT55" s="100">
        <v>7</v>
      </c>
      <c r="AU55" s="100">
        <v>4645.2</v>
      </c>
      <c r="AV55" s="100">
        <v>5</v>
      </c>
      <c r="AW55" s="100">
        <v>3318</v>
      </c>
      <c r="AX55" s="100">
        <v>4.4996462067443712</v>
      </c>
      <c r="AY55" s="100">
        <v>2985.9652227955648</v>
      </c>
      <c r="AZ55" s="100">
        <v>4.3139104207559127</v>
      </c>
      <c r="BA55" s="100">
        <v>2862.7109552136239</v>
      </c>
      <c r="BB55" s="100">
        <v>5.453493062766599</v>
      </c>
      <c r="BC55" s="100">
        <v>3618.9379964519153</v>
      </c>
      <c r="BD55" s="100">
        <v>4.0161171427590059</v>
      </c>
      <c r="BE55" s="100">
        <v>2665.0953359348764</v>
      </c>
      <c r="BF55" s="100">
        <v>4</v>
      </c>
      <c r="BG55" s="100">
        <v>2654.4</v>
      </c>
      <c r="BH55" s="100">
        <v>2.8992758182311462</v>
      </c>
      <c r="BI55" s="100">
        <v>1923.9594329781887</v>
      </c>
      <c r="BJ55" s="100">
        <v>0.96989769243614354</v>
      </c>
      <c r="BK55" s="100">
        <v>643.6241087006249</v>
      </c>
      <c r="BL55" s="100">
        <v>5</v>
      </c>
      <c r="BM55" s="100">
        <v>3318</v>
      </c>
      <c r="BN55" s="100">
        <v>7</v>
      </c>
      <c r="BO55" s="100">
        <v>4645.2</v>
      </c>
      <c r="BP55" s="100">
        <v>5</v>
      </c>
      <c r="BQ55" s="100">
        <v>3318</v>
      </c>
      <c r="BR55" s="100">
        <v>6</v>
      </c>
      <c r="BS55" s="100">
        <v>3981.6000000000004</v>
      </c>
      <c r="BT55" s="100">
        <v>6</v>
      </c>
      <c r="BU55" s="100">
        <v>3981.6000000000004</v>
      </c>
      <c r="BV55" s="100">
        <v>7.3457890671207426</v>
      </c>
      <c r="BW55" s="100">
        <v>4874.6656249413254</v>
      </c>
      <c r="BX55" s="100">
        <v>3.903635813940463</v>
      </c>
      <c r="BY55" s="100">
        <v>2590.4527261308913</v>
      </c>
      <c r="BZ55" s="100">
        <v>4</v>
      </c>
      <c r="CA55" s="100">
        <v>2654.4</v>
      </c>
      <c r="CB55" s="100">
        <v>5</v>
      </c>
      <c r="CC55" s="100">
        <v>3318</v>
      </c>
      <c r="CD55" s="100">
        <v>2.3575871120361938</v>
      </c>
      <c r="CE55" s="100">
        <v>1564.4948075472182</v>
      </c>
      <c r="CF55" s="100">
        <v>3.5865962660094119</v>
      </c>
      <c r="CG55" s="100">
        <v>2380.0652821238459</v>
      </c>
      <c r="CH55" s="100">
        <v>4.6578711803388462</v>
      </c>
      <c r="CI55" s="100">
        <v>3090.9633152728584</v>
      </c>
      <c r="CJ55" s="100">
        <v>4</v>
      </c>
      <c r="CK55" s="100">
        <v>2654.4</v>
      </c>
      <c r="CL55" s="100">
        <v>6</v>
      </c>
      <c r="CM55" s="100">
        <v>3981.6000000000004</v>
      </c>
      <c r="CN55" s="100">
        <v>4.3724371724677642</v>
      </c>
      <c r="CO55" s="100">
        <v>2901.5493076496086</v>
      </c>
      <c r="CP55" s="100">
        <v>3.4295004171077985</v>
      </c>
      <c r="CQ55" s="100">
        <v>2275.8164767927351</v>
      </c>
      <c r="CR55" s="100">
        <v>4.3698323149334293</v>
      </c>
      <c r="CS55" s="100">
        <v>2899.820724189824</v>
      </c>
      <c r="CT55" s="100">
        <v>2.4577190019889885</v>
      </c>
      <c r="CU55" s="100">
        <v>1630.9423297198928</v>
      </c>
    </row>
    <row r="56" spans="2:99">
      <c r="C56" s="99" t="s">
        <v>222</v>
      </c>
      <c r="D56" s="100">
        <v>3.5487882707305327</v>
      </c>
      <c r="E56" s="100">
        <v>3483.4905665490905</v>
      </c>
      <c r="F56" s="100">
        <v>4.5326129219084477</v>
      </c>
      <c r="G56" s="100">
        <v>4449.2128441453315</v>
      </c>
      <c r="H56" s="100">
        <v>3.7947397155791105</v>
      </c>
      <c r="I56" s="100">
        <v>3724.9165048124546</v>
      </c>
      <c r="J56" s="100">
        <v>3.147095953007613</v>
      </c>
      <c r="K56" s="100">
        <v>3089.1893874722728</v>
      </c>
      <c r="L56" s="100">
        <v>3.5230577514206036</v>
      </c>
      <c r="M56" s="100">
        <v>3458.2334887944644</v>
      </c>
      <c r="N56" s="100">
        <v>2.2404857692657689</v>
      </c>
      <c r="O56" s="100">
        <v>2199.2608311112785</v>
      </c>
      <c r="P56" s="100">
        <v>0.21953503483025263</v>
      </c>
      <c r="Q56" s="100">
        <v>215.49559018937597</v>
      </c>
      <c r="R56" s="100">
        <v>5</v>
      </c>
      <c r="S56" s="100">
        <v>4908</v>
      </c>
      <c r="T56" s="100">
        <v>1.6526659775804007</v>
      </c>
      <c r="U56" s="100">
        <v>1622.2569235929211</v>
      </c>
      <c r="V56" s="100">
        <v>4.4364233186710091</v>
      </c>
      <c r="W56" s="100">
        <v>4354.7931296074621</v>
      </c>
      <c r="X56" s="100">
        <v>0.88135362753340063</v>
      </c>
      <c r="Y56" s="100">
        <v>865.13672078678599</v>
      </c>
      <c r="Z56" s="100">
        <v>5</v>
      </c>
      <c r="AA56" s="100">
        <v>4908</v>
      </c>
      <c r="AB56" s="100">
        <v>6</v>
      </c>
      <c r="AC56" s="100">
        <v>5889.5999999999995</v>
      </c>
      <c r="AD56" s="100">
        <v>4.6473556704701249</v>
      </c>
      <c r="AE56" s="100">
        <v>4561.8443261334742</v>
      </c>
      <c r="AF56" s="100">
        <v>0.22436756704349717</v>
      </c>
      <c r="AG56" s="100">
        <v>220.23920380989679</v>
      </c>
      <c r="AH56" s="100">
        <v>3</v>
      </c>
      <c r="AI56" s="100">
        <v>2944.7999999999997</v>
      </c>
      <c r="AJ56" s="100">
        <v>5.8956288933903114</v>
      </c>
      <c r="AK56" s="100">
        <v>5787.1493217519292</v>
      </c>
      <c r="AL56" s="100">
        <v>4.818399538893928</v>
      </c>
      <c r="AM56" s="100">
        <v>4729.740987378279</v>
      </c>
      <c r="AN56" s="100">
        <v>5.1899104624255834</v>
      </c>
      <c r="AO56" s="100">
        <v>5094.4161099169523</v>
      </c>
      <c r="AP56" s="100">
        <v>3.5954493490525334</v>
      </c>
      <c r="AQ56" s="100">
        <v>3529.2930810299663</v>
      </c>
      <c r="AR56" s="100">
        <v>3.298066145582299</v>
      </c>
      <c r="AS56" s="100">
        <v>3237.3817285035843</v>
      </c>
      <c r="AT56" s="100">
        <v>4.0036225387451827</v>
      </c>
      <c r="AU56" s="100">
        <v>3929.9558840322711</v>
      </c>
      <c r="AV56" s="100">
        <v>2.8501264326666482</v>
      </c>
      <c r="AW56" s="100">
        <v>2797.6841063055817</v>
      </c>
      <c r="AX56" s="100">
        <v>2.8780846507768509</v>
      </c>
      <c r="AY56" s="100">
        <v>2825.1278932025566</v>
      </c>
      <c r="AZ56" s="100">
        <v>3.6783884907529036</v>
      </c>
      <c r="BA56" s="100">
        <v>3610.7061425230499</v>
      </c>
      <c r="BB56" s="100">
        <v>3.2198237068283406</v>
      </c>
      <c r="BC56" s="100">
        <v>3160.5789506226988</v>
      </c>
      <c r="BD56" s="100">
        <v>0.26924108045219658</v>
      </c>
      <c r="BE56" s="100">
        <v>264.28704457187615</v>
      </c>
      <c r="BF56" s="100">
        <v>5.4332449755772405</v>
      </c>
      <c r="BG56" s="100">
        <v>5333.273268026619</v>
      </c>
      <c r="BH56" s="100">
        <v>2.5571748667692176</v>
      </c>
      <c r="BI56" s="100">
        <v>2510.1228492206637</v>
      </c>
      <c r="BJ56" s="100">
        <v>2.3197103551177554</v>
      </c>
      <c r="BK56" s="100">
        <v>2277.0276845835883</v>
      </c>
      <c r="BL56" s="100">
        <v>2.6265895020336414</v>
      </c>
      <c r="BM56" s="100">
        <v>2578.2602551962223</v>
      </c>
      <c r="BN56" s="100">
        <v>3.038067065982847</v>
      </c>
      <c r="BO56" s="100">
        <v>2982.1666319687624</v>
      </c>
      <c r="BP56" s="100">
        <v>0.24268328680215001</v>
      </c>
      <c r="BQ56" s="100">
        <v>238.21791432499043</v>
      </c>
      <c r="BR56" s="100">
        <v>7</v>
      </c>
      <c r="BS56" s="100">
        <v>6871.1999999999989</v>
      </c>
      <c r="BT56" s="100">
        <v>5.6894392591403626</v>
      </c>
      <c r="BU56" s="100">
        <v>5584.7535767721793</v>
      </c>
      <c r="BV56" s="100">
        <v>4.5251596781011996</v>
      </c>
      <c r="BW56" s="100">
        <v>4441.8967400241372</v>
      </c>
      <c r="BX56" s="100">
        <v>2.7996565597955732</v>
      </c>
      <c r="BY56" s="100">
        <v>2748.1428790953341</v>
      </c>
      <c r="BZ56" s="100">
        <v>2.5686523045286545</v>
      </c>
      <c r="CA56" s="100">
        <v>2521.3891021253271</v>
      </c>
      <c r="CB56" s="100">
        <v>0.33975660152300996</v>
      </c>
      <c r="CC56" s="100">
        <v>333.50508005498654</v>
      </c>
      <c r="CD56" s="100">
        <v>5</v>
      </c>
      <c r="CE56" s="100">
        <v>4908</v>
      </c>
      <c r="CF56" s="100">
        <v>6</v>
      </c>
      <c r="CG56" s="100">
        <v>5889.5999999999995</v>
      </c>
      <c r="CH56" s="100">
        <v>4.2635555870699759</v>
      </c>
      <c r="CI56" s="100">
        <v>4185.1061642678878</v>
      </c>
      <c r="CJ56" s="100">
        <v>2.0893717167607733</v>
      </c>
      <c r="CK56" s="100">
        <v>2050.9272771723749</v>
      </c>
      <c r="CL56" s="100">
        <v>4.0650576122334154</v>
      </c>
      <c r="CM56" s="100">
        <v>3990.2605521683204</v>
      </c>
      <c r="CN56" s="100">
        <v>2.6044905448496301</v>
      </c>
      <c r="CO56" s="100">
        <v>2556.5679188243967</v>
      </c>
      <c r="CP56" s="100">
        <v>3.9581571267698603</v>
      </c>
      <c r="CQ56" s="100">
        <v>3885.3270356372946</v>
      </c>
      <c r="CR56" s="100">
        <v>0.22472090179474677</v>
      </c>
      <c r="CS56" s="100">
        <v>220.5860372017234</v>
      </c>
      <c r="CT56" s="100">
        <v>3.446403927464659</v>
      </c>
      <c r="CU56" s="100">
        <v>3382.9900951993091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6</v>
      </c>
      <c r="G57" s="100">
        <v>8467.2000000000007</v>
      </c>
      <c r="H57" s="100">
        <v>6</v>
      </c>
      <c r="I57" s="100">
        <v>8467.2000000000007</v>
      </c>
      <c r="J57" s="100">
        <v>5</v>
      </c>
      <c r="K57" s="100">
        <v>7056</v>
      </c>
      <c r="L57" s="100">
        <v>5</v>
      </c>
      <c r="M57" s="100">
        <v>7056</v>
      </c>
      <c r="N57" s="100">
        <v>3</v>
      </c>
      <c r="O57" s="100">
        <v>4233.6000000000004</v>
      </c>
      <c r="P57" s="100">
        <v>4</v>
      </c>
      <c r="Q57" s="100">
        <v>5644.8</v>
      </c>
      <c r="R57" s="100">
        <v>5</v>
      </c>
      <c r="S57" s="100">
        <v>7056</v>
      </c>
      <c r="T57" s="100">
        <v>3</v>
      </c>
      <c r="U57" s="100">
        <v>4233.6000000000004</v>
      </c>
      <c r="V57" s="100">
        <v>4</v>
      </c>
      <c r="W57" s="100">
        <v>5644.8</v>
      </c>
      <c r="X57" s="100">
        <v>4</v>
      </c>
      <c r="Y57" s="100">
        <v>5644.8</v>
      </c>
      <c r="Z57" s="100">
        <v>5</v>
      </c>
      <c r="AA57" s="100">
        <v>7056</v>
      </c>
      <c r="AB57" s="100">
        <v>6</v>
      </c>
      <c r="AC57" s="100">
        <v>8467.2000000000007</v>
      </c>
      <c r="AD57" s="100">
        <v>6</v>
      </c>
      <c r="AE57" s="100">
        <v>8467.2000000000007</v>
      </c>
      <c r="AF57" s="100">
        <v>5</v>
      </c>
      <c r="AG57" s="100">
        <v>7056</v>
      </c>
      <c r="AH57" s="100">
        <v>4.3904685857528447</v>
      </c>
      <c r="AI57" s="100">
        <v>6195.8292682144147</v>
      </c>
      <c r="AJ57" s="100">
        <v>7</v>
      </c>
      <c r="AK57" s="100">
        <v>9878.4</v>
      </c>
      <c r="AL57" s="100">
        <v>6</v>
      </c>
      <c r="AM57" s="100">
        <v>8467.2000000000007</v>
      </c>
      <c r="AN57" s="100">
        <v>7.0622323721646216</v>
      </c>
      <c r="AO57" s="100">
        <v>9966.2223235987149</v>
      </c>
      <c r="AP57" s="100">
        <v>5.2264828179788836</v>
      </c>
      <c r="AQ57" s="100">
        <v>7375.6125527318009</v>
      </c>
      <c r="AR57" s="100">
        <v>4.3418697457091149</v>
      </c>
      <c r="AS57" s="100">
        <v>6127.2465851447032</v>
      </c>
      <c r="AT57" s="100">
        <v>5</v>
      </c>
      <c r="AU57" s="100">
        <v>7056</v>
      </c>
      <c r="AV57" s="100">
        <v>5</v>
      </c>
      <c r="AW57" s="100">
        <v>7056</v>
      </c>
      <c r="AX57" s="100">
        <v>5.4996462067443712</v>
      </c>
      <c r="AY57" s="100">
        <v>7761.1007269576567</v>
      </c>
      <c r="AZ57" s="100">
        <v>4.3139104207559127</v>
      </c>
      <c r="BA57" s="100">
        <v>6087.7903857707443</v>
      </c>
      <c r="BB57" s="100">
        <v>5.4122664206969082</v>
      </c>
      <c r="BC57" s="100">
        <v>7637.7903728874771</v>
      </c>
      <c r="BD57" s="100">
        <v>4.0161171427590059</v>
      </c>
      <c r="BE57" s="100">
        <v>5667.5445118615089</v>
      </c>
      <c r="BF57" s="100">
        <v>4</v>
      </c>
      <c r="BG57" s="100">
        <v>5644.8</v>
      </c>
      <c r="BH57" s="100">
        <v>2.8992758182311462</v>
      </c>
      <c r="BI57" s="100">
        <v>4091.4580346877938</v>
      </c>
      <c r="BJ57" s="100">
        <v>0.96989769243614354</v>
      </c>
      <c r="BK57" s="100">
        <v>1368.7196235658857</v>
      </c>
      <c r="BL57" s="100">
        <v>4</v>
      </c>
      <c r="BM57" s="100">
        <v>5644.8</v>
      </c>
      <c r="BN57" s="100">
        <v>6</v>
      </c>
      <c r="BO57" s="100">
        <v>8467.2000000000007</v>
      </c>
      <c r="BP57" s="100">
        <v>5</v>
      </c>
      <c r="BQ57" s="100">
        <v>7056</v>
      </c>
      <c r="BR57" s="100">
        <v>6</v>
      </c>
      <c r="BS57" s="100">
        <v>8467.2000000000007</v>
      </c>
      <c r="BT57" s="100">
        <v>7</v>
      </c>
      <c r="BU57" s="100">
        <v>9878.4</v>
      </c>
      <c r="BV57" s="100">
        <v>6</v>
      </c>
      <c r="BW57" s="100">
        <v>8467.2000000000007</v>
      </c>
      <c r="BX57" s="100">
        <v>3.903635813940463</v>
      </c>
      <c r="BY57" s="100">
        <v>5508.8108606327814</v>
      </c>
      <c r="BZ57" s="100">
        <v>4</v>
      </c>
      <c r="CA57" s="100">
        <v>5644.8</v>
      </c>
      <c r="CB57" s="100">
        <v>5</v>
      </c>
      <c r="CC57" s="100">
        <v>7056</v>
      </c>
      <c r="CD57" s="100">
        <v>2.3372468778694384</v>
      </c>
      <c r="CE57" s="100">
        <v>3298.3227940493516</v>
      </c>
      <c r="CF57" s="100">
        <v>3.5865962660094119</v>
      </c>
      <c r="CG57" s="100">
        <v>5061.4046505924825</v>
      </c>
      <c r="CH57" s="100">
        <v>3.7262969442710769</v>
      </c>
      <c r="CI57" s="100">
        <v>5258.5502477553437</v>
      </c>
      <c r="CJ57" s="100">
        <v>4</v>
      </c>
      <c r="CK57" s="100">
        <v>5644.8</v>
      </c>
      <c r="CL57" s="100">
        <v>6</v>
      </c>
      <c r="CM57" s="100">
        <v>8467.2000000000007</v>
      </c>
      <c r="CN57" s="100">
        <v>3.3724371724677638</v>
      </c>
      <c r="CO57" s="100">
        <v>4759.1833377865087</v>
      </c>
      <c r="CP57" s="100">
        <v>2.8579170142564987</v>
      </c>
      <c r="CQ57" s="100">
        <v>4033.0924905187712</v>
      </c>
      <c r="CR57" s="100">
        <v>5.3698323149334293</v>
      </c>
      <c r="CS57" s="100">
        <v>7577.9073628340557</v>
      </c>
      <c r="CT57" s="100">
        <v>1.8750089878177492</v>
      </c>
      <c r="CU57" s="100">
        <v>2646.0126836084078</v>
      </c>
    </row>
    <row r="58" spans="2:99">
      <c r="C58" s="99" t="s">
        <v>224</v>
      </c>
      <c r="D58" s="100">
        <v>6</v>
      </c>
      <c r="E58" s="100">
        <v>7063.2000000000007</v>
      </c>
      <c r="F58" s="100">
        <v>6</v>
      </c>
      <c r="G58" s="100">
        <v>7063.2000000000007</v>
      </c>
      <c r="H58" s="100">
        <v>7</v>
      </c>
      <c r="I58" s="100">
        <v>8240.4</v>
      </c>
      <c r="J58" s="100">
        <v>4</v>
      </c>
      <c r="K58" s="100">
        <v>4708.8</v>
      </c>
      <c r="L58" s="100">
        <v>5</v>
      </c>
      <c r="M58" s="100">
        <v>5886</v>
      </c>
      <c r="N58" s="100">
        <v>4</v>
      </c>
      <c r="O58" s="100">
        <v>4708.8</v>
      </c>
      <c r="P58" s="100">
        <v>4</v>
      </c>
      <c r="Q58" s="100">
        <v>4708.8</v>
      </c>
      <c r="R58" s="100">
        <v>5</v>
      </c>
      <c r="S58" s="100">
        <v>5886</v>
      </c>
      <c r="T58" s="100">
        <v>3</v>
      </c>
      <c r="U58" s="100">
        <v>3531.6000000000004</v>
      </c>
      <c r="V58" s="100">
        <v>4.208526000199865</v>
      </c>
      <c r="W58" s="100">
        <v>4954.2768074352816</v>
      </c>
      <c r="X58" s="100">
        <v>4</v>
      </c>
      <c r="Y58" s="100">
        <v>4708.8</v>
      </c>
      <c r="Z58" s="100">
        <v>6</v>
      </c>
      <c r="AA58" s="100">
        <v>7063.2000000000007</v>
      </c>
      <c r="AB58" s="100">
        <v>6.3199817427323968</v>
      </c>
      <c r="AC58" s="100">
        <v>7439.8825075445775</v>
      </c>
      <c r="AD58" s="100">
        <v>5.027101222583541</v>
      </c>
      <c r="AE58" s="100">
        <v>5917.9035592253449</v>
      </c>
      <c r="AF58" s="100">
        <v>5</v>
      </c>
      <c r="AG58" s="100">
        <v>5886</v>
      </c>
      <c r="AH58" s="100">
        <v>4.2069411651859987</v>
      </c>
      <c r="AI58" s="100">
        <v>4952.4111396569579</v>
      </c>
      <c r="AJ58" s="100">
        <v>6.1036086119159689</v>
      </c>
      <c r="AK58" s="100">
        <v>7185.1680579474787</v>
      </c>
      <c r="AL58" s="100">
        <v>6.4974697734209492</v>
      </c>
      <c r="AM58" s="100">
        <v>7648.8214172711414</v>
      </c>
      <c r="AN58" s="100">
        <v>7.2393849786469682</v>
      </c>
      <c r="AO58" s="100">
        <v>8522.2039968632107</v>
      </c>
      <c r="AP58" s="100">
        <v>6.1615295110811585</v>
      </c>
      <c r="AQ58" s="100">
        <v>7253.35254044474</v>
      </c>
      <c r="AR58" s="100">
        <v>5</v>
      </c>
      <c r="AS58" s="100">
        <v>5886</v>
      </c>
      <c r="AT58" s="100">
        <v>6.2369384471507479</v>
      </c>
      <c r="AU58" s="100">
        <v>7342.1239399858605</v>
      </c>
      <c r="AV58" s="100">
        <v>5.0509920889170301</v>
      </c>
      <c r="AW58" s="100">
        <v>5946.0278870731281</v>
      </c>
      <c r="AX58" s="100">
        <v>4.4966073353912623</v>
      </c>
      <c r="AY58" s="100">
        <v>5293.406155222594</v>
      </c>
      <c r="AZ58" s="100">
        <v>7.1497974365687185</v>
      </c>
      <c r="BA58" s="100">
        <v>8416.7415423286966</v>
      </c>
      <c r="BB58" s="100">
        <v>5</v>
      </c>
      <c r="BC58" s="100">
        <v>5886</v>
      </c>
      <c r="BD58" s="100">
        <v>7</v>
      </c>
      <c r="BE58" s="100">
        <v>8240.4</v>
      </c>
      <c r="BF58" s="100">
        <v>2.8781015602025461</v>
      </c>
      <c r="BG58" s="100">
        <v>3388.1011566704374</v>
      </c>
      <c r="BH58" s="100">
        <v>4.2462608826617005</v>
      </c>
      <c r="BI58" s="100">
        <v>4998.6983110693536</v>
      </c>
      <c r="BJ58" s="100">
        <v>2.0820114056097547</v>
      </c>
      <c r="BK58" s="100">
        <v>2450.9438266838033</v>
      </c>
      <c r="BL58" s="100">
        <v>3.5381084624614378</v>
      </c>
      <c r="BM58" s="100">
        <v>4165.0612820096048</v>
      </c>
      <c r="BN58" s="100">
        <v>6</v>
      </c>
      <c r="BO58" s="100">
        <v>7063.2000000000007</v>
      </c>
      <c r="BP58" s="100">
        <v>5</v>
      </c>
      <c r="BQ58" s="100">
        <v>5886</v>
      </c>
      <c r="BR58" s="100">
        <v>7</v>
      </c>
      <c r="BS58" s="100">
        <v>8240.4</v>
      </c>
      <c r="BT58" s="100">
        <v>6.7645813594435396</v>
      </c>
      <c r="BU58" s="100">
        <v>7963.2651763369349</v>
      </c>
      <c r="BV58" s="100">
        <v>6</v>
      </c>
      <c r="BW58" s="100">
        <v>7063.2000000000007</v>
      </c>
      <c r="BX58" s="100">
        <v>4.4998538583864001</v>
      </c>
      <c r="BY58" s="100">
        <v>5297.2279620924701</v>
      </c>
      <c r="BZ58" s="100">
        <v>4.5283813529870924</v>
      </c>
      <c r="CA58" s="100">
        <v>5330.8105287364051</v>
      </c>
      <c r="CB58" s="100">
        <v>4.4069993343119238</v>
      </c>
      <c r="CC58" s="100">
        <v>5187.9196163519973</v>
      </c>
      <c r="CD58" s="100">
        <v>6.0325342108036049</v>
      </c>
      <c r="CE58" s="100">
        <v>7101.4992729580035</v>
      </c>
      <c r="CF58" s="100">
        <v>3.5437639533774051E-4</v>
      </c>
      <c r="CG58" s="100">
        <v>0.41717189259158816</v>
      </c>
      <c r="CH58" s="100">
        <v>5</v>
      </c>
      <c r="CI58" s="100">
        <v>5886</v>
      </c>
      <c r="CJ58" s="100">
        <v>4</v>
      </c>
      <c r="CK58" s="100">
        <v>4708.8</v>
      </c>
      <c r="CL58" s="100">
        <v>6</v>
      </c>
      <c r="CM58" s="100">
        <v>7063.2000000000007</v>
      </c>
      <c r="CN58" s="100">
        <v>3</v>
      </c>
      <c r="CO58" s="100">
        <v>3531.6000000000004</v>
      </c>
      <c r="CP58" s="100">
        <v>6</v>
      </c>
      <c r="CQ58" s="100">
        <v>7063.2000000000007</v>
      </c>
      <c r="CR58" s="100">
        <v>5</v>
      </c>
      <c r="CS58" s="100">
        <v>5886</v>
      </c>
      <c r="CT58" s="100">
        <v>3</v>
      </c>
      <c r="CU58" s="100">
        <v>3531.6000000000004</v>
      </c>
    </row>
    <row r="59" spans="2:99">
      <c r="C59" s="99" t="s">
        <v>225</v>
      </c>
      <c r="D59" s="100">
        <v>6</v>
      </c>
      <c r="E59" s="100">
        <v>1821.6</v>
      </c>
      <c r="F59" s="100">
        <v>6</v>
      </c>
      <c r="G59" s="100">
        <v>1821.6</v>
      </c>
      <c r="H59" s="100">
        <v>7</v>
      </c>
      <c r="I59" s="100">
        <v>2125.1999999999998</v>
      </c>
      <c r="J59" s="100">
        <v>5</v>
      </c>
      <c r="K59" s="100">
        <v>1517.9999999999998</v>
      </c>
      <c r="L59" s="100">
        <v>5</v>
      </c>
      <c r="M59" s="100">
        <v>1517.9999999999998</v>
      </c>
      <c r="N59" s="100">
        <v>4</v>
      </c>
      <c r="O59" s="100">
        <v>1214.3999999999999</v>
      </c>
      <c r="P59" s="100">
        <v>4</v>
      </c>
      <c r="Q59" s="100">
        <v>1214.3999999999999</v>
      </c>
      <c r="R59" s="100">
        <v>5</v>
      </c>
      <c r="S59" s="100">
        <v>1517.9999999999998</v>
      </c>
      <c r="T59" s="100">
        <v>4</v>
      </c>
      <c r="U59" s="100">
        <v>1214.3999999999999</v>
      </c>
      <c r="V59" s="100">
        <v>4</v>
      </c>
      <c r="W59" s="100">
        <v>1214.3999999999999</v>
      </c>
      <c r="X59" s="100">
        <v>4</v>
      </c>
      <c r="Y59" s="100">
        <v>1214.3999999999999</v>
      </c>
      <c r="Z59" s="100">
        <v>6</v>
      </c>
      <c r="AA59" s="100">
        <v>1821.6</v>
      </c>
      <c r="AB59" s="100">
        <v>6</v>
      </c>
      <c r="AC59" s="100">
        <v>1821.6</v>
      </c>
      <c r="AD59" s="100">
        <v>5</v>
      </c>
      <c r="AE59" s="100">
        <v>1517.9999999999998</v>
      </c>
      <c r="AF59" s="100">
        <v>5</v>
      </c>
      <c r="AG59" s="100">
        <v>1517.9999999999998</v>
      </c>
      <c r="AH59" s="100">
        <v>4.5206247810037929</v>
      </c>
      <c r="AI59" s="100">
        <v>1372.4616835127513</v>
      </c>
      <c r="AJ59" s="100">
        <v>7</v>
      </c>
      <c r="AK59" s="100">
        <v>2125.1999999999998</v>
      </c>
      <c r="AL59" s="100">
        <v>7</v>
      </c>
      <c r="AM59" s="100">
        <v>2125.1999999999998</v>
      </c>
      <c r="AN59" s="100">
        <v>8.0746788465975463</v>
      </c>
      <c r="AO59" s="100">
        <v>2451.4724978270146</v>
      </c>
      <c r="AP59" s="100">
        <v>6.291192194544279</v>
      </c>
      <c r="AQ59" s="100">
        <v>1910.0059502636429</v>
      </c>
      <c r="AR59" s="100">
        <v>5.3418697457091149</v>
      </c>
      <c r="AS59" s="100">
        <v>1621.791654797287</v>
      </c>
      <c r="AT59" s="100">
        <v>6</v>
      </c>
      <c r="AU59" s="100">
        <v>1821.6</v>
      </c>
      <c r="AV59" s="100">
        <v>5</v>
      </c>
      <c r="AW59" s="100">
        <v>1517.9999999999998</v>
      </c>
      <c r="AX59" s="100">
        <v>5.5995754480932458</v>
      </c>
      <c r="AY59" s="100">
        <v>1700.0311060411093</v>
      </c>
      <c r="AZ59" s="100">
        <v>5.0328954908818977</v>
      </c>
      <c r="BA59" s="100">
        <v>1527.9870710317439</v>
      </c>
      <c r="BB59" s="100">
        <v>5.3710397786272175</v>
      </c>
      <c r="BC59" s="100">
        <v>1630.6476767912231</v>
      </c>
      <c r="BD59" s="100">
        <v>4.0161171427590059</v>
      </c>
      <c r="BE59" s="100">
        <v>1219.293164541634</v>
      </c>
      <c r="BF59" s="100">
        <v>5</v>
      </c>
      <c r="BG59" s="100">
        <v>1517.9999999999998</v>
      </c>
      <c r="BH59" s="100">
        <v>2.8992758182311462</v>
      </c>
      <c r="BI59" s="100">
        <v>880.22013841497585</v>
      </c>
      <c r="BJ59" s="100">
        <v>0.96989769243614354</v>
      </c>
      <c r="BK59" s="100">
        <v>294.46093942361313</v>
      </c>
      <c r="BL59" s="100">
        <v>5</v>
      </c>
      <c r="BM59" s="100">
        <v>1517.9999999999998</v>
      </c>
      <c r="BN59" s="100">
        <v>7</v>
      </c>
      <c r="BO59" s="100">
        <v>2125.1999999999998</v>
      </c>
      <c r="BP59" s="100">
        <v>6</v>
      </c>
      <c r="BQ59" s="100">
        <v>1821.6</v>
      </c>
      <c r="BR59" s="100">
        <v>7</v>
      </c>
      <c r="BS59" s="100">
        <v>2125.1999999999998</v>
      </c>
      <c r="BT59" s="100">
        <v>6</v>
      </c>
      <c r="BU59" s="100">
        <v>1821.6</v>
      </c>
      <c r="BV59" s="100">
        <v>6.3143536973824927</v>
      </c>
      <c r="BW59" s="100">
        <v>1917.0377825253245</v>
      </c>
      <c r="BX59" s="100">
        <v>3.903635813940463</v>
      </c>
      <c r="BY59" s="100">
        <v>1185.1438331123245</v>
      </c>
      <c r="BZ59" s="100">
        <v>5</v>
      </c>
      <c r="CA59" s="100">
        <v>1517.9999999999998</v>
      </c>
      <c r="CB59" s="100">
        <v>5</v>
      </c>
      <c r="CC59" s="100">
        <v>1517.9999999999998</v>
      </c>
      <c r="CD59" s="100">
        <v>2.7843560192765708</v>
      </c>
      <c r="CE59" s="100">
        <v>845.33048745236681</v>
      </c>
      <c r="CF59" s="100">
        <v>3.5865962660094119</v>
      </c>
      <c r="CG59" s="100">
        <v>1088.8906263604574</v>
      </c>
      <c r="CH59" s="100">
        <v>4.6578711803388462</v>
      </c>
      <c r="CI59" s="100">
        <v>1414.1296903508735</v>
      </c>
      <c r="CJ59" s="100">
        <v>5</v>
      </c>
      <c r="CK59" s="100">
        <v>1517.9999999999998</v>
      </c>
      <c r="CL59" s="100">
        <v>6</v>
      </c>
      <c r="CM59" s="100">
        <v>1821.6</v>
      </c>
      <c r="CN59" s="100">
        <v>4.3724371724677642</v>
      </c>
      <c r="CO59" s="100">
        <v>1327.4719255612131</v>
      </c>
      <c r="CP59" s="100">
        <v>4.0010838199590983</v>
      </c>
      <c r="CQ59" s="100">
        <v>1214.729047739582</v>
      </c>
      <c r="CR59" s="100">
        <v>4.4160613543001084</v>
      </c>
      <c r="CS59" s="100">
        <v>1340.7162271655127</v>
      </c>
      <c r="CT59" s="100">
        <v>2.4577190019889885</v>
      </c>
      <c r="CU59" s="100">
        <v>746.16348900385685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6</v>
      </c>
      <c r="G60" s="100">
        <v>3909.6000000000004</v>
      </c>
      <c r="H60" s="100">
        <v>6</v>
      </c>
      <c r="I60" s="100">
        <v>3909.6000000000004</v>
      </c>
      <c r="J60" s="100">
        <v>4</v>
      </c>
      <c r="K60" s="100">
        <v>2606.4</v>
      </c>
      <c r="L60" s="100">
        <v>5</v>
      </c>
      <c r="M60" s="100">
        <v>3258</v>
      </c>
      <c r="N60" s="100">
        <v>3</v>
      </c>
      <c r="O60" s="100">
        <v>1954.8000000000002</v>
      </c>
      <c r="P60" s="100">
        <v>4</v>
      </c>
      <c r="Q60" s="100">
        <v>2606.4</v>
      </c>
      <c r="R60" s="100">
        <v>5</v>
      </c>
      <c r="S60" s="100">
        <v>3258</v>
      </c>
      <c r="T60" s="100">
        <v>4</v>
      </c>
      <c r="U60" s="100">
        <v>2606.4</v>
      </c>
      <c r="V60" s="100">
        <v>4</v>
      </c>
      <c r="W60" s="100">
        <v>2606.4</v>
      </c>
      <c r="X60" s="100">
        <v>5</v>
      </c>
      <c r="Y60" s="100">
        <v>3258</v>
      </c>
      <c r="Z60" s="100">
        <v>5</v>
      </c>
      <c r="AA60" s="100">
        <v>3258</v>
      </c>
      <c r="AB60" s="100">
        <v>6</v>
      </c>
      <c r="AC60" s="100">
        <v>3909.6000000000004</v>
      </c>
      <c r="AD60" s="100">
        <v>6</v>
      </c>
      <c r="AE60" s="100">
        <v>3909.6000000000004</v>
      </c>
      <c r="AF60" s="100">
        <v>5</v>
      </c>
      <c r="AG60" s="100">
        <v>3258</v>
      </c>
      <c r="AH60" s="100">
        <v>3.4338539841698275</v>
      </c>
      <c r="AI60" s="100">
        <v>2237.4992560850596</v>
      </c>
      <c r="AJ60" s="100">
        <v>7</v>
      </c>
      <c r="AK60" s="100">
        <v>4561.2</v>
      </c>
      <c r="AL60" s="100">
        <v>7</v>
      </c>
      <c r="AM60" s="100">
        <v>4561.2</v>
      </c>
      <c r="AN60" s="100">
        <v>6.0746788465975463</v>
      </c>
      <c r="AO60" s="100">
        <v>3958.2607364429614</v>
      </c>
      <c r="AP60" s="100">
        <v>6.2588375062615809</v>
      </c>
      <c r="AQ60" s="100">
        <v>4078.2585190800464</v>
      </c>
      <c r="AR60" s="100">
        <v>5.3846034639227547</v>
      </c>
      <c r="AS60" s="100">
        <v>3508.6076170920669</v>
      </c>
      <c r="AT60" s="100">
        <v>6</v>
      </c>
      <c r="AU60" s="100">
        <v>3909.6000000000004</v>
      </c>
      <c r="AV60" s="100">
        <v>5</v>
      </c>
      <c r="AW60" s="100">
        <v>3258</v>
      </c>
      <c r="AX60" s="100">
        <v>5.5496108274188085</v>
      </c>
      <c r="AY60" s="100">
        <v>3616.126415146096</v>
      </c>
      <c r="AZ60" s="100">
        <v>4.3139104207559127</v>
      </c>
      <c r="BA60" s="100">
        <v>2810.9440301645527</v>
      </c>
      <c r="BB60" s="100">
        <v>5.3710397786272175</v>
      </c>
      <c r="BC60" s="100">
        <v>3499.7695197534949</v>
      </c>
      <c r="BD60" s="100">
        <v>4.0161171427590059</v>
      </c>
      <c r="BE60" s="100">
        <v>2616.9019302217685</v>
      </c>
      <c r="BF60" s="100">
        <v>4</v>
      </c>
      <c r="BG60" s="100">
        <v>2606.4</v>
      </c>
      <c r="BH60" s="100">
        <v>2.8992758182311462</v>
      </c>
      <c r="BI60" s="100">
        <v>1889.168123159415</v>
      </c>
      <c r="BJ60" s="100">
        <v>0.96989769243614354</v>
      </c>
      <c r="BK60" s="100">
        <v>631.98533639139112</v>
      </c>
      <c r="BL60" s="100">
        <v>5</v>
      </c>
      <c r="BM60" s="100">
        <v>3258</v>
      </c>
      <c r="BN60" s="100">
        <v>6</v>
      </c>
      <c r="BO60" s="100">
        <v>3909.6000000000004</v>
      </c>
      <c r="BP60" s="100">
        <v>5</v>
      </c>
      <c r="BQ60" s="100">
        <v>3258</v>
      </c>
      <c r="BR60" s="100">
        <v>7</v>
      </c>
      <c r="BS60" s="100">
        <v>4561.2</v>
      </c>
      <c r="BT60" s="100">
        <v>7</v>
      </c>
      <c r="BU60" s="100">
        <v>4561.2</v>
      </c>
      <c r="BV60" s="100">
        <v>6.3143536973824927</v>
      </c>
      <c r="BW60" s="100">
        <v>4114.4328692144327</v>
      </c>
      <c r="BX60" s="100">
        <v>3.903635813940463</v>
      </c>
      <c r="BY60" s="100">
        <v>2543.6090963636057</v>
      </c>
      <c r="BZ60" s="100">
        <v>4</v>
      </c>
      <c r="CA60" s="100">
        <v>2606.4</v>
      </c>
      <c r="CB60" s="100">
        <v>6</v>
      </c>
      <c r="CC60" s="100">
        <v>3909.6000000000004</v>
      </c>
      <c r="CD60" s="100">
        <v>2.7436755509430593</v>
      </c>
      <c r="CE60" s="100">
        <v>1787.7789889944975</v>
      </c>
      <c r="CF60" s="100">
        <v>3.5865962660094119</v>
      </c>
      <c r="CG60" s="100">
        <v>2337.026126931733</v>
      </c>
      <c r="CH60" s="100">
        <v>4.6578711803388462</v>
      </c>
      <c r="CI60" s="100">
        <v>3035.0688611087921</v>
      </c>
      <c r="CJ60" s="100">
        <v>5</v>
      </c>
      <c r="CK60" s="100">
        <v>3258</v>
      </c>
      <c r="CL60" s="100">
        <v>7</v>
      </c>
      <c r="CM60" s="100">
        <v>4561.2</v>
      </c>
      <c r="CN60" s="100">
        <v>3.3724371724677638</v>
      </c>
      <c r="CO60" s="100">
        <v>2197.480061579995</v>
      </c>
      <c r="CP60" s="100">
        <v>3.4295004171077985</v>
      </c>
      <c r="CQ60" s="100">
        <v>2234.6624717874415</v>
      </c>
      <c r="CR60" s="100">
        <v>5.4160613543001084</v>
      </c>
      <c r="CS60" s="100">
        <v>3529.1055784619507</v>
      </c>
      <c r="CT60" s="100">
        <v>2.4365725111049832</v>
      </c>
      <c r="CU60" s="100">
        <v>1587.6706482360071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6</v>
      </c>
      <c r="G61" s="100">
        <v>5709.5999999999995</v>
      </c>
      <c r="H61" s="100">
        <v>6</v>
      </c>
      <c r="I61" s="100">
        <v>5709.5999999999995</v>
      </c>
      <c r="J61" s="100">
        <v>5</v>
      </c>
      <c r="K61" s="100">
        <v>4758</v>
      </c>
      <c r="L61" s="100">
        <v>5</v>
      </c>
      <c r="M61" s="100">
        <v>4758</v>
      </c>
      <c r="N61" s="100">
        <v>4</v>
      </c>
      <c r="O61" s="100">
        <v>3806.3999999999996</v>
      </c>
      <c r="P61" s="100">
        <v>4</v>
      </c>
      <c r="Q61" s="100">
        <v>3806.3999999999996</v>
      </c>
      <c r="R61" s="100">
        <v>5</v>
      </c>
      <c r="S61" s="100">
        <v>4758</v>
      </c>
      <c r="T61" s="100">
        <v>4</v>
      </c>
      <c r="U61" s="100">
        <v>3806.3999999999996</v>
      </c>
      <c r="V61" s="100">
        <v>4</v>
      </c>
      <c r="W61" s="100">
        <v>3806.3999999999996</v>
      </c>
      <c r="X61" s="100">
        <v>4</v>
      </c>
      <c r="Y61" s="100">
        <v>3806.3999999999996</v>
      </c>
      <c r="Z61" s="100">
        <v>5</v>
      </c>
      <c r="AA61" s="100">
        <v>4758</v>
      </c>
      <c r="AB61" s="100">
        <v>6</v>
      </c>
      <c r="AC61" s="100">
        <v>5709.5999999999995</v>
      </c>
      <c r="AD61" s="100">
        <v>5</v>
      </c>
      <c r="AE61" s="100">
        <v>4758</v>
      </c>
      <c r="AF61" s="100">
        <v>5</v>
      </c>
      <c r="AG61" s="100">
        <v>4758</v>
      </c>
      <c r="AH61" s="100">
        <v>4.4338539841698275</v>
      </c>
      <c r="AI61" s="100">
        <v>4219.2554513360074</v>
      </c>
      <c r="AJ61" s="100">
        <v>7</v>
      </c>
      <c r="AK61" s="100">
        <v>6661.1999999999989</v>
      </c>
      <c r="AL61" s="100">
        <v>6</v>
      </c>
      <c r="AM61" s="100">
        <v>5709.5999999999995</v>
      </c>
      <c r="AN61" s="100">
        <v>6.0622323721646216</v>
      </c>
      <c r="AO61" s="100">
        <v>5768.8203253518532</v>
      </c>
      <c r="AP61" s="100">
        <v>6.2588375062615809</v>
      </c>
      <c r="AQ61" s="100">
        <v>5955.9097709585194</v>
      </c>
      <c r="AR61" s="100">
        <v>5.3846034639227547</v>
      </c>
      <c r="AS61" s="100">
        <v>5123.9886562688926</v>
      </c>
      <c r="AT61" s="100">
        <v>6</v>
      </c>
      <c r="AU61" s="100">
        <v>5709.5999999999995</v>
      </c>
      <c r="AV61" s="100">
        <v>5</v>
      </c>
      <c r="AW61" s="100">
        <v>4758</v>
      </c>
      <c r="AX61" s="100">
        <v>5.5496108274188085</v>
      </c>
      <c r="AY61" s="100">
        <v>5281.0096633717376</v>
      </c>
      <c r="AZ61" s="100">
        <v>4.3139104207559127</v>
      </c>
      <c r="BA61" s="100">
        <v>4105.1171563913258</v>
      </c>
      <c r="BB61" s="100">
        <v>5.4122664206969082</v>
      </c>
      <c r="BC61" s="100">
        <v>5150.3127259351777</v>
      </c>
      <c r="BD61" s="100">
        <v>4.0161171427590059</v>
      </c>
      <c r="BE61" s="100">
        <v>3821.7370730494695</v>
      </c>
      <c r="BF61" s="100">
        <v>5</v>
      </c>
      <c r="BG61" s="100">
        <v>4758</v>
      </c>
      <c r="BH61" s="100">
        <v>2.8992758182311462</v>
      </c>
      <c r="BI61" s="100">
        <v>2758.9508686287586</v>
      </c>
      <c r="BJ61" s="100">
        <v>0.96989769243614354</v>
      </c>
      <c r="BK61" s="100">
        <v>922.95464412223407</v>
      </c>
      <c r="BL61" s="100">
        <v>5</v>
      </c>
      <c r="BM61" s="100">
        <v>4758</v>
      </c>
      <c r="BN61" s="100">
        <v>6</v>
      </c>
      <c r="BO61" s="100">
        <v>5709.5999999999995</v>
      </c>
      <c r="BP61" s="100">
        <v>5</v>
      </c>
      <c r="BQ61" s="100">
        <v>4758</v>
      </c>
      <c r="BR61" s="100">
        <v>6</v>
      </c>
      <c r="BS61" s="100">
        <v>5709.5999999999995</v>
      </c>
      <c r="BT61" s="100">
        <v>6</v>
      </c>
      <c r="BU61" s="100">
        <v>5709.5999999999995</v>
      </c>
      <c r="BV61" s="100">
        <v>6.3143536973824927</v>
      </c>
      <c r="BW61" s="100">
        <v>6008.73897842918</v>
      </c>
      <c r="BX61" s="100">
        <v>3.1229086511523705</v>
      </c>
      <c r="BY61" s="100">
        <v>2971.7598724365953</v>
      </c>
      <c r="BZ61" s="100">
        <v>4</v>
      </c>
      <c r="CA61" s="100">
        <v>3806.3999999999996</v>
      </c>
      <c r="CB61" s="100">
        <v>5</v>
      </c>
      <c r="CC61" s="100">
        <v>4758</v>
      </c>
      <c r="CD61" s="100">
        <v>2.3372468778694384</v>
      </c>
      <c r="CE61" s="100">
        <v>2224.1241289805575</v>
      </c>
      <c r="CF61" s="100">
        <v>3.5865962660094119</v>
      </c>
      <c r="CG61" s="100">
        <v>3413.005006734556</v>
      </c>
      <c r="CH61" s="100">
        <v>4.6578711803388462</v>
      </c>
      <c r="CI61" s="100">
        <v>4432.4302152104456</v>
      </c>
      <c r="CJ61" s="100">
        <v>4</v>
      </c>
      <c r="CK61" s="100">
        <v>3806.3999999999996</v>
      </c>
      <c r="CL61" s="100">
        <v>6</v>
      </c>
      <c r="CM61" s="100">
        <v>5709.5999999999995</v>
      </c>
      <c r="CN61" s="100">
        <v>3.3724371724677638</v>
      </c>
      <c r="CO61" s="100">
        <v>3209.2112133203236</v>
      </c>
      <c r="CP61" s="100">
        <v>3.4295004171077985</v>
      </c>
      <c r="CQ61" s="100">
        <v>3263.5125969197807</v>
      </c>
      <c r="CR61" s="100">
        <v>4.3698323149334293</v>
      </c>
      <c r="CS61" s="100">
        <v>4158.3324308906513</v>
      </c>
      <c r="CT61" s="100">
        <v>1.8538624969337441</v>
      </c>
      <c r="CU61" s="100">
        <v>1764.1355520821508</v>
      </c>
    </row>
    <row r="62" spans="2:99">
      <c r="C62" s="99" t="s">
        <v>228</v>
      </c>
      <c r="D62" s="100">
        <v>4.2299267228268</v>
      </c>
      <c r="E62" s="100">
        <v>7060.5936857424949</v>
      </c>
      <c r="F62" s="100">
        <v>4.5126818112140192</v>
      </c>
      <c r="G62" s="100">
        <v>7532.5684792784414</v>
      </c>
      <c r="H62" s="100">
        <v>3.2690174732464308</v>
      </c>
      <c r="I62" s="100">
        <v>5456.6439663429428</v>
      </c>
      <c r="J62" s="100">
        <v>3.147095953007613</v>
      </c>
      <c r="K62" s="100">
        <v>5253.132564760308</v>
      </c>
      <c r="L62" s="100">
        <v>2.9358814595171698</v>
      </c>
      <c r="M62" s="100">
        <v>4900.5733322260603</v>
      </c>
      <c r="N62" s="100">
        <v>2.9040817336943729</v>
      </c>
      <c r="O62" s="100">
        <v>4847.493229882647</v>
      </c>
      <c r="P62" s="100">
        <v>0.21953503483025263</v>
      </c>
      <c r="Q62" s="100">
        <v>366.44788013865769</v>
      </c>
      <c r="R62" s="100">
        <v>5</v>
      </c>
      <c r="S62" s="100">
        <v>8346</v>
      </c>
      <c r="T62" s="100">
        <v>1.6526659775804007</v>
      </c>
      <c r="U62" s="100">
        <v>2758.6300497772049</v>
      </c>
      <c r="V62" s="100">
        <v>4.4800656505381102</v>
      </c>
      <c r="W62" s="100">
        <v>7478.1255838782135</v>
      </c>
      <c r="X62" s="100">
        <v>0.88135362753340063</v>
      </c>
      <c r="Y62" s="100">
        <v>1471.1554750787523</v>
      </c>
      <c r="Z62" s="100">
        <v>5</v>
      </c>
      <c r="AA62" s="100">
        <v>8346</v>
      </c>
      <c r="AB62" s="100">
        <v>5</v>
      </c>
      <c r="AC62" s="100">
        <v>8346</v>
      </c>
      <c r="AD62" s="100">
        <v>4.6153520437515327</v>
      </c>
      <c r="AE62" s="100">
        <v>7703.9456314300587</v>
      </c>
      <c r="AF62" s="100">
        <v>0.22436756704349717</v>
      </c>
      <c r="AG62" s="100">
        <v>374.51434290900551</v>
      </c>
      <c r="AH62" s="100">
        <v>3</v>
      </c>
      <c r="AI62" s="100">
        <v>5007.6000000000004</v>
      </c>
      <c r="AJ62" s="100">
        <v>5.0659429428342078</v>
      </c>
      <c r="AK62" s="100">
        <v>8456.0719601788605</v>
      </c>
      <c r="AL62" s="100">
        <v>4.1398034274185731</v>
      </c>
      <c r="AM62" s="100">
        <v>6910.1598810470823</v>
      </c>
      <c r="AN62" s="100">
        <v>4.4481271132918625</v>
      </c>
      <c r="AO62" s="100">
        <v>7424.8137775067771</v>
      </c>
      <c r="AP62" s="100">
        <v>3.5954493490525334</v>
      </c>
      <c r="AQ62" s="100">
        <v>6001.5240534384893</v>
      </c>
      <c r="AR62" s="100">
        <v>3.298066145582299</v>
      </c>
      <c r="AS62" s="100">
        <v>5505.1320102059735</v>
      </c>
      <c r="AT62" s="100">
        <v>4.0036225387451827</v>
      </c>
      <c r="AU62" s="100">
        <v>6682.8467416734593</v>
      </c>
      <c r="AV62" s="100">
        <v>2.8501264326666482</v>
      </c>
      <c r="AW62" s="100">
        <v>4757.4310414071697</v>
      </c>
      <c r="AX62" s="100">
        <v>2.84963130922594</v>
      </c>
      <c r="AY62" s="100">
        <v>4756.6045813599394</v>
      </c>
      <c r="AZ62" s="100">
        <v>3.1713346648920777</v>
      </c>
      <c r="BA62" s="100">
        <v>5293.5918226378562</v>
      </c>
      <c r="BB62" s="100">
        <v>3.2118465103774181</v>
      </c>
      <c r="BC62" s="100">
        <v>5361.2141951219864</v>
      </c>
      <c r="BD62" s="100">
        <v>0.26924108045219658</v>
      </c>
      <c r="BE62" s="100">
        <v>449.41721149080655</v>
      </c>
      <c r="BF62" s="100">
        <v>4.4813833061969337</v>
      </c>
      <c r="BG62" s="100">
        <v>7480.3250147039216</v>
      </c>
      <c r="BH62" s="100">
        <v>2.5571748667692176</v>
      </c>
      <c r="BI62" s="100">
        <v>4268.4362876111782</v>
      </c>
      <c r="BJ62" s="100">
        <v>2.3417802540509434</v>
      </c>
      <c r="BK62" s="100">
        <v>3908.8996000618349</v>
      </c>
      <c r="BL62" s="100">
        <v>2.6078354684232856</v>
      </c>
      <c r="BM62" s="100">
        <v>4352.9989638921488</v>
      </c>
      <c r="BN62" s="100">
        <v>3.038067065982847</v>
      </c>
      <c r="BO62" s="100">
        <v>5071.141546538568</v>
      </c>
      <c r="BP62" s="100">
        <v>0.19414662944171998</v>
      </c>
      <c r="BQ62" s="100">
        <v>324.06955386411903</v>
      </c>
      <c r="BR62" s="100">
        <v>6</v>
      </c>
      <c r="BS62" s="100">
        <v>10015.200000000001</v>
      </c>
      <c r="BT62" s="100">
        <v>6.6376791356637561</v>
      </c>
      <c r="BU62" s="100">
        <v>11079.614013249942</v>
      </c>
      <c r="BV62" s="100">
        <v>4.5251596781011996</v>
      </c>
      <c r="BW62" s="100">
        <v>7553.3965346865225</v>
      </c>
      <c r="BX62" s="100">
        <v>3.4995706997444667</v>
      </c>
      <c r="BY62" s="100">
        <v>5841.4834120134637</v>
      </c>
      <c r="BZ62" s="100">
        <v>2.0549218436229237</v>
      </c>
      <c r="CA62" s="100">
        <v>3430.0755413753845</v>
      </c>
      <c r="CB62" s="100">
        <v>0.33975660152300996</v>
      </c>
      <c r="CC62" s="100">
        <v>567.12171926220822</v>
      </c>
      <c r="CD62" s="100">
        <v>5</v>
      </c>
      <c r="CE62" s="100">
        <v>8346</v>
      </c>
      <c r="CF62" s="100">
        <v>6</v>
      </c>
      <c r="CG62" s="100">
        <v>10015.200000000001</v>
      </c>
      <c r="CH62" s="100">
        <v>4.2635555870699759</v>
      </c>
      <c r="CI62" s="100">
        <v>7116.7269859372036</v>
      </c>
      <c r="CJ62" s="100">
        <v>2.0893717167607733</v>
      </c>
      <c r="CK62" s="100">
        <v>3487.5792696170829</v>
      </c>
      <c r="CL62" s="100">
        <v>4.0650576122334154</v>
      </c>
      <c r="CM62" s="100">
        <v>6785.3941663400174</v>
      </c>
      <c r="CN62" s="100">
        <v>1.9932372338343105</v>
      </c>
      <c r="CO62" s="100">
        <v>3327.1115907162311</v>
      </c>
      <c r="CP62" s="100">
        <v>3.9581571267698603</v>
      </c>
      <c r="CQ62" s="100">
        <v>6606.955876004251</v>
      </c>
      <c r="CR62" s="100">
        <v>0.28090112724343347</v>
      </c>
      <c r="CS62" s="100">
        <v>468.88016159473915</v>
      </c>
      <c r="CT62" s="100">
        <v>4.446403927464659</v>
      </c>
      <c r="CU62" s="100">
        <v>7421.9374357240085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5</v>
      </c>
      <c r="G63" s="100">
        <v>3978</v>
      </c>
      <c r="H63" s="100">
        <v>6</v>
      </c>
      <c r="I63" s="100">
        <v>4773.6000000000004</v>
      </c>
      <c r="J63" s="100">
        <v>5</v>
      </c>
      <c r="K63" s="100">
        <v>3978</v>
      </c>
      <c r="L63" s="100">
        <v>5</v>
      </c>
      <c r="M63" s="100">
        <v>3978</v>
      </c>
      <c r="N63" s="100">
        <v>4</v>
      </c>
      <c r="O63" s="100">
        <v>3182.4</v>
      </c>
      <c r="P63" s="100">
        <v>4</v>
      </c>
      <c r="Q63" s="100">
        <v>3182.4</v>
      </c>
      <c r="R63" s="100">
        <v>6</v>
      </c>
      <c r="S63" s="100">
        <v>4773.6000000000004</v>
      </c>
      <c r="T63" s="100">
        <v>4</v>
      </c>
      <c r="U63" s="100">
        <v>3182.4</v>
      </c>
      <c r="V63" s="100">
        <v>4</v>
      </c>
      <c r="W63" s="100">
        <v>3182.4</v>
      </c>
      <c r="X63" s="100">
        <v>5</v>
      </c>
      <c r="Y63" s="100">
        <v>3978</v>
      </c>
      <c r="Z63" s="100">
        <v>6</v>
      </c>
      <c r="AA63" s="100">
        <v>4773.6000000000004</v>
      </c>
      <c r="AB63" s="100">
        <v>6</v>
      </c>
      <c r="AC63" s="100">
        <v>4773.6000000000004</v>
      </c>
      <c r="AD63" s="100">
        <v>5</v>
      </c>
      <c r="AE63" s="100">
        <v>3978</v>
      </c>
      <c r="AF63" s="100">
        <v>5</v>
      </c>
      <c r="AG63" s="100">
        <v>3978</v>
      </c>
      <c r="AH63" s="100">
        <v>4.4772393825868102</v>
      </c>
      <c r="AI63" s="100">
        <v>3562.0916527860663</v>
      </c>
      <c r="AJ63" s="100">
        <v>6</v>
      </c>
      <c r="AK63" s="100">
        <v>4773.6000000000004</v>
      </c>
      <c r="AL63" s="100">
        <v>6</v>
      </c>
      <c r="AM63" s="100">
        <v>4773.6000000000004</v>
      </c>
      <c r="AN63" s="100">
        <v>6.0746788465975463</v>
      </c>
      <c r="AO63" s="100">
        <v>4833.0144903530081</v>
      </c>
      <c r="AP63" s="100">
        <v>6.2588375062615809</v>
      </c>
      <c r="AQ63" s="100">
        <v>4979.5311199817143</v>
      </c>
      <c r="AR63" s="100">
        <v>5.3846034639227547</v>
      </c>
      <c r="AS63" s="100">
        <v>4283.9905158969441</v>
      </c>
      <c r="AT63" s="100">
        <v>6</v>
      </c>
      <c r="AU63" s="100">
        <v>4773.6000000000004</v>
      </c>
      <c r="AV63" s="100">
        <v>5</v>
      </c>
      <c r="AW63" s="100">
        <v>3978</v>
      </c>
      <c r="AX63" s="100">
        <v>4.5496108274188085</v>
      </c>
      <c r="AY63" s="100">
        <v>3619.6703742944042</v>
      </c>
      <c r="AZ63" s="100">
        <v>4.3139104207559127</v>
      </c>
      <c r="BA63" s="100">
        <v>3432.1471307534043</v>
      </c>
      <c r="BB63" s="100">
        <v>5.4122664206969082</v>
      </c>
      <c r="BC63" s="100">
        <v>4305.9991643064604</v>
      </c>
      <c r="BD63" s="100">
        <v>4.6854699998855063</v>
      </c>
      <c r="BE63" s="100">
        <v>3727.759931908909</v>
      </c>
      <c r="BF63" s="100">
        <v>4</v>
      </c>
      <c r="BG63" s="100">
        <v>3182.4</v>
      </c>
      <c r="BH63" s="100">
        <v>2.8992758182311462</v>
      </c>
      <c r="BI63" s="100">
        <v>2306.6638409847001</v>
      </c>
      <c r="BJ63" s="100">
        <v>0.96989769243614354</v>
      </c>
      <c r="BK63" s="100">
        <v>771.65060410219587</v>
      </c>
      <c r="BL63" s="100">
        <v>5</v>
      </c>
      <c r="BM63" s="100">
        <v>3978</v>
      </c>
      <c r="BN63" s="100">
        <v>6</v>
      </c>
      <c r="BO63" s="100">
        <v>4773.6000000000004</v>
      </c>
      <c r="BP63" s="100">
        <v>5</v>
      </c>
      <c r="BQ63" s="100">
        <v>3978</v>
      </c>
      <c r="BR63" s="100">
        <v>7</v>
      </c>
      <c r="BS63" s="100">
        <v>5569.2</v>
      </c>
      <c r="BT63" s="100">
        <v>6</v>
      </c>
      <c r="BU63" s="100">
        <v>4773.6000000000004</v>
      </c>
      <c r="BV63" s="100">
        <v>7</v>
      </c>
      <c r="BW63" s="100">
        <v>5569.2</v>
      </c>
      <c r="BX63" s="100">
        <v>3.903635813940463</v>
      </c>
      <c r="BY63" s="100">
        <v>3105.7326535710326</v>
      </c>
      <c r="BZ63" s="100">
        <v>5</v>
      </c>
      <c r="CA63" s="100">
        <v>3978</v>
      </c>
      <c r="CB63" s="100">
        <v>5</v>
      </c>
      <c r="CC63" s="100">
        <v>3978</v>
      </c>
      <c r="CD63" s="100">
        <v>2.7436755509430593</v>
      </c>
      <c r="CE63" s="100">
        <v>2182.8682683302982</v>
      </c>
      <c r="CF63" s="100">
        <v>3.5865962660094119</v>
      </c>
      <c r="CG63" s="100">
        <v>2853.4959892370885</v>
      </c>
      <c r="CH63" s="100">
        <v>4.6578711803388462</v>
      </c>
      <c r="CI63" s="100">
        <v>3705.8023110775862</v>
      </c>
      <c r="CJ63" s="100">
        <v>4</v>
      </c>
      <c r="CK63" s="100">
        <v>3182.4</v>
      </c>
      <c r="CL63" s="100">
        <v>5</v>
      </c>
      <c r="CM63" s="100">
        <v>3978</v>
      </c>
      <c r="CN63" s="100">
        <v>4.4138190805197377</v>
      </c>
      <c r="CO63" s="100">
        <v>3511.6344604615033</v>
      </c>
      <c r="CP63" s="100">
        <v>3.4295004171077985</v>
      </c>
      <c r="CQ63" s="100">
        <v>2728.5105318509645</v>
      </c>
      <c r="CR63" s="100">
        <v>5.4160613543001084</v>
      </c>
      <c r="CS63" s="100">
        <v>4309.0184134811661</v>
      </c>
      <c r="CT63" s="100">
        <v>1.8538624969337441</v>
      </c>
      <c r="CU63" s="100">
        <v>1474.9330025604868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6</v>
      </c>
      <c r="G64" s="100">
        <v>6055.1999999999989</v>
      </c>
      <c r="H64" s="100">
        <v>6</v>
      </c>
      <c r="I64" s="100">
        <v>6055.1999999999989</v>
      </c>
      <c r="J64" s="100">
        <v>5</v>
      </c>
      <c r="K64" s="100">
        <v>5045.9999999999991</v>
      </c>
      <c r="L64" s="100">
        <v>5</v>
      </c>
      <c r="M64" s="100">
        <v>5045.9999999999991</v>
      </c>
      <c r="N64" s="100">
        <v>3</v>
      </c>
      <c r="O64" s="100">
        <v>3027.5999999999995</v>
      </c>
      <c r="P64" s="100">
        <v>4</v>
      </c>
      <c r="Q64" s="100">
        <v>4036.7999999999993</v>
      </c>
      <c r="R64" s="100">
        <v>5</v>
      </c>
      <c r="S64" s="100">
        <v>5045.9999999999991</v>
      </c>
      <c r="T64" s="100">
        <v>4</v>
      </c>
      <c r="U64" s="100">
        <v>4036.7999999999993</v>
      </c>
      <c r="V64" s="100">
        <v>4</v>
      </c>
      <c r="W64" s="100">
        <v>4036.7999999999993</v>
      </c>
      <c r="X64" s="100">
        <v>4</v>
      </c>
      <c r="Y64" s="100">
        <v>4036.7999999999993</v>
      </c>
      <c r="Z64" s="100">
        <v>6</v>
      </c>
      <c r="AA64" s="100">
        <v>6055.1999999999989</v>
      </c>
      <c r="AB64" s="100">
        <v>6</v>
      </c>
      <c r="AC64" s="100">
        <v>6055.1999999999989</v>
      </c>
      <c r="AD64" s="100">
        <v>5</v>
      </c>
      <c r="AE64" s="100">
        <v>5045.9999999999991</v>
      </c>
      <c r="AF64" s="100">
        <v>5</v>
      </c>
      <c r="AG64" s="100">
        <v>5045.9999999999991</v>
      </c>
      <c r="AH64" s="100">
        <v>3.4338539841698275</v>
      </c>
      <c r="AI64" s="100">
        <v>3465.4454408241891</v>
      </c>
      <c r="AJ64" s="100">
        <v>7</v>
      </c>
      <c r="AK64" s="100">
        <v>7064.3999999999987</v>
      </c>
      <c r="AL64" s="100">
        <v>7</v>
      </c>
      <c r="AM64" s="100">
        <v>7064.3999999999987</v>
      </c>
      <c r="AN64" s="100">
        <v>7.0622323721646216</v>
      </c>
      <c r="AO64" s="100">
        <v>7127.2049099885353</v>
      </c>
      <c r="AP64" s="100">
        <v>6.2264828179788836</v>
      </c>
      <c r="AQ64" s="100">
        <v>6283.7664599042882</v>
      </c>
      <c r="AR64" s="100">
        <v>4.3846034639227547</v>
      </c>
      <c r="AS64" s="100">
        <v>4424.9418157908431</v>
      </c>
      <c r="AT64" s="100">
        <v>6</v>
      </c>
      <c r="AU64" s="100">
        <v>6055.1999999999989</v>
      </c>
      <c r="AV64" s="100">
        <v>5</v>
      </c>
      <c r="AW64" s="100">
        <v>5045.9999999999991</v>
      </c>
      <c r="AX64" s="100">
        <v>4.5496108274188085</v>
      </c>
      <c r="AY64" s="100">
        <v>4591.4672470310607</v>
      </c>
      <c r="AZ64" s="100">
        <v>5.0328954908818977</v>
      </c>
      <c r="BA64" s="100">
        <v>5079.1981293980107</v>
      </c>
      <c r="BB64" s="100">
        <v>5.3710397786272175</v>
      </c>
      <c r="BC64" s="100">
        <v>5420.4533445905872</v>
      </c>
      <c r="BD64" s="100">
        <v>4.6854699998855063</v>
      </c>
      <c r="BE64" s="100">
        <v>4728.576323884452</v>
      </c>
      <c r="BF64" s="100">
        <v>4</v>
      </c>
      <c r="BG64" s="100">
        <v>4036.7999999999993</v>
      </c>
      <c r="BH64" s="100">
        <v>2.8992758182311462</v>
      </c>
      <c r="BI64" s="100">
        <v>2925.9491557588722</v>
      </c>
      <c r="BJ64" s="100">
        <v>0.96989769243614354</v>
      </c>
      <c r="BK64" s="100">
        <v>978.82075120655588</v>
      </c>
      <c r="BL64" s="100">
        <v>5</v>
      </c>
      <c r="BM64" s="100">
        <v>5045.9999999999991</v>
      </c>
      <c r="BN64" s="100">
        <v>6</v>
      </c>
      <c r="BO64" s="100">
        <v>6055.1999999999989</v>
      </c>
      <c r="BP64" s="100">
        <v>5</v>
      </c>
      <c r="BQ64" s="100">
        <v>5045.9999999999991</v>
      </c>
      <c r="BR64" s="100">
        <v>7</v>
      </c>
      <c r="BS64" s="100">
        <v>7064.3999999999987</v>
      </c>
      <c r="BT64" s="100">
        <v>7</v>
      </c>
      <c r="BU64" s="100">
        <v>7064.3999999999987</v>
      </c>
      <c r="BV64" s="100">
        <v>7.3143536973824927</v>
      </c>
      <c r="BW64" s="100">
        <v>7381.6457513984105</v>
      </c>
      <c r="BX64" s="100">
        <v>3.903635813940463</v>
      </c>
      <c r="BY64" s="100">
        <v>3939.5492634287148</v>
      </c>
      <c r="BZ64" s="100">
        <v>5</v>
      </c>
      <c r="CA64" s="100">
        <v>5045.9999999999991</v>
      </c>
      <c r="CB64" s="100">
        <v>5</v>
      </c>
      <c r="CC64" s="100">
        <v>5045.9999999999991</v>
      </c>
      <c r="CD64" s="100">
        <v>2.764015785109815</v>
      </c>
      <c r="CE64" s="100">
        <v>2789.4447303328247</v>
      </c>
      <c r="CF64" s="100">
        <v>3.5865962660094119</v>
      </c>
      <c r="CG64" s="100">
        <v>3619.592951656698</v>
      </c>
      <c r="CH64" s="100">
        <v>4.6578711803388462</v>
      </c>
      <c r="CI64" s="100">
        <v>4700.7235951979628</v>
      </c>
      <c r="CJ64" s="100">
        <v>4</v>
      </c>
      <c r="CK64" s="100">
        <v>4036.7999999999993</v>
      </c>
      <c r="CL64" s="100">
        <v>6</v>
      </c>
      <c r="CM64" s="100">
        <v>6055.1999999999989</v>
      </c>
      <c r="CN64" s="100">
        <v>3.3724371724677638</v>
      </c>
      <c r="CO64" s="100">
        <v>3403.4635944544666</v>
      </c>
      <c r="CP64" s="100">
        <v>3.4295004171077985</v>
      </c>
      <c r="CQ64" s="100">
        <v>3461.0518209451898</v>
      </c>
      <c r="CR64" s="100">
        <v>5.3698323149334293</v>
      </c>
      <c r="CS64" s="100">
        <v>5419.2347722308159</v>
      </c>
      <c r="CT64" s="100">
        <v>2.4365725111049832</v>
      </c>
      <c r="CU64" s="100">
        <v>2458.9889782071486</v>
      </c>
    </row>
    <row r="65" spans="2:99">
      <c r="C65" s="99" t="s">
        <v>231</v>
      </c>
      <c r="D65" s="100">
        <v>6</v>
      </c>
      <c r="E65" s="100">
        <v>6156</v>
      </c>
      <c r="F65" s="100">
        <v>6</v>
      </c>
      <c r="G65" s="100">
        <v>6156</v>
      </c>
      <c r="H65" s="100">
        <v>6</v>
      </c>
      <c r="I65" s="100">
        <v>6156</v>
      </c>
      <c r="J65" s="100">
        <v>4</v>
      </c>
      <c r="K65" s="100">
        <v>4104</v>
      </c>
      <c r="L65" s="100">
        <v>5</v>
      </c>
      <c r="M65" s="100">
        <v>5130</v>
      </c>
      <c r="N65" s="100">
        <v>4</v>
      </c>
      <c r="O65" s="100">
        <v>4104</v>
      </c>
      <c r="P65" s="100">
        <v>4</v>
      </c>
      <c r="Q65" s="100">
        <v>4104</v>
      </c>
      <c r="R65" s="100">
        <v>5</v>
      </c>
      <c r="S65" s="100">
        <v>5130</v>
      </c>
      <c r="T65" s="100">
        <v>3</v>
      </c>
      <c r="U65" s="100">
        <v>3078</v>
      </c>
      <c r="V65" s="100">
        <v>4</v>
      </c>
      <c r="W65" s="100">
        <v>4104</v>
      </c>
      <c r="X65" s="100">
        <v>5</v>
      </c>
      <c r="Y65" s="100">
        <v>5130</v>
      </c>
      <c r="Z65" s="100">
        <v>6</v>
      </c>
      <c r="AA65" s="100">
        <v>6156</v>
      </c>
      <c r="AB65" s="100">
        <v>6</v>
      </c>
      <c r="AC65" s="100">
        <v>6156</v>
      </c>
      <c r="AD65" s="100">
        <v>6</v>
      </c>
      <c r="AE65" s="100">
        <v>6156</v>
      </c>
      <c r="AF65" s="100">
        <v>5</v>
      </c>
      <c r="AG65" s="100">
        <v>5130</v>
      </c>
      <c r="AH65" s="100">
        <v>3.5206247810037929</v>
      </c>
      <c r="AI65" s="100">
        <v>3612.1610253098916</v>
      </c>
      <c r="AJ65" s="100">
        <v>7</v>
      </c>
      <c r="AK65" s="100">
        <v>7182</v>
      </c>
      <c r="AL65" s="100">
        <v>6</v>
      </c>
      <c r="AM65" s="100">
        <v>6156</v>
      </c>
      <c r="AN65" s="100">
        <v>7.0746788465975463</v>
      </c>
      <c r="AO65" s="100">
        <v>7258.6204966090827</v>
      </c>
      <c r="AP65" s="100">
        <v>6.2588375062615809</v>
      </c>
      <c r="AQ65" s="100">
        <v>6421.5672814243817</v>
      </c>
      <c r="AR65" s="100">
        <v>5.3418697457091149</v>
      </c>
      <c r="AS65" s="100">
        <v>5480.7583590975519</v>
      </c>
      <c r="AT65" s="100">
        <v>6</v>
      </c>
      <c r="AU65" s="100">
        <v>6156</v>
      </c>
      <c r="AV65" s="100">
        <v>5</v>
      </c>
      <c r="AW65" s="100">
        <v>5130</v>
      </c>
      <c r="AX65" s="100">
        <v>4.4996462067443712</v>
      </c>
      <c r="AY65" s="100">
        <v>4616.6370081197247</v>
      </c>
      <c r="AZ65" s="100">
        <v>4.3139104207559127</v>
      </c>
      <c r="BA65" s="100">
        <v>4426.0720916955661</v>
      </c>
      <c r="BB65" s="100">
        <v>5.4122664206969082</v>
      </c>
      <c r="BC65" s="100">
        <v>5552.9853476350281</v>
      </c>
      <c r="BD65" s="100">
        <v>4.6854699998855063</v>
      </c>
      <c r="BE65" s="100">
        <v>4807.292219882529</v>
      </c>
      <c r="BF65" s="100">
        <v>5</v>
      </c>
      <c r="BG65" s="100">
        <v>5130</v>
      </c>
      <c r="BH65" s="100">
        <v>2.8992758182311462</v>
      </c>
      <c r="BI65" s="100">
        <v>2974.6569895051562</v>
      </c>
      <c r="BJ65" s="100">
        <v>0.96989769243614354</v>
      </c>
      <c r="BK65" s="100">
        <v>995.11503243948323</v>
      </c>
      <c r="BL65" s="100">
        <v>5</v>
      </c>
      <c r="BM65" s="100">
        <v>5130</v>
      </c>
      <c r="BN65" s="100">
        <v>6</v>
      </c>
      <c r="BO65" s="100">
        <v>6156</v>
      </c>
      <c r="BP65" s="100">
        <v>5</v>
      </c>
      <c r="BQ65" s="100">
        <v>5130</v>
      </c>
      <c r="BR65" s="100">
        <v>6</v>
      </c>
      <c r="BS65" s="100">
        <v>6156</v>
      </c>
      <c r="BT65" s="100">
        <v>7</v>
      </c>
      <c r="BU65" s="100">
        <v>7182</v>
      </c>
      <c r="BV65" s="100">
        <v>6</v>
      </c>
      <c r="BW65" s="100">
        <v>6156</v>
      </c>
      <c r="BX65" s="100">
        <v>3.903635813940463</v>
      </c>
      <c r="BY65" s="100">
        <v>4005.1303451029148</v>
      </c>
      <c r="BZ65" s="100">
        <v>4</v>
      </c>
      <c r="CA65" s="100">
        <v>4104</v>
      </c>
      <c r="CB65" s="100">
        <v>5</v>
      </c>
      <c r="CC65" s="100">
        <v>5130</v>
      </c>
      <c r="CD65" s="100">
        <v>2.7436755509430593</v>
      </c>
      <c r="CE65" s="100">
        <v>2815.0111152675786</v>
      </c>
      <c r="CF65" s="100">
        <v>3.5865962660094119</v>
      </c>
      <c r="CG65" s="100">
        <v>3679.8477689256565</v>
      </c>
      <c r="CH65" s="100">
        <v>4.6578711803388462</v>
      </c>
      <c r="CI65" s="100">
        <v>4778.9758310276566</v>
      </c>
      <c r="CJ65" s="100">
        <v>5</v>
      </c>
      <c r="CK65" s="100">
        <v>5130</v>
      </c>
      <c r="CL65" s="100">
        <v>6</v>
      </c>
      <c r="CM65" s="100">
        <v>6156</v>
      </c>
      <c r="CN65" s="100">
        <v>4.3310552644157898</v>
      </c>
      <c r="CO65" s="100">
        <v>4443.6627012906001</v>
      </c>
      <c r="CP65" s="100">
        <v>3.4295004171077985</v>
      </c>
      <c r="CQ65" s="100">
        <v>3518.6674279526014</v>
      </c>
      <c r="CR65" s="100">
        <v>5.3698323149334293</v>
      </c>
      <c r="CS65" s="100">
        <v>5509.4479551216982</v>
      </c>
      <c r="CT65" s="100">
        <v>2.4365725111049832</v>
      </c>
      <c r="CU65" s="100">
        <v>2499.9233963937127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5</v>
      </c>
      <c r="G66" s="100">
        <v>5951.9999999999991</v>
      </c>
      <c r="H66" s="100">
        <v>6</v>
      </c>
      <c r="I66" s="100">
        <v>7142.4</v>
      </c>
      <c r="J66" s="100">
        <v>4</v>
      </c>
      <c r="K66" s="100">
        <v>4761.5999999999995</v>
      </c>
      <c r="L66" s="100">
        <v>6</v>
      </c>
      <c r="M66" s="100">
        <v>7142.4</v>
      </c>
      <c r="N66" s="100">
        <v>4</v>
      </c>
      <c r="O66" s="100">
        <v>4761.5999999999995</v>
      </c>
      <c r="P66" s="100">
        <v>4</v>
      </c>
      <c r="Q66" s="100">
        <v>4761.5999999999995</v>
      </c>
      <c r="R66" s="100">
        <v>5</v>
      </c>
      <c r="S66" s="100">
        <v>5951.9999999999991</v>
      </c>
      <c r="T66" s="100">
        <v>4</v>
      </c>
      <c r="U66" s="100">
        <v>4761.5999999999995</v>
      </c>
      <c r="V66" s="100">
        <v>4</v>
      </c>
      <c r="W66" s="100">
        <v>4761.5999999999995</v>
      </c>
      <c r="X66" s="100">
        <v>4</v>
      </c>
      <c r="Y66" s="100">
        <v>4761.5999999999995</v>
      </c>
      <c r="Z66" s="100">
        <v>5</v>
      </c>
      <c r="AA66" s="100">
        <v>5951.9999999999991</v>
      </c>
      <c r="AB66" s="100">
        <v>6</v>
      </c>
      <c r="AC66" s="100">
        <v>7142.4</v>
      </c>
      <c r="AD66" s="100">
        <v>5</v>
      </c>
      <c r="AE66" s="100">
        <v>5951.9999999999991</v>
      </c>
      <c r="AF66" s="100">
        <v>4</v>
      </c>
      <c r="AG66" s="100">
        <v>4761.5999999999995</v>
      </c>
      <c r="AH66" s="100">
        <v>3.4772393825868102</v>
      </c>
      <c r="AI66" s="100">
        <v>4139.3057610313381</v>
      </c>
      <c r="AJ66" s="100">
        <v>6</v>
      </c>
      <c r="AK66" s="100">
        <v>7142.4</v>
      </c>
      <c r="AL66" s="100">
        <v>6</v>
      </c>
      <c r="AM66" s="100">
        <v>7142.4</v>
      </c>
      <c r="AN66" s="100">
        <v>7.0622323721646216</v>
      </c>
      <c r="AO66" s="100">
        <v>8406.8814158247642</v>
      </c>
      <c r="AP66" s="100">
        <v>5.2588375062615809</v>
      </c>
      <c r="AQ66" s="100">
        <v>6260.1201674537851</v>
      </c>
      <c r="AR66" s="100">
        <v>4.3418697457091149</v>
      </c>
      <c r="AS66" s="100">
        <v>5168.5617452921297</v>
      </c>
      <c r="AT66" s="100">
        <v>6</v>
      </c>
      <c r="AU66" s="100">
        <v>7142.4</v>
      </c>
      <c r="AV66" s="100">
        <v>5</v>
      </c>
      <c r="AW66" s="100">
        <v>5951.9999999999991</v>
      </c>
      <c r="AX66" s="100">
        <v>4.4996462067443712</v>
      </c>
      <c r="AY66" s="100">
        <v>5356.3788445084992</v>
      </c>
      <c r="AZ66" s="100">
        <v>4.3139104207559127</v>
      </c>
      <c r="BA66" s="100">
        <v>5135.2789648678381</v>
      </c>
      <c r="BB66" s="100">
        <v>5.3710397786272175</v>
      </c>
      <c r="BC66" s="100">
        <v>6393.6857524778388</v>
      </c>
      <c r="BD66" s="100">
        <v>4.0161171427590059</v>
      </c>
      <c r="BE66" s="100">
        <v>4780.7858467403203</v>
      </c>
      <c r="BF66" s="100">
        <v>5</v>
      </c>
      <c r="BG66" s="100">
        <v>5951.9999999999991</v>
      </c>
      <c r="BH66" s="100">
        <v>2.869419062061533</v>
      </c>
      <c r="BI66" s="100">
        <v>3415.7564514780483</v>
      </c>
      <c r="BJ66" s="100">
        <v>0.96989769243614354</v>
      </c>
      <c r="BK66" s="100">
        <v>1154.5662130759852</v>
      </c>
      <c r="BL66" s="100">
        <v>5</v>
      </c>
      <c r="BM66" s="100">
        <v>5951.9999999999991</v>
      </c>
      <c r="BN66" s="100">
        <v>6</v>
      </c>
      <c r="BO66" s="100">
        <v>7142.4</v>
      </c>
      <c r="BP66" s="100">
        <v>5</v>
      </c>
      <c r="BQ66" s="100">
        <v>5951.9999999999991</v>
      </c>
      <c r="BR66" s="100">
        <v>7</v>
      </c>
      <c r="BS66" s="100">
        <v>8332.7999999999993</v>
      </c>
      <c r="BT66" s="100">
        <v>7</v>
      </c>
      <c r="BU66" s="100">
        <v>8332.7999999999993</v>
      </c>
      <c r="BV66" s="100">
        <v>6</v>
      </c>
      <c r="BW66" s="100">
        <v>7142.4</v>
      </c>
      <c r="BX66" s="100">
        <v>3.1229086511523705</v>
      </c>
      <c r="BY66" s="100">
        <v>3717.5104583317816</v>
      </c>
      <c r="BZ66" s="100">
        <v>4</v>
      </c>
      <c r="CA66" s="100">
        <v>4761.5999999999995</v>
      </c>
      <c r="CB66" s="100">
        <v>5</v>
      </c>
      <c r="CC66" s="100">
        <v>5951.9999999999991</v>
      </c>
      <c r="CD66" s="100">
        <v>2.3372468778694384</v>
      </c>
      <c r="CE66" s="100">
        <v>2782.2586834157792</v>
      </c>
      <c r="CF66" s="100">
        <v>3.5865962660094119</v>
      </c>
      <c r="CG66" s="100">
        <v>4269.4841950576038</v>
      </c>
      <c r="CH66" s="100">
        <v>4.6578711803388462</v>
      </c>
      <c r="CI66" s="100">
        <v>5544.7298530753615</v>
      </c>
      <c r="CJ66" s="100">
        <v>4</v>
      </c>
      <c r="CK66" s="100">
        <v>4761.5999999999995</v>
      </c>
      <c r="CL66" s="100">
        <v>6</v>
      </c>
      <c r="CM66" s="100">
        <v>7142.4</v>
      </c>
      <c r="CN66" s="100">
        <v>4.3724371724677642</v>
      </c>
      <c r="CO66" s="100">
        <v>5204.9492101056258</v>
      </c>
      <c r="CP66" s="100">
        <v>3.4295004171077985</v>
      </c>
      <c r="CQ66" s="100">
        <v>4082.4772965251227</v>
      </c>
      <c r="CR66" s="100">
        <v>5.3698323149334293</v>
      </c>
      <c r="CS66" s="100">
        <v>6392.2483876967535</v>
      </c>
      <c r="CT66" s="100">
        <v>2.4154260202209779</v>
      </c>
      <c r="CU66" s="100">
        <v>2875.3231344710516</v>
      </c>
    </row>
    <row r="67" spans="2:99">
      <c r="C67" s="99" t="s">
        <v>233</v>
      </c>
      <c r="D67" s="100">
        <v>6</v>
      </c>
      <c r="E67" s="100">
        <v>6739.2000000000007</v>
      </c>
      <c r="F67" s="100">
        <v>6</v>
      </c>
      <c r="G67" s="100">
        <v>6739.2000000000007</v>
      </c>
      <c r="H67" s="100">
        <v>6</v>
      </c>
      <c r="I67" s="100">
        <v>6739.2000000000007</v>
      </c>
      <c r="J67" s="100">
        <v>5</v>
      </c>
      <c r="K67" s="100">
        <v>5616</v>
      </c>
      <c r="L67" s="100">
        <v>6</v>
      </c>
      <c r="M67" s="100">
        <v>6739.2000000000007</v>
      </c>
      <c r="N67" s="100">
        <v>4</v>
      </c>
      <c r="O67" s="100">
        <v>4492.8</v>
      </c>
      <c r="P67" s="100">
        <v>4</v>
      </c>
      <c r="Q67" s="100">
        <v>4492.8</v>
      </c>
      <c r="R67" s="100">
        <v>5</v>
      </c>
      <c r="S67" s="100">
        <v>5616</v>
      </c>
      <c r="T67" s="100">
        <v>4</v>
      </c>
      <c r="U67" s="100">
        <v>4492.8</v>
      </c>
      <c r="V67" s="100">
        <v>5</v>
      </c>
      <c r="W67" s="100">
        <v>5616</v>
      </c>
      <c r="X67" s="100">
        <v>4</v>
      </c>
      <c r="Y67" s="100">
        <v>4492.8</v>
      </c>
      <c r="Z67" s="100">
        <v>6</v>
      </c>
      <c r="AA67" s="100">
        <v>6739.2000000000007</v>
      </c>
      <c r="AB67" s="100">
        <v>6</v>
      </c>
      <c r="AC67" s="100">
        <v>6739.2000000000007</v>
      </c>
      <c r="AD67" s="100">
        <v>5</v>
      </c>
      <c r="AE67" s="100">
        <v>5616</v>
      </c>
      <c r="AF67" s="100">
        <v>4</v>
      </c>
      <c r="AG67" s="100">
        <v>4492.8</v>
      </c>
      <c r="AH67" s="100">
        <v>4.4338539841698275</v>
      </c>
      <c r="AI67" s="100">
        <v>4980.1047950195507</v>
      </c>
      <c r="AJ67" s="100">
        <v>6</v>
      </c>
      <c r="AK67" s="100">
        <v>6739.2000000000007</v>
      </c>
      <c r="AL67" s="100">
        <v>6</v>
      </c>
      <c r="AM67" s="100">
        <v>6739.2000000000007</v>
      </c>
      <c r="AN67" s="100">
        <v>7.0622323721646216</v>
      </c>
      <c r="AO67" s="100">
        <v>7932.2994004153034</v>
      </c>
      <c r="AP67" s="100">
        <v>5.2588375062615809</v>
      </c>
      <c r="AQ67" s="100">
        <v>5906.7262870330078</v>
      </c>
      <c r="AR67" s="100">
        <v>4.3846034639227547</v>
      </c>
      <c r="AS67" s="100">
        <v>4924.7866106780384</v>
      </c>
      <c r="AT67" s="100">
        <v>5</v>
      </c>
      <c r="AU67" s="100">
        <v>5616</v>
      </c>
      <c r="AV67" s="100">
        <v>5</v>
      </c>
      <c r="AW67" s="100">
        <v>5616</v>
      </c>
      <c r="AX67" s="100">
        <v>4.4996462067443712</v>
      </c>
      <c r="AY67" s="100">
        <v>5054.0026194152779</v>
      </c>
      <c r="AZ67" s="100">
        <v>4.3139104207559127</v>
      </c>
      <c r="BA67" s="100">
        <v>4845.384184593041</v>
      </c>
      <c r="BB67" s="100">
        <v>5.3710397786272175</v>
      </c>
      <c r="BC67" s="100">
        <v>6032.7518793540912</v>
      </c>
      <c r="BD67" s="100">
        <v>4.0161171427590059</v>
      </c>
      <c r="BE67" s="100">
        <v>4510.9027747469154</v>
      </c>
      <c r="BF67" s="100">
        <v>5</v>
      </c>
      <c r="BG67" s="100">
        <v>5616</v>
      </c>
      <c r="BH67" s="100">
        <v>2.8992758182311462</v>
      </c>
      <c r="BI67" s="100">
        <v>3256.4665990372237</v>
      </c>
      <c r="BJ67" s="100">
        <v>0.96989769243614354</v>
      </c>
      <c r="BK67" s="100">
        <v>1089.3890881442765</v>
      </c>
      <c r="BL67" s="100">
        <v>5</v>
      </c>
      <c r="BM67" s="100">
        <v>5616</v>
      </c>
      <c r="BN67" s="100">
        <v>6</v>
      </c>
      <c r="BO67" s="100">
        <v>6739.2000000000007</v>
      </c>
      <c r="BP67" s="100">
        <v>5</v>
      </c>
      <c r="BQ67" s="100">
        <v>5616</v>
      </c>
      <c r="BR67" s="100">
        <v>6</v>
      </c>
      <c r="BS67" s="100">
        <v>6739.2000000000007</v>
      </c>
      <c r="BT67" s="100">
        <v>7</v>
      </c>
      <c r="BU67" s="100">
        <v>7862.4000000000005</v>
      </c>
      <c r="BV67" s="100">
        <v>6</v>
      </c>
      <c r="BW67" s="100">
        <v>6739.2000000000007</v>
      </c>
      <c r="BX67" s="100">
        <v>3.1229086511523705</v>
      </c>
      <c r="BY67" s="100">
        <v>3507.6509969743429</v>
      </c>
      <c r="BZ67" s="100">
        <v>4</v>
      </c>
      <c r="CA67" s="100">
        <v>4492.8</v>
      </c>
      <c r="CB67" s="100">
        <v>5</v>
      </c>
      <c r="CC67" s="100">
        <v>5616</v>
      </c>
      <c r="CD67" s="100">
        <v>2.764015785109815</v>
      </c>
      <c r="CE67" s="100">
        <v>3104.5425298353443</v>
      </c>
      <c r="CF67" s="100">
        <v>4.1843623103443139</v>
      </c>
      <c r="CG67" s="100">
        <v>4699.8757469787333</v>
      </c>
      <c r="CH67" s="100">
        <v>4.6578711803388462</v>
      </c>
      <c r="CI67" s="100">
        <v>5231.7209097565919</v>
      </c>
      <c r="CJ67" s="100">
        <v>4</v>
      </c>
      <c r="CK67" s="100">
        <v>4492.8</v>
      </c>
      <c r="CL67" s="100">
        <v>6</v>
      </c>
      <c r="CM67" s="100">
        <v>6739.2000000000007</v>
      </c>
      <c r="CN67" s="100">
        <v>3.3310552644157903</v>
      </c>
      <c r="CO67" s="100">
        <v>3741.4412729918158</v>
      </c>
      <c r="CP67" s="100">
        <v>3.4295004171077985</v>
      </c>
      <c r="CQ67" s="100">
        <v>3852.0148684954793</v>
      </c>
      <c r="CR67" s="100">
        <v>5.3698323149334293</v>
      </c>
      <c r="CS67" s="100">
        <v>6031.3956561332279</v>
      </c>
      <c r="CT67" s="100">
        <v>2.4154260202209779</v>
      </c>
      <c r="CU67" s="100">
        <v>2713.0065059122026</v>
      </c>
    </row>
    <row r="68" spans="2:99">
      <c r="C68" s="99" t="s">
        <v>234</v>
      </c>
      <c r="D68" s="100">
        <v>6</v>
      </c>
      <c r="E68" s="100">
        <v>6199.2000000000007</v>
      </c>
      <c r="F68" s="100">
        <v>6</v>
      </c>
      <c r="G68" s="100">
        <v>6199.2000000000007</v>
      </c>
      <c r="H68" s="100">
        <v>6</v>
      </c>
      <c r="I68" s="100">
        <v>6199.2000000000007</v>
      </c>
      <c r="J68" s="100">
        <v>5</v>
      </c>
      <c r="K68" s="100">
        <v>5166</v>
      </c>
      <c r="L68" s="100">
        <v>6</v>
      </c>
      <c r="M68" s="100">
        <v>6199.2000000000007</v>
      </c>
      <c r="N68" s="100">
        <v>4</v>
      </c>
      <c r="O68" s="100">
        <v>4132.8</v>
      </c>
      <c r="P68" s="100">
        <v>4</v>
      </c>
      <c r="Q68" s="100">
        <v>4132.8</v>
      </c>
      <c r="R68" s="100">
        <v>5</v>
      </c>
      <c r="S68" s="100">
        <v>5166</v>
      </c>
      <c r="T68" s="100">
        <v>4</v>
      </c>
      <c r="U68" s="100">
        <v>4132.8</v>
      </c>
      <c r="V68" s="100">
        <v>4</v>
      </c>
      <c r="W68" s="100">
        <v>4132.8</v>
      </c>
      <c r="X68" s="100">
        <v>4</v>
      </c>
      <c r="Y68" s="100">
        <v>4132.8</v>
      </c>
      <c r="Z68" s="100">
        <v>6</v>
      </c>
      <c r="AA68" s="100">
        <v>6199.2000000000007</v>
      </c>
      <c r="AB68" s="100">
        <v>6</v>
      </c>
      <c r="AC68" s="100">
        <v>6199.2000000000007</v>
      </c>
      <c r="AD68" s="100">
        <v>6</v>
      </c>
      <c r="AE68" s="100">
        <v>6199.2000000000007</v>
      </c>
      <c r="AF68" s="100">
        <v>5</v>
      </c>
      <c r="AG68" s="100">
        <v>5166</v>
      </c>
      <c r="AH68" s="100">
        <v>4.4338539841698275</v>
      </c>
      <c r="AI68" s="100">
        <v>4581.0579364442656</v>
      </c>
      <c r="AJ68" s="100">
        <v>7</v>
      </c>
      <c r="AK68" s="100">
        <v>7232.4000000000005</v>
      </c>
      <c r="AL68" s="100">
        <v>7</v>
      </c>
      <c r="AM68" s="100">
        <v>7232.4000000000005</v>
      </c>
      <c r="AN68" s="100">
        <v>7.0746788465975463</v>
      </c>
      <c r="AO68" s="100">
        <v>7309.5581843045848</v>
      </c>
      <c r="AP68" s="100">
        <v>6.2588375062615809</v>
      </c>
      <c r="AQ68" s="100">
        <v>6466.6309114694659</v>
      </c>
      <c r="AR68" s="100">
        <v>4.3418697457091149</v>
      </c>
      <c r="AS68" s="100">
        <v>4486.0198212666573</v>
      </c>
      <c r="AT68" s="100">
        <v>6</v>
      </c>
      <c r="AU68" s="100">
        <v>6199.2000000000007</v>
      </c>
      <c r="AV68" s="100">
        <v>5</v>
      </c>
      <c r="AW68" s="100">
        <v>5166</v>
      </c>
      <c r="AX68" s="100">
        <v>4.5496108274188085</v>
      </c>
      <c r="AY68" s="100">
        <v>4700.6579068891133</v>
      </c>
      <c r="AZ68" s="100">
        <v>5.0328954908818977</v>
      </c>
      <c r="BA68" s="100">
        <v>5199.987621179177</v>
      </c>
      <c r="BB68" s="100">
        <v>5.4122664206969082</v>
      </c>
      <c r="BC68" s="100">
        <v>5591.9536658640454</v>
      </c>
      <c r="BD68" s="100">
        <v>4.0161171427590059</v>
      </c>
      <c r="BE68" s="100">
        <v>4149.4522318986046</v>
      </c>
      <c r="BF68" s="100">
        <v>5</v>
      </c>
      <c r="BG68" s="100">
        <v>5166</v>
      </c>
      <c r="BH68" s="100">
        <v>2.8992758182311462</v>
      </c>
      <c r="BI68" s="100">
        <v>2995.5317753964205</v>
      </c>
      <c r="BJ68" s="100">
        <v>0.96989769243614354</v>
      </c>
      <c r="BK68" s="100">
        <v>1002.0982958250236</v>
      </c>
      <c r="BL68" s="100">
        <v>5</v>
      </c>
      <c r="BM68" s="100">
        <v>5166</v>
      </c>
      <c r="BN68" s="100">
        <v>6</v>
      </c>
      <c r="BO68" s="100">
        <v>6199.2000000000007</v>
      </c>
      <c r="BP68" s="100">
        <v>5</v>
      </c>
      <c r="BQ68" s="100">
        <v>5166</v>
      </c>
      <c r="BR68" s="100">
        <v>6</v>
      </c>
      <c r="BS68" s="100">
        <v>6199.2000000000007</v>
      </c>
      <c r="BT68" s="100">
        <v>7</v>
      </c>
      <c r="BU68" s="100">
        <v>7232.4000000000005</v>
      </c>
      <c r="BV68" s="100">
        <v>6</v>
      </c>
      <c r="BW68" s="100">
        <v>6199.2000000000007</v>
      </c>
      <c r="BX68" s="100">
        <v>3.1229086511523705</v>
      </c>
      <c r="BY68" s="100">
        <v>3226.5892183706292</v>
      </c>
      <c r="BZ68" s="100">
        <v>4</v>
      </c>
      <c r="CA68" s="100">
        <v>4132.8</v>
      </c>
      <c r="CB68" s="100">
        <v>5</v>
      </c>
      <c r="CC68" s="100">
        <v>5166</v>
      </c>
      <c r="CD68" s="100">
        <v>2.7843560192765708</v>
      </c>
      <c r="CE68" s="100">
        <v>2876.7966391165533</v>
      </c>
      <c r="CF68" s="100">
        <v>3.5865962660094119</v>
      </c>
      <c r="CG68" s="100">
        <v>3705.6712620409244</v>
      </c>
      <c r="CH68" s="100">
        <v>4.6578711803388462</v>
      </c>
      <c r="CI68" s="100">
        <v>4812.5125035260962</v>
      </c>
      <c r="CJ68" s="100">
        <v>5</v>
      </c>
      <c r="CK68" s="100">
        <v>5166</v>
      </c>
      <c r="CL68" s="100">
        <v>6</v>
      </c>
      <c r="CM68" s="100">
        <v>6199.2000000000007</v>
      </c>
      <c r="CN68" s="100">
        <v>4.3724371724677642</v>
      </c>
      <c r="CO68" s="100">
        <v>4517.6020865936944</v>
      </c>
      <c r="CP68" s="100">
        <v>3.4295004171077985</v>
      </c>
      <c r="CQ68" s="100">
        <v>3543.3598309557774</v>
      </c>
      <c r="CR68" s="100">
        <v>5.4160613543001084</v>
      </c>
      <c r="CS68" s="100">
        <v>5595.8745912628719</v>
      </c>
      <c r="CT68" s="100">
        <v>2.4365725111049832</v>
      </c>
      <c r="CU68" s="100">
        <v>2517.4667184736686</v>
      </c>
    </row>
    <row r="69" spans="2:99">
      <c r="C69" s="99" t="s">
        <v>235</v>
      </c>
      <c r="D69" s="100">
        <v>5</v>
      </c>
      <c r="E69" s="100">
        <v>3792</v>
      </c>
      <c r="F69" s="100">
        <v>6</v>
      </c>
      <c r="G69" s="100">
        <v>4550.3999999999996</v>
      </c>
      <c r="H69" s="100">
        <v>6</v>
      </c>
      <c r="I69" s="100">
        <v>4550.3999999999996</v>
      </c>
      <c r="J69" s="100">
        <v>5</v>
      </c>
      <c r="K69" s="100">
        <v>3792</v>
      </c>
      <c r="L69" s="100">
        <v>5</v>
      </c>
      <c r="M69" s="100">
        <v>3792</v>
      </c>
      <c r="N69" s="100">
        <v>3</v>
      </c>
      <c r="O69" s="100">
        <v>2275.1999999999998</v>
      </c>
      <c r="P69" s="100">
        <v>4</v>
      </c>
      <c r="Q69" s="100">
        <v>3033.6</v>
      </c>
      <c r="R69" s="100">
        <v>5</v>
      </c>
      <c r="S69" s="100">
        <v>3792</v>
      </c>
      <c r="T69" s="100">
        <v>4</v>
      </c>
      <c r="U69" s="100">
        <v>3033.6</v>
      </c>
      <c r="V69" s="100">
        <v>4</v>
      </c>
      <c r="W69" s="100">
        <v>3033.6</v>
      </c>
      <c r="X69" s="100">
        <v>4</v>
      </c>
      <c r="Y69" s="100">
        <v>3033.6</v>
      </c>
      <c r="Z69" s="100">
        <v>5</v>
      </c>
      <c r="AA69" s="100">
        <v>3792</v>
      </c>
      <c r="AB69" s="100">
        <v>7</v>
      </c>
      <c r="AC69" s="100">
        <v>5308.8</v>
      </c>
      <c r="AD69" s="100">
        <v>6</v>
      </c>
      <c r="AE69" s="100">
        <v>4550.3999999999996</v>
      </c>
      <c r="AF69" s="100">
        <v>5</v>
      </c>
      <c r="AG69" s="100">
        <v>3792</v>
      </c>
      <c r="AH69" s="100">
        <v>4.5206247810037929</v>
      </c>
      <c r="AI69" s="100">
        <v>3428.4418339132762</v>
      </c>
      <c r="AJ69" s="100">
        <v>6</v>
      </c>
      <c r="AK69" s="100">
        <v>4550.3999999999996</v>
      </c>
      <c r="AL69" s="100">
        <v>7</v>
      </c>
      <c r="AM69" s="100">
        <v>5308.8</v>
      </c>
      <c r="AN69" s="100">
        <v>7.0622323721646216</v>
      </c>
      <c r="AO69" s="100">
        <v>5355.9970310496492</v>
      </c>
      <c r="AP69" s="100">
        <v>6.291192194544279</v>
      </c>
      <c r="AQ69" s="100">
        <v>4771.2401603423814</v>
      </c>
      <c r="AR69" s="100">
        <v>4.3418697457091149</v>
      </c>
      <c r="AS69" s="100">
        <v>3292.8740151457928</v>
      </c>
      <c r="AT69" s="100">
        <v>6</v>
      </c>
      <c r="AU69" s="100">
        <v>4550.3999999999996</v>
      </c>
      <c r="AV69" s="100">
        <v>5</v>
      </c>
      <c r="AW69" s="100">
        <v>3792</v>
      </c>
      <c r="AX69" s="100">
        <v>5.5995754480932458</v>
      </c>
      <c r="AY69" s="100">
        <v>4246.7180198339174</v>
      </c>
      <c r="AZ69" s="100">
        <v>4.3139104207559127</v>
      </c>
      <c r="BA69" s="100">
        <v>3271.6696631012842</v>
      </c>
      <c r="BB69" s="100">
        <v>6.4122664206969082</v>
      </c>
      <c r="BC69" s="100">
        <v>4863.0628534565349</v>
      </c>
      <c r="BD69" s="100">
        <v>4.0161171427590059</v>
      </c>
      <c r="BE69" s="100">
        <v>3045.82324106843</v>
      </c>
      <c r="BF69" s="100">
        <v>4</v>
      </c>
      <c r="BG69" s="100">
        <v>3033.6</v>
      </c>
      <c r="BH69" s="100">
        <v>2.9291325744007608</v>
      </c>
      <c r="BI69" s="100">
        <v>2221.4541444255369</v>
      </c>
      <c r="BJ69" s="100">
        <v>0.96989769243614354</v>
      </c>
      <c r="BK69" s="100">
        <v>735.57040994357124</v>
      </c>
      <c r="BL69" s="100">
        <v>5</v>
      </c>
      <c r="BM69" s="100">
        <v>3792</v>
      </c>
      <c r="BN69" s="100">
        <v>6</v>
      </c>
      <c r="BO69" s="100">
        <v>4550.3999999999996</v>
      </c>
      <c r="BP69" s="100">
        <v>5</v>
      </c>
      <c r="BQ69" s="100">
        <v>3792</v>
      </c>
      <c r="BR69" s="100">
        <v>6</v>
      </c>
      <c r="BS69" s="100">
        <v>4550.3999999999996</v>
      </c>
      <c r="BT69" s="100">
        <v>6</v>
      </c>
      <c r="BU69" s="100">
        <v>4550.3999999999996</v>
      </c>
      <c r="BV69" s="100">
        <v>7.3143536973824927</v>
      </c>
      <c r="BW69" s="100">
        <v>5547.2058440948822</v>
      </c>
      <c r="BX69" s="100">
        <v>3.903635813940463</v>
      </c>
      <c r="BY69" s="100">
        <v>2960.5174012924472</v>
      </c>
      <c r="BZ69" s="100">
        <v>4</v>
      </c>
      <c r="CA69" s="100">
        <v>3033.6</v>
      </c>
      <c r="CB69" s="100">
        <v>5</v>
      </c>
      <c r="CC69" s="100">
        <v>3792</v>
      </c>
      <c r="CD69" s="100">
        <v>2.7843560192765708</v>
      </c>
      <c r="CE69" s="100">
        <v>2111.6556050193512</v>
      </c>
      <c r="CF69" s="100">
        <v>4.1843623103443139</v>
      </c>
      <c r="CG69" s="100">
        <v>3173.4203761651274</v>
      </c>
      <c r="CH69" s="100">
        <v>3.7262969442710769</v>
      </c>
      <c r="CI69" s="100">
        <v>2826.0236025351846</v>
      </c>
      <c r="CJ69" s="100">
        <v>5</v>
      </c>
      <c r="CK69" s="100">
        <v>3792</v>
      </c>
      <c r="CL69" s="100">
        <v>6</v>
      </c>
      <c r="CM69" s="100">
        <v>4550.3999999999996</v>
      </c>
      <c r="CN69" s="100">
        <v>4.3724371724677642</v>
      </c>
      <c r="CO69" s="100">
        <v>3316.0563515995523</v>
      </c>
      <c r="CP69" s="100">
        <v>3.4295004171077985</v>
      </c>
      <c r="CQ69" s="100">
        <v>2600.9331163345541</v>
      </c>
      <c r="CR69" s="100">
        <v>5.4160613543001084</v>
      </c>
      <c r="CS69" s="100">
        <v>4107.5409311012017</v>
      </c>
      <c r="CT69" s="100">
        <v>1.8750089878177492</v>
      </c>
      <c r="CU69" s="100">
        <v>1422.006816360981</v>
      </c>
    </row>
    <row r="70" spans="2:99">
      <c r="C70" s="99" t="s">
        <v>236</v>
      </c>
      <c r="D70" s="100">
        <v>5</v>
      </c>
      <c r="E70" s="100">
        <v>2675.9999999999995</v>
      </c>
      <c r="F70" s="100">
        <v>6</v>
      </c>
      <c r="G70" s="100">
        <v>3211.2</v>
      </c>
      <c r="H70" s="100">
        <v>6</v>
      </c>
      <c r="I70" s="100">
        <v>3211.2</v>
      </c>
      <c r="J70" s="100">
        <v>5</v>
      </c>
      <c r="K70" s="100">
        <v>2675.9999999999995</v>
      </c>
      <c r="L70" s="100">
        <v>5</v>
      </c>
      <c r="M70" s="100">
        <v>2675.9999999999995</v>
      </c>
      <c r="N70" s="100">
        <v>4</v>
      </c>
      <c r="O70" s="100">
        <v>2140.7999999999997</v>
      </c>
      <c r="P70" s="100">
        <v>4</v>
      </c>
      <c r="Q70" s="100">
        <v>2140.7999999999997</v>
      </c>
      <c r="R70" s="100">
        <v>5</v>
      </c>
      <c r="S70" s="100">
        <v>2675.9999999999995</v>
      </c>
      <c r="T70" s="100">
        <v>4</v>
      </c>
      <c r="U70" s="100">
        <v>2140.7999999999997</v>
      </c>
      <c r="V70" s="100">
        <v>5</v>
      </c>
      <c r="W70" s="100">
        <v>2675.9999999999995</v>
      </c>
      <c r="X70" s="100">
        <v>4</v>
      </c>
      <c r="Y70" s="100">
        <v>2140.7999999999997</v>
      </c>
      <c r="Z70" s="100">
        <v>6</v>
      </c>
      <c r="AA70" s="100">
        <v>3211.2</v>
      </c>
      <c r="AB70" s="100">
        <v>7</v>
      </c>
      <c r="AC70" s="100">
        <v>3746.3999999999996</v>
      </c>
      <c r="AD70" s="100">
        <v>5</v>
      </c>
      <c r="AE70" s="100">
        <v>2675.9999999999995</v>
      </c>
      <c r="AF70" s="100">
        <v>5</v>
      </c>
      <c r="AG70" s="100">
        <v>2675.9999999999995</v>
      </c>
      <c r="AH70" s="100">
        <v>3.5206247810037929</v>
      </c>
      <c r="AI70" s="100">
        <v>1884.2383827932297</v>
      </c>
      <c r="AJ70" s="100">
        <v>7</v>
      </c>
      <c r="AK70" s="100">
        <v>3746.3999999999996</v>
      </c>
      <c r="AL70" s="100">
        <v>7</v>
      </c>
      <c r="AM70" s="100">
        <v>3746.3999999999996</v>
      </c>
      <c r="AN70" s="100">
        <v>7.0622323721646216</v>
      </c>
      <c r="AO70" s="100">
        <v>3779.7067655825049</v>
      </c>
      <c r="AP70" s="100">
        <v>6.291192194544279</v>
      </c>
      <c r="AQ70" s="100">
        <v>3367.0460625200976</v>
      </c>
      <c r="AR70" s="100">
        <v>4.3418697457091149</v>
      </c>
      <c r="AS70" s="100">
        <v>2323.7686879035182</v>
      </c>
      <c r="AT70" s="100">
        <v>6</v>
      </c>
      <c r="AU70" s="100">
        <v>3211.2</v>
      </c>
      <c r="AV70" s="100">
        <v>5</v>
      </c>
      <c r="AW70" s="100">
        <v>2675.9999999999995</v>
      </c>
      <c r="AX70" s="100">
        <v>4.5995754480932458</v>
      </c>
      <c r="AY70" s="100">
        <v>2461.6927798195047</v>
      </c>
      <c r="AZ70" s="100">
        <v>5.0328954908818977</v>
      </c>
      <c r="BA70" s="100">
        <v>2693.6056667199914</v>
      </c>
      <c r="BB70" s="100">
        <v>5.3710397786272175</v>
      </c>
      <c r="BC70" s="100">
        <v>2874.5804895212864</v>
      </c>
      <c r="BD70" s="100">
        <v>4.6854699998855063</v>
      </c>
      <c r="BE70" s="100">
        <v>2507.6635439387228</v>
      </c>
      <c r="BF70" s="100">
        <v>4</v>
      </c>
      <c r="BG70" s="100">
        <v>2140.7999999999997</v>
      </c>
      <c r="BH70" s="100">
        <v>2.869419062061533</v>
      </c>
      <c r="BI70" s="100">
        <v>1535.7130820153322</v>
      </c>
      <c r="BJ70" s="100">
        <v>0.96989769243614354</v>
      </c>
      <c r="BK70" s="100">
        <v>519.08924499182399</v>
      </c>
      <c r="BL70" s="100">
        <v>5</v>
      </c>
      <c r="BM70" s="100">
        <v>2675.9999999999995</v>
      </c>
      <c r="BN70" s="100">
        <v>7</v>
      </c>
      <c r="BO70" s="100">
        <v>3746.3999999999996</v>
      </c>
      <c r="BP70" s="100">
        <v>5</v>
      </c>
      <c r="BQ70" s="100">
        <v>2675.9999999999995</v>
      </c>
      <c r="BR70" s="100">
        <v>6</v>
      </c>
      <c r="BS70" s="100">
        <v>3211.2</v>
      </c>
      <c r="BT70" s="100">
        <v>7</v>
      </c>
      <c r="BU70" s="100">
        <v>3746.3999999999996</v>
      </c>
      <c r="BV70" s="100">
        <v>6.3457890671207426</v>
      </c>
      <c r="BW70" s="100">
        <v>3396.2663087230212</v>
      </c>
      <c r="BX70" s="100">
        <v>3.1229086511523705</v>
      </c>
      <c r="BY70" s="100">
        <v>1671.3807100967485</v>
      </c>
      <c r="BZ70" s="100">
        <v>4</v>
      </c>
      <c r="CA70" s="100">
        <v>2140.7999999999997</v>
      </c>
      <c r="CB70" s="100">
        <v>5</v>
      </c>
      <c r="CC70" s="100">
        <v>2675.9999999999995</v>
      </c>
      <c r="CD70" s="100">
        <v>2.3575871120361938</v>
      </c>
      <c r="CE70" s="100">
        <v>1261.7806223617708</v>
      </c>
      <c r="CF70" s="100">
        <v>4.1843623103443139</v>
      </c>
      <c r="CG70" s="100">
        <v>2239.4707084962765</v>
      </c>
      <c r="CH70" s="100">
        <v>4.6578711803388462</v>
      </c>
      <c r="CI70" s="100">
        <v>2492.89265571735</v>
      </c>
      <c r="CJ70" s="100">
        <v>4</v>
      </c>
      <c r="CK70" s="100">
        <v>2140.7999999999997</v>
      </c>
      <c r="CL70" s="100">
        <v>6</v>
      </c>
      <c r="CM70" s="100">
        <v>3211.2</v>
      </c>
      <c r="CN70" s="100">
        <v>4.3724371724677642</v>
      </c>
      <c r="CO70" s="100">
        <v>2340.1283747047469</v>
      </c>
      <c r="CP70" s="100">
        <v>3.4295004171077985</v>
      </c>
      <c r="CQ70" s="100">
        <v>1835.4686232360934</v>
      </c>
      <c r="CR70" s="100">
        <v>5.4160613543001084</v>
      </c>
      <c r="CS70" s="100">
        <v>2898.6760368214177</v>
      </c>
      <c r="CT70" s="100">
        <v>2.4365725111049832</v>
      </c>
      <c r="CU70" s="100">
        <v>1304.0536079433869</v>
      </c>
    </row>
    <row r="71" spans="2:99">
      <c r="B71" s="99" t="s">
        <v>130</v>
      </c>
      <c r="C71" s="99" t="s">
        <v>237</v>
      </c>
      <c r="D71" s="100">
        <v>5</v>
      </c>
      <c r="E71" s="100">
        <v>2820</v>
      </c>
      <c r="F71" s="100">
        <v>3</v>
      </c>
      <c r="G71" s="100">
        <v>1692</v>
      </c>
      <c r="H71" s="100">
        <v>5</v>
      </c>
      <c r="I71" s="100">
        <v>2820</v>
      </c>
      <c r="J71" s="100">
        <v>4</v>
      </c>
      <c r="K71" s="100">
        <v>2256</v>
      </c>
      <c r="L71" s="100">
        <v>3</v>
      </c>
      <c r="M71" s="100">
        <v>1692</v>
      </c>
      <c r="N71" s="100">
        <v>6</v>
      </c>
      <c r="O71" s="100">
        <v>3384</v>
      </c>
      <c r="P71" s="100">
        <v>4</v>
      </c>
      <c r="Q71" s="100">
        <v>2256</v>
      </c>
      <c r="R71" s="100">
        <v>4</v>
      </c>
      <c r="S71" s="100">
        <v>2256</v>
      </c>
      <c r="T71" s="100">
        <v>4</v>
      </c>
      <c r="U71" s="100">
        <v>2256</v>
      </c>
      <c r="V71" s="100">
        <v>4</v>
      </c>
      <c r="W71" s="100">
        <v>2256</v>
      </c>
      <c r="X71" s="100">
        <v>4</v>
      </c>
      <c r="Y71" s="100">
        <v>2256</v>
      </c>
      <c r="Z71" s="100">
        <v>4</v>
      </c>
      <c r="AA71" s="100">
        <v>2256</v>
      </c>
      <c r="AB71" s="100">
        <v>6</v>
      </c>
      <c r="AC71" s="100">
        <v>3384</v>
      </c>
      <c r="AD71" s="100">
        <v>6</v>
      </c>
      <c r="AE71" s="100">
        <v>3384</v>
      </c>
      <c r="AF71" s="100">
        <v>3</v>
      </c>
      <c r="AG71" s="100">
        <v>1692</v>
      </c>
      <c r="AH71" s="100">
        <v>5</v>
      </c>
      <c r="AI71" s="100">
        <v>2820</v>
      </c>
      <c r="AJ71" s="100">
        <v>5</v>
      </c>
      <c r="AK71" s="100">
        <v>2820</v>
      </c>
      <c r="AL71" s="100">
        <v>4.7462046601314238</v>
      </c>
      <c r="AM71" s="100">
        <v>2676.8594283141229</v>
      </c>
      <c r="AN71" s="100">
        <v>4.3989749644116136</v>
      </c>
      <c r="AO71" s="100">
        <v>2481.0218799281502</v>
      </c>
      <c r="AP71" s="100">
        <v>6</v>
      </c>
      <c r="AQ71" s="100">
        <v>3384</v>
      </c>
      <c r="AR71" s="100">
        <v>3</v>
      </c>
      <c r="AS71" s="100">
        <v>1692</v>
      </c>
      <c r="AT71" s="100">
        <v>5</v>
      </c>
      <c r="AU71" s="100">
        <v>2820</v>
      </c>
      <c r="AV71" s="100">
        <v>4</v>
      </c>
      <c r="AW71" s="100">
        <v>2256</v>
      </c>
      <c r="AX71" s="100">
        <v>5</v>
      </c>
      <c r="AY71" s="100">
        <v>2820</v>
      </c>
      <c r="AZ71" s="100">
        <v>4</v>
      </c>
      <c r="BA71" s="100">
        <v>2256</v>
      </c>
      <c r="BB71" s="100">
        <v>3</v>
      </c>
      <c r="BC71" s="100">
        <v>1692</v>
      </c>
      <c r="BD71" s="100">
        <v>5</v>
      </c>
      <c r="BE71" s="100">
        <v>2820</v>
      </c>
      <c r="BF71" s="100">
        <v>3.5976269502531824</v>
      </c>
      <c r="BG71" s="100">
        <v>2029.0615999427948</v>
      </c>
      <c r="BH71" s="100">
        <v>3.816961837114953</v>
      </c>
      <c r="BI71" s="100">
        <v>2152.7664761328333</v>
      </c>
      <c r="BJ71" s="100">
        <v>2.6025142570121931</v>
      </c>
      <c r="BK71" s="100">
        <v>1467.818040954877</v>
      </c>
      <c r="BL71" s="100">
        <v>2.1228650774768627</v>
      </c>
      <c r="BM71" s="100">
        <v>1197.2959036969505</v>
      </c>
      <c r="BN71" s="100">
        <v>4</v>
      </c>
      <c r="BO71" s="100">
        <v>2256</v>
      </c>
      <c r="BP71" s="100">
        <v>5</v>
      </c>
      <c r="BQ71" s="100">
        <v>2820</v>
      </c>
      <c r="BR71" s="100">
        <v>6</v>
      </c>
      <c r="BS71" s="100">
        <v>3384</v>
      </c>
      <c r="BT71" s="100">
        <v>3.8654750625391658</v>
      </c>
      <c r="BU71" s="100">
        <v>2180.1279352720894</v>
      </c>
      <c r="BV71" s="100">
        <v>3</v>
      </c>
      <c r="BW71" s="100">
        <v>1692</v>
      </c>
      <c r="BX71" s="100">
        <v>4</v>
      </c>
      <c r="BY71" s="100">
        <v>2256</v>
      </c>
      <c r="BZ71" s="100">
        <v>4.5176345065531249</v>
      </c>
      <c r="CA71" s="100">
        <v>2547.9458616959623</v>
      </c>
      <c r="CB71" s="100">
        <v>5.2883992011743084</v>
      </c>
      <c r="CC71" s="100">
        <v>2982.6571494623099</v>
      </c>
      <c r="CD71" s="100">
        <v>6.0741104878488015</v>
      </c>
      <c r="CE71" s="100">
        <v>3425.7983151467242</v>
      </c>
      <c r="CF71" s="100">
        <v>3.4992377427285365E-4</v>
      </c>
      <c r="CG71" s="100">
        <v>0.19735700868988945</v>
      </c>
      <c r="CH71" s="100">
        <v>4</v>
      </c>
      <c r="CI71" s="100">
        <v>2256</v>
      </c>
      <c r="CJ71" s="100">
        <v>6</v>
      </c>
      <c r="CK71" s="100">
        <v>3384</v>
      </c>
      <c r="CL71" s="100">
        <v>5</v>
      </c>
      <c r="CM71" s="100">
        <v>2820</v>
      </c>
      <c r="CN71" s="100">
        <v>4</v>
      </c>
      <c r="CO71" s="100">
        <v>2256</v>
      </c>
      <c r="CP71" s="100">
        <v>4</v>
      </c>
      <c r="CQ71" s="100">
        <v>2256</v>
      </c>
      <c r="CR71" s="100">
        <v>4</v>
      </c>
      <c r="CS71" s="100">
        <v>2256</v>
      </c>
      <c r="CT71" s="100">
        <v>6</v>
      </c>
      <c r="CU71" s="100">
        <v>3384</v>
      </c>
    </row>
    <row r="72" spans="2:99">
      <c r="C72" s="99" t="s">
        <v>238</v>
      </c>
      <c r="D72" s="100">
        <v>5</v>
      </c>
      <c r="E72" s="100">
        <v>371.99999999999994</v>
      </c>
      <c r="F72" s="100">
        <v>3</v>
      </c>
      <c r="G72" s="100">
        <v>223.2</v>
      </c>
      <c r="H72" s="100">
        <v>5</v>
      </c>
      <c r="I72" s="100">
        <v>371.99999999999994</v>
      </c>
      <c r="J72" s="100">
        <v>4</v>
      </c>
      <c r="K72" s="100">
        <v>297.59999999999997</v>
      </c>
      <c r="L72" s="100">
        <v>4</v>
      </c>
      <c r="M72" s="100">
        <v>297.59999999999997</v>
      </c>
      <c r="N72" s="100">
        <v>6</v>
      </c>
      <c r="O72" s="100">
        <v>446.4</v>
      </c>
      <c r="P72" s="100">
        <v>4</v>
      </c>
      <c r="Q72" s="100">
        <v>297.59999999999997</v>
      </c>
      <c r="R72" s="100">
        <v>4</v>
      </c>
      <c r="S72" s="100">
        <v>297.59999999999997</v>
      </c>
      <c r="T72" s="100">
        <v>4</v>
      </c>
      <c r="U72" s="100">
        <v>297.59999999999997</v>
      </c>
      <c r="V72" s="100">
        <v>5</v>
      </c>
      <c r="W72" s="100">
        <v>371.99999999999994</v>
      </c>
      <c r="X72" s="100">
        <v>5</v>
      </c>
      <c r="Y72" s="100">
        <v>371.99999999999994</v>
      </c>
      <c r="Z72" s="100">
        <v>3</v>
      </c>
      <c r="AA72" s="100">
        <v>223.2</v>
      </c>
      <c r="AB72" s="100">
        <v>6</v>
      </c>
      <c r="AC72" s="100">
        <v>446.4</v>
      </c>
      <c r="AD72" s="100">
        <v>6</v>
      </c>
      <c r="AE72" s="100">
        <v>446.4</v>
      </c>
      <c r="AF72" s="100">
        <v>3</v>
      </c>
      <c r="AG72" s="100">
        <v>223.2</v>
      </c>
      <c r="AH72" s="100">
        <v>6</v>
      </c>
      <c r="AI72" s="100">
        <v>446.4</v>
      </c>
      <c r="AJ72" s="100">
        <v>5</v>
      </c>
      <c r="AK72" s="100">
        <v>371.99999999999994</v>
      </c>
      <c r="AL72" s="100">
        <v>5.6964576827893287</v>
      </c>
      <c r="AM72" s="100">
        <v>423.81645159952603</v>
      </c>
      <c r="AN72" s="100">
        <v>4.3590774679704527</v>
      </c>
      <c r="AO72" s="100">
        <v>324.31536361700165</v>
      </c>
      <c r="AP72" s="100">
        <v>7</v>
      </c>
      <c r="AQ72" s="100">
        <v>520.79999999999995</v>
      </c>
      <c r="AR72" s="100">
        <v>3</v>
      </c>
      <c r="AS72" s="100">
        <v>223.2</v>
      </c>
      <c r="AT72" s="100">
        <v>5</v>
      </c>
      <c r="AU72" s="100">
        <v>371.99999999999994</v>
      </c>
      <c r="AV72" s="100">
        <v>4</v>
      </c>
      <c r="AW72" s="100">
        <v>297.59999999999997</v>
      </c>
      <c r="AX72" s="100">
        <v>5</v>
      </c>
      <c r="AY72" s="100">
        <v>371.99999999999994</v>
      </c>
      <c r="AZ72" s="100">
        <v>3</v>
      </c>
      <c r="BA72" s="100">
        <v>223.2</v>
      </c>
      <c r="BB72" s="100">
        <v>3</v>
      </c>
      <c r="BC72" s="100">
        <v>223.2</v>
      </c>
      <c r="BD72" s="100">
        <v>5</v>
      </c>
      <c r="BE72" s="100">
        <v>371.99999999999994</v>
      </c>
      <c r="BF72" s="100">
        <v>3.5976269502531824</v>
      </c>
      <c r="BG72" s="100">
        <v>267.66344509883675</v>
      </c>
      <c r="BH72" s="100">
        <v>5.3436010237893541</v>
      </c>
      <c r="BI72" s="100">
        <v>397.56391616992789</v>
      </c>
      <c r="BJ72" s="100">
        <v>3.1005701487338353</v>
      </c>
      <c r="BK72" s="100">
        <v>230.68241906579732</v>
      </c>
      <c r="BL72" s="100">
        <v>2.1228650774768627</v>
      </c>
      <c r="BM72" s="100">
        <v>157.94116176427858</v>
      </c>
      <c r="BN72" s="100">
        <v>4</v>
      </c>
      <c r="BO72" s="100">
        <v>297.59999999999997</v>
      </c>
      <c r="BP72" s="100">
        <v>4</v>
      </c>
      <c r="BQ72" s="100">
        <v>297.59999999999997</v>
      </c>
      <c r="BR72" s="100">
        <v>6</v>
      </c>
      <c r="BS72" s="100">
        <v>446.4</v>
      </c>
      <c r="BT72" s="100">
        <v>3.8654750625391658</v>
      </c>
      <c r="BU72" s="100">
        <v>287.5913446529139</v>
      </c>
      <c r="BV72" s="100">
        <v>4</v>
      </c>
      <c r="BW72" s="100">
        <v>297.59999999999997</v>
      </c>
      <c r="BX72" s="100">
        <v>4</v>
      </c>
      <c r="BY72" s="100">
        <v>297.59999999999997</v>
      </c>
      <c r="BZ72" s="100">
        <v>4.5176345065531249</v>
      </c>
      <c r="CA72" s="100">
        <v>336.11200728755244</v>
      </c>
      <c r="CB72" s="100">
        <v>5.2883992011743084</v>
      </c>
      <c r="CC72" s="100">
        <v>393.45690056736851</v>
      </c>
      <c r="CD72" s="100">
        <v>6.0741104878488015</v>
      </c>
      <c r="CE72" s="100">
        <v>451.91382029595076</v>
      </c>
      <c r="CF72" s="100">
        <v>3.4992377427285365E-4</v>
      </c>
      <c r="CG72" s="100">
        <v>2.6034328805900307E-2</v>
      </c>
      <c r="CH72" s="100">
        <v>4</v>
      </c>
      <c r="CI72" s="100">
        <v>297.59999999999997</v>
      </c>
      <c r="CJ72" s="100">
        <v>7</v>
      </c>
      <c r="CK72" s="100">
        <v>520.79999999999995</v>
      </c>
      <c r="CL72" s="100">
        <v>5</v>
      </c>
      <c r="CM72" s="100">
        <v>371.99999999999994</v>
      </c>
      <c r="CN72" s="100">
        <v>4</v>
      </c>
      <c r="CO72" s="100">
        <v>297.59999999999997</v>
      </c>
      <c r="CP72" s="100">
        <v>4</v>
      </c>
      <c r="CQ72" s="100">
        <v>297.59999999999997</v>
      </c>
      <c r="CR72" s="100">
        <v>4</v>
      </c>
      <c r="CS72" s="100">
        <v>297.59999999999997</v>
      </c>
      <c r="CT72" s="100">
        <v>6</v>
      </c>
      <c r="CU72" s="100">
        <v>446.4</v>
      </c>
    </row>
    <row r="73" spans="2:99">
      <c r="C73" s="99" t="s">
        <v>239</v>
      </c>
      <c r="D73" s="100">
        <v>5</v>
      </c>
      <c r="E73" s="100">
        <v>2795.9999999999995</v>
      </c>
      <c r="F73" s="100">
        <v>3</v>
      </c>
      <c r="G73" s="100">
        <v>1677.6</v>
      </c>
      <c r="H73" s="100">
        <v>5</v>
      </c>
      <c r="I73" s="100">
        <v>2795.9999999999995</v>
      </c>
      <c r="J73" s="100">
        <v>5</v>
      </c>
      <c r="K73" s="100">
        <v>2795.9999999999995</v>
      </c>
      <c r="L73" s="100">
        <v>4</v>
      </c>
      <c r="M73" s="100">
        <v>2236.7999999999997</v>
      </c>
      <c r="N73" s="100">
        <v>5</v>
      </c>
      <c r="O73" s="100">
        <v>2795.9999999999995</v>
      </c>
      <c r="P73" s="100">
        <v>4</v>
      </c>
      <c r="Q73" s="100">
        <v>2236.7999999999997</v>
      </c>
      <c r="R73" s="100">
        <v>3</v>
      </c>
      <c r="S73" s="100">
        <v>1677.6</v>
      </c>
      <c r="T73" s="100">
        <v>4</v>
      </c>
      <c r="U73" s="100">
        <v>2236.7999999999997</v>
      </c>
      <c r="V73" s="100">
        <v>4</v>
      </c>
      <c r="W73" s="100">
        <v>2236.7999999999997</v>
      </c>
      <c r="X73" s="100">
        <v>5</v>
      </c>
      <c r="Y73" s="100">
        <v>2795.9999999999995</v>
      </c>
      <c r="Z73" s="100">
        <v>3</v>
      </c>
      <c r="AA73" s="100">
        <v>1677.6</v>
      </c>
      <c r="AB73" s="100">
        <v>6</v>
      </c>
      <c r="AC73" s="100">
        <v>3355.2</v>
      </c>
      <c r="AD73" s="100">
        <v>6</v>
      </c>
      <c r="AE73" s="100">
        <v>3355.2</v>
      </c>
      <c r="AF73" s="100">
        <v>4</v>
      </c>
      <c r="AG73" s="100">
        <v>2236.7999999999997</v>
      </c>
      <c r="AH73" s="100">
        <v>6.2276352817045986</v>
      </c>
      <c r="AI73" s="100">
        <v>3482.4936495292109</v>
      </c>
      <c r="AJ73" s="100">
        <v>5</v>
      </c>
      <c r="AK73" s="100">
        <v>2795.9999999999995</v>
      </c>
      <c r="AL73" s="100">
        <v>4.7462046601314238</v>
      </c>
      <c r="AM73" s="100">
        <v>2654.0776459454919</v>
      </c>
      <c r="AN73" s="100">
        <v>4.3989749644116136</v>
      </c>
      <c r="AO73" s="100">
        <v>2459.9068000989741</v>
      </c>
      <c r="AP73" s="100">
        <v>6</v>
      </c>
      <c r="AQ73" s="100">
        <v>3355.2</v>
      </c>
      <c r="AR73" s="100">
        <v>3</v>
      </c>
      <c r="AS73" s="100">
        <v>1677.6</v>
      </c>
      <c r="AT73" s="100">
        <v>5</v>
      </c>
      <c r="AU73" s="100">
        <v>2795.9999999999995</v>
      </c>
      <c r="AV73" s="100">
        <v>4</v>
      </c>
      <c r="AW73" s="100">
        <v>2236.7999999999997</v>
      </c>
      <c r="AX73" s="100">
        <v>5</v>
      </c>
      <c r="AY73" s="100">
        <v>2795.9999999999995</v>
      </c>
      <c r="AZ73" s="100">
        <v>4</v>
      </c>
      <c r="BA73" s="100">
        <v>2236.7999999999997</v>
      </c>
      <c r="BB73" s="100">
        <v>4</v>
      </c>
      <c r="BC73" s="100">
        <v>2236.7999999999997</v>
      </c>
      <c r="BD73" s="100">
        <v>5</v>
      </c>
      <c r="BE73" s="100">
        <v>2795.9999999999995</v>
      </c>
      <c r="BF73" s="100">
        <v>3.5976269502531824</v>
      </c>
      <c r="BG73" s="100">
        <v>2011.7929905815793</v>
      </c>
      <c r="BH73" s="100">
        <v>3.816961837114953</v>
      </c>
      <c r="BI73" s="100">
        <v>2134.4450593146817</v>
      </c>
      <c r="BJ73" s="100">
        <v>2.6249612166929897</v>
      </c>
      <c r="BK73" s="100">
        <v>1467.8783123747196</v>
      </c>
      <c r="BL73" s="100">
        <v>2.1228650774768627</v>
      </c>
      <c r="BM73" s="100">
        <v>1187.1061513250615</v>
      </c>
      <c r="BN73" s="100">
        <v>4</v>
      </c>
      <c r="BO73" s="100">
        <v>2236.7999999999997</v>
      </c>
      <c r="BP73" s="100">
        <v>4</v>
      </c>
      <c r="BQ73" s="100">
        <v>2236.7999999999997</v>
      </c>
      <c r="BR73" s="100">
        <v>6</v>
      </c>
      <c r="BS73" s="100">
        <v>3355.2</v>
      </c>
      <c r="BT73" s="100">
        <v>3.8654750625391658</v>
      </c>
      <c r="BU73" s="100">
        <v>2161.5736549719013</v>
      </c>
      <c r="BV73" s="100">
        <v>3</v>
      </c>
      <c r="BW73" s="100">
        <v>1677.6</v>
      </c>
      <c r="BX73" s="100">
        <v>5</v>
      </c>
      <c r="BY73" s="100">
        <v>2795.9999999999995</v>
      </c>
      <c r="BZ73" s="100">
        <v>3.6141076052424999</v>
      </c>
      <c r="CA73" s="100">
        <v>2021.0089728516057</v>
      </c>
      <c r="CB73" s="100">
        <v>5.2883992011743084</v>
      </c>
      <c r="CC73" s="100">
        <v>2957.2728332966731</v>
      </c>
      <c r="CD73" s="100">
        <v>6.0741104878488015</v>
      </c>
      <c r="CE73" s="100">
        <v>3396.6425848050494</v>
      </c>
      <c r="CF73" s="100">
        <v>2.9160314522737806E-4</v>
      </c>
      <c r="CG73" s="100">
        <v>0.1630644788111498</v>
      </c>
      <c r="CH73" s="100">
        <v>4</v>
      </c>
      <c r="CI73" s="100">
        <v>2236.7999999999997</v>
      </c>
      <c r="CJ73" s="100">
        <v>7</v>
      </c>
      <c r="CK73" s="100">
        <v>3914.3999999999996</v>
      </c>
      <c r="CL73" s="100">
        <v>4</v>
      </c>
      <c r="CM73" s="100">
        <v>2236.7999999999997</v>
      </c>
      <c r="CN73" s="100">
        <v>4</v>
      </c>
      <c r="CO73" s="100">
        <v>2236.7999999999997</v>
      </c>
      <c r="CP73" s="100">
        <v>5</v>
      </c>
      <c r="CQ73" s="100">
        <v>2795.9999999999995</v>
      </c>
      <c r="CR73" s="100">
        <v>4</v>
      </c>
      <c r="CS73" s="100">
        <v>2236.7999999999997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5</v>
      </c>
      <c r="E74" s="100">
        <v>2016</v>
      </c>
      <c r="F74" s="100">
        <v>3</v>
      </c>
      <c r="G74" s="100">
        <v>1209.5999999999999</v>
      </c>
      <c r="H74" s="100">
        <v>5</v>
      </c>
      <c r="I74" s="100">
        <v>2016</v>
      </c>
      <c r="J74" s="100">
        <v>4</v>
      </c>
      <c r="K74" s="100">
        <v>1612.8</v>
      </c>
      <c r="L74" s="100">
        <v>4</v>
      </c>
      <c r="M74" s="100">
        <v>1612.8</v>
      </c>
      <c r="N74" s="100">
        <v>5</v>
      </c>
      <c r="O74" s="100">
        <v>2016</v>
      </c>
      <c r="P74" s="100">
        <v>4</v>
      </c>
      <c r="Q74" s="100">
        <v>1612.8</v>
      </c>
      <c r="R74" s="100">
        <v>3</v>
      </c>
      <c r="S74" s="100">
        <v>1209.5999999999999</v>
      </c>
      <c r="T74" s="100">
        <v>5</v>
      </c>
      <c r="U74" s="100">
        <v>2016</v>
      </c>
      <c r="V74" s="100">
        <v>5</v>
      </c>
      <c r="W74" s="100">
        <v>2016</v>
      </c>
      <c r="X74" s="100">
        <v>5</v>
      </c>
      <c r="Y74" s="100">
        <v>2016</v>
      </c>
      <c r="Z74" s="100">
        <v>4</v>
      </c>
      <c r="AA74" s="100">
        <v>1612.8</v>
      </c>
      <c r="AB74" s="100">
        <v>6</v>
      </c>
      <c r="AC74" s="100">
        <v>2419.1999999999998</v>
      </c>
      <c r="AD74" s="100">
        <v>6</v>
      </c>
      <c r="AE74" s="100">
        <v>2419.1999999999998</v>
      </c>
      <c r="AF74" s="100">
        <v>3</v>
      </c>
      <c r="AG74" s="100">
        <v>1209.5999999999999</v>
      </c>
      <c r="AH74" s="100">
        <v>6</v>
      </c>
      <c r="AI74" s="100">
        <v>2419.1999999999998</v>
      </c>
      <c r="AJ74" s="100">
        <v>5</v>
      </c>
      <c r="AK74" s="100">
        <v>2016</v>
      </c>
      <c r="AL74" s="100">
        <v>4.6467107054472336</v>
      </c>
      <c r="AM74" s="100">
        <v>1873.5537564363246</v>
      </c>
      <c r="AN74" s="100">
        <v>4.3590774679704527</v>
      </c>
      <c r="AO74" s="100">
        <v>1757.5800350856864</v>
      </c>
      <c r="AP74" s="100">
        <v>6</v>
      </c>
      <c r="AQ74" s="100">
        <v>2419.1999999999998</v>
      </c>
      <c r="AR74" s="100">
        <v>3</v>
      </c>
      <c r="AS74" s="100">
        <v>1209.5999999999999</v>
      </c>
      <c r="AT74" s="100">
        <v>5</v>
      </c>
      <c r="AU74" s="100">
        <v>2016</v>
      </c>
      <c r="AV74" s="100">
        <v>4</v>
      </c>
      <c r="AW74" s="100">
        <v>1612.8</v>
      </c>
      <c r="AX74" s="100">
        <v>5</v>
      </c>
      <c r="AY74" s="100">
        <v>2016</v>
      </c>
      <c r="AZ74" s="100">
        <v>4</v>
      </c>
      <c r="BA74" s="100">
        <v>1612.8</v>
      </c>
      <c r="BB74" s="100">
        <v>4</v>
      </c>
      <c r="BC74" s="100">
        <v>1612.8</v>
      </c>
      <c r="BD74" s="100">
        <v>5</v>
      </c>
      <c r="BE74" s="100">
        <v>2016</v>
      </c>
      <c r="BF74" s="100">
        <v>3.5976269502531824</v>
      </c>
      <c r="BG74" s="100">
        <v>1450.5631863420831</v>
      </c>
      <c r="BH74" s="100">
        <v>3.816961837114953</v>
      </c>
      <c r="BI74" s="100">
        <v>1538.999012724749</v>
      </c>
      <c r="BJ74" s="100">
        <v>2.6249612166929897</v>
      </c>
      <c r="BK74" s="100">
        <v>1058.3843625706133</v>
      </c>
      <c r="BL74" s="100">
        <v>2.8304867699691503</v>
      </c>
      <c r="BM74" s="100">
        <v>1141.2522656515614</v>
      </c>
      <c r="BN74" s="100">
        <v>4</v>
      </c>
      <c r="BO74" s="100">
        <v>1612.8</v>
      </c>
      <c r="BP74" s="100">
        <v>4</v>
      </c>
      <c r="BQ74" s="100">
        <v>1612.8</v>
      </c>
      <c r="BR74" s="100">
        <v>5</v>
      </c>
      <c r="BS74" s="100">
        <v>2016</v>
      </c>
      <c r="BT74" s="100">
        <v>3.8654750625391658</v>
      </c>
      <c r="BU74" s="100">
        <v>1558.5595452157916</v>
      </c>
      <c r="BV74" s="100">
        <v>3</v>
      </c>
      <c r="BW74" s="100">
        <v>1209.5999999999999</v>
      </c>
      <c r="BX74" s="100">
        <v>4</v>
      </c>
      <c r="BY74" s="100">
        <v>1612.8</v>
      </c>
      <c r="BZ74" s="100">
        <v>4.5176345065531249</v>
      </c>
      <c r="CA74" s="100">
        <v>1821.5102330422199</v>
      </c>
      <c r="CB74" s="100">
        <v>5.2883992011743084</v>
      </c>
      <c r="CC74" s="100">
        <v>2132.282557913481</v>
      </c>
      <c r="CD74" s="100">
        <v>6.0325342108036049</v>
      </c>
      <c r="CE74" s="100">
        <v>2432.3177937960136</v>
      </c>
      <c r="CF74" s="100">
        <v>3.4992377427285365E-4</v>
      </c>
      <c r="CG74" s="100">
        <v>0.14108926578681458</v>
      </c>
      <c r="CH74" s="100">
        <v>4</v>
      </c>
      <c r="CI74" s="100">
        <v>1612.8</v>
      </c>
      <c r="CJ74" s="100">
        <v>6</v>
      </c>
      <c r="CK74" s="100">
        <v>2419.1999999999998</v>
      </c>
      <c r="CL74" s="100">
        <v>5</v>
      </c>
      <c r="CM74" s="100">
        <v>2016</v>
      </c>
      <c r="CN74" s="100">
        <v>4</v>
      </c>
      <c r="CO74" s="100">
        <v>1612.8</v>
      </c>
      <c r="CP74" s="100">
        <v>5</v>
      </c>
      <c r="CQ74" s="100">
        <v>2016</v>
      </c>
      <c r="CR74" s="100">
        <v>4</v>
      </c>
      <c r="CS74" s="100">
        <v>1612.8</v>
      </c>
      <c r="CT74" s="100">
        <v>6</v>
      </c>
      <c r="CU74" s="100">
        <v>2419.1999999999998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3</v>
      </c>
      <c r="G75" s="100">
        <v>1929.6</v>
      </c>
      <c r="H75" s="100">
        <v>6</v>
      </c>
      <c r="I75" s="100">
        <v>3859.2</v>
      </c>
      <c r="J75" s="100">
        <v>4</v>
      </c>
      <c r="K75" s="100">
        <v>2572.7999999999997</v>
      </c>
      <c r="L75" s="100">
        <v>4</v>
      </c>
      <c r="M75" s="100">
        <v>2572.7999999999997</v>
      </c>
      <c r="N75" s="100">
        <v>5</v>
      </c>
      <c r="O75" s="100">
        <v>3215.9999999999995</v>
      </c>
      <c r="P75" s="100">
        <v>4</v>
      </c>
      <c r="Q75" s="100">
        <v>2572.7999999999997</v>
      </c>
      <c r="R75" s="100">
        <v>3</v>
      </c>
      <c r="S75" s="100">
        <v>1929.6</v>
      </c>
      <c r="T75" s="100">
        <v>4</v>
      </c>
      <c r="U75" s="100">
        <v>2572.7999999999997</v>
      </c>
      <c r="V75" s="100">
        <v>4</v>
      </c>
      <c r="W75" s="100">
        <v>2572.7999999999997</v>
      </c>
      <c r="X75" s="100">
        <v>4</v>
      </c>
      <c r="Y75" s="100">
        <v>2572.7999999999997</v>
      </c>
      <c r="Z75" s="100">
        <v>3</v>
      </c>
      <c r="AA75" s="100">
        <v>1929.6</v>
      </c>
      <c r="AB75" s="100">
        <v>5</v>
      </c>
      <c r="AC75" s="100">
        <v>3215.9999999999995</v>
      </c>
      <c r="AD75" s="100">
        <v>6</v>
      </c>
      <c r="AE75" s="100">
        <v>3859.2</v>
      </c>
      <c r="AF75" s="100">
        <v>3</v>
      </c>
      <c r="AG75" s="100">
        <v>1929.6</v>
      </c>
      <c r="AH75" s="100">
        <v>5</v>
      </c>
      <c r="AI75" s="100">
        <v>3215.9999999999995</v>
      </c>
      <c r="AJ75" s="100">
        <v>5</v>
      </c>
      <c r="AK75" s="100">
        <v>3215.9999999999995</v>
      </c>
      <c r="AL75" s="100">
        <v>4.7462046601314238</v>
      </c>
      <c r="AM75" s="100">
        <v>3052.7588373965314</v>
      </c>
      <c r="AN75" s="100">
        <v>4.3590774679704527</v>
      </c>
      <c r="AO75" s="100">
        <v>2803.7586273985949</v>
      </c>
      <c r="AP75" s="100">
        <v>6</v>
      </c>
      <c r="AQ75" s="100">
        <v>3859.2</v>
      </c>
      <c r="AR75" s="100">
        <v>3</v>
      </c>
      <c r="AS75" s="100">
        <v>1929.6</v>
      </c>
      <c r="AT75" s="100">
        <v>5</v>
      </c>
      <c r="AU75" s="100">
        <v>3215.9999999999995</v>
      </c>
      <c r="AV75" s="100">
        <v>4</v>
      </c>
      <c r="AW75" s="100">
        <v>2572.7999999999997</v>
      </c>
      <c r="AX75" s="100">
        <v>5</v>
      </c>
      <c r="AY75" s="100">
        <v>3215.9999999999995</v>
      </c>
      <c r="AZ75" s="100">
        <v>4</v>
      </c>
      <c r="BA75" s="100">
        <v>2572.7999999999997</v>
      </c>
      <c r="BB75" s="100">
        <v>4</v>
      </c>
      <c r="BC75" s="100">
        <v>2572.7999999999997</v>
      </c>
      <c r="BD75" s="100">
        <v>5</v>
      </c>
      <c r="BE75" s="100">
        <v>3215.9999999999995</v>
      </c>
      <c r="BF75" s="100">
        <v>3.5976269502531824</v>
      </c>
      <c r="BG75" s="100">
        <v>2313.9936544028465</v>
      </c>
      <c r="BH75" s="100">
        <v>3.816961837114953</v>
      </c>
      <c r="BI75" s="100">
        <v>2455.0698536323375</v>
      </c>
      <c r="BJ75" s="100">
        <v>2.6025142570121931</v>
      </c>
      <c r="BK75" s="100">
        <v>1673.9371701102425</v>
      </c>
      <c r="BL75" s="100">
        <v>2.1228650774768627</v>
      </c>
      <c r="BM75" s="100">
        <v>1365.4268178331179</v>
      </c>
      <c r="BN75" s="100">
        <v>4</v>
      </c>
      <c r="BO75" s="100">
        <v>2572.7999999999997</v>
      </c>
      <c r="BP75" s="100">
        <v>4</v>
      </c>
      <c r="BQ75" s="100">
        <v>2572.7999999999997</v>
      </c>
      <c r="BR75" s="100">
        <v>6</v>
      </c>
      <c r="BS75" s="100">
        <v>3859.2</v>
      </c>
      <c r="BT75" s="100">
        <v>3.8654750625391658</v>
      </c>
      <c r="BU75" s="100">
        <v>2486.2735602251914</v>
      </c>
      <c r="BV75" s="100">
        <v>3</v>
      </c>
      <c r="BW75" s="100">
        <v>1929.6</v>
      </c>
      <c r="BX75" s="100">
        <v>4</v>
      </c>
      <c r="BY75" s="100">
        <v>2572.7999999999997</v>
      </c>
      <c r="BZ75" s="100">
        <v>4.5176345065531249</v>
      </c>
      <c r="CA75" s="100">
        <v>2905.7425146149694</v>
      </c>
      <c r="CB75" s="100">
        <v>5.2883992011743084</v>
      </c>
      <c r="CC75" s="100">
        <v>3401.4983661953147</v>
      </c>
      <c r="CD75" s="100">
        <v>7.0171684407482742</v>
      </c>
      <c r="CE75" s="100">
        <v>4513.4427410892895</v>
      </c>
      <c r="CF75" s="100">
        <v>3.4992377427285365E-4</v>
      </c>
      <c r="CG75" s="100">
        <v>0.22507097161229944</v>
      </c>
      <c r="CH75" s="100">
        <v>4</v>
      </c>
      <c r="CI75" s="100">
        <v>2572.7999999999997</v>
      </c>
      <c r="CJ75" s="100">
        <v>6</v>
      </c>
      <c r="CK75" s="100">
        <v>3859.2</v>
      </c>
      <c r="CL75" s="100">
        <v>5</v>
      </c>
      <c r="CM75" s="100">
        <v>3215.9999999999995</v>
      </c>
      <c r="CN75" s="100">
        <v>5</v>
      </c>
      <c r="CO75" s="100">
        <v>3215.9999999999995</v>
      </c>
      <c r="CP75" s="100">
        <v>4</v>
      </c>
      <c r="CQ75" s="100">
        <v>2572.7999999999997</v>
      </c>
      <c r="CR75" s="100">
        <v>4</v>
      </c>
      <c r="CS75" s="100">
        <v>2572.7999999999997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5</v>
      </c>
      <c r="E76" s="100">
        <v>3894</v>
      </c>
      <c r="F76" s="100">
        <v>4</v>
      </c>
      <c r="G76" s="100">
        <v>3115.2</v>
      </c>
      <c r="H76" s="100">
        <v>5</v>
      </c>
      <c r="I76" s="100">
        <v>3894</v>
      </c>
      <c r="J76" s="100">
        <v>4</v>
      </c>
      <c r="K76" s="100">
        <v>3115.2</v>
      </c>
      <c r="L76" s="100">
        <v>4</v>
      </c>
      <c r="M76" s="100">
        <v>3115.2</v>
      </c>
      <c r="N76" s="100">
        <v>5</v>
      </c>
      <c r="O76" s="100">
        <v>3894</v>
      </c>
      <c r="P76" s="100">
        <v>4</v>
      </c>
      <c r="Q76" s="100">
        <v>3115.2</v>
      </c>
      <c r="R76" s="100">
        <v>4</v>
      </c>
      <c r="S76" s="100">
        <v>3115.2</v>
      </c>
      <c r="T76" s="100">
        <v>4</v>
      </c>
      <c r="U76" s="100">
        <v>3115.2</v>
      </c>
      <c r="V76" s="100">
        <v>4</v>
      </c>
      <c r="W76" s="100">
        <v>3115.2</v>
      </c>
      <c r="X76" s="100">
        <v>4</v>
      </c>
      <c r="Y76" s="100">
        <v>3115.2</v>
      </c>
      <c r="Z76" s="100">
        <v>3</v>
      </c>
      <c r="AA76" s="100">
        <v>2336.3999999999996</v>
      </c>
      <c r="AB76" s="100">
        <v>6</v>
      </c>
      <c r="AC76" s="100">
        <v>4672.7999999999993</v>
      </c>
      <c r="AD76" s="100">
        <v>5</v>
      </c>
      <c r="AE76" s="100">
        <v>3894</v>
      </c>
      <c r="AF76" s="100">
        <v>4</v>
      </c>
      <c r="AG76" s="100">
        <v>3115.2</v>
      </c>
      <c r="AH76" s="100">
        <v>6</v>
      </c>
      <c r="AI76" s="100">
        <v>4672.7999999999993</v>
      </c>
      <c r="AJ76" s="100">
        <v>5</v>
      </c>
      <c r="AK76" s="100">
        <v>3894</v>
      </c>
      <c r="AL76" s="100">
        <v>4.6467107054472336</v>
      </c>
      <c r="AM76" s="100">
        <v>3618.8582974023052</v>
      </c>
      <c r="AN76" s="100">
        <v>4.3590774679704527</v>
      </c>
      <c r="AO76" s="100">
        <v>3394.8495320553884</v>
      </c>
      <c r="AP76" s="100">
        <v>6</v>
      </c>
      <c r="AQ76" s="100">
        <v>4672.7999999999993</v>
      </c>
      <c r="AR76" s="100">
        <v>4</v>
      </c>
      <c r="AS76" s="100">
        <v>3115.2</v>
      </c>
      <c r="AT76" s="100">
        <v>5</v>
      </c>
      <c r="AU76" s="100">
        <v>3894</v>
      </c>
      <c r="AV76" s="100">
        <v>4</v>
      </c>
      <c r="AW76" s="100">
        <v>3115.2</v>
      </c>
      <c r="AX76" s="100">
        <v>5</v>
      </c>
      <c r="AY76" s="100">
        <v>3894</v>
      </c>
      <c r="AZ76" s="100">
        <v>4</v>
      </c>
      <c r="BA76" s="100">
        <v>3115.2</v>
      </c>
      <c r="BB76" s="100">
        <v>3</v>
      </c>
      <c r="BC76" s="100">
        <v>2336.3999999999996</v>
      </c>
      <c r="BD76" s="100">
        <v>4</v>
      </c>
      <c r="BE76" s="100">
        <v>3115.2</v>
      </c>
      <c r="BF76" s="100">
        <v>3.5976269502531824</v>
      </c>
      <c r="BG76" s="100">
        <v>2801.8318688571781</v>
      </c>
      <c r="BH76" s="100">
        <v>3.816961837114953</v>
      </c>
      <c r="BI76" s="100">
        <v>2972.6498787451251</v>
      </c>
      <c r="BJ76" s="100">
        <v>2.6249612166929897</v>
      </c>
      <c r="BK76" s="100">
        <v>2044.3197955605003</v>
      </c>
      <c r="BL76" s="100">
        <v>2.8304867699691503</v>
      </c>
      <c r="BM76" s="100">
        <v>2204.3830964519743</v>
      </c>
      <c r="BN76" s="100">
        <v>4</v>
      </c>
      <c r="BO76" s="100">
        <v>3115.2</v>
      </c>
      <c r="BP76" s="100">
        <v>4</v>
      </c>
      <c r="BQ76" s="100">
        <v>3115.2</v>
      </c>
      <c r="BR76" s="100">
        <v>6</v>
      </c>
      <c r="BS76" s="100">
        <v>4672.7999999999993</v>
      </c>
      <c r="BT76" s="100">
        <v>3.8654750625391658</v>
      </c>
      <c r="BU76" s="100">
        <v>3010.4319787055024</v>
      </c>
      <c r="BV76" s="100">
        <v>3</v>
      </c>
      <c r="BW76" s="100">
        <v>2336.3999999999996</v>
      </c>
      <c r="BX76" s="100">
        <v>4</v>
      </c>
      <c r="BY76" s="100">
        <v>3115.2</v>
      </c>
      <c r="BZ76" s="100">
        <v>3.6141076052424999</v>
      </c>
      <c r="CA76" s="100">
        <v>2814.6670029628585</v>
      </c>
      <c r="CB76" s="100">
        <v>5.2883992011743084</v>
      </c>
      <c r="CC76" s="100">
        <v>4118.6052978745511</v>
      </c>
      <c r="CD76" s="100">
        <v>7.0171684407482742</v>
      </c>
      <c r="CE76" s="100">
        <v>5464.9707816547552</v>
      </c>
      <c r="CF76" s="100">
        <v>3.4992377427285365E-4</v>
      </c>
      <c r="CG76" s="100">
        <v>0.27252063540369842</v>
      </c>
      <c r="CH76" s="100">
        <v>4</v>
      </c>
      <c r="CI76" s="100">
        <v>3115.2</v>
      </c>
      <c r="CJ76" s="100">
        <v>6</v>
      </c>
      <c r="CK76" s="100">
        <v>4672.7999999999993</v>
      </c>
      <c r="CL76" s="100">
        <v>5</v>
      </c>
      <c r="CM76" s="100">
        <v>3894</v>
      </c>
      <c r="CN76" s="100">
        <v>4</v>
      </c>
      <c r="CO76" s="100">
        <v>3115.2</v>
      </c>
      <c r="CP76" s="100">
        <v>4</v>
      </c>
      <c r="CQ76" s="100">
        <v>3115.2</v>
      </c>
      <c r="CR76" s="100">
        <v>4</v>
      </c>
      <c r="CS76" s="100">
        <v>3115.2</v>
      </c>
      <c r="CT76" s="100">
        <v>5</v>
      </c>
      <c r="CU76" s="100">
        <v>3894</v>
      </c>
    </row>
    <row r="77" spans="2:99">
      <c r="C77" s="99" t="s">
        <v>243</v>
      </c>
      <c r="D77" s="100">
        <v>5</v>
      </c>
      <c r="E77" s="100">
        <v>1392</v>
      </c>
      <c r="F77" s="100">
        <v>3</v>
      </c>
      <c r="G77" s="100">
        <v>835.19999999999993</v>
      </c>
      <c r="H77" s="100">
        <v>5</v>
      </c>
      <c r="I77" s="100">
        <v>1392</v>
      </c>
      <c r="J77" s="100">
        <v>5</v>
      </c>
      <c r="K77" s="100">
        <v>1392</v>
      </c>
      <c r="L77" s="100">
        <v>4</v>
      </c>
      <c r="M77" s="100">
        <v>1113.5999999999999</v>
      </c>
      <c r="N77" s="100">
        <v>6</v>
      </c>
      <c r="O77" s="100">
        <v>1670.3999999999999</v>
      </c>
      <c r="P77" s="100">
        <v>5</v>
      </c>
      <c r="Q77" s="100">
        <v>1392</v>
      </c>
      <c r="R77" s="100">
        <v>3</v>
      </c>
      <c r="S77" s="100">
        <v>835.19999999999993</v>
      </c>
      <c r="T77" s="100">
        <v>4</v>
      </c>
      <c r="U77" s="100">
        <v>1113.5999999999999</v>
      </c>
      <c r="V77" s="100">
        <v>4</v>
      </c>
      <c r="W77" s="100">
        <v>1113.5999999999999</v>
      </c>
      <c r="X77" s="100">
        <v>5</v>
      </c>
      <c r="Y77" s="100">
        <v>1392</v>
      </c>
      <c r="Z77" s="100">
        <v>4</v>
      </c>
      <c r="AA77" s="100">
        <v>1113.5999999999999</v>
      </c>
      <c r="AB77" s="100">
        <v>6</v>
      </c>
      <c r="AC77" s="100">
        <v>1670.3999999999999</v>
      </c>
      <c r="AD77" s="100">
        <v>6</v>
      </c>
      <c r="AE77" s="100">
        <v>1670.3999999999999</v>
      </c>
      <c r="AF77" s="100">
        <v>4</v>
      </c>
      <c r="AG77" s="100">
        <v>1113.5999999999999</v>
      </c>
      <c r="AH77" s="100">
        <v>5</v>
      </c>
      <c r="AI77" s="100">
        <v>1392</v>
      </c>
      <c r="AJ77" s="100">
        <v>6</v>
      </c>
      <c r="AK77" s="100">
        <v>1670.3999999999999</v>
      </c>
      <c r="AL77" s="100">
        <v>4.7462046601314238</v>
      </c>
      <c r="AM77" s="100">
        <v>1321.3433773805882</v>
      </c>
      <c r="AN77" s="100">
        <v>4.3989749644116136</v>
      </c>
      <c r="AO77" s="100">
        <v>1224.6746300921932</v>
      </c>
      <c r="AP77" s="100">
        <v>6</v>
      </c>
      <c r="AQ77" s="100">
        <v>1670.3999999999999</v>
      </c>
      <c r="AR77" s="100">
        <v>3</v>
      </c>
      <c r="AS77" s="100">
        <v>835.19999999999993</v>
      </c>
      <c r="AT77" s="100">
        <v>5</v>
      </c>
      <c r="AU77" s="100">
        <v>1392</v>
      </c>
      <c r="AV77" s="100">
        <v>4</v>
      </c>
      <c r="AW77" s="100">
        <v>1113.5999999999999</v>
      </c>
      <c r="AX77" s="100">
        <v>5</v>
      </c>
      <c r="AY77" s="100">
        <v>1392</v>
      </c>
      <c r="AZ77" s="100">
        <v>4</v>
      </c>
      <c r="BA77" s="100">
        <v>1113.5999999999999</v>
      </c>
      <c r="BB77" s="100">
        <v>3</v>
      </c>
      <c r="BC77" s="100">
        <v>835.19999999999993</v>
      </c>
      <c r="BD77" s="100">
        <v>5</v>
      </c>
      <c r="BE77" s="100">
        <v>1392</v>
      </c>
      <c r="BF77" s="100">
        <v>3.5976269502531824</v>
      </c>
      <c r="BG77" s="100">
        <v>1001.5793429504859</v>
      </c>
      <c r="BH77" s="100">
        <v>3.816961837114953</v>
      </c>
      <c r="BI77" s="100">
        <v>1062.6421754528028</v>
      </c>
      <c r="BJ77" s="100">
        <v>3.1005701487338353</v>
      </c>
      <c r="BK77" s="100">
        <v>863.19872940749963</v>
      </c>
      <c r="BL77" s="100">
        <v>2.8304867699691503</v>
      </c>
      <c r="BM77" s="100">
        <v>788.00751675941137</v>
      </c>
      <c r="BN77" s="100">
        <v>4</v>
      </c>
      <c r="BO77" s="100">
        <v>1113.5999999999999</v>
      </c>
      <c r="BP77" s="100">
        <v>4</v>
      </c>
      <c r="BQ77" s="100">
        <v>1113.5999999999999</v>
      </c>
      <c r="BR77" s="100">
        <v>6</v>
      </c>
      <c r="BS77" s="100">
        <v>1670.3999999999999</v>
      </c>
      <c r="BT77" s="100">
        <v>4.8318438281739571</v>
      </c>
      <c r="BU77" s="100">
        <v>1345.1853217636296</v>
      </c>
      <c r="BV77" s="100">
        <v>3</v>
      </c>
      <c r="BW77" s="100">
        <v>835.19999999999993</v>
      </c>
      <c r="BX77" s="100">
        <v>4</v>
      </c>
      <c r="BY77" s="100">
        <v>1113.5999999999999</v>
      </c>
      <c r="BZ77" s="100">
        <v>4.5176345065531249</v>
      </c>
      <c r="CA77" s="100">
        <v>1257.7094466243898</v>
      </c>
      <c r="CB77" s="100">
        <v>6.169799068036693</v>
      </c>
      <c r="CC77" s="100">
        <v>1717.6720605414152</v>
      </c>
      <c r="CD77" s="100">
        <v>7.0171684407482742</v>
      </c>
      <c r="CE77" s="100">
        <v>1953.5796939043194</v>
      </c>
      <c r="CF77" s="100">
        <v>3.4992377427285365E-4</v>
      </c>
      <c r="CG77" s="100">
        <v>9.7418778757562455E-2</v>
      </c>
      <c r="CH77" s="100">
        <v>4</v>
      </c>
      <c r="CI77" s="100">
        <v>1113.5999999999999</v>
      </c>
      <c r="CJ77" s="100">
        <v>6</v>
      </c>
      <c r="CK77" s="100">
        <v>1670.3999999999999</v>
      </c>
      <c r="CL77" s="100">
        <v>5</v>
      </c>
      <c r="CM77" s="100">
        <v>1392</v>
      </c>
      <c r="CN77" s="100">
        <v>4</v>
      </c>
      <c r="CO77" s="100">
        <v>1113.5999999999999</v>
      </c>
      <c r="CP77" s="100">
        <v>4</v>
      </c>
      <c r="CQ77" s="100">
        <v>1113.5999999999999</v>
      </c>
      <c r="CR77" s="100">
        <v>4</v>
      </c>
      <c r="CS77" s="100">
        <v>1113.5999999999999</v>
      </c>
      <c r="CT77" s="100">
        <v>5</v>
      </c>
      <c r="CU77" s="100">
        <v>1392</v>
      </c>
    </row>
    <row r="78" spans="2:99">
      <c r="C78" s="99" t="s">
        <v>244</v>
      </c>
      <c r="D78" s="100">
        <v>5</v>
      </c>
      <c r="E78" s="100">
        <v>2760</v>
      </c>
      <c r="F78" s="100">
        <v>3</v>
      </c>
      <c r="G78" s="100">
        <v>1656</v>
      </c>
      <c r="H78" s="100">
        <v>6</v>
      </c>
      <c r="I78" s="100">
        <v>3312</v>
      </c>
      <c r="J78" s="100">
        <v>5</v>
      </c>
      <c r="K78" s="100">
        <v>2760</v>
      </c>
      <c r="L78" s="100">
        <v>4</v>
      </c>
      <c r="M78" s="100">
        <v>2208</v>
      </c>
      <c r="N78" s="100">
        <v>5</v>
      </c>
      <c r="O78" s="100">
        <v>2760</v>
      </c>
      <c r="P78" s="100">
        <v>4</v>
      </c>
      <c r="Q78" s="100">
        <v>2208</v>
      </c>
      <c r="R78" s="100">
        <v>4</v>
      </c>
      <c r="S78" s="100">
        <v>2208</v>
      </c>
      <c r="T78" s="100">
        <v>4</v>
      </c>
      <c r="U78" s="100">
        <v>2208</v>
      </c>
      <c r="V78" s="100">
        <v>4</v>
      </c>
      <c r="W78" s="100">
        <v>2208</v>
      </c>
      <c r="X78" s="100">
        <v>5</v>
      </c>
      <c r="Y78" s="100">
        <v>2760</v>
      </c>
      <c r="Z78" s="100">
        <v>4</v>
      </c>
      <c r="AA78" s="100">
        <v>2208</v>
      </c>
      <c r="AB78" s="100">
        <v>6</v>
      </c>
      <c r="AC78" s="100">
        <v>3312</v>
      </c>
      <c r="AD78" s="100">
        <v>5</v>
      </c>
      <c r="AE78" s="100">
        <v>2760</v>
      </c>
      <c r="AF78" s="100">
        <v>4</v>
      </c>
      <c r="AG78" s="100">
        <v>2208</v>
      </c>
      <c r="AH78" s="100">
        <v>6</v>
      </c>
      <c r="AI78" s="100">
        <v>3312</v>
      </c>
      <c r="AJ78" s="100">
        <v>5</v>
      </c>
      <c r="AK78" s="100">
        <v>2760</v>
      </c>
      <c r="AL78" s="100">
        <v>4.6964576827893287</v>
      </c>
      <c r="AM78" s="100">
        <v>2592.4446408997096</v>
      </c>
      <c r="AN78" s="100">
        <v>4.3191799715292909</v>
      </c>
      <c r="AO78" s="100">
        <v>2384.1873442841684</v>
      </c>
      <c r="AP78" s="100">
        <v>6</v>
      </c>
      <c r="AQ78" s="100">
        <v>3312</v>
      </c>
      <c r="AR78" s="100">
        <v>3</v>
      </c>
      <c r="AS78" s="100">
        <v>1656</v>
      </c>
      <c r="AT78" s="100">
        <v>5</v>
      </c>
      <c r="AU78" s="100">
        <v>2760</v>
      </c>
      <c r="AV78" s="100">
        <v>4</v>
      </c>
      <c r="AW78" s="100">
        <v>2208</v>
      </c>
      <c r="AX78" s="100">
        <v>5</v>
      </c>
      <c r="AY78" s="100">
        <v>2760</v>
      </c>
      <c r="AZ78" s="100">
        <v>4</v>
      </c>
      <c r="BA78" s="100">
        <v>2208</v>
      </c>
      <c r="BB78" s="100">
        <v>4</v>
      </c>
      <c r="BC78" s="100">
        <v>2208</v>
      </c>
      <c r="BD78" s="100">
        <v>5</v>
      </c>
      <c r="BE78" s="100">
        <v>2760</v>
      </c>
      <c r="BF78" s="100">
        <v>3.5976269502531824</v>
      </c>
      <c r="BG78" s="100">
        <v>1985.8900765397566</v>
      </c>
      <c r="BH78" s="100">
        <v>3.816961837114953</v>
      </c>
      <c r="BI78" s="100">
        <v>2106.962934087454</v>
      </c>
      <c r="BJ78" s="100">
        <v>2.6249612166929897</v>
      </c>
      <c r="BK78" s="100">
        <v>1448.9785916145304</v>
      </c>
      <c r="BL78" s="100">
        <v>2.8304867699691503</v>
      </c>
      <c r="BM78" s="100">
        <v>1562.4286970229709</v>
      </c>
      <c r="BN78" s="100">
        <v>4</v>
      </c>
      <c r="BO78" s="100">
        <v>2208</v>
      </c>
      <c r="BP78" s="100">
        <v>4</v>
      </c>
      <c r="BQ78" s="100">
        <v>2208</v>
      </c>
      <c r="BR78" s="100">
        <v>6</v>
      </c>
      <c r="BS78" s="100">
        <v>3312</v>
      </c>
      <c r="BT78" s="100">
        <v>3.8654750625391658</v>
      </c>
      <c r="BU78" s="100">
        <v>2133.7422345216196</v>
      </c>
      <c r="BV78" s="100">
        <v>3</v>
      </c>
      <c r="BW78" s="100">
        <v>1656</v>
      </c>
      <c r="BX78" s="100">
        <v>4</v>
      </c>
      <c r="BY78" s="100">
        <v>2208</v>
      </c>
      <c r="BZ78" s="100">
        <v>3.6141076052424999</v>
      </c>
      <c r="CA78" s="100">
        <v>1994.9873980938598</v>
      </c>
      <c r="CB78" s="100">
        <v>5.2883992011743084</v>
      </c>
      <c r="CC78" s="100">
        <v>2919.1963590482183</v>
      </c>
      <c r="CD78" s="100">
        <v>6.0325342108036049</v>
      </c>
      <c r="CE78" s="100">
        <v>3329.9588843635897</v>
      </c>
      <c r="CF78" s="100">
        <v>3.4992377427285365E-4</v>
      </c>
      <c r="CG78" s="100">
        <v>0.19315792339861521</v>
      </c>
      <c r="CH78" s="100">
        <v>4</v>
      </c>
      <c r="CI78" s="100">
        <v>2208</v>
      </c>
      <c r="CJ78" s="100">
        <v>6</v>
      </c>
      <c r="CK78" s="100">
        <v>3312</v>
      </c>
      <c r="CL78" s="100">
        <v>5</v>
      </c>
      <c r="CM78" s="100">
        <v>2760</v>
      </c>
      <c r="CN78" s="100">
        <v>4</v>
      </c>
      <c r="CO78" s="100">
        <v>2208</v>
      </c>
      <c r="CP78" s="100">
        <v>4</v>
      </c>
      <c r="CQ78" s="100">
        <v>2208</v>
      </c>
      <c r="CR78" s="100">
        <v>4</v>
      </c>
      <c r="CS78" s="100">
        <v>2208</v>
      </c>
      <c r="CT78" s="100">
        <v>6</v>
      </c>
      <c r="CU78" s="100">
        <v>3312</v>
      </c>
    </row>
    <row r="79" spans="2:99">
      <c r="C79" s="99" t="s">
        <v>245</v>
      </c>
      <c r="D79" s="100">
        <v>5</v>
      </c>
      <c r="E79" s="100">
        <v>3785.9999999999995</v>
      </c>
      <c r="F79" s="100">
        <v>3</v>
      </c>
      <c r="G79" s="100">
        <v>2271.6</v>
      </c>
      <c r="H79" s="100">
        <v>5</v>
      </c>
      <c r="I79" s="100">
        <v>3785.9999999999995</v>
      </c>
      <c r="J79" s="100">
        <v>5</v>
      </c>
      <c r="K79" s="100">
        <v>3785.9999999999995</v>
      </c>
      <c r="L79" s="100">
        <v>4</v>
      </c>
      <c r="M79" s="100">
        <v>3028.7999999999997</v>
      </c>
      <c r="N79" s="100">
        <v>6</v>
      </c>
      <c r="O79" s="100">
        <v>4543.2</v>
      </c>
      <c r="P79" s="100">
        <v>5</v>
      </c>
      <c r="Q79" s="100">
        <v>3785.9999999999995</v>
      </c>
      <c r="R79" s="100">
        <v>4</v>
      </c>
      <c r="S79" s="100">
        <v>3028.7999999999997</v>
      </c>
      <c r="T79" s="100">
        <v>4</v>
      </c>
      <c r="U79" s="100">
        <v>3028.7999999999997</v>
      </c>
      <c r="V79" s="100">
        <v>4</v>
      </c>
      <c r="W79" s="100">
        <v>3028.7999999999997</v>
      </c>
      <c r="X79" s="100">
        <v>5</v>
      </c>
      <c r="Y79" s="100">
        <v>3785.9999999999995</v>
      </c>
      <c r="Z79" s="100">
        <v>3</v>
      </c>
      <c r="AA79" s="100">
        <v>2271.6</v>
      </c>
      <c r="AB79" s="100">
        <v>6</v>
      </c>
      <c r="AC79" s="100">
        <v>4543.2</v>
      </c>
      <c r="AD79" s="100">
        <v>5</v>
      </c>
      <c r="AE79" s="100">
        <v>3785.9999999999995</v>
      </c>
      <c r="AF79" s="100">
        <v>3</v>
      </c>
      <c r="AG79" s="100">
        <v>2271.6</v>
      </c>
      <c r="AH79" s="100">
        <v>5</v>
      </c>
      <c r="AI79" s="100">
        <v>3785.9999999999995</v>
      </c>
      <c r="AJ79" s="100">
        <v>5</v>
      </c>
      <c r="AK79" s="100">
        <v>3785.9999999999995</v>
      </c>
      <c r="AL79" s="100">
        <v>5.6964576827893287</v>
      </c>
      <c r="AM79" s="100">
        <v>4313.3577574080791</v>
      </c>
      <c r="AN79" s="100">
        <v>4.3989749644116136</v>
      </c>
      <c r="AO79" s="100">
        <v>3330.9038430524733</v>
      </c>
      <c r="AP79" s="100">
        <v>6.2076807999614889</v>
      </c>
      <c r="AQ79" s="100">
        <v>4700.4559017308393</v>
      </c>
      <c r="AR79" s="100">
        <v>3</v>
      </c>
      <c r="AS79" s="100">
        <v>2271.6</v>
      </c>
      <c r="AT79" s="100">
        <v>4</v>
      </c>
      <c r="AU79" s="100">
        <v>3028.7999999999997</v>
      </c>
      <c r="AV79" s="100">
        <v>4</v>
      </c>
      <c r="AW79" s="100">
        <v>3028.7999999999997</v>
      </c>
      <c r="AX79" s="100">
        <v>5</v>
      </c>
      <c r="AY79" s="100">
        <v>3785.9999999999995</v>
      </c>
      <c r="AZ79" s="100">
        <v>4</v>
      </c>
      <c r="BA79" s="100">
        <v>3028.7999999999997</v>
      </c>
      <c r="BB79" s="100">
        <v>3</v>
      </c>
      <c r="BC79" s="100">
        <v>2271.6</v>
      </c>
      <c r="BD79" s="100">
        <v>5</v>
      </c>
      <c r="BE79" s="100">
        <v>3785.9999999999995</v>
      </c>
      <c r="BF79" s="100">
        <v>3.5976269502531824</v>
      </c>
      <c r="BG79" s="100">
        <v>2724.1231267317094</v>
      </c>
      <c r="BH79" s="100">
        <v>3.816961837114953</v>
      </c>
      <c r="BI79" s="100">
        <v>2890.203503063442</v>
      </c>
      <c r="BJ79" s="100">
        <v>3.1005701487338353</v>
      </c>
      <c r="BK79" s="100">
        <v>2347.7517166212597</v>
      </c>
      <c r="BL79" s="100">
        <v>2.1228650774768627</v>
      </c>
      <c r="BM79" s="100">
        <v>1607.4334366654803</v>
      </c>
      <c r="BN79" s="100">
        <v>4</v>
      </c>
      <c r="BO79" s="100">
        <v>3028.7999999999997</v>
      </c>
      <c r="BP79" s="100">
        <v>4</v>
      </c>
      <c r="BQ79" s="100">
        <v>3028.7999999999997</v>
      </c>
      <c r="BR79" s="100">
        <v>6</v>
      </c>
      <c r="BS79" s="100">
        <v>4543.2</v>
      </c>
      <c r="BT79" s="100">
        <v>3.8654750625391658</v>
      </c>
      <c r="BU79" s="100">
        <v>2926.9377173546559</v>
      </c>
      <c r="BV79" s="100">
        <v>3</v>
      </c>
      <c r="BW79" s="100">
        <v>2271.6</v>
      </c>
      <c r="BX79" s="100">
        <v>4</v>
      </c>
      <c r="BY79" s="100">
        <v>3028.7999999999997</v>
      </c>
      <c r="BZ79" s="100">
        <v>3.6141076052424999</v>
      </c>
      <c r="CA79" s="100">
        <v>2736.6022786896206</v>
      </c>
      <c r="CB79" s="100">
        <v>5.2883992011743084</v>
      </c>
      <c r="CC79" s="100">
        <v>4004.3758751291862</v>
      </c>
      <c r="CD79" s="100">
        <v>6.0325342108036049</v>
      </c>
      <c r="CE79" s="100">
        <v>4567.8349044204888</v>
      </c>
      <c r="CF79" s="100">
        <v>3.4992377427285365E-4</v>
      </c>
      <c r="CG79" s="100">
        <v>0.26496228187940474</v>
      </c>
      <c r="CH79" s="100">
        <v>4</v>
      </c>
      <c r="CI79" s="100">
        <v>3028.7999999999997</v>
      </c>
      <c r="CJ79" s="100">
        <v>6</v>
      </c>
      <c r="CK79" s="100">
        <v>4543.2</v>
      </c>
      <c r="CL79" s="100">
        <v>4</v>
      </c>
      <c r="CM79" s="100">
        <v>3028.7999999999997</v>
      </c>
      <c r="CN79" s="100">
        <v>4</v>
      </c>
      <c r="CO79" s="100">
        <v>3028.7999999999997</v>
      </c>
      <c r="CP79" s="100">
        <v>4</v>
      </c>
      <c r="CQ79" s="100">
        <v>3028.7999999999997</v>
      </c>
      <c r="CR79" s="100">
        <v>4</v>
      </c>
      <c r="CS79" s="100">
        <v>3028.7999999999997</v>
      </c>
      <c r="CT79" s="100">
        <v>5</v>
      </c>
      <c r="CU79" s="100">
        <v>3785.9999999999995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3</v>
      </c>
      <c r="G80" s="100">
        <v>2415.6</v>
      </c>
      <c r="H80" s="100">
        <v>5</v>
      </c>
      <c r="I80" s="100">
        <v>4025.9999999999995</v>
      </c>
      <c r="J80" s="100">
        <v>4</v>
      </c>
      <c r="K80" s="100">
        <v>3220.7999999999997</v>
      </c>
      <c r="L80" s="100">
        <v>3</v>
      </c>
      <c r="M80" s="100">
        <v>2415.6</v>
      </c>
      <c r="N80" s="100">
        <v>5</v>
      </c>
      <c r="O80" s="100">
        <v>4025.9999999999995</v>
      </c>
      <c r="P80" s="100">
        <v>5</v>
      </c>
      <c r="Q80" s="100">
        <v>4025.9999999999995</v>
      </c>
      <c r="R80" s="100">
        <v>3</v>
      </c>
      <c r="S80" s="100">
        <v>2415.6</v>
      </c>
      <c r="T80" s="100">
        <v>4</v>
      </c>
      <c r="U80" s="100">
        <v>3220.7999999999997</v>
      </c>
      <c r="V80" s="100">
        <v>4</v>
      </c>
      <c r="W80" s="100">
        <v>3220.7999999999997</v>
      </c>
      <c r="X80" s="100">
        <v>5</v>
      </c>
      <c r="Y80" s="100">
        <v>4025.9999999999995</v>
      </c>
      <c r="Z80" s="100">
        <v>4</v>
      </c>
      <c r="AA80" s="100">
        <v>3220.7999999999997</v>
      </c>
      <c r="AB80" s="100">
        <v>6</v>
      </c>
      <c r="AC80" s="100">
        <v>4831.2</v>
      </c>
      <c r="AD80" s="100">
        <v>6</v>
      </c>
      <c r="AE80" s="100">
        <v>4831.2</v>
      </c>
      <c r="AF80" s="100">
        <v>3</v>
      </c>
      <c r="AG80" s="100">
        <v>2415.6</v>
      </c>
      <c r="AH80" s="100">
        <v>6</v>
      </c>
      <c r="AI80" s="100">
        <v>4831.2</v>
      </c>
      <c r="AJ80" s="100">
        <v>5</v>
      </c>
      <c r="AK80" s="100">
        <v>4025.9999999999995</v>
      </c>
      <c r="AL80" s="100">
        <v>5.6964576827893287</v>
      </c>
      <c r="AM80" s="100">
        <v>4586.7877261819667</v>
      </c>
      <c r="AN80" s="100">
        <v>4.3191799715292909</v>
      </c>
      <c r="AO80" s="100">
        <v>3477.8037130753846</v>
      </c>
      <c r="AP80" s="100">
        <v>6</v>
      </c>
      <c r="AQ80" s="100">
        <v>4831.2</v>
      </c>
      <c r="AR80" s="100">
        <v>3</v>
      </c>
      <c r="AS80" s="100">
        <v>2415.6</v>
      </c>
      <c r="AT80" s="100">
        <v>5</v>
      </c>
      <c r="AU80" s="100">
        <v>4025.9999999999995</v>
      </c>
      <c r="AV80" s="100">
        <v>4</v>
      </c>
      <c r="AW80" s="100">
        <v>3220.7999999999997</v>
      </c>
      <c r="AX80" s="100">
        <v>5</v>
      </c>
      <c r="AY80" s="100">
        <v>4025.9999999999995</v>
      </c>
      <c r="AZ80" s="100">
        <v>3</v>
      </c>
      <c r="BA80" s="100">
        <v>2415.6</v>
      </c>
      <c r="BB80" s="100">
        <v>3</v>
      </c>
      <c r="BC80" s="100">
        <v>2415.6</v>
      </c>
      <c r="BD80" s="100">
        <v>5</v>
      </c>
      <c r="BE80" s="100">
        <v>4025.9999999999995</v>
      </c>
      <c r="BF80" s="100">
        <v>3.5976269502531824</v>
      </c>
      <c r="BG80" s="100">
        <v>2896.8092203438623</v>
      </c>
      <c r="BH80" s="100">
        <v>3.816961837114953</v>
      </c>
      <c r="BI80" s="100">
        <v>3073.4176712449598</v>
      </c>
      <c r="BJ80" s="100">
        <v>2.6249612166929897</v>
      </c>
      <c r="BK80" s="100">
        <v>2113.6187716811951</v>
      </c>
      <c r="BL80" s="100">
        <v>2.1228650774768627</v>
      </c>
      <c r="BM80" s="100">
        <v>1709.3309603843697</v>
      </c>
      <c r="BN80" s="100">
        <v>4</v>
      </c>
      <c r="BO80" s="100">
        <v>3220.7999999999997</v>
      </c>
      <c r="BP80" s="100">
        <v>4</v>
      </c>
      <c r="BQ80" s="100">
        <v>3220.7999999999997</v>
      </c>
      <c r="BR80" s="100">
        <v>5</v>
      </c>
      <c r="BS80" s="100">
        <v>4025.9999999999995</v>
      </c>
      <c r="BT80" s="100">
        <v>3.8654750625391658</v>
      </c>
      <c r="BU80" s="100">
        <v>3112.4805203565361</v>
      </c>
      <c r="BV80" s="100">
        <v>3</v>
      </c>
      <c r="BW80" s="100">
        <v>2415.6</v>
      </c>
      <c r="BX80" s="100">
        <v>4</v>
      </c>
      <c r="BY80" s="100">
        <v>3220.7999999999997</v>
      </c>
      <c r="BZ80" s="100">
        <v>4.5176345065531249</v>
      </c>
      <c r="CA80" s="100">
        <v>3637.5993046765757</v>
      </c>
      <c r="CB80" s="100">
        <v>5.2883992011743084</v>
      </c>
      <c r="CC80" s="100">
        <v>4258.2190367855528</v>
      </c>
      <c r="CD80" s="100">
        <v>6.0325342108036049</v>
      </c>
      <c r="CE80" s="100">
        <v>4857.396546539062</v>
      </c>
      <c r="CF80" s="100">
        <v>3.4992377427285365E-4</v>
      </c>
      <c r="CG80" s="100">
        <v>0.28175862304450172</v>
      </c>
      <c r="CH80" s="100">
        <v>4</v>
      </c>
      <c r="CI80" s="100">
        <v>3220.7999999999997</v>
      </c>
      <c r="CJ80" s="100">
        <v>6</v>
      </c>
      <c r="CK80" s="100">
        <v>4831.2</v>
      </c>
      <c r="CL80" s="100">
        <v>5</v>
      </c>
      <c r="CM80" s="100">
        <v>4025.9999999999995</v>
      </c>
      <c r="CN80" s="100">
        <v>4</v>
      </c>
      <c r="CO80" s="100">
        <v>3220.7999999999997</v>
      </c>
      <c r="CP80" s="100">
        <v>4</v>
      </c>
      <c r="CQ80" s="100">
        <v>3220.7999999999997</v>
      </c>
      <c r="CR80" s="100">
        <v>4</v>
      </c>
      <c r="CS80" s="100">
        <v>3220.7999999999997</v>
      </c>
      <c r="CT80" s="100">
        <v>6</v>
      </c>
      <c r="CU80" s="100">
        <v>4831.2</v>
      </c>
    </row>
    <row r="81" spans="2:99">
      <c r="C81" s="99" t="s">
        <v>247</v>
      </c>
      <c r="D81" s="100">
        <v>5</v>
      </c>
      <c r="E81" s="100">
        <v>3768</v>
      </c>
      <c r="F81" s="100">
        <v>3</v>
      </c>
      <c r="G81" s="100">
        <v>2260.8000000000002</v>
      </c>
      <c r="H81" s="100">
        <v>5</v>
      </c>
      <c r="I81" s="100">
        <v>3768</v>
      </c>
      <c r="J81" s="100">
        <v>5</v>
      </c>
      <c r="K81" s="100">
        <v>3768</v>
      </c>
      <c r="L81" s="100">
        <v>4</v>
      </c>
      <c r="M81" s="100">
        <v>3014.4</v>
      </c>
      <c r="N81" s="100">
        <v>5</v>
      </c>
      <c r="O81" s="100">
        <v>3768</v>
      </c>
      <c r="P81" s="100">
        <v>4</v>
      </c>
      <c r="Q81" s="100">
        <v>3014.4</v>
      </c>
      <c r="R81" s="100">
        <v>4</v>
      </c>
      <c r="S81" s="100">
        <v>3014.4</v>
      </c>
      <c r="T81" s="100">
        <v>4</v>
      </c>
      <c r="U81" s="100">
        <v>3014.4</v>
      </c>
      <c r="V81" s="100">
        <v>5</v>
      </c>
      <c r="W81" s="100">
        <v>3768</v>
      </c>
      <c r="X81" s="100">
        <v>5</v>
      </c>
      <c r="Y81" s="100">
        <v>3768</v>
      </c>
      <c r="Z81" s="100">
        <v>3</v>
      </c>
      <c r="AA81" s="100">
        <v>2260.8000000000002</v>
      </c>
      <c r="AB81" s="100">
        <v>6</v>
      </c>
      <c r="AC81" s="100">
        <v>4521.6000000000004</v>
      </c>
      <c r="AD81" s="100">
        <v>6</v>
      </c>
      <c r="AE81" s="100">
        <v>4521.6000000000004</v>
      </c>
      <c r="AF81" s="100">
        <v>4</v>
      </c>
      <c r="AG81" s="100">
        <v>3014.4</v>
      </c>
      <c r="AH81" s="100">
        <v>5</v>
      </c>
      <c r="AI81" s="100">
        <v>3768</v>
      </c>
      <c r="AJ81" s="100">
        <v>5</v>
      </c>
      <c r="AK81" s="100">
        <v>3768</v>
      </c>
      <c r="AL81" s="100">
        <v>4.6964576827893287</v>
      </c>
      <c r="AM81" s="100">
        <v>3539.2505097500384</v>
      </c>
      <c r="AN81" s="100">
        <v>4.3590774679704527</v>
      </c>
      <c r="AO81" s="100">
        <v>3285.0007798625334</v>
      </c>
      <c r="AP81" s="100">
        <v>6.2076807999614889</v>
      </c>
      <c r="AQ81" s="100">
        <v>4678.108250850978</v>
      </c>
      <c r="AR81" s="100">
        <v>3</v>
      </c>
      <c r="AS81" s="100">
        <v>2260.8000000000002</v>
      </c>
      <c r="AT81" s="100">
        <v>5</v>
      </c>
      <c r="AU81" s="100">
        <v>3768</v>
      </c>
      <c r="AV81" s="100">
        <v>4</v>
      </c>
      <c r="AW81" s="100">
        <v>3014.4</v>
      </c>
      <c r="AX81" s="100">
        <v>5</v>
      </c>
      <c r="AY81" s="100">
        <v>3768</v>
      </c>
      <c r="AZ81" s="100">
        <v>4</v>
      </c>
      <c r="BA81" s="100">
        <v>3014.4</v>
      </c>
      <c r="BB81" s="100">
        <v>3</v>
      </c>
      <c r="BC81" s="100">
        <v>2260.8000000000002</v>
      </c>
      <c r="BD81" s="100">
        <v>5</v>
      </c>
      <c r="BE81" s="100">
        <v>3768</v>
      </c>
      <c r="BF81" s="100">
        <v>3.5976269502531824</v>
      </c>
      <c r="BG81" s="100">
        <v>2711.1716697107981</v>
      </c>
      <c r="BH81" s="100">
        <v>4.7712022963936906</v>
      </c>
      <c r="BI81" s="100">
        <v>3595.5780505622852</v>
      </c>
      <c r="BJ81" s="100">
        <v>2.6025142570121931</v>
      </c>
      <c r="BK81" s="100">
        <v>1961.2547440843887</v>
      </c>
      <c r="BL81" s="100">
        <v>2.8304867699691503</v>
      </c>
      <c r="BM81" s="100">
        <v>2133.0548298487515</v>
      </c>
      <c r="BN81" s="100">
        <v>4</v>
      </c>
      <c r="BO81" s="100">
        <v>3014.4</v>
      </c>
      <c r="BP81" s="100">
        <v>4</v>
      </c>
      <c r="BQ81" s="100">
        <v>3014.4</v>
      </c>
      <c r="BR81" s="100">
        <v>5</v>
      </c>
      <c r="BS81" s="100">
        <v>3768</v>
      </c>
      <c r="BT81" s="100">
        <v>3.8654750625391658</v>
      </c>
      <c r="BU81" s="100">
        <v>2913.0220071295153</v>
      </c>
      <c r="BV81" s="100">
        <v>4</v>
      </c>
      <c r="BW81" s="100">
        <v>3014.4</v>
      </c>
      <c r="BX81" s="100">
        <v>4</v>
      </c>
      <c r="BY81" s="100">
        <v>3014.4</v>
      </c>
      <c r="BZ81" s="100">
        <v>4.5176345065531249</v>
      </c>
      <c r="CA81" s="100">
        <v>3404.4893641384351</v>
      </c>
      <c r="CB81" s="100">
        <v>6.169799068036693</v>
      </c>
      <c r="CC81" s="100">
        <v>4649.5605776724524</v>
      </c>
      <c r="CD81" s="100">
        <v>7.0587447177934708</v>
      </c>
      <c r="CE81" s="100">
        <v>5319.4700193291601</v>
      </c>
      <c r="CF81" s="100">
        <v>2.9160314522737806E-4</v>
      </c>
      <c r="CG81" s="100">
        <v>0.21975213024335211</v>
      </c>
      <c r="CH81" s="100">
        <v>4</v>
      </c>
      <c r="CI81" s="100">
        <v>3014.4</v>
      </c>
      <c r="CJ81" s="100">
        <v>6</v>
      </c>
      <c r="CK81" s="100">
        <v>4521.6000000000004</v>
      </c>
      <c r="CL81" s="100">
        <v>5</v>
      </c>
      <c r="CM81" s="100">
        <v>3768</v>
      </c>
      <c r="CN81" s="100">
        <v>4</v>
      </c>
      <c r="CO81" s="100">
        <v>3014.4</v>
      </c>
      <c r="CP81" s="100">
        <v>5</v>
      </c>
      <c r="CQ81" s="100">
        <v>3768</v>
      </c>
      <c r="CR81" s="100">
        <v>4</v>
      </c>
      <c r="CS81" s="100">
        <v>3014.4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5</v>
      </c>
      <c r="E82" s="100">
        <v>2543.9999999999995</v>
      </c>
      <c r="F82" s="100">
        <v>4</v>
      </c>
      <c r="G82" s="100">
        <v>2035.1999999999996</v>
      </c>
      <c r="H82" s="100">
        <v>5</v>
      </c>
      <c r="I82" s="100">
        <v>2543.9999999999995</v>
      </c>
      <c r="J82" s="100">
        <v>4</v>
      </c>
      <c r="K82" s="100">
        <v>2035.1999999999996</v>
      </c>
      <c r="L82" s="100">
        <v>4</v>
      </c>
      <c r="M82" s="100">
        <v>2035.1999999999996</v>
      </c>
      <c r="N82" s="100">
        <v>6</v>
      </c>
      <c r="O82" s="100">
        <v>3052.7999999999993</v>
      </c>
      <c r="P82" s="100">
        <v>5</v>
      </c>
      <c r="Q82" s="100">
        <v>2543.9999999999995</v>
      </c>
      <c r="R82" s="100">
        <v>3</v>
      </c>
      <c r="S82" s="100">
        <v>1526.3999999999996</v>
      </c>
      <c r="T82" s="100">
        <v>4</v>
      </c>
      <c r="U82" s="100">
        <v>2035.1999999999996</v>
      </c>
      <c r="V82" s="100">
        <v>4</v>
      </c>
      <c r="W82" s="100">
        <v>2035.1999999999996</v>
      </c>
      <c r="X82" s="100">
        <v>4</v>
      </c>
      <c r="Y82" s="100">
        <v>2035.1999999999996</v>
      </c>
      <c r="Z82" s="100">
        <v>3</v>
      </c>
      <c r="AA82" s="100">
        <v>1526.3999999999996</v>
      </c>
      <c r="AB82" s="100">
        <v>6</v>
      </c>
      <c r="AC82" s="100">
        <v>3052.7999999999993</v>
      </c>
      <c r="AD82" s="100">
        <v>5</v>
      </c>
      <c r="AE82" s="100">
        <v>2543.9999999999995</v>
      </c>
      <c r="AF82" s="100">
        <v>4</v>
      </c>
      <c r="AG82" s="100">
        <v>2035.1999999999996</v>
      </c>
      <c r="AH82" s="100">
        <v>6</v>
      </c>
      <c r="AI82" s="100">
        <v>3052.7999999999993</v>
      </c>
      <c r="AJ82" s="100">
        <v>5</v>
      </c>
      <c r="AK82" s="100">
        <v>2543.9999999999995</v>
      </c>
      <c r="AL82" s="100">
        <v>4.6964576827893287</v>
      </c>
      <c r="AM82" s="100">
        <v>2389.5576690032099</v>
      </c>
      <c r="AN82" s="100">
        <v>4.3590774679704527</v>
      </c>
      <c r="AO82" s="100">
        <v>2217.898615703366</v>
      </c>
      <c r="AP82" s="100">
        <v>6</v>
      </c>
      <c r="AQ82" s="100">
        <v>3052.7999999999993</v>
      </c>
      <c r="AR82" s="100">
        <v>3</v>
      </c>
      <c r="AS82" s="100">
        <v>1526.3999999999996</v>
      </c>
      <c r="AT82" s="100">
        <v>4</v>
      </c>
      <c r="AU82" s="100">
        <v>2035.1999999999996</v>
      </c>
      <c r="AV82" s="100">
        <v>4</v>
      </c>
      <c r="AW82" s="100">
        <v>2035.1999999999996</v>
      </c>
      <c r="AX82" s="100">
        <v>5.6455895360086412</v>
      </c>
      <c r="AY82" s="100">
        <v>2872.4759559211961</v>
      </c>
      <c r="AZ82" s="100">
        <v>4</v>
      </c>
      <c r="BA82" s="100">
        <v>2035.1999999999996</v>
      </c>
      <c r="BB82" s="100">
        <v>4</v>
      </c>
      <c r="BC82" s="100">
        <v>2035.1999999999996</v>
      </c>
      <c r="BD82" s="100">
        <v>5</v>
      </c>
      <c r="BE82" s="100">
        <v>2543.9999999999995</v>
      </c>
      <c r="BF82" s="100">
        <v>3.5976269502531824</v>
      </c>
      <c r="BG82" s="100">
        <v>1830.4725922888188</v>
      </c>
      <c r="BH82" s="100">
        <v>3.816961837114953</v>
      </c>
      <c r="BI82" s="100">
        <v>1942.0701827240878</v>
      </c>
      <c r="BJ82" s="100">
        <v>2.6025142570121931</v>
      </c>
      <c r="BK82" s="100">
        <v>1324.1592539678036</v>
      </c>
      <c r="BL82" s="100">
        <v>2.8304867699691503</v>
      </c>
      <c r="BM82" s="100">
        <v>1440.1516685603033</v>
      </c>
      <c r="BN82" s="100">
        <v>4</v>
      </c>
      <c r="BO82" s="100">
        <v>2035.1999999999996</v>
      </c>
      <c r="BP82" s="100">
        <v>4</v>
      </c>
      <c r="BQ82" s="100">
        <v>2035.1999999999996</v>
      </c>
      <c r="BR82" s="100">
        <v>6</v>
      </c>
      <c r="BS82" s="100">
        <v>3052.7999999999993</v>
      </c>
      <c r="BT82" s="100">
        <v>3.8654750625391658</v>
      </c>
      <c r="BU82" s="100">
        <v>1966.7537118199273</v>
      </c>
      <c r="BV82" s="100">
        <v>3</v>
      </c>
      <c r="BW82" s="100">
        <v>1526.3999999999996</v>
      </c>
      <c r="BX82" s="100">
        <v>4</v>
      </c>
      <c r="BY82" s="100">
        <v>2035.1999999999996</v>
      </c>
      <c r="BZ82" s="100">
        <v>4.5176345065531249</v>
      </c>
      <c r="CA82" s="100">
        <v>2298.5724369342297</v>
      </c>
      <c r="CB82" s="100">
        <v>5.2883992011743084</v>
      </c>
      <c r="CC82" s="100">
        <v>2690.7375135574875</v>
      </c>
      <c r="CD82" s="100">
        <v>6.0325342108036049</v>
      </c>
      <c r="CE82" s="100">
        <v>3069.3534064568735</v>
      </c>
      <c r="CF82" s="100">
        <v>3.4992377427285365E-4</v>
      </c>
      <c r="CG82" s="100">
        <v>0.1780412163500279</v>
      </c>
      <c r="CH82" s="100">
        <v>3</v>
      </c>
      <c r="CI82" s="100">
        <v>1526.3999999999996</v>
      </c>
      <c r="CJ82" s="100">
        <v>6</v>
      </c>
      <c r="CK82" s="100">
        <v>3052.7999999999993</v>
      </c>
      <c r="CL82" s="100">
        <v>5</v>
      </c>
      <c r="CM82" s="100">
        <v>2543.9999999999995</v>
      </c>
      <c r="CN82" s="100">
        <v>4</v>
      </c>
      <c r="CO82" s="100">
        <v>2035.1999999999996</v>
      </c>
      <c r="CP82" s="100">
        <v>4</v>
      </c>
      <c r="CQ82" s="100">
        <v>2035.1999999999996</v>
      </c>
      <c r="CR82" s="100">
        <v>4</v>
      </c>
      <c r="CS82" s="100">
        <v>2035.1999999999996</v>
      </c>
      <c r="CT82" s="100">
        <v>6</v>
      </c>
      <c r="CU82" s="100">
        <v>3052.7999999999993</v>
      </c>
    </row>
    <row r="83" spans="2:99">
      <c r="C83" s="99" t="s">
        <v>249</v>
      </c>
      <c r="D83" s="100">
        <v>5</v>
      </c>
      <c r="E83" s="100">
        <v>4302</v>
      </c>
      <c r="F83" s="100">
        <v>3</v>
      </c>
      <c r="G83" s="100">
        <v>2581.1999999999998</v>
      </c>
      <c r="H83" s="100">
        <v>5</v>
      </c>
      <c r="I83" s="100">
        <v>4302</v>
      </c>
      <c r="J83" s="100">
        <v>4</v>
      </c>
      <c r="K83" s="100">
        <v>3441.6</v>
      </c>
      <c r="L83" s="100">
        <v>4</v>
      </c>
      <c r="M83" s="100">
        <v>3441.6</v>
      </c>
      <c r="N83" s="100">
        <v>5</v>
      </c>
      <c r="O83" s="100">
        <v>4302</v>
      </c>
      <c r="P83" s="100">
        <v>5</v>
      </c>
      <c r="Q83" s="100">
        <v>4302</v>
      </c>
      <c r="R83" s="100">
        <v>3</v>
      </c>
      <c r="S83" s="100">
        <v>2581.1999999999998</v>
      </c>
      <c r="T83" s="100">
        <v>4</v>
      </c>
      <c r="U83" s="100">
        <v>3441.6</v>
      </c>
      <c r="V83" s="100">
        <v>4</v>
      </c>
      <c r="W83" s="100">
        <v>3441.6</v>
      </c>
      <c r="X83" s="100">
        <v>4</v>
      </c>
      <c r="Y83" s="100">
        <v>3441.6</v>
      </c>
      <c r="Z83" s="100">
        <v>3</v>
      </c>
      <c r="AA83" s="100">
        <v>2581.1999999999998</v>
      </c>
      <c r="AB83" s="100">
        <v>6</v>
      </c>
      <c r="AC83" s="100">
        <v>5162.3999999999996</v>
      </c>
      <c r="AD83" s="100">
        <v>6</v>
      </c>
      <c r="AE83" s="100">
        <v>5162.3999999999996</v>
      </c>
      <c r="AF83" s="100">
        <v>3</v>
      </c>
      <c r="AG83" s="100">
        <v>2581.1999999999998</v>
      </c>
      <c r="AH83" s="100">
        <v>6</v>
      </c>
      <c r="AI83" s="100">
        <v>5162.3999999999996</v>
      </c>
      <c r="AJ83" s="100">
        <v>5</v>
      </c>
      <c r="AK83" s="100">
        <v>4302</v>
      </c>
      <c r="AL83" s="100">
        <v>5.6467107054472336</v>
      </c>
      <c r="AM83" s="100">
        <v>4858.4298909667996</v>
      </c>
      <c r="AN83" s="100">
        <v>4.3590774679704527</v>
      </c>
      <c r="AO83" s="100">
        <v>3750.5502534417774</v>
      </c>
      <c r="AP83" s="100">
        <v>5</v>
      </c>
      <c r="AQ83" s="100">
        <v>4302</v>
      </c>
      <c r="AR83" s="100">
        <v>3</v>
      </c>
      <c r="AS83" s="100">
        <v>2581.1999999999998</v>
      </c>
      <c r="AT83" s="100">
        <v>5</v>
      </c>
      <c r="AU83" s="100">
        <v>4302</v>
      </c>
      <c r="AV83" s="100">
        <v>4</v>
      </c>
      <c r="AW83" s="100">
        <v>3441.6</v>
      </c>
      <c r="AX83" s="100">
        <v>4</v>
      </c>
      <c r="AY83" s="100">
        <v>3441.6</v>
      </c>
      <c r="AZ83" s="100">
        <v>4</v>
      </c>
      <c r="BA83" s="100">
        <v>3441.6</v>
      </c>
      <c r="BB83" s="100">
        <v>3</v>
      </c>
      <c r="BC83" s="100">
        <v>2581.1999999999998</v>
      </c>
      <c r="BD83" s="100">
        <v>5</v>
      </c>
      <c r="BE83" s="100">
        <v>4302</v>
      </c>
      <c r="BF83" s="100">
        <v>3.5976269502531824</v>
      </c>
      <c r="BG83" s="100">
        <v>3095.3982279978381</v>
      </c>
      <c r="BH83" s="100">
        <v>3.816961837114953</v>
      </c>
      <c r="BI83" s="100">
        <v>3284.1139646537054</v>
      </c>
      <c r="BJ83" s="100">
        <v>2.6025142570121931</v>
      </c>
      <c r="BK83" s="100">
        <v>2239.203266733291</v>
      </c>
      <c r="BL83" s="100">
        <v>2.8304867699691503</v>
      </c>
      <c r="BM83" s="100">
        <v>2435.3508168814569</v>
      </c>
      <c r="BN83" s="100">
        <v>4</v>
      </c>
      <c r="BO83" s="100">
        <v>3441.6</v>
      </c>
      <c r="BP83" s="100">
        <v>4</v>
      </c>
      <c r="BQ83" s="100">
        <v>3441.6</v>
      </c>
      <c r="BR83" s="100">
        <v>6</v>
      </c>
      <c r="BS83" s="100">
        <v>5162.3999999999996</v>
      </c>
      <c r="BT83" s="100">
        <v>3.8654750625391658</v>
      </c>
      <c r="BU83" s="100">
        <v>3325.854743808698</v>
      </c>
      <c r="BV83" s="100">
        <v>3</v>
      </c>
      <c r="BW83" s="100">
        <v>2581.1999999999998</v>
      </c>
      <c r="BX83" s="100">
        <v>4</v>
      </c>
      <c r="BY83" s="100">
        <v>3441.6</v>
      </c>
      <c r="BZ83" s="100">
        <v>4.5176345065531249</v>
      </c>
      <c r="CA83" s="100">
        <v>3886.9727294383088</v>
      </c>
      <c r="CB83" s="100">
        <v>5.2883992011743084</v>
      </c>
      <c r="CC83" s="100">
        <v>4550.1386726903747</v>
      </c>
      <c r="CD83" s="100">
        <v>6.0741104878488015</v>
      </c>
      <c r="CE83" s="100">
        <v>5226.1646637451086</v>
      </c>
      <c r="CF83" s="100">
        <v>2.9160314522737806E-4</v>
      </c>
      <c r="CG83" s="100">
        <v>0.25089534615363607</v>
      </c>
      <c r="CH83" s="100">
        <v>4</v>
      </c>
      <c r="CI83" s="100">
        <v>3441.6</v>
      </c>
      <c r="CJ83" s="100">
        <v>6</v>
      </c>
      <c r="CK83" s="100">
        <v>5162.3999999999996</v>
      </c>
      <c r="CL83" s="100">
        <v>5</v>
      </c>
      <c r="CM83" s="100">
        <v>4302</v>
      </c>
      <c r="CN83" s="100">
        <v>4</v>
      </c>
      <c r="CO83" s="100">
        <v>3441.6</v>
      </c>
      <c r="CP83" s="100">
        <v>4</v>
      </c>
      <c r="CQ83" s="100">
        <v>3441.6</v>
      </c>
      <c r="CR83" s="100">
        <v>4</v>
      </c>
      <c r="CS83" s="100">
        <v>3441.6</v>
      </c>
      <c r="CT83" s="100">
        <v>6</v>
      </c>
      <c r="CU83" s="100">
        <v>5162.3999999999996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3</v>
      </c>
      <c r="G84" s="100">
        <v>2343.6</v>
      </c>
      <c r="H84" s="100">
        <v>5</v>
      </c>
      <c r="I84" s="100">
        <v>3905.9999999999995</v>
      </c>
      <c r="J84" s="100">
        <v>4</v>
      </c>
      <c r="K84" s="100">
        <v>3124.7999999999997</v>
      </c>
      <c r="L84" s="100">
        <v>4</v>
      </c>
      <c r="M84" s="100">
        <v>3124.7999999999997</v>
      </c>
      <c r="N84" s="100">
        <v>5</v>
      </c>
      <c r="O84" s="100">
        <v>3905.9999999999995</v>
      </c>
      <c r="P84" s="100">
        <v>5</v>
      </c>
      <c r="Q84" s="100">
        <v>3905.9999999999995</v>
      </c>
      <c r="R84" s="100">
        <v>3</v>
      </c>
      <c r="S84" s="100">
        <v>2343.6</v>
      </c>
      <c r="T84" s="100">
        <v>4</v>
      </c>
      <c r="U84" s="100">
        <v>3124.7999999999997</v>
      </c>
      <c r="V84" s="100">
        <v>4</v>
      </c>
      <c r="W84" s="100">
        <v>3124.7999999999997</v>
      </c>
      <c r="X84" s="100">
        <v>5</v>
      </c>
      <c r="Y84" s="100">
        <v>3905.9999999999995</v>
      </c>
      <c r="Z84" s="100">
        <v>4</v>
      </c>
      <c r="AA84" s="100">
        <v>3124.7999999999997</v>
      </c>
      <c r="AB84" s="100">
        <v>6</v>
      </c>
      <c r="AC84" s="100">
        <v>4687.2</v>
      </c>
      <c r="AD84" s="100">
        <v>6</v>
      </c>
      <c r="AE84" s="100">
        <v>4687.2</v>
      </c>
      <c r="AF84" s="100">
        <v>3</v>
      </c>
      <c r="AG84" s="100">
        <v>2343.6</v>
      </c>
      <c r="AH84" s="100">
        <v>6</v>
      </c>
      <c r="AI84" s="100">
        <v>4687.2</v>
      </c>
      <c r="AJ84" s="100">
        <v>5</v>
      </c>
      <c r="AK84" s="100">
        <v>3905.9999999999995</v>
      </c>
      <c r="AL84" s="100">
        <v>5.6964576827893287</v>
      </c>
      <c r="AM84" s="100">
        <v>4450.0727417950229</v>
      </c>
      <c r="AN84" s="100">
        <v>4.3191799715292909</v>
      </c>
      <c r="AO84" s="100">
        <v>3374.1433937586817</v>
      </c>
      <c r="AP84" s="100">
        <v>6</v>
      </c>
      <c r="AQ84" s="100">
        <v>4687.2</v>
      </c>
      <c r="AR84" s="100">
        <v>3</v>
      </c>
      <c r="AS84" s="100">
        <v>2343.6</v>
      </c>
      <c r="AT84" s="100">
        <v>5</v>
      </c>
      <c r="AU84" s="100">
        <v>3905.9999999999995</v>
      </c>
      <c r="AV84" s="100">
        <v>4</v>
      </c>
      <c r="AW84" s="100">
        <v>3124.7999999999997</v>
      </c>
      <c r="AX84" s="100">
        <v>5</v>
      </c>
      <c r="AY84" s="100">
        <v>3905.9999999999995</v>
      </c>
      <c r="AZ84" s="100">
        <v>3</v>
      </c>
      <c r="BA84" s="100">
        <v>2343.6</v>
      </c>
      <c r="BB84" s="100">
        <v>4</v>
      </c>
      <c r="BC84" s="100">
        <v>3124.7999999999997</v>
      </c>
      <c r="BD84" s="100">
        <v>5</v>
      </c>
      <c r="BE84" s="100">
        <v>3905.9999999999995</v>
      </c>
      <c r="BF84" s="100">
        <v>3.5976269502531824</v>
      </c>
      <c r="BG84" s="100">
        <v>2810.4661735377858</v>
      </c>
      <c r="BH84" s="100">
        <v>3.816961837114953</v>
      </c>
      <c r="BI84" s="100">
        <v>2981.8105871542011</v>
      </c>
      <c r="BJ84" s="100">
        <v>2.6025142570121931</v>
      </c>
      <c r="BK84" s="100">
        <v>2033.084137577925</v>
      </c>
      <c r="BL84" s="100">
        <v>2.8304867699691503</v>
      </c>
      <c r="BM84" s="100">
        <v>2211.1762646999</v>
      </c>
      <c r="BN84" s="100">
        <v>4</v>
      </c>
      <c r="BO84" s="100">
        <v>3124.7999999999997</v>
      </c>
      <c r="BP84" s="100">
        <v>4</v>
      </c>
      <c r="BQ84" s="100">
        <v>3124.7999999999997</v>
      </c>
      <c r="BR84" s="100">
        <v>6</v>
      </c>
      <c r="BS84" s="100">
        <v>4687.2</v>
      </c>
      <c r="BT84" s="100">
        <v>3.8654750625391658</v>
      </c>
      <c r="BU84" s="100">
        <v>3019.709118855596</v>
      </c>
      <c r="BV84" s="100">
        <v>3</v>
      </c>
      <c r="BW84" s="100">
        <v>2343.6</v>
      </c>
      <c r="BX84" s="100">
        <v>4</v>
      </c>
      <c r="BY84" s="100">
        <v>3124.7999999999997</v>
      </c>
      <c r="BZ84" s="100">
        <v>4.5176345065531249</v>
      </c>
      <c r="CA84" s="100">
        <v>3529.1760765193008</v>
      </c>
      <c r="CB84" s="100">
        <v>5.2883992011743084</v>
      </c>
      <c r="CC84" s="100">
        <v>4131.2974559573695</v>
      </c>
      <c r="CD84" s="100">
        <v>6.0325342108036049</v>
      </c>
      <c r="CE84" s="100">
        <v>4712.6157254797754</v>
      </c>
      <c r="CF84" s="100">
        <v>3.4992377427285365E-4</v>
      </c>
      <c r="CG84" s="100">
        <v>0.27336045246195323</v>
      </c>
      <c r="CH84" s="100">
        <v>4</v>
      </c>
      <c r="CI84" s="100">
        <v>3124.7999999999997</v>
      </c>
      <c r="CJ84" s="100">
        <v>6</v>
      </c>
      <c r="CK84" s="100">
        <v>4687.2</v>
      </c>
      <c r="CL84" s="100">
        <v>5</v>
      </c>
      <c r="CM84" s="100">
        <v>3905.9999999999995</v>
      </c>
      <c r="CN84" s="100">
        <v>4</v>
      </c>
      <c r="CO84" s="100">
        <v>3124.7999999999997</v>
      </c>
      <c r="CP84" s="100">
        <v>4</v>
      </c>
      <c r="CQ84" s="100">
        <v>3124.7999999999997</v>
      </c>
      <c r="CR84" s="100">
        <v>4</v>
      </c>
      <c r="CS84" s="100">
        <v>3124.7999999999997</v>
      </c>
      <c r="CT84" s="100">
        <v>5</v>
      </c>
      <c r="CU84" s="100">
        <v>3905.9999999999995</v>
      </c>
    </row>
    <row r="85" spans="2:99">
      <c r="C85" s="99" t="s">
        <v>251</v>
      </c>
      <c r="D85" s="100">
        <v>6</v>
      </c>
      <c r="E85" s="100">
        <v>900</v>
      </c>
      <c r="F85" s="100">
        <v>3</v>
      </c>
      <c r="G85" s="100">
        <v>450</v>
      </c>
      <c r="H85" s="100">
        <v>6</v>
      </c>
      <c r="I85" s="100">
        <v>900</v>
      </c>
      <c r="J85" s="100">
        <v>5</v>
      </c>
      <c r="K85" s="100">
        <v>750</v>
      </c>
      <c r="L85" s="100">
        <v>4</v>
      </c>
      <c r="M85" s="100">
        <v>600</v>
      </c>
      <c r="N85" s="100">
        <v>6</v>
      </c>
      <c r="O85" s="100">
        <v>900</v>
      </c>
      <c r="P85" s="100">
        <v>4</v>
      </c>
      <c r="Q85" s="100">
        <v>600</v>
      </c>
      <c r="R85" s="100">
        <v>4</v>
      </c>
      <c r="S85" s="100">
        <v>600</v>
      </c>
      <c r="T85" s="100">
        <v>4</v>
      </c>
      <c r="U85" s="100">
        <v>600</v>
      </c>
      <c r="V85" s="100">
        <v>5</v>
      </c>
      <c r="W85" s="100">
        <v>750</v>
      </c>
      <c r="X85" s="100">
        <v>4</v>
      </c>
      <c r="Y85" s="100">
        <v>600</v>
      </c>
      <c r="Z85" s="100">
        <v>3</v>
      </c>
      <c r="AA85" s="100">
        <v>450</v>
      </c>
      <c r="AB85" s="100">
        <v>7</v>
      </c>
      <c r="AC85" s="100">
        <v>1050</v>
      </c>
      <c r="AD85" s="100">
        <v>5</v>
      </c>
      <c r="AE85" s="100">
        <v>750</v>
      </c>
      <c r="AF85" s="100">
        <v>3</v>
      </c>
      <c r="AG85" s="100">
        <v>450</v>
      </c>
      <c r="AH85" s="100">
        <v>5</v>
      </c>
      <c r="AI85" s="100">
        <v>750</v>
      </c>
      <c r="AJ85" s="100">
        <v>5</v>
      </c>
      <c r="AK85" s="100">
        <v>750</v>
      </c>
      <c r="AL85" s="100">
        <v>4.7462046601314238</v>
      </c>
      <c r="AM85" s="100">
        <v>711.93069901971353</v>
      </c>
      <c r="AN85" s="100">
        <v>4.3590774679704527</v>
      </c>
      <c r="AO85" s="100">
        <v>653.86162019556787</v>
      </c>
      <c r="AP85" s="100">
        <v>7</v>
      </c>
      <c r="AQ85" s="100">
        <v>1050</v>
      </c>
      <c r="AR85" s="100">
        <v>4</v>
      </c>
      <c r="AS85" s="100">
        <v>600</v>
      </c>
      <c r="AT85" s="100">
        <v>5</v>
      </c>
      <c r="AU85" s="100">
        <v>750</v>
      </c>
      <c r="AV85" s="100">
        <v>4</v>
      </c>
      <c r="AW85" s="100">
        <v>600</v>
      </c>
      <c r="AX85" s="100">
        <v>6</v>
      </c>
      <c r="AY85" s="100">
        <v>900</v>
      </c>
      <c r="AZ85" s="100">
        <v>4</v>
      </c>
      <c r="BA85" s="100">
        <v>600</v>
      </c>
      <c r="BB85" s="100">
        <v>3</v>
      </c>
      <c r="BC85" s="100">
        <v>450</v>
      </c>
      <c r="BD85" s="100">
        <v>5</v>
      </c>
      <c r="BE85" s="100">
        <v>750</v>
      </c>
      <c r="BF85" s="100">
        <v>3.5976269502531824</v>
      </c>
      <c r="BG85" s="100">
        <v>539.64404253797738</v>
      </c>
      <c r="BH85" s="100">
        <v>4.7712022963936906</v>
      </c>
      <c r="BI85" s="100">
        <v>715.68034445905357</v>
      </c>
      <c r="BJ85" s="100">
        <v>2.6249612166929897</v>
      </c>
      <c r="BK85" s="100">
        <v>393.74418250394842</v>
      </c>
      <c r="BL85" s="100">
        <v>2.8304867699691503</v>
      </c>
      <c r="BM85" s="100">
        <v>424.57301549537254</v>
      </c>
      <c r="BN85" s="100">
        <v>4</v>
      </c>
      <c r="BO85" s="100">
        <v>600</v>
      </c>
      <c r="BP85" s="100">
        <v>4</v>
      </c>
      <c r="BQ85" s="100">
        <v>600</v>
      </c>
      <c r="BR85" s="100">
        <v>6</v>
      </c>
      <c r="BS85" s="100">
        <v>900</v>
      </c>
      <c r="BT85" s="100">
        <v>4.8318438281739571</v>
      </c>
      <c r="BU85" s="100">
        <v>724.77657422609354</v>
      </c>
      <c r="BV85" s="100">
        <v>4</v>
      </c>
      <c r="BW85" s="100">
        <v>600</v>
      </c>
      <c r="BX85" s="100">
        <v>4</v>
      </c>
      <c r="BY85" s="100">
        <v>600</v>
      </c>
      <c r="BZ85" s="100">
        <v>3.6141076052424999</v>
      </c>
      <c r="CA85" s="100">
        <v>542.11614078637501</v>
      </c>
      <c r="CB85" s="100">
        <v>6.169799068036693</v>
      </c>
      <c r="CC85" s="100">
        <v>925.46986020550389</v>
      </c>
      <c r="CD85" s="100">
        <v>7.0171684407482742</v>
      </c>
      <c r="CE85" s="100">
        <v>1052.575266112241</v>
      </c>
      <c r="CF85" s="100">
        <v>3.4992377427285365E-4</v>
      </c>
      <c r="CG85" s="100">
        <v>5.2488566140928047E-2</v>
      </c>
      <c r="CH85" s="100">
        <v>4</v>
      </c>
      <c r="CI85" s="100">
        <v>600</v>
      </c>
      <c r="CJ85" s="100">
        <v>6</v>
      </c>
      <c r="CK85" s="100">
        <v>900</v>
      </c>
      <c r="CL85" s="100">
        <v>5</v>
      </c>
      <c r="CM85" s="100">
        <v>750</v>
      </c>
      <c r="CN85" s="100">
        <v>5</v>
      </c>
      <c r="CO85" s="100">
        <v>750</v>
      </c>
      <c r="CP85" s="100">
        <v>4</v>
      </c>
      <c r="CQ85" s="100">
        <v>600</v>
      </c>
      <c r="CR85" s="100">
        <v>4</v>
      </c>
      <c r="CS85" s="100">
        <v>600</v>
      </c>
      <c r="CT85" s="100">
        <v>6</v>
      </c>
      <c r="CU85" s="100">
        <v>900</v>
      </c>
    </row>
    <row r="86" spans="2:99">
      <c r="C86" s="99" t="s">
        <v>252</v>
      </c>
      <c r="D86" s="100">
        <v>5</v>
      </c>
      <c r="E86" s="100">
        <v>2700</v>
      </c>
      <c r="F86" s="100">
        <v>3</v>
      </c>
      <c r="G86" s="100">
        <v>1620</v>
      </c>
      <c r="H86" s="100">
        <v>6</v>
      </c>
      <c r="I86" s="100">
        <v>3240</v>
      </c>
      <c r="J86" s="100">
        <v>5</v>
      </c>
      <c r="K86" s="100">
        <v>2700</v>
      </c>
      <c r="L86" s="100">
        <v>3</v>
      </c>
      <c r="M86" s="100">
        <v>1620</v>
      </c>
      <c r="N86" s="100">
        <v>6</v>
      </c>
      <c r="O86" s="100">
        <v>3240</v>
      </c>
      <c r="P86" s="100">
        <v>4</v>
      </c>
      <c r="Q86" s="100">
        <v>2160</v>
      </c>
      <c r="R86" s="100">
        <v>4</v>
      </c>
      <c r="S86" s="100">
        <v>2160</v>
      </c>
      <c r="T86" s="100">
        <v>4</v>
      </c>
      <c r="U86" s="100">
        <v>2160</v>
      </c>
      <c r="V86" s="100">
        <v>4</v>
      </c>
      <c r="W86" s="100">
        <v>2160</v>
      </c>
      <c r="X86" s="100">
        <v>5</v>
      </c>
      <c r="Y86" s="100">
        <v>2700</v>
      </c>
      <c r="Z86" s="100">
        <v>3</v>
      </c>
      <c r="AA86" s="100">
        <v>1620</v>
      </c>
      <c r="AB86" s="100">
        <v>6</v>
      </c>
      <c r="AC86" s="100">
        <v>3240</v>
      </c>
      <c r="AD86" s="100">
        <v>6</v>
      </c>
      <c r="AE86" s="100">
        <v>3240</v>
      </c>
      <c r="AF86" s="100">
        <v>3</v>
      </c>
      <c r="AG86" s="100">
        <v>1620</v>
      </c>
      <c r="AH86" s="100">
        <v>6</v>
      </c>
      <c r="AI86" s="100">
        <v>3240</v>
      </c>
      <c r="AJ86" s="100">
        <v>5</v>
      </c>
      <c r="AK86" s="100">
        <v>2700</v>
      </c>
      <c r="AL86" s="100">
        <v>4.6467107054472336</v>
      </c>
      <c r="AM86" s="100">
        <v>2509.223780941506</v>
      </c>
      <c r="AN86" s="100">
        <v>4.3590774679704527</v>
      </c>
      <c r="AO86" s="100">
        <v>2353.9018327040444</v>
      </c>
      <c r="AP86" s="100">
        <v>6</v>
      </c>
      <c r="AQ86" s="100">
        <v>3240</v>
      </c>
      <c r="AR86" s="100">
        <v>4</v>
      </c>
      <c r="AS86" s="100">
        <v>2160</v>
      </c>
      <c r="AT86" s="100">
        <v>5</v>
      </c>
      <c r="AU86" s="100">
        <v>2700</v>
      </c>
      <c r="AV86" s="100">
        <v>4</v>
      </c>
      <c r="AW86" s="100">
        <v>2160</v>
      </c>
      <c r="AX86" s="100">
        <v>5</v>
      </c>
      <c r="AY86" s="100">
        <v>2700</v>
      </c>
      <c r="AZ86" s="100">
        <v>4</v>
      </c>
      <c r="BA86" s="100">
        <v>2160</v>
      </c>
      <c r="BB86" s="100">
        <v>3</v>
      </c>
      <c r="BC86" s="100">
        <v>1620</v>
      </c>
      <c r="BD86" s="100">
        <v>5</v>
      </c>
      <c r="BE86" s="100">
        <v>2700</v>
      </c>
      <c r="BF86" s="100">
        <v>3.5976269502531824</v>
      </c>
      <c r="BG86" s="100">
        <v>1942.7185531367186</v>
      </c>
      <c r="BH86" s="100">
        <v>3.816961837114953</v>
      </c>
      <c r="BI86" s="100">
        <v>2061.1593920420746</v>
      </c>
      <c r="BJ86" s="100">
        <v>2.6025142570121931</v>
      </c>
      <c r="BK86" s="100">
        <v>1405.3576987865843</v>
      </c>
      <c r="BL86" s="100">
        <v>2.1228650774768627</v>
      </c>
      <c r="BM86" s="100">
        <v>1146.3471418375059</v>
      </c>
      <c r="BN86" s="100">
        <v>4</v>
      </c>
      <c r="BO86" s="100">
        <v>2160</v>
      </c>
      <c r="BP86" s="100">
        <v>4</v>
      </c>
      <c r="BQ86" s="100">
        <v>2160</v>
      </c>
      <c r="BR86" s="100">
        <v>5</v>
      </c>
      <c r="BS86" s="100">
        <v>2700</v>
      </c>
      <c r="BT86" s="100">
        <v>3.8654750625391658</v>
      </c>
      <c r="BU86" s="100">
        <v>2087.3565337711498</v>
      </c>
      <c r="BV86" s="100">
        <v>3</v>
      </c>
      <c r="BW86" s="100">
        <v>1620</v>
      </c>
      <c r="BX86" s="100">
        <v>4</v>
      </c>
      <c r="BY86" s="100">
        <v>2160</v>
      </c>
      <c r="BZ86" s="100">
        <v>4.5176345065531249</v>
      </c>
      <c r="CA86" s="100">
        <v>2439.5226335386874</v>
      </c>
      <c r="CB86" s="100">
        <v>5.2883992011743084</v>
      </c>
      <c r="CC86" s="100">
        <v>2855.7355686341266</v>
      </c>
      <c r="CD86" s="100">
        <v>6.0741104878488015</v>
      </c>
      <c r="CE86" s="100">
        <v>3280.0196634383528</v>
      </c>
      <c r="CF86" s="100">
        <v>3.4992377427285365E-4</v>
      </c>
      <c r="CG86" s="100">
        <v>0.18895883810734096</v>
      </c>
      <c r="CH86" s="100">
        <v>4</v>
      </c>
      <c r="CI86" s="100">
        <v>2160</v>
      </c>
      <c r="CJ86" s="100">
        <v>6</v>
      </c>
      <c r="CK86" s="100">
        <v>3240</v>
      </c>
      <c r="CL86" s="100">
        <v>5</v>
      </c>
      <c r="CM86" s="100">
        <v>2700</v>
      </c>
      <c r="CN86" s="100">
        <v>4</v>
      </c>
      <c r="CO86" s="100">
        <v>2160</v>
      </c>
      <c r="CP86" s="100">
        <v>4</v>
      </c>
      <c r="CQ86" s="100">
        <v>2160</v>
      </c>
      <c r="CR86" s="100">
        <v>4</v>
      </c>
      <c r="CS86" s="100">
        <v>2160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4.2120397215456498</v>
      </c>
      <c r="E87" s="100">
        <v>4523.7306609400275</v>
      </c>
      <c r="F87" s="100">
        <v>3.0549604657630134</v>
      </c>
      <c r="G87" s="100">
        <v>3281.0275402294765</v>
      </c>
      <c r="H87" s="100">
        <v>3.2116754636212534</v>
      </c>
      <c r="I87" s="100">
        <v>3449.339447929226</v>
      </c>
      <c r="J87" s="100">
        <v>3.147095953007613</v>
      </c>
      <c r="K87" s="100">
        <v>3379.9810535301763</v>
      </c>
      <c r="L87" s="100">
        <v>1.7615288757103018</v>
      </c>
      <c r="M87" s="100">
        <v>1891.8820125128641</v>
      </c>
      <c r="N87" s="100">
        <v>4.2504811914731162</v>
      </c>
      <c r="O87" s="100">
        <v>4565.0167996421269</v>
      </c>
      <c r="P87" s="100">
        <v>0.21953503483025263</v>
      </c>
      <c r="Q87" s="100">
        <v>235.78062740769133</v>
      </c>
      <c r="R87" s="100">
        <v>4</v>
      </c>
      <c r="S87" s="100">
        <v>4296</v>
      </c>
      <c r="T87" s="100">
        <v>2.892165460765701</v>
      </c>
      <c r="U87" s="100">
        <v>3106.1857048623629</v>
      </c>
      <c r="V87" s="100">
        <v>5</v>
      </c>
      <c r="W87" s="100">
        <v>5370</v>
      </c>
      <c r="X87" s="100">
        <v>0.88135362753340063</v>
      </c>
      <c r="Y87" s="100">
        <v>946.57379597087231</v>
      </c>
      <c r="Z87" s="100">
        <v>3</v>
      </c>
      <c r="AA87" s="100">
        <v>3222</v>
      </c>
      <c r="AB87" s="100">
        <v>4</v>
      </c>
      <c r="AC87" s="100">
        <v>4296</v>
      </c>
      <c r="AD87" s="100">
        <v>3.7050830856886634</v>
      </c>
      <c r="AE87" s="100">
        <v>3979.2592340296246</v>
      </c>
      <c r="AF87" s="100">
        <v>0.22436756704349717</v>
      </c>
      <c r="AG87" s="100">
        <v>240.97076700471595</v>
      </c>
      <c r="AH87" s="100">
        <v>5</v>
      </c>
      <c r="AI87" s="100">
        <v>5370</v>
      </c>
      <c r="AJ87" s="100">
        <v>5.0952186893334055</v>
      </c>
      <c r="AK87" s="100">
        <v>5472.264872344077</v>
      </c>
      <c r="AL87" s="100">
        <v>3.4612073159432168</v>
      </c>
      <c r="AM87" s="100">
        <v>3717.3366573230151</v>
      </c>
      <c r="AN87" s="100">
        <v>3.6960518381163054</v>
      </c>
      <c r="AO87" s="100">
        <v>3969.5596741369122</v>
      </c>
      <c r="AP87" s="100">
        <v>2.996207790877111</v>
      </c>
      <c r="AQ87" s="100">
        <v>3217.9271674020174</v>
      </c>
      <c r="AR87" s="100">
        <v>3.0525711397149839</v>
      </c>
      <c r="AS87" s="100">
        <v>3278.4614040538927</v>
      </c>
      <c r="AT87" s="100">
        <v>2.1618650015013792</v>
      </c>
      <c r="AU87" s="100">
        <v>2321.8430116124814</v>
      </c>
      <c r="AV87" s="100">
        <v>2.828926306357531</v>
      </c>
      <c r="AW87" s="100">
        <v>3038.2668530279884</v>
      </c>
      <c r="AX87" s="100">
        <v>2.7927246261241181</v>
      </c>
      <c r="AY87" s="100">
        <v>2999.3862484573028</v>
      </c>
      <c r="AZ87" s="100">
        <v>2.6642808390312513</v>
      </c>
      <c r="BA87" s="100">
        <v>2861.437621119564</v>
      </c>
      <c r="BB87" s="100">
        <v>3.8478340552921635</v>
      </c>
      <c r="BC87" s="100">
        <v>4132.5737753837839</v>
      </c>
      <c r="BD87" s="100">
        <v>0.26924108045219658</v>
      </c>
      <c r="BE87" s="100">
        <v>289.16492040565913</v>
      </c>
      <c r="BF87" s="100">
        <v>6.3369683143378532</v>
      </c>
      <c r="BG87" s="100">
        <v>6805.903969598854</v>
      </c>
      <c r="BH87" s="100">
        <v>2.4779349221484854</v>
      </c>
      <c r="BI87" s="100">
        <v>2661.3021063874735</v>
      </c>
      <c r="BJ87" s="100">
        <v>2.7065263282318011</v>
      </c>
      <c r="BK87" s="100">
        <v>2906.8092765209544</v>
      </c>
      <c r="BL87" s="100">
        <v>3.1781630494948674</v>
      </c>
      <c r="BM87" s="100">
        <v>3413.3471151574877</v>
      </c>
      <c r="BN87" s="100">
        <v>3.5281824701841886</v>
      </c>
      <c r="BO87" s="100">
        <v>3789.2679729778188</v>
      </c>
      <c r="BP87" s="100">
        <v>0.24268328680215001</v>
      </c>
      <c r="BQ87" s="100">
        <v>260.64185002550909</v>
      </c>
      <c r="BR87" s="100">
        <v>7</v>
      </c>
      <c r="BS87" s="100">
        <v>7518</v>
      </c>
      <c r="BT87" s="100">
        <v>3.7929595060935748</v>
      </c>
      <c r="BU87" s="100">
        <v>4073.6385095444994</v>
      </c>
      <c r="BV87" s="100">
        <v>3.7709663984176665</v>
      </c>
      <c r="BW87" s="100">
        <v>4050.0179119005738</v>
      </c>
      <c r="BX87" s="100">
        <v>4.1994848396933602</v>
      </c>
      <c r="BY87" s="100">
        <v>4510.2467178306688</v>
      </c>
      <c r="BZ87" s="100">
        <v>3.0734810125550585</v>
      </c>
      <c r="CA87" s="100">
        <v>3300.9186074841327</v>
      </c>
      <c r="CB87" s="100">
        <v>0.27180528121840802</v>
      </c>
      <c r="CC87" s="100">
        <v>291.91887202857021</v>
      </c>
      <c r="CD87" s="100">
        <v>6</v>
      </c>
      <c r="CE87" s="100">
        <v>6444</v>
      </c>
      <c r="CF87" s="100">
        <v>6</v>
      </c>
      <c r="CG87" s="100">
        <v>6444</v>
      </c>
      <c r="CH87" s="100">
        <v>4.2635555870699759</v>
      </c>
      <c r="CI87" s="100">
        <v>4579.0587005131538</v>
      </c>
      <c r="CJ87" s="100">
        <v>3.035379935252593</v>
      </c>
      <c r="CK87" s="100">
        <v>3259.9980504612849</v>
      </c>
      <c r="CL87" s="100">
        <v>3.3918589068894271</v>
      </c>
      <c r="CM87" s="100">
        <v>3642.8564659992448</v>
      </c>
      <c r="CN87" s="100">
        <v>2.631070094981022</v>
      </c>
      <c r="CO87" s="100">
        <v>2825.7692820096177</v>
      </c>
      <c r="CP87" s="100">
        <v>3.9660481420262892</v>
      </c>
      <c r="CQ87" s="100">
        <v>4259.5357045362343</v>
      </c>
      <c r="CR87" s="100">
        <v>0.33708135269212014</v>
      </c>
      <c r="CS87" s="100">
        <v>362.02537279133702</v>
      </c>
      <c r="CT87" s="100">
        <v>5.3968034910796971</v>
      </c>
      <c r="CU87" s="100">
        <v>5796.1669494195949</v>
      </c>
    </row>
    <row r="88" spans="2:99">
      <c r="C88" s="99" t="s">
        <v>254</v>
      </c>
      <c r="D88" s="100">
        <v>4.1941527202645004</v>
      </c>
      <c r="E88" s="100">
        <v>4162.2771595904896</v>
      </c>
      <c r="F88" s="100">
        <v>3.8037522491829452</v>
      </c>
      <c r="G88" s="100">
        <v>3774.8437320891549</v>
      </c>
      <c r="H88" s="100">
        <v>2.7624092341221442</v>
      </c>
      <c r="I88" s="100">
        <v>2741.4149239428157</v>
      </c>
      <c r="J88" s="100">
        <v>3.147095953007613</v>
      </c>
      <c r="K88" s="100">
        <v>3123.1780237647549</v>
      </c>
      <c r="L88" s="100">
        <v>1.7615288757103018</v>
      </c>
      <c r="M88" s="100">
        <v>1748.1412562549035</v>
      </c>
      <c r="N88" s="100">
        <v>4.2504811914731162</v>
      </c>
      <c r="O88" s="100">
        <v>4218.1775344179205</v>
      </c>
      <c r="P88" s="100">
        <v>0.16465127612268946</v>
      </c>
      <c r="Q88" s="100">
        <v>163.399926424157</v>
      </c>
      <c r="R88" s="100">
        <v>4</v>
      </c>
      <c r="S88" s="100">
        <v>3969.6</v>
      </c>
      <c r="T88" s="100">
        <v>2.892165460765701</v>
      </c>
      <c r="U88" s="100">
        <v>2870.1850032638818</v>
      </c>
      <c r="V88" s="100">
        <v>5</v>
      </c>
      <c r="W88" s="100">
        <v>4962</v>
      </c>
      <c r="X88" s="100">
        <v>0.88135362753340063</v>
      </c>
      <c r="Y88" s="100">
        <v>874.65533996414672</v>
      </c>
      <c r="Z88" s="100">
        <v>3</v>
      </c>
      <c r="AA88" s="100">
        <v>2977.2</v>
      </c>
      <c r="AB88" s="100">
        <v>3</v>
      </c>
      <c r="AC88" s="100">
        <v>2977.2</v>
      </c>
      <c r="AD88" s="100">
        <v>4.6153520437515327</v>
      </c>
      <c r="AE88" s="100">
        <v>4580.2753682190214</v>
      </c>
      <c r="AF88" s="100">
        <v>0.22436756704349717</v>
      </c>
      <c r="AG88" s="100">
        <v>222.66237353396659</v>
      </c>
      <c r="AH88" s="100">
        <v>4</v>
      </c>
      <c r="AI88" s="100">
        <v>3969.6</v>
      </c>
      <c r="AJ88" s="100">
        <v>5.0659429428342078</v>
      </c>
      <c r="AK88" s="100">
        <v>5027.4417764686677</v>
      </c>
      <c r="AL88" s="100">
        <v>3.4384650630877371</v>
      </c>
      <c r="AM88" s="100">
        <v>3412.3327286082704</v>
      </c>
      <c r="AN88" s="100">
        <v>3.7166356901999804</v>
      </c>
      <c r="AO88" s="100">
        <v>3688.3892589544603</v>
      </c>
      <c r="AP88" s="100">
        <v>2.996207790877111</v>
      </c>
      <c r="AQ88" s="100">
        <v>2973.4366116664451</v>
      </c>
      <c r="AR88" s="100">
        <v>3.0525711397149839</v>
      </c>
      <c r="AS88" s="100">
        <v>3029.37159905315</v>
      </c>
      <c r="AT88" s="100">
        <v>2.7854844067722708</v>
      </c>
      <c r="AU88" s="100">
        <v>2764.3147252808017</v>
      </c>
      <c r="AV88" s="100">
        <v>2.8077261800484146</v>
      </c>
      <c r="AW88" s="100">
        <v>2786.3874610800467</v>
      </c>
      <c r="AX88" s="100">
        <v>2.1799034942458215</v>
      </c>
      <c r="AY88" s="100">
        <v>2163.3362276895532</v>
      </c>
      <c r="AZ88" s="100">
        <v>2.6642808390312513</v>
      </c>
      <c r="BA88" s="100">
        <v>2644.0323046546137</v>
      </c>
      <c r="BB88" s="100">
        <v>3.8478340552921635</v>
      </c>
      <c r="BC88" s="100">
        <v>3818.5905164719429</v>
      </c>
      <c r="BD88" s="100">
        <v>0.31411459386089602</v>
      </c>
      <c r="BE88" s="100">
        <v>311.7273229475532</v>
      </c>
      <c r="BF88" s="100">
        <v>6.3369683143378532</v>
      </c>
      <c r="BG88" s="100">
        <v>6288.8073551488851</v>
      </c>
      <c r="BH88" s="100">
        <v>1.903023660460526</v>
      </c>
      <c r="BI88" s="100">
        <v>1888.560680641026</v>
      </c>
      <c r="BJ88" s="100">
        <v>2.7065263282318011</v>
      </c>
      <c r="BK88" s="100">
        <v>2685.9567281372392</v>
      </c>
      <c r="BL88" s="100">
        <v>3.1594090158845121</v>
      </c>
      <c r="BM88" s="100">
        <v>3135.3975073637898</v>
      </c>
      <c r="BN88" s="100">
        <v>3.5281824701841886</v>
      </c>
      <c r="BO88" s="100">
        <v>3501.3682834107885</v>
      </c>
      <c r="BP88" s="100">
        <v>0.24268328680215001</v>
      </c>
      <c r="BQ88" s="100">
        <v>240.83889382245366</v>
      </c>
      <c r="BR88" s="100">
        <v>7</v>
      </c>
      <c r="BS88" s="100">
        <v>6946.8</v>
      </c>
      <c r="BT88" s="100">
        <v>3.7929595060935748</v>
      </c>
      <c r="BU88" s="100">
        <v>3764.1330138472636</v>
      </c>
      <c r="BV88" s="100">
        <v>3.0167731187341329</v>
      </c>
      <c r="BW88" s="100">
        <v>2993.8456430317533</v>
      </c>
      <c r="BX88" s="100">
        <v>4.1994848396933602</v>
      </c>
      <c r="BY88" s="100">
        <v>4167.5687549116901</v>
      </c>
      <c r="BZ88" s="100">
        <v>2.5864558102873088</v>
      </c>
      <c r="CA88" s="100">
        <v>2566.798746129125</v>
      </c>
      <c r="CB88" s="100">
        <v>0.33975660152300996</v>
      </c>
      <c r="CC88" s="100">
        <v>337.1744513514351</v>
      </c>
      <c r="CD88" s="100">
        <v>5</v>
      </c>
      <c r="CE88" s="100">
        <v>4962</v>
      </c>
      <c r="CF88" s="100">
        <v>6</v>
      </c>
      <c r="CG88" s="100">
        <v>5954.4</v>
      </c>
      <c r="CH88" s="100">
        <v>4.2635555870699759</v>
      </c>
      <c r="CI88" s="100">
        <v>4231.1525646082437</v>
      </c>
      <c r="CJ88" s="100">
        <v>3.0156444072748796</v>
      </c>
      <c r="CK88" s="100">
        <v>2992.7255097795905</v>
      </c>
      <c r="CL88" s="100">
        <v>3.3965617032838802</v>
      </c>
      <c r="CM88" s="100">
        <v>3370.7478343389225</v>
      </c>
      <c r="CN88" s="100">
        <v>3.2423234059963417</v>
      </c>
      <c r="CO88" s="100">
        <v>3217.6817481107696</v>
      </c>
      <c r="CP88" s="100">
        <v>3.9739391572827185</v>
      </c>
      <c r="CQ88" s="100">
        <v>3943.7372196873698</v>
      </c>
      <c r="CR88" s="100">
        <v>0.33708135269212014</v>
      </c>
      <c r="CS88" s="100">
        <v>334.51953441166</v>
      </c>
      <c r="CT88" s="100">
        <v>5.3968034910796971</v>
      </c>
      <c r="CU88" s="100">
        <v>5355.7877845474914</v>
      </c>
    </row>
    <row r="89" spans="2:99">
      <c r="C89" s="99" t="s">
        <v>255</v>
      </c>
      <c r="D89" s="100">
        <v>3.5309012694493833</v>
      </c>
      <c r="E89" s="100">
        <v>3749.8171481552449</v>
      </c>
      <c r="F89" s="100">
        <v>2.9154426909020104</v>
      </c>
      <c r="G89" s="100">
        <v>3096.2001377379352</v>
      </c>
      <c r="H89" s="100">
        <v>3.2976884780590199</v>
      </c>
      <c r="I89" s="100">
        <v>3502.145163698679</v>
      </c>
      <c r="J89" s="100">
        <v>3.776515143609136</v>
      </c>
      <c r="K89" s="100">
        <v>4010.6590825129024</v>
      </c>
      <c r="L89" s="100">
        <v>2.348705167613736</v>
      </c>
      <c r="M89" s="100">
        <v>2494.3248880057877</v>
      </c>
      <c r="N89" s="100">
        <v>4.2312736625515814</v>
      </c>
      <c r="O89" s="100">
        <v>4493.6126296297798</v>
      </c>
      <c r="P89" s="100">
        <v>0.21953503483025263</v>
      </c>
      <c r="Q89" s="100">
        <v>233.14620698972828</v>
      </c>
      <c r="R89" s="100">
        <v>5</v>
      </c>
      <c r="S89" s="100">
        <v>5310</v>
      </c>
      <c r="T89" s="100">
        <v>2.4789989663706011</v>
      </c>
      <c r="U89" s="100">
        <v>2632.6969022855783</v>
      </c>
      <c r="V89" s="100">
        <v>6.3927809868039089</v>
      </c>
      <c r="W89" s="100">
        <v>6789.1334079857515</v>
      </c>
      <c r="X89" s="100">
        <v>0.88135362753340063</v>
      </c>
      <c r="Y89" s="100">
        <v>935.99755244047151</v>
      </c>
      <c r="Z89" s="100">
        <v>3</v>
      </c>
      <c r="AA89" s="100">
        <v>3186</v>
      </c>
      <c r="AB89" s="100">
        <v>3</v>
      </c>
      <c r="AC89" s="100">
        <v>3186</v>
      </c>
      <c r="AD89" s="100">
        <v>4.6153520437515327</v>
      </c>
      <c r="AE89" s="100">
        <v>4901.5038704641274</v>
      </c>
      <c r="AF89" s="100">
        <v>0.22436756704349717</v>
      </c>
      <c r="AG89" s="100">
        <v>238.278356200194</v>
      </c>
      <c r="AH89" s="100">
        <v>5</v>
      </c>
      <c r="AI89" s="100">
        <v>5310</v>
      </c>
      <c r="AJ89" s="100">
        <v>5.0952186893334055</v>
      </c>
      <c r="AK89" s="100">
        <v>5411.1222480720762</v>
      </c>
      <c r="AL89" s="100">
        <v>3.4612073159432168</v>
      </c>
      <c r="AM89" s="100">
        <v>3675.8021695316961</v>
      </c>
      <c r="AN89" s="100">
        <v>4.4352622057395674</v>
      </c>
      <c r="AO89" s="100">
        <v>4710.2484624954204</v>
      </c>
      <c r="AP89" s="100">
        <v>2.996207790877111</v>
      </c>
      <c r="AQ89" s="100">
        <v>3181.9726739114917</v>
      </c>
      <c r="AR89" s="100">
        <v>3.0525711397149839</v>
      </c>
      <c r="AS89" s="100">
        <v>3241.8305503773131</v>
      </c>
      <c r="AT89" s="100">
        <v>2.8145850853411405</v>
      </c>
      <c r="AU89" s="100">
        <v>2989.0893606322911</v>
      </c>
      <c r="AV89" s="100">
        <v>2.7865260537392982</v>
      </c>
      <c r="AW89" s="100">
        <v>2959.2906690711347</v>
      </c>
      <c r="AX89" s="100">
        <v>2.1799034942458215</v>
      </c>
      <c r="AY89" s="100">
        <v>2315.0575108890625</v>
      </c>
      <c r="AZ89" s="100">
        <v>3.1713346648920777</v>
      </c>
      <c r="BA89" s="100">
        <v>3367.9574141153867</v>
      </c>
      <c r="BB89" s="100">
        <v>3.8558112517430865</v>
      </c>
      <c r="BC89" s="100">
        <v>4094.8715493511577</v>
      </c>
      <c r="BD89" s="100">
        <v>0.26924108045219658</v>
      </c>
      <c r="BE89" s="100">
        <v>285.93402744023274</v>
      </c>
      <c r="BF89" s="100">
        <v>6.3851066449575473</v>
      </c>
      <c r="BG89" s="100">
        <v>6780.9832569449154</v>
      </c>
      <c r="BH89" s="100">
        <v>2.4779349221484854</v>
      </c>
      <c r="BI89" s="100">
        <v>2631.5668873216914</v>
      </c>
      <c r="BJ89" s="100">
        <v>2.7065263282318011</v>
      </c>
      <c r="BK89" s="100">
        <v>2874.3309605821728</v>
      </c>
      <c r="BL89" s="100">
        <v>3.1781630494948674</v>
      </c>
      <c r="BM89" s="100">
        <v>3375.209158563549</v>
      </c>
      <c r="BN89" s="100">
        <v>3.5403543002810389</v>
      </c>
      <c r="BO89" s="100">
        <v>3759.8562668984632</v>
      </c>
      <c r="BP89" s="100">
        <v>0.19414662944171998</v>
      </c>
      <c r="BQ89" s="100">
        <v>206.18372046710661</v>
      </c>
      <c r="BR89" s="100">
        <v>7</v>
      </c>
      <c r="BS89" s="100">
        <v>7434</v>
      </c>
      <c r="BT89" s="100">
        <v>3.7929595060935748</v>
      </c>
      <c r="BU89" s="100">
        <v>4028.1229954713763</v>
      </c>
      <c r="BV89" s="100">
        <v>3.7709663984176665</v>
      </c>
      <c r="BW89" s="100">
        <v>4004.7663151195616</v>
      </c>
      <c r="BX89" s="100">
        <v>4.1994848396933602</v>
      </c>
      <c r="BY89" s="100">
        <v>4459.8528997543481</v>
      </c>
      <c r="BZ89" s="100">
        <v>3.0734810125550585</v>
      </c>
      <c r="CA89" s="100">
        <v>3264.036835333472</v>
      </c>
      <c r="CB89" s="100">
        <v>0.33975660152300996</v>
      </c>
      <c r="CC89" s="100">
        <v>360.8215108174366</v>
      </c>
      <c r="CD89" s="100">
        <v>6</v>
      </c>
      <c r="CE89" s="100">
        <v>6372</v>
      </c>
      <c r="CF89" s="100">
        <v>6</v>
      </c>
      <c r="CG89" s="100">
        <v>6372</v>
      </c>
      <c r="CH89" s="100">
        <v>4.2635555870699759</v>
      </c>
      <c r="CI89" s="100">
        <v>4527.8960334683143</v>
      </c>
      <c r="CJ89" s="100">
        <v>3.0156444072748796</v>
      </c>
      <c r="CK89" s="100">
        <v>3202.6143605259222</v>
      </c>
      <c r="CL89" s="100">
        <v>3.3942103050866539</v>
      </c>
      <c r="CM89" s="100">
        <v>3604.6513440020262</v>
      </c>
      <c r="CN89" s="100">
        <v>3.2157438558649498</v>
      </c>
      <c r="CO89" s="100">
        <v>3415.1199749285765</v>
      </c>
      <c r="CP89" s="100">
        <v>3.9581571267698603</v>
      </c>
      <c r="CQ89" s="100">
        <v>4203.5628686295913</v>
      </c>
      <c r="CR89" s="100">
        <v>0.28090112724343347</v>
      </c>
      <c r="CS89" s="100">
        <v>298.31699713252635</v>
      </c>
      <c r="CT89" s="100">
        <v>5.3472030546947344</v>
      </c>
      <c r="CU89" s="100">
        <v>5678.7296440858081</v>
      </c>
    </row>
    <row r="90" spans="2:99">
      <c r="C90" s="99" t="s">
        <v>256</v>
      </c>
      <c r="D90" s="100">
        <v>4.1941527202645004</v>
      </c>
      <c r="E90" s="100">
        <v>4650.4765362292774</v>
      </c>
      <c r="F90" s="100">
        <v>3.6443033636275133</v>
      </c>
      <c r="G90" s="100">
        <v>4040.8035695901867</v>
      </c>
      <c r="H90" s="100">
        <v>2.6763962196843778</v>
      </c>
      <c r="I90" s="100">
        <v>2967.5881283860381</v>
      </c>
      <c r="J90" s="100">
        <v>3.147095953007613</v>
      </c>
      <c r="K90" s="100">
        <v>3489.4999926948412</v>
      </c>
      <c r="L90" s="100">
        <v>1.7615288757103018</v>
      </c>
      <c r="M90" s="100">
        <v>1953.1832173875825</v>
      </c>
      <c r="N90" s="100">
        <v>4.2312736625515814</v>
      </c>
      <c r="O90" s="100">
        <v>4691.6362370371935</v>
      </c>
      <c r="P90" s="100">
        <v>0.21953503483025263</v>
      </c>
      <c r="Q90" s="100">
        <v>243.42044661978412</v>
      </c>
      <c r="R90" s="100">
        <v>4</v>
      </c>
      <c r="S90" s="100">
        <v>4435.2</v>
      </c>
      <c r="T90" s="100">
        <v>2.892165460765701</v>
      </c>
      <c r="U90" s="100">
        <v>3206.8330628970093</v>
      </c>
      <c r="V90" s="100">
        <v>5.3927809868039089</v>
      </c>
      <c r="W90" s="100">
        <v>5979.5155581681738</v>
      </c>
      <c r="X90" s="100">
        <v>0.88135362753340063</v>
      </c>
      <c r="Y90" s="100">
        <v>977.24490220903454</v>
      </c>
      <c r="Z90" s="100">
        <v>4</v>
      </c>
      <c r="AA90" s="100">
        <v>4435.2</v>
      </c>
      <c r="AB90" s="100">
        <v>4</v>
      </c>
      <c r="AC90" s="100">
        <v>4435.2</v>
      </c>
      <c r="AD90" s="100">
        <v>3.7050830856886634</v>
      </c>
      <c r="AE90" s="100">
        <v>4108.1961254115895</v>
      </c>
      <c r="AF90" s="100">
        <v>0.26924108045219658</v>
      </c>
      <c r="AG90" s="100">
        <v>298.53451000539553</v>
      </c>
      <c r="AH90" s="100">
        <v>4</v>
      </c>
      <c r="AI90" s="100">
        <v>4435.2</v>
      </c>
      <c r="AJ90" s="100">
        <v>4.2655327387773028</v>
      </c>
      <c r="AK90" s="100">
        <v>4729.6227007562729</v>
      </c>
      <c r="AL90" s="100">
        <v>4.0943189217076128</v>
      </c>
      <c r="AM90" s="100">
        <v>4539.780820389401</v>
      </c>
      <c r="AN90" s="100">
        <v>3.6960518381163054</v>
      </c>
      <c r="AO90" s="100">
        <v>4098.1822781033597</v>
      </c>
      <c r="AP90" s="100">
        <v>2.996207790877111</v>
      </c>
      <c r="AQ90" s="100">
        <v>3322.1951985245405</v>
      </c>
      <c r="AR90" s="100">
        <v>3.0525711397149839</v>
      </c>
      <c r="AS90" s="100">
        <v>3384.690879715974</v>
      </c>
      <c r="AT90" s="100">
        <v>2.7854844067722708</v>
      </c>
      <c r="AU90" s="100">
        <v>3088.5451102290936</v>
      </c>
      <c r="AV90" s="100">
        <v>2.8077261800484146</v>
      </c>
      <c r="AW90" s="100">
        <v>3113.206788437682</v>
      </c>
      <c r="AX90" s="100">
        <v>2.821177967675029</v>
      </c>
      <c r="AY90" s="100">
        <v>3128.1221305580721</v>
      </c>
      <c r="AZ90" s="100">
        <v>3.1713346648920777</v>
      </c>
      <c r="BA90" s="100">
        <v>3516.3758764323356</v>
      </c>
      <c r="BB90" s="100">
        <v>3.8478340552921635</v>
      </c>
      <c r="BC90" s="100">
        <v>4266.4784005079509</v>
      </c>
      <c r="BD90" s="100">
        <v>0.26924108045219658</v>
      </c>
      <c r="BE90" s="100">
        <v>298.53451000539553</v>
      </c>
      <c r="BF90" s="100">
        <v>6.28882998371816</v>
      </c>
      <c r="BG90" s="100">
        <v>6973.0546859466958</v>
      </c>
      <c r="BH90" s="100">
        <v>2.4977449083036682</v>
      </c>
      <c r="BI90" s="100">
        <v>2769.499554327107</v>
      </c>
      <c r="BJ90" s="100">
        <v>3.2478315938781614</v>
      </c>
      <c r="BK90" s="100">
        <v>3601.1956712921051</v>
      </c>
      <c r="BL90" s="100">
        <v>3.1406549822741563</v>
      </c>
      <c r="BM90" s="100">
        <v>3482.3582443455844</v>
      </c>
      <c r="BN90" s="100">
        <v>3.038067065982847</v>
      </c>
      <c r="BO90" s="100">
        <v>3368.6087627617808</v>
      </c>
      <c r="BP90" s="100">
        <v>0.24268328680215001</v>
      </c>
      <c r="BQ90" s="100">
        <v>269.08722840622391</v>
      </c>
      <c r="BR90" s="100">
        <v>7</v>
      </c>
      <c r="BS90" s="100">
        <v>7761.5999999999995</v>
      </c>
      <c r="BT90" s="100">
        <v>3.7929595060935748</v>
      </c>
      <c r="BU90" s="100">
        <v>4205.6335003565555</v>
      </c>
      <c r="BV90" s="100">
        <v>3.0167731187341329</v>
      </c>
      <c r="BW90" s="100">
        <v>3344.9980340524066</v>
      </c>
      <c r="BX90" s="100">
        <v>4.1994848396933602</v>
      </c>
      <c r="BY90" s="100">
        <v>4656.3887902519973</v>
      </c>
      <c r="BZ90" s="100">
        <v>2.577554057407982</v>
      </c>
      <c r="CA90" s="100">
        <v>2857.9919388539702</v>
      </c>
      <c r="CB90" s="100">
        <v>0.27180528121840802</v>
      </c>
      <c r="CC90" s="100">
        <v>301.37769581497082</v>
      </c>
      <c r="CD90" s="100">
        <v>5</v>
      </c>
      <c r="CE90" s="100">
        <v>5544</v>
      </c>
      <c r="CF90" s="100">
        <v>6</v>
      </c>
      <c r="CG90" s="100">
        <v>6652.7999999999993</v>
      </c>
      <c r="CH90" s="100">
        <v>4.2635555870699759</v>
      </c>
      <c r="CI90" s="100">
        <v>4727.4304349431895</v>
      </c>
      <c r="CJ90" s="100">
        <v>3.0156444072748796</v>
      </c>
      <c r="CK90" s="100">
        <v>3343.7465187863863</v>
      </c>
      <c r="CL90" s="100">
        <v>3.3942103050866539</v>
      </c>
      <c r="CM90" s="100">
        <v>3763.5003862800818</v>
      </c>
      <c r="CN90" s="100">
        <v>3.2423234059963417</v>
      </c>
      <c r="CO90" s="100">
        <v>3595.0881925687436</v>
      </c>
      <c r="CP90" s="100">
        <v>4.620480319650313</v>
      </c>
      <c r="CQ90" s="100">
        <v>5123.1885784282667</v>
      </c>
      <c r="CR90" s="100">
        <v>0.33708135269212014</v>
      </c>
      <c r="CS90" s="100">
        <v>373.75580386502281</v>
      </c>
      <c r="CT90" s="100">
        <v>5.3968034910796971</v>
      </c>
      <c r="CU90" s="100">
        <v>5983.9757109091679</v>
      </c>
    </row>
    <row r="91" spans="2:99">
      <c r="C91" s="99" t="s">
        <v>257</v>
      </c>
      <c r="D91" s="100">
        <v>4.1941527202645004</v>
      </c>
      <c r="E91" s="100">
        <v>4766.2351513085778</v>
      </c>
      <c r="F91" s="100">
        <v>3.0549604657630134</v>
      </c>
      <c r="G91" s="100">
        <v>3471.6570732930882</v>
      </c>
      <c r="H91" s="100">
        <v>3.2116754636212534</v>
      </c>
      <c r="I91" s="100">
        <v>3649.747996859192</v>
      </c>
      <c r="J91" s="100">
        <v>3.147095953007613</v>
      </c>
      <c r="K91" s="100">
        <v>3576.3598409978508</v>
      </c>
      <c r="L91" s="100">
        <v>1.7615288757103018</v>
      </c>
      <c r="M91" s="100">
        <v>2001.8014143571868</v>
      </c>
      <c r="N91" s="100">
        <v>3.5484701692014422</v>
      </c>
      <c r="O91" s="100">
        <v>4032.4815002805185</v>
      </c>
      <c r="P91" s="100">
        <v>0.21953503483025263</v>
      </c>
      <c r="Q91" s="100">
        <v>249.47961358109907</v>
      </c>
      <c r="R91" s="100">
        <v>5</v>
      </c>
      <c r="S91" s="100">
        <v>5681.9999999999991</v>
      </c>
      <c r="T91" s="100">
        <v>2.4789989663706011</v>
      </c>
      <c r="U91" s="100">
        <v>2817.1344253835509</v>
      </c>
      <c r="V91" s="100">
        <v>6</v>
      </c>
      <c r="W91" s="100">
        <v>6818.4</v>
      </c>
      <c r="X91" s="100">
        <v>0.88135362753340063</v>
      </c>
      <c r="Y91" s="100">
        <v>1001.5702623289563</v>
      </c>
      <c r="Z91" s="100">
        <v>4</v>
      </c>
      <c r="AA91" s="100">
        <v>4545.5999999999995</v>
      </c>
      <c r="AB91" s="100">
        <v>3</v>
      </c>
      <c r="AC91" s="100">
        <v>3409.2</v>
      </c>
      <c r="AD91" s="100">
        <v>4.5833484170329415</v>
      </c>
      <c r="AE91" s="100">
        <v>5208.5171411162337</v>
      </c>
      <c r="AF91" s="100">
        <v>0.22436756704349717</v>
      </c>
      <c r="AG91" s="100">
        <v>254.97130318823014</v>
      </c>
      <c r="AH91" s="100">
        <v>4</v>
      </c>
      <c r="AI91" s="100">
        <v>4545.5999999999995</v>
      </c>
      <c r="AJ91" s="100">
        <v>5.0659429428342078</v>
      </c>
      <c r="AK91" s="100">
        <v>5756.9375602367927</v>
      </c>
      <c r="AL91" s="100">
        <v>4.0943189217076128</v>
      </c>
      <c r="AM91" s="100">
        <v>4652.7840226285307</v>
      </c>
      <c r="AN91" s="100">
        <v>3.6960518381163054</v>
      </c>
      <c r="AO91" s="100">
        <v>4200.193308835369</v>
      </c>
      <c r="AP91" s="100">
        <v>2.996207790877111</v>
      </c>
      <c r="AQ91" s="100">
        <v>3404.8905335527484</v>
      </c>
      <c r="AR91" s="100">
        <v>3.8157139246437297</v>
      </c>
      <c r="AS91" s="100">
        <v>4336.1773039651343</v>
      </c>
      <c r="AT91" s="100">
        <v>2.7854844067722708</v>
      </c>
      <c r="AU91" s="100">
        <v>3165.424479856008</v>
      </c>
      <c r="AV91" s="100">
        <v>3.3353512139635102</v>
      </c>
      <c r="AW91" s="100">
        <v>3790.2931195481324</v>
      </c>
      <c r="AX91" s="100">
        <v>2.84963130922594</v>
      </c>
      <c r="AY91" s="100">
        <v>3238.321019804358</v>
      </c>
      <c r="AZ91" s="100">
        <v>3.1713346648920777</v>
      </c>
      <c r="BA91" s="100">
        <v>3603.9047131833568</v>
      </c>
      <c r="BB91" s="100">
        <v>3.8478340552921635</v>
      </c>
      <c r="BC91" s="100">
        <v>4372.6786204340142</v>
      </c>
      <c r="BD91" s="100">
        <v>0.26924108045219658</v>
      </c>
      <c r="BE91" s="100">
        <v>305.96556382587613</v>
      </c>
      <c r="BF91" s="100">
        <v>6.28882998371816</v>
      </c>
      <c r="BG91" s="100">
        <v>7146.6263934973158</v>
      </c>
      <c r="BH91" s="100">
        <v>2.4977449083036682</v>
      </c>
      <c r="BI91" s="100">
        <v>2838.4373137962884</v>
      </c>
      <c r="BJ91" s="100">
        <v>2.7065263282318011</v>
      </c>
      <c r="BK91" s="100">
        <v>3075.6965194026184</v>
      </c>
      <c r="BL91" s="100">
        <v>3.1594090158845121</v>
      </c>
      <c r="BM91" s="100">
        <v>3590.3524056511592</v>
      </c>
      <c r="BN91" s="100">
        <v>3.0319811509344228</v>
      </c>
      <c r="BO91" s="100">
        <v>3445.5433799218777</v>
      </c>
      <c r="BP91" s="100">
        <v>0.24268328680215001</v>
      </c>
      <c r="BQ91" s="100">
        <v>275.78528712196322</v>
      </c>
      <c r="BR91" s="100">
        <v>6</v>
      </c>
      <c r="BS91" s="100">
        <v>6818.4</v>
      </c>
      <c r="BT91" s="100">
        <v>3.7929595060935748</v>
      </c>
      <c r="BU91" s="100">
        <v>4310.3191827247383</v>
      </c>
      <c r="BV91" s="100">
        <v>3.7709663984176665</v>
      </c>
      <c r="BW91" s="100">
        <v>4285.3262151618355</v>
      </c>
      <c r="BX91" s="100">
        <v>4.8993989796422532</v>
      </c>
      <c r="BY91" s="100">
        <v>5567.6770004654563</v>
      </c>
      <c r="BZ91" s="100">
        <v>2.577554057407982</v>
      </c>
      <c r="CA91" s="100">
        <v>2929.1324308384305</v>
      </c>
      <c r="CB91" s="100">
        <v>0.27180528121840802</v>
      </c>
      <c r="CC91" s="100">
        <v>308.87952157659885</v>
      </c>
      <c r="CD91" s="100">
        <v>5</v>
      </c>
      <c r="CE91" s="100">
        <v>5681.9999999999991</v>
      </c>
      <c r="CF91" s="100">
        <v>6</v>
      </c>
      <c r="CG91" s="100">
        <v>6818.4</v>
      </c>
      <c r="CH91" s="100">
        <v>4.2635555870699759</v>
      </c>
      <c r="CI91" s="100">
        <v>4845.1045691463205</v>
      </c>
      <c r="CJ91" s="100">
        <v>3.5083840444985026</v>
      </c>
      <c r="CK91" s="100">
        <v>3986.9276281680977</v>
      </c>
      <c r="CL91" s="100">
        <v>3.3942103050866539</v>
      </c>
      <c r="CM91" s="100">
        <v>3857.1805907004732</v>
      </c>
      <c r="CN91" s="100">
        <v>3.2689029561277336</v>
      </c>
      <c r="CO91" s="100">
        <v>3714.7813193435559</v>
      </c>
      <c r="CP91" s="100">
        <v>4.620480319650313</v>
      </c>
      <c r="CQ91" s="100">
        <v>5250.7138352506154</v>
      </c>
      <c r="CR91" s="100">
        <v>0.33708135269212014</v>
      </c>
      <c r="CS91" s="100">
        <v>383.05924919932528</v>
      </c>
      <c r="CT91" s="100">
        <v>5.446403927464659</v>
      </c>
      <c r="CU91" s="100">
        <v>6189.2934231708377</v>
      </c>
    </row>
    <row r="92" spans="2:99">
      <c r="C92" s="99" t="s">
        <v>258</v>
      </c>
      <c r="D92" s="100">
        <v>4.2120397215456498</v>
      </c>
      <c r="E92" s="100">
        <v>3305.6087734690259</v>
      </c>
      <c r="F92" s="100">
        <v>2.9154426909020104</v>
      </c>
      <c r="G92" s="100">
        <v>2288.0394238198978</v>
      </c>
      <c r="H92" s="100">
        <v>2.7624092341221442</v>
      </c>
      <c r="I92" s="100">
        <v>2167.9387669390585</v>
      </c>
      <c r="J92" s="100">
        <v>3.776515143609136</v>
      </c>
      <c r="K92" s="100">
        <v>2963.8090847044496</v>
      </c>
      <c r="L92" s="100">
        <v>1.7615288757103018</v>
      </c>
      <c r="M92" s="100">
        <v>1382.4478616574447</v>
      </c>
      <c r="N92" s="100">
        <v>4.2312736625515814</v>
      </c>
      <c r="O92" s="100">
        <v>3320.703570370481</v>
      </c>
      <c r="P92" s="100">
        <v>0.21953503483025263</v>
      </c>
      <c r="Q92" s="100">
        <v>172.29109533478226</v>
      </c>
      <c r="R92" s="100">
        <v>5</v>
      </c>
      <c r="S92" s="100">
        <v>3924</v>
      </c>
      <c r="T92" s="100">
        <v>2.892165460765701</v>
      </c>
      <c r="U92" s="100">
        <v>2269.771453608922</v>
      </c>
      <c r="V92" s="100">
        <v>5.3927809868039089</v>
      </c>
      <c r="W92" s="100">
        <v>4232.2545184437076</v>
      </c>
      <c r="X92" s="100">
        <v>0.88135362753340063</v>
      </c>
      <c r="Y92" s="100">
        <v>691.68632688821276</v>
      </c>
      <c r="Z92" s="100">
        <v>3</v>
      </c>
      <c r="AA92" s="100">
        <v>2354.3999999999996</v>
      </c>
      <c r="AB92" s="100">
        <v>3</v>
      </c>
      <c r="AC92" s="100">
        <v>2354.3999999999996</v>
      </c>
      <c r="AD92" s="100">
        <v>4.5833484170329415</v>
      </c>
      <c r="AE92" s="100">
        <v>3597.0118376874525</v>
      </c>
      <c r="AF92" s="100">
        <v>0.22436756704349717</v>
      </c>
      <c r="AG92" s="100">
        <v>176.08366661573658</v>
      </c>
      <c r="AH92" s="100">
        <v>4</v>
      </c>
      <c r="AI92" s="100">
        <v>3139.2</v>
      </c>
      <c r="AJ92" s="100">
        <v>5.0952186893334055</v>
      </c>
      <c r="AK92" s="100">
        <v>3998.7276273888565</v>
      </c>
      <c r="AL92" s="100">
        <v>4.1170611745630925</v>
      </c>
      <c r="AM92" s="100">
        <v>3231.0696097971149</v>
      </c>
      <c r="AN92" s="100">
        <v>3.6960518381163054</v>
      </c>
      <c r="AO92" s="100">
        <v>2900.6614825536763</v>
      </c>
      <c r="AP92" s="100">
        <v>3.5954493490525334</v>
      </c>
      <c r="AQ92" s="100">
        <v>2821.708649136428</v>
      </c>
      <c r="AR92" s="100">
        <v>3.8157139246437297</v>
      </c>
      <c r="AS92" s="100">
        <v>2994.5722880603989</v>
      </c>
      <c r="AT92" s="100">
        <v>2.7854844067722708</v>
      </c>
      <c r="AU92" s="100">
        <v>2186.0481624348781</v>
      </c>
      <c r="AV92" s="100">
        <v>2.8077261800484146</v>
      </c>
      <c r="AW92" s="100">
        <v>2203.5035061019958</v>
      </c>
      <c r="AX92" s="100">
        <v>2.821177967675029</v>
      </c>
      <c r="AY92" s="100">
        <v>2214.0604690313626</v>
      </c>
      <c r="AZ92" s="100">
        <v>2.6827110832779835</v>
      </c>
      <c r="BA92" s="100">
        <v>2105.3916581565613</v>
      </c>
      <c r="BB92" s="100">
        <v>3.8558112517430865</v>
      </c>
      <c r="BC92" s="100">
        <v>3026.0406703679741</v>
      </c>
      <c r="BD92" s="100">
        <v>0.31411459386089602</v>
      </c>
      <c r="BE92" s="100">
        <v>246.51713326203119</v>
      </c>
      <c r="BF92" s="100">
        <v>6.28882998371816</v>
      </c>
      <c r="BG92" s="100">
        <v>4935.4737712220121</v>
      </c>
      <c r="BH92" s="100">
        <v>2.4977449083036682</v>
      </c>
      <c r="BI92" s="100">
        <v>1960.2302040367188</v>
      </c>
      <c r="BJ92" s="100">
        <v>2.7065263282318011</v>
      </c>
      <c r="BK92" s="100">
        <v>2124.0818623963173</v>
      </c>
      <c r="BL92" s="100">
        <v>3.1594090158845121</v>
      </c>
      <c r="BM92" s="100">
        <v>2479.5041956661648</v>
      </c>
      <c r="BN92" s="100">
        <v>3.5281824701841886</v>
      </c>
      <c r="BO92" s="100">
        <v>2768.9176026005512</v>
      </c>
      <c r="BP92" s="100">
        <v>0.24268328680215001</v>
      </c>
      <c r="BQ92" s="100">
        <v>190.45784348232732</v>
      </c>
      <c r="BR92" s="100">
        <v>7</v>
      </c>
      <c r="BS92" s="100">
        <v>5493.5999999999995</v>
      </c>
      <c r="BT92" s="100">
        <v>3.7929595060935748</v>
      </c>
      <c r="BU92" s="100">
        <v>2976.7146203822372</v>
      </c>
      <c r="BV92" s="100">
        <v>3.7709663984176665</v>
      </c>
      <c r="BW92" s="100">
        <v>2959.4544294781845</v>
      </c>
      <c r="BX92" s="100">
        <v>4.1994848396933602</v>
      </c>
      <c r="BY92" s="100">
        <v>3295.755702191349</v>
      </c>
      <c r="BZ92" s="100">
        <v>2.577554057407982</v>
      </c>
      <c r="CA92" s="100">
        <v>2022.8644242537841</v>
      </c>
      <c r="CB92" s="100">
        <v>0.27180528121840802</v>
      </c>
      <c r="CC92" s="100">
        <v>213.31278470020661</v>
      </c>
      <c r="CD92" s="100">
        <v>6</v>
      </c>
      <c r="CE92" s="100">
        <v>4708.7999999999993</v>
      </c>
      <c r="CF92" s="100">
        <v>6</v>
      </c>
      <c r="CG92" s="100">
        <v>4708.7999999999993</v>
      </c>
      <c r="CH92" s="100">
        <v>4.2635555870699759</v>
      </c>
      <c r="CI92" s="100">
        <v>3346.0384247325169</v>
      </c>
      <c r="CJ92" s="100">
        <v>3.4886485165207892</v>
      </c>
      <c r="CK92" s="100">
        <v>2737.8913557655151</v>
      </c>
      <c r="CL92" s="100">
        <v>3.3942103050866539</v>
      </c>
      <c r="CM92" s="100">
        <v>2663.7762474320057</v>
      </c>
      <c r="CN92" s="100">
        <v>3.2157438558649498</v>
      </c>
      <c r="CO92" s="100">
        <v>2523.7157780828124</v>
      </c>
      <c r="CP92" s="100">
        <v>4.6125893043938841</v>
      </c>
      <c r="CQ92" s="100">
        <v>3619.9600860883202</v>
      </c>
      <c r="CR92" s="100">
        <v>0.39326157814080681</v>
      </c>
      <c r="CS92" s="100">
        <v>308.63168652490515</v>
      </c>
      <c r="CT92" s="100">
        <v>5.3968034910796971</v>
      </c>
      <c r="CU92" s="100">
        <v>4235.4113797993459</v>
      </c>
    </row>
    <row r="93" spans="2:99">
      <c r="C93" s="99" t="s">
        <v>259</v>
      </c>
      <c r="D93" s="100">
        <v>4.2120397215456498</v>
      </c>
      <c r="E93" s="100">
        <v>2921.4707508640627</v>
      </c>
      <c r="F93" s="100">
        <v>3.0748915764574423</v>
      </c>
      <c r="G93" s="100">
        <v>2132.744797430882</v>
      </c>
      <c r="H93" s="100">
        <v>3.2976884780590199</v>
      </c>
      <c r="I93" s="100">
        <v>2287.2767283817361</v>
      </c>
      <c r="J93" s="100">
        <v>3.776515143609136</v>
      </c>
      <c r="K93" s="100">
        <v>2619.3909036072969</v>
      </c>
      <c r="L93" s="100">
        <v>1.7615288757103018</v>
      </c>
      <c r="M93" s="100">
        <v>1221.7964281926654</v>
      </c>
      <c r="N93" s="100">
        <v>4.2504811914731162</v>
      </c>
      <c r="O93" s="100">
        <v>2948.1337544057533</v>
      </c>
      <c r="P93" s="100">
        <v>0.21953503483025263</v>
      </c>
      <c r="Q93" s="100">
        <v>152.26950015826324</v>
      </c>
      <c r="R93" s="100">
        <v>5</v>
      </c>
      <c r="S93" s="100">
        <v>3468</v>
      </c>
      <c r="T93" s="100">
        <v>2.892165460765701</v>
      </c>
      <c r="U93" s="100">
        <v>2006.0059635870903</v>
      </c>
      <c r="V93" s="100">
        <v>6.3927809868039089</v>
      </c>
      <c r="W93" s="100">
        <v>4434.0328924471914</v>
      </c>
      <c r="X93" s="100">
        <v>0.88135362753340063</v>
      </c>
      <c r="Y93" s="100">
        <v>611.30687605716673</v>
      </c>
      <c r="Z93" s="100">
        <v>4</v>
      </c>
      <c r="AA93" s="100">
        <v>2774.4</v>
      </c>
      <c r="AB93" s="100">
        <v>4</v>
      </c>
      <c r="AC93" s="100">
        <v>2774.4</v>
      </c>
      <c r="AD93" s="100">
        <v>4.6153520437515327</v>
      </c>
      <c r="AE93" s="100">
        <v>3201.2081775460633</v>
      </c>
      <c r="AF93" s="100">
        <v>0.22436756704349717</v>
      </c>
      <c r="AG93" s="100">
        <v>155.62134450136963</v>
      </c>
      <c r="AH93" s="100">
        <v>5</v>
      </c>
      <c r="AI93" s="100">
        <v>3468</v>
      </c>
      <c r="AJ93" s="100">
        <v>4.2655327387773028</v>
      </c>
      <c r="AK93" s="100">
        <v>2958.5735076159372</v>
      </c>
      <c r="AL93" s="100">
        <v>4.1170611745630925</v>
      </c>
      <c r="AM93" s="100">
        <v>2855.5936306769609</v>
      </c>
      <c r="AN93" s="100">
        <v>3.6960518381163054</v>
      </c>
      <c r="AO93" s="100">
        <v>2563.5815549174695</v>
      </c>
      <c r="AP93" s="100">
        <v>2.996207790877111</v>
      </c>
      <c r="AQ93" s="100">
        <v>2078.1697237523645</v>
      </c>
      <c r="AR93" s="100">
        <v>3.0525711397149839</v>
      </c>
      <c r="AS93" s="100">
        <v>2117.2633425063127</v>
      </c>
      <c r="AT93" s="100">
        <v>2.7854844067722708</v>
      </c>
      <c r="AU93" s="100">
        <v>1932.0119845372471</v>
      </c>
      <c r="AV93" s="100">
        <v>2.8077261800484146</v>
      </c>
      <c r="AW93" s="100">
        <v>1947.4388784815803</v>
      </c>
      <c r="AX93" s="100">
        <v>2.2083568357967329</v>
      </c>
      <c r="AY93" s="100">
        <v>1531.716301308614</v>
      </c>
      <c r="AZ93" s="100">
        <v>3.1713346648920777</v>
      </c>
      <c r="BA93" s="100">
        <v>2199.6377235691452</v>
      </c>
      <c r="BB93" s="100">
        <v>4.4917987966578314</v>
      </c>
      <c r="BC93" s="100">
        <v>3115.5116453618721</v>
      </c>
      <c r="BD93" s="100">
        <v>0.26924108045219658</v>
      </c>
      <c r="BE93" s="100">
        <v>186.74561340164357</v>
      </c>
      <c r="BF93" s="100">
        <v>7.3369683143378532</v>
      </c>
      <c r="BG93" s="100">
        <v>5088.9212228247352</v>
      </c>
      <c r="BH93" s="100">
        <v>2.4977449083036682</v>
      </c>
      <c r="BI93" s="100">
        <v>1732.4358683994244</v>
      </c>
      <c r="BJ93" s="100">
        <v>2.7065263282318011</v>
      </c>
      <c r="BK93" s="100">
        <v>1877.2466612615772</v>
      </c>
      <c r="BL93" s="100">
        <v>3.1594090158845121</v>
      </c>
      <c r="BM93" s="100">
        <v>2191.3660934174977</v>
      </c>
      <c r="BN93" s="100">
        <v>3.0319811509344228</v>
      </c>
      <c r="BO93" s="100">
        <v>2102.9821262881155</v>
      </c>
      <c r="BP93" s="100">
        <v>0.19414662944171998</v>
      </c>
      <c r="BQ93" s="100">
        <v>134.66010218077699</v>
      </c>
      <c r="BR93" s="100">
        <v>8</v>
      </c>
      <c r="BS93" s="100">
        <v>5548.8</v>
      </c>
      <c r="BT93" s="100">
        <v>3.7929595060935748</v>
      </c>
      <c r="BU93" s="100">
        <v>2630.7967134265036</v>
      </c>
      <c r="BV93" s="100">
        <v>3.0167731187341329</v>
      </c>
      <c r="BW93" s="100">
        <v>2092.4338351539946</v>
      </c>
      <c r="BX93" s="100">
        <v>4.1994848396933602</v>
      </c>
      <c r="BY93" s="100">
        <v>2912.7626848113146</v>
      </c>
      <c r="BZ93" s="100">
        <v>3.0823827654343852</v>
      </c>
      <c r="CA93" s="100">
        <v>2137.9406861052898</v>
      </c>
      <c r="CB93" s="100">
        <v>0.33975660152300996</v>
      </c>
      <c r="CC93" s="100">
        <v>235.65517881635972</v>
      </c>
      <c r="CD93" s="100">
        <v>6</v>
      </c>
      <c r="CE93" s="100">
        <v>4161.6000000000004</v>
      </c>
      <c r="CF93" s="100">
        <v>7</v>
      </c>
      <c r="CG93" s="100">
        <v>4855.2</v>
      </c>
      <c r="CH93" s="100">
        <v>4.2635555870699759</v>
      </c>
      <c r="CI93" s="100">
        <v>2957.2021551917355</v>
      </c>
      <c r="CJ93" s="100">
        <v>3.5083840444985026</v>
      </c>
      <c r="CK93" s="100">
        <v>2433.4151732641617</v>
      </c>
      <c r="CL93" s="100">
        <v>3.3942103050866539</v>
      </c>
      <c r="CM93" s="100">
        <v>2354.2242676081032</v>
      </c>
      <c r="CN93" s="100">
        <v>3.2689029561277336</v>
      </c>
      <c r="CO93" s="100">
        <v>2267.3110903701963</v>
      </c>
      <c r="CP93" s="100">
        <v>3.9739391572827185</v>
      </c>
      <c r="CQ93" s="100">
        <v>2756.3241994912937</v>
      </c>
      <c r="CR93" s="100">
        <v>0.33708135269212014</v>
      </c>
      <c r="CS93" s="100">
        <v>233.79962622725455</v>
      </c>
      <c r="CT93" s="100">
        <v>5.3968034910796971</v>
      </c>
      <c r="CU93" s="100">
        <v>3743.2229014128779</v>
      </c>
    </row>
    <row r="94" spans="2:99">
      <c r="C94" s="99" t="s">
        <v>260</v>
      </c>
      <c r="D94" s="100">
        <v>4.1941527202645004</v>
      </c>
      <c r="E94" s="100">
        <v>5002.785364731496</v>
      </c>
      <c r="F94" s="100">
        <v>2.9154426909020104</v>
      </c>
      <c r="G94" s="100">
        <v>3477.5400417079177</v>
      </c>
      <c r="H94" s="100">
        <v>2.7624092341221442</v>
      </c>
      <c r="I94" s="100">
        <v>3295.0017344608937</v>
      </c>
      <c r="J94" s="100">
        <v>3.147095953007613</v>
      </c>
      <c r="K94" s="100">
        <v>3753.8560527474806</v>
      </c>
      <c r="L94" s="100">
        <v>1.7615288757103018</v>
      </c>
      <c r="M94" s="100">
        <v>2101.1516429472481</v>
      </c>
      <c r="N94" s="100">
        <v>4.2504811914731162</v>
      </c>
      <c r="O94" s="100">
        <v>5069.9739651891332</v>
      </c>
      <c r="P94" s="100">
        <v>0.21953503483025263</v>
      </c>
      <c r="Q94" s="100">
        <v>261.86138954552536</v>
      </c>
      <c r="R94" s="100">
        <v>4</v>
      </c>
      <c r="S94" s="100">
        <v>4771.2</v>
      </c>
      <c r="T94" s="100">
        <v>2.4789989663706011</v>
      </c>
      <c r="U94" s="100">
        <v>2956.9499670868531</v>
      </c>
      <c r="V94" s="100">
        <v>5</v>
      </c>
      <c r="W94" s="100">
        <v>5964</v>
      </c>
      <c r="X94" s="100">
        <v>0.88135362753340063</v>
      </c>
      <c r="Y94" s="100">
        <v>1051.2786069218403</v>
      </c>
      <c r="Z94" s="100">
        <v>4</v>
      </c>
      <c r="AA94" s="100">
        <v>4771.2</v>
      </c>
      <c r="AB94" s="100">
        <v>4</v>
      </c>
      <c r="AC94" s="100">
        <v>4771.2</v>
      </c>
      <c r="AD94" s="100">
        <v>3.7370867124072555</v>
      </c>
      <c r="AE94" s="100">
        <v>4457.5970305593746</v>
      </c>
      <c r="AF94" s="100">
        <v>0.22436756704349717</v>
      </c>
      <c r="AG94" s="100">
        <v>267.62563396948343</v>
      </c>
      <c r="AH94" s="100">
        <v>4</v>
      </c>
      <c r="AI94" s="100">
        <v>4771.2</v>
      </c>
      <c r="AJ94" s="100">
        <v>4.2655327387773028</v>
      </c>
      <c r="AK94" s="100">
        <v>5087.9274508135668</v>
      </c>
      <c r="AL94" s="100">
        <v>3.4384650630877371</v>
      </c>
      <c r="AM94" s="100">
        <v>4101.4011272510525</v>
      </c>
      <c r="AN94" s="100">
        <v>4.4558460578232415</v>
      </c>
      <c r="AO94" s="100">
        <v>5314.9331777715624</v>
      </c>
      <c r="AP94" s="100">
        <v>2.996207790877111</v>
      </c>
      <c r="AQ94" s="100">
        <v>3573.8766529582176</v>
      </c>
      <c r="AR94" s="100">
        <v>3.0525711397149839</v>
      </c>
      <c r="AS94" s="100">
        <v>3641.1068554520325</v>
      </c>
      <c r="AT94" s="100">
        <v>2.1618650015013792</v>
      </c>
      <c r="AU94" s="100">
        <v>2578.672573790845</v>
      </c>
      <c r="AV94" s="100">
        <v>2.8077261800484146</v>
      </c>
      <c r="AW94" s="100">
        <v>3349.0557875617487</v>
      </c>
      <c r="AX94" s="100">
        <v>2.1799034942458215</v>
      </c>
      <c r="AY94" s="100">
        <v>2600.188887936416</v>
      </c>
      <c r="AZ94" s="100">
        <v>3.1529044206453465</v>
      </c>
      <c r="BA94" s="100">
        <v>3760.784392945769</v>
      </c>
      <c r="BB94" s="100">
        <v>3.8558112517430865</v>
      </c>
      <c r="BC94" s="100">
        <v>4599.2116610791536</v>
      </c>
      <c r="BD94" s="100">
        <v>0.31411459386089602</v>
      </c>
      <c r="BE94" s="100">
        <v>374.67588755727678</v>
      </c>
      <c r="BF94" s="100">
        <v>6.3369683143378532</v>
      </c>
      <c r="BG94" s="100">
        <v>7558.7358053421913</v>
      </c>
      <c r="BH94" s="100">
        <v>2.4779349221484854</v>
      </c>
      <c r="BI94" s="100">
        <v>2955.6807751387132</v>
      </c>
      <c r="BJ94" s="100">
        <v>2.7065263282318011</v>
      </c>
      <c r="BK94" s="100">
        <v>3228.344604314892</v>
      </c>
      <c r="BL94" s="100">
        <v>3.1594090158845121</v>
      </c>
      <c r="BM94" s="100">
        <v>3768.5430741470459</v>
      </c>
      <c r="BN94" s="100">
        <v>3.0319811509344228</v>
      </c>
      <c r="BO94" s="100">
        <v>3616.5471168345794</v>
      </c>
      <c r="BP94" s="100">
        <v>0.24268328680215001</v>
      </c>
      <c r="BQ94" s="100">
        <v>289.4726244976045</v>
      </c>
      <c r="BR94" s="100">
        <v>7</v>
      </c>
      <c r="BS94" s="100">
        <v>8349.6</v>
      </c>
      <c r="BT94" s="100">
        <v>3.7929595060935748</v>
      </c>
      <c r="BU94" s="100">
        <v>4524.2420988684162</v>
      </c>
      <c r="BV94" s="100">
        <v>3.0167731187341329</v>
      </c>
      <c r="BW94" s="100">
        <v>3598.4069760260736</v>
      </c>
      <c r="BX94" s="100">
        <v>4.1994848396933602</v>
      </c>
      <c r="BY94" s="100">
        <v>5009.1455167862396</v>
      </c>
      <c r="BZ94" s="100">
        <v>2.5864558102873088</v>
      </c>
      <c r="CA94" s="100">
        <v>3085.1244905107019</v>
      </c>
      <c r="CB94" s="100">
        <v>0.33975660152300996</v>
      </c>
      <c r="CC94" s="100">
        <v>405.26167429664628</v>
      </c>
      <c r="CD94" s="100">
        <v>5</v>
      </c>
      <c r="CE94" s="100">
        <v>5964</v>
      </c>
      <c r="CF94" s="100">
        <v>7</v>
      </c>
      <c r="CG94" s="100">
        <v>8349.6</v>
      </c>
      <c r="CH94" s="100">
        <v>4.2635555870699759</v>
      </c>
      <c r="CI94" s="100">
        <v>5085.569104257067</v>
      </c>
      <c r="CJ94" s="100">
        <v>3.0156444072748796</v>
      </c>
      <c r="CK94" s="100">
        <v>3597.0606489974762</v>
      </c>
      <c r="CL94" s="100">
        <v>3.3942103050866539</v>
      </c>
      <c r="CM94" s="100">
        <v>4048.6140519073606</v>
      </c>
      <c r="CN94" s="100">
        <v>3.2157438558649498</v>
      </c>
      <c r="CO94" s="100">
        <v>3835.7392712757119</v>
      </c>
      <c r="CP94" s="100">
        <v>4.620480319650313</v>
      </c>
      <c r="CQ94" s="100">
        <v>5511.3089252788932</v>
      </c>
      <c r="CR94" s="100">
        <v>0.33708135269212014</v>
      </c>
      <c r="CS94" s="100">
        <v>402.07063749116088</v>
      </c>
      <c r="CT94" s="100">
        <v>5.3968034910796971</v>
      </c>
      <c r="CU94" s="100">
        <v>6437.3072041598625</v>
      </c>
    </row>
    <row r="95" spans="2:99">
      <c r="B95" s="99" t="s">
        <v>132</v>
      </c>
      <c r="C95" s="99" t="s">
        <v>261</v>
      </c>
      <c r="D95" s="100">
        <v>4.0868307125776013</v>
      </c>
      <c r="E95" s="100">
        <v>1343.7499382955154</v>
      </c>
      <c r="F95" s="100">
        <v>5.2814047053283799</v>
      </c>
      <c r="G95" s="100">
        <v>1736.5258671119714</v>
      </c>
      <c r="H95" s="100">
        <v>5.4196914505981288</v>
      </c>
      <c r="I95" s="100">
        <v>1781.9945489566649</v>
      </c>
      <c r="J95" s="100">
        <v>5.0353535248121819</v>
      </c>
      <c r="K95" s="100">
        <v>1655.6242389582455</v>
      </c>
      <c r="L95" s="100">
        <v>6.4589392109377739</v>
      </c>
      <c r="M95" s="100">
        <v>2123.6992125563402</v>
      </c>
      <c r="N95" s="100">
        <v>5.0485298583524667</v>
      </c>
      <c r="O95" s="100">
        <v>1659.9566174262911</v>
      </c>
      <c r="P95" s="100">
        <v>0.43907006966050527</v>
      </c>
      <c r="Q95" s="100">
        <v>144.36623890437414</v>
      </c>
      <c r="R95" s="100">
        <v>8</v>
      </c>
      <c r="S95" s="100">
        <v>2630.4</v>
      </c>
      <c r="T95" s="100">
        <v>3.3053319551608014</v>
      </c>
      <c r="U95" s="100">
        <v>1086.7931468568715</v>
      </c>
      <c r="V95" s="100">
        <v>10.436423318671009</v>
      </c>
      <c r="W95" s="100">
        <v>3431.4959871790279</v>
      </c>
      <c r="X95" s="100">
        <v>2.6440608826002014</v>
      </c>
      <c r="Y95" s="100">
        <v>869.36721819894626</v>
      </c>
      <c r="Z95" s="100">
        <v>8</v>
      </c>
      <c r="AA95" s="100">
        <v>2630.4</v>
      </c>
      <c r="AB95" s="100">
        <v>10</v>
      </c>
      <c r="AC95" s="100">
        <v>3288</v>
      </c>
      <c r="AD95" s="100">
        <v>5.5576246285329942</v>
      </c>
      <c r="AE95" s="100">
        <v>1827.3469778616486</v>
      </c>
      <c r="AF95" s="100">
        <v>0.49360864749569378</v>
      </c>
      <c r="AG95" s="100">
        <v>162.29852329658411</v>
      </c>
      <c r="AH95" s="100">
        <v>9</v>
      </c>
      <c r="AI95" s="100">
        <v>2959.2000000000003</v>
      </c>
      <c r="AJ95" s="100">
        <v>8.8045122446259523</v>
      </c>
      <c r="AK95" s="100">
        <v>2894.9236260330131</v>
      </c>
      <c r="AL95" s="100">
        <v>5.9026847275788814</v>
      </c>
      <c r="AM95" s="100">
        <v>1940.8027384279362</v>
      </c>
      <c r="AN95" s="100">
        <v>4.4532730763127821</v>
      </c>
      <c r="AO95" s="100">
        <v>1464.2361874916428</v>
      </c>
      <c r="AP95" s="100">
        <v>4.7939324654033779</v>
      </c>
      <c r="AQ95" s="100">
        <v>1576.2449946246306</v>
      </c>
      <c r="AR95" s="100">
        <v>5.3419994945012217</v>
      </c>
      <c r="AS95" s="100">
        <v>1756.4494337920019</v>
      </c>
      <c r="AT95" s="100">
        <v>5.3672640635624465</v>
      </c>
      <c r="AU95" s="100">
        <v>1764.7564240993324</v>
      </c>
      <c r="AV95" s="100">
        <v>5.2762503391509616</v>
      </c>
      <c r="AW95" s="100">
        <v>1734.8311115128363</v>
      </c>
      <c r="AX95" s="100">
        <v>5.5000892275955025</v>
      </c>
      <c r="AY95" s="100">
        <v>1808.4293380334013</v>
      </c>
      <c r="AZ95" s="100">
        <v>4.563484432747436</v>
      </c>
      <c r="BA95" s="100">
        <v>1500.473681487357</v>
      </c>
      <c r="BB95" s="100">
        <v>5.0799231628670407</v>
      </c>
      <c r="BC95" s="100">
        <v>1670.2787359506831</v>
      </c>
      <c r="BD95" s="100">
        <v>0.44873513408699434</v>
      </c>
      <c r="BE95" s="100">
        <v>147.54411208780374</v>
      </c>
      <c r="BF95" s="100">
        <v>6.5295216368166269</v>
      </c>
      <c r="BG95" s="100">
        <v>2146.906714185307</v>
      </c>
      <c r="BH95" s="100">
        <v>4.1630487349019996</v>
      </c>
      <c r="BI95" s="100">
        <v>1368.8104240357775</v>
      </c>
      <c r="BJ95" s="100">
        <v>5.6778914436618555</v>
      </c>
      <c r="BK95" s="100">
        <v>1866.8907066760182</v>
      </c>
      <c r="BL95" s="100">
        <v>5.4484259129317492</v>
      </c>
      <c r="BM95" s="100">
        <v>1791.4424401719591</v>
      </c>
      <c r="BN95" s="100">
        <v>5.5129877471832538</v>
      </c>
      <c r="BO95" s="100">
        <v>1812.670371273854</v>
      </c>
      <c r="BP95" s="100">
        <v>0.43682991624386996</v>
      </c>
      <c r="BQ95" s="100">
        <v>143.62967646098446</v>
      </c>
      <c r="BR95" s="100">
        <v>6</v>
      </c>
      <c r="BS95" s="100">
        <v>1972.8000000000002</v>
      </c>
      <c r="BT95" s="100">
        <v>10.430638641757332</v>
      </c>
      <c r="BU95" s="100">
        <v>3429.593985409811</v>
      </c>
      <c r="BV95" s="100">
        <v>6.0335462374682658</v>
      </c>
      <c r="BW95" s="100">
        <v>1983.8300028795659</v>
      </c>
      <c r="BX95" s="100">
        <v>4.1994848396933602</v>
      </c>
      <c r="BY95" s="100">
        <v>1380.7906152911769</v>
      </c>
      <c r="BZ95" s="100">
        <v>6.0579444963168454</v>
      </c>
      <c r="CA95" s="100">
        <v>1991.8521503889788</v>
      </c>
      <c r="CB95" s="100">
        <v>0.33975660152300996</v>
      </c>
      <c r="CC95" s="100">
        <v>111.71197058076568</v>
      </c>
      <c r="CD95" s="100">
        <v>7</v>
      </c>
      <c r="CE95" s="100">
        <v>2301.6</v>
      </c>
      <c r="CF95" s="100">
        <v>7</v>
      </c>
      <c r="CG95" s="100">
        <v>2301.6</v>
      </c>
      <c r="CH95" s="100">
        <v>8.5271111741399519</v>
      </c>
      <c r="CI95" s="100">
        <v>2803.7141540572161</v>
      </c>
      <c r="CJ95" s="100">
        <v>5.6760493109509191</v>
      </c>
      <c r="CK95" s="100">
        <v>1866.2850134406622</v>
      </c>
      <c r="CL95" s="100">
        <v>5.4232120139075217</v>
      </c>
      <c r="CM95" s="100">
        <v>1783.1521101727933</v>
      </c>
      <c r="CN95" s="100">
        <v>5.554438899400659</v>
      </c>
      <c r="CO95" s="100">
        <v>1826.2995101229367</v>
      </c>
      <c r="CP95" s="100">
        <v>3.9344840810005728</v>
      </c>
      <c r="CQ95" s="100">
        <v>1293.6583658329885</v>
      </c>
      <c r="CR95" s="100">
        <v>0.33708135269212014</v>
      </c>
      <c r="CS95" s="100">
        <v>110.8323487651691</v>
      </c>
      <c r="CT95" s="100">
        <v>10.545604800234583</v>
      </c>
      <c r="CU95" s="100">
        <v>3467.3948583171314</v>
      </c>
    </row>
    <row r="96" spans="2:99">
      <c r="C96" s="99" t="s">
        <v>262</v>
      </c>
      <c r="D96" s="100">
        <v>4.7679691646738682</v>
      </c>
      <c r="E96" s="100">
        <v>3312.7849756154033</v>
      </c>
      <c r="F96" s="100">
        <v>4.552544032602877</v>
      </c>
      <c r="G96" s="100">
        <v>3163.1075938524787</v>
      </c>
      <c r="H96" s="100">
        <v>5.4196914505981288</v>
      </c>
      <c r="I96" s="100">
        <v>3765.6016198755797</v>
      </c>
      <c r="J96" s="100">
        <v>5.0353535248121819</v>
      </c>
      <c r="K96" s="100">
        <v>3498.5636290395037</v>
      </c>
      <c r="L96" s="100">
        <v>6.4589392109377739</v>
      </c>
      <c r="M96" s="100">
        <v>4487.670963759565</v>
      </c>
      <c r="N96" s="100">
        <v>4.3465188360807927</v>
      </c>
      <c r="O96" s="100">
        <v>3019.9612873089345</v>
      </c>
      <c r="P96" s="100">
        <v>0.43907006966050527</v>
      </c>
      <c r="Q96" s="100">
        <v>305.06588440011905</v>
      </c>
      <c r="R96" s="100">
        <v>8</v>
      </c>
      <c r="S96" s="100">
        <v>5558.4</v>
      </c>
      <c r="T96" s="100">
        <v>3.3053319551608014</v>
      </c>
      <c r="U96" s="100">
        <v>2296.5446424457245</v>
      </c>
      <c r="V96" s="100">
        <v>10</v>
      </c>
      <c r="W96" s="100">
        <v>6948</v>
      </c>
      <c r="X96" s="100">
        <v>2.4237224757168518</v>
      </c>
      <c r="Y96" s="100">
        <v>1684.0023761280686</v>
      </c>
      <c r="Z96" s="100">
        <v>7</v>
      </c>
      <c r="AA96" s="100">
        <v>4863.5999999999995</v>
      </c>
      <c r="AB96" s="100">
        <v>10</v>
      </c>
      <c r="AC96" s="100">
        <v>6948</v>
      </c>
      <c r="AD96" s="100">
        <v>4.679359297188717</v>
      </c>
      <c r="AE96" s="100">
        <v>3251.2188396867205</v>
      </c>
      <c r="AF96" s="100">
        <v>0.4038616206782949</v>
      </c>
      <c r="AG96" s="100">
        <v>280.60305404727927</v>
      </c>
      <c r="AH96" s="100">
        <v>10</v>
      </c>
      <c r="AI96" s="100">
        <v>6948</v>
      </c>
      <c r="AJ96" s="100">
        <v>8.8045122446259523</v>
      </c>
      <c r="AK96" s="100">
        <v>6117.3751075661112</v>
      </c>
      <c r="AL96" s="100">
        <v>6.1528495089891591</v>
      </c>
      <c r="AM96" s="100">
        <v>4274.999838845667</v>
      </c>
      <c r="AN96" s="100">
        <v>4.4532730763127821</v>
      </c>
      <c r="AO96" s="100">
        <v>3094.1341334221206</v>
      </c>
      <c r="AP96" s="100">
        <v>5.3931740235788004</v>
      </c>
      <c r="AQ96" s="100">
        <v>3747.1773115825504</v>
      </c>
      <c r="AR96" s="100">
        <v>5.3419994945012217</v>
      </c>
      <c r="AS96" s="100">
        <v>3711.6212487794487</v>
      </c>
      <c r="AT96" s="100">
        <v>5.3963647421313174</v>
      </c>
      <c r="AU96" s="100">
        <v>3749.3942228328392</v>
      </c>
      <c r="AV96" s="100">
        <v>5.8038753730660568</v>
      </c>
      <c r="AW96" s="100">
        <v>4032.532609206296</v>
      </c>
      <c r="AX96" s="100">
        <v>6.1129103594737995</v>
      </c>
      <c r="AY96" s="100">
        <v>4247.2501177623953</v>
      </c>
      <c r="AZ96" s="100">
        <v>5.5775920844690878</v>
      </c>
      <c r="BA96" s="100">
        <v>3875.3109802891217</v>
      </c>
      <c r="BB96" s="100">
        <v>5.0799231628670407</v>
      </c>
      <c r="BC96" s="100">
        <v>3529.5306135600194</v>
      </c>
      <c r="BD96" s="100">
        <v>0.4038616206782949</v>
      </c>
      <c r="BE96" s="100">
        <v>280.60305404727927</v>
      </c>
      <c r="BF96" s="100">
        <v>6.5776599674363201</v>
      </c>
      <c r="BG96" s="100">
        <v>4570.1581453747549</v>
      </c>
      <c r="BH96" s="100">
        <v>4.3809585826090114</v>
      </c>
      <c r="BI96" s="100">
        <v>3043.8900231967409</v>
      </c>
      <c r="BJ96" s="100">
        <v>5.6558215447286679</v>
      </c>
      <c r="BK96" s="100">
        <v>3929.6648092774781</v>
      </c>
      <c r="BL96" s="100">
        <v>5.4484259129317492</v>
      </c>
      <c r="BM96" s="100">
        <v>3785.5663243049789</v>
      </c>
      <c r="BN96" s="100">
        <v>5.5129877471832538</v>
      </c>
      <c r="BO96" s="100">
        <v>3830.4238867429244</v>
      </c>
      <c r="BP96" s="100">
        <v>0.43682991624386996</v>
      </c>
      <c r="BQ96" s="100">
        <v>303.50942580624081</v>
      </c>
      <c r="BR96" s="100">
        <v>6</v>
      </c>
      <c r="BS96" s="100">
        <v>4168.7999999999993</v>
      </c>
      <c r="BT96" s="100">
        <v>9.4823987652339383</v>
      </c>
      <c r="BU96" s="100">
        <v>6588.3706620845396</v>
      </c>
      <c r="BV96" s="100">
        <v>6.0335462374682658</v>
      </c>
      <c r="BW96" s="100">
        <v>4192.1079257929505</v>
      </c>
      <c r="BX96" s="100">
        <v>4.8993989796422532</v>
      </c>
      <c r="BY96" s="100">
        <v>3404.1024110554372</v>
      </c>
      <c r="BZ96" s="100">
        <v>5.0660905860226917</v>
      </c>
      <c r="CA96" s="100">
        <v>3519.9197391685661</v>
      </c>
      <c r="CB96" s="100">
        <v>0.40770792182761201</v>
      </c>
      <c r="CC96" s="100">
        <v>283.27546408582481</v>
      </c>
      <c r="CD96" s="100">
        <v>6</v>
      </c>
      <c r="CE96" s="100">
        <v>4168.7999999999993</v>
      </c>
      <c r="CF96" s="100">
        <v>6</v>
      </c>
      <c r="CG96" s="100">
        <v>4168.7999999999993</v>
      </c>
      <c r="CH96" s="100">
        <v>6.8216889393119624</v>
      </c>
      <c r="CI96" s="100">
        <v>4739.7094750339511</v>
      </c>
      <c r="CJ96" s="100">
        <v>5.2030452017050086</v>
      </c>
      <c r="CK96" s="100">
        <v>3615.07580614464</v>
      </c>
      <c r="CL96" s="100">
        <v>5.4232120139075217</v>
      </c>
      <c r="CM96" s="100">
        <v>3768.047707262946</v>
      </c>
      <c r="CN96" s="100">
        <v>4.996344688648124</v>
      </c>
      <c r="CO96" s="100">
        <v>3471.4602896727165</v>
      </c>
      <c r="CP96" s="100">
        <v>3.9344840810005728</v>
      </c>
      <c r="CQ96" s="100">
        <v>2733.679539479198</v>
      </c>
      <c r="CR96" s="100">
        <v>0.33708135269212014</v>
      </c>
      <c r="CS96" s="100">
        <v>234.20412385048505</v>
      </c>
      <c r="CT96" s="100">
        <v>11.496004363849622</v>
      </c>
      <c r="CU96" s="100">
        <v>7987.4238320027162</v>
      </c>
    </row>
    <row r="97" spans="2:99">
      <c r="C97" s="99" t="s">
        <v>263</v>
      </c>
      <c r="D97" s="100">
        <v>4.7679691646738682</v>
      </c>
      <c r="E97" s="100">
        <v>1870.9511002180259</v>
      </c>
      <c r="F97" s="100">
        <v>5.3013358160228083</v>
      </c>
      <c r="G97" s="100">
        <v>2080.2441742073497</v>
      </c>
      <c r="H97" s="100">
        <v>5.4292484522023257</v>
      </c>
      <c r="I97" s="100">
        <v>2130.4370926441925</v>
      </c>
      <c r="J97" s="100">
        <v>5.0353535248121819</v>
      </c>
      <c r="K97" s="100">
        <v>1975.8727231363</v>
      </c>
      <c r="L97" s="100">
        <v>6.4589392109377739</v>
      </c>
      <c r="M97" s="100">
        <v>2534.4877463719822</v>
      </c>
      <c r="N97" s="100">
        <v>5.0101148005093963</v>
      </c>
      <c r="O97" s="100">
        <v>1965.9690477198869</v>
      </c>
      <c r="P97" s="100">
        <v>0.49395382836806839</v>
      </c>
      <c r="Q97" s="100">
        <v>193.82748225163002</v>
      </c>
      <c r="R97" s="100">
        <v>8</v>
      </c>
      <c r="S97" s="100">
        <v>3139.2</v>
      </c>
      <c r="T97" s="100">
        <v>3.7184984495559013</v>
      </c>
      <c r="U97" s="100">
        <v>1459.1387916057356</v>
      </c>
      <c r="V97" s="100">
        <v>10</v>
      </c>
      <c r="W97" s="100">
        <v>3924</v>
      </c>
      <c r="X97" s="100">
        <v>2.6440608826002014</v>
      </c>
      <c r="Y97" s="100">
        <v>1037.529490332319</v>
      </c>
      <c r="Z97" s="100">
        <v>8</v>
      </c>
      <c r="AA97" s="100">
        <v>3139.2</v>
      </c>
      <c r="AB97" s="100">
        <v>9</v>
      </c>
      <c r="AC97" s="100">
        <v>3531.6</v>
      </c>
      <c r="AD97" s="100">
        <v>5.5896282552515864</v>
      </c>
      <c r="AE97" s="100">
        <v>2193.3701273607226</v>
      </c>
      <c r="AF97" s="100">
        <v>0.49360864749569378</v>
      </c>
      <c r="AG97" s="100">
        <v>193.69203327731023</v>
      </c>
      <c r="AH97" s="100">
        <v>10</v>
      </c>
      <c r="AI97" s="100">
        <v>3924</v>
      </c>
      <c r="AJ97" s="100">
        <v>8.0041020405690482</v>
      </c>
      <c r="AK97" s="100">
        <v>3140.8096407192943</v>
      </c>
      <c r="AL97" s="100">
        <v>6.1528495089891591</v>
      </c>
      <c r="AM97" s="100">
        <v>2414.3781473273457</v>
      </c>
      <c r="AN97" s="100">
        <v>4.4532730763127821</v>
      </c>
      <c r="AO97" s="100">
        <v>1747.4643551451356</v>
      </c>
      <c r="AP97" s="100">
        <v>4.7939324654033779</v>
      </c>
      <c r="AQ97" s="100">
        <v>1881.1390994242854</v>
      </c>
      <c r="AR97" s="100">
        <v>4.5788567095724755</v>
      </c>
      <c r="AS97" s="100">
        <v>1796.7433728362394</v>
      </c>
      <c r="AT97" s="100">
        <v>5.3381633849935763</v>
      </c>
      <c r="AU97" s="100">
        <v>2094.6953122714795</v>
      </c>
      <c r="AV97" s="100">
        <v>5.2762503391509616</v>
      </c>
      <c r="AW97" s="100">
        <v>2070.4006330828374</v>
      </c>
      <c r="AX97" s="100">
        <v>5.7714702608628672</v>
      </c>
      <c r="AY97" s="100">
        <v>2264.724930362589</v>
      </c>
      <c r="AZ97" s="100">
        <v>4.563484432747436</v>
      </c>
      <c r="BA97" s="100">
        <v>1790.7112914100937</v>
      </c>
      <c r="BB97" s="100">
        <v>4.4519128144032187</v>
      </c>
      <c r="BC97" s="100">
        <v>1746.930588371823</v>
      </c>
      <c r="BD97" s="100">
        <v>0.35898810726959546</v>
      </c>
      <c r="BE97" s="100">
        <v>140.86693329258924</v>
      </c>
      <c r="BF97" s="100">
        <v>6.5295216368166269</v>
      </c>
      <c r="BG97" s="100">
        <v>2562.1842902868443</v>
      </c>
      <c r="BH97" s="100">
        <v>4.1630487349019996</v>
      </c>
      <c r="BI97" s="100">
        <v>1633.5803235755445</v>
      </c>
      <c r="BJ97" s="100">
        <v>6.219196709308215</v>
      </c>
      <c r="BK97" s="100">
        <v>2440.4127887325435</v>
      </c>
      <c r="BL97" s="100">
        <v>4.9531144663015905</v>
      </c>
      <c r="BM97" s="100">
        <v>1943.602116576744</v>
      </c>
      <c r="BN97" s="100">
        <v>5.0228723429819118</v>
      </c>
      <c r="BO97" s="100">
        <v>1970.9751073861021</v>
      </c>
      <c r="BP97" s="100">
        <v>0.43682991624386996</v>
      </c>
      <c r="BQ97" s="100">
        <v>171.41205913409456</v>
      </c>
      <c r="BR97" s="100">
        <v>6</v>
      </c>
      <c r="BS97" s="100">
        <v>2354.3999999999996</v>
      </c>
      <c r="BT97" s="100">
        <v>10.430638641757332</v>
      </c>
      <c r="BU97" s="100">
        <v>4092.9826030255767</v>
      </c>
      <c r="BV97" s="100">
        <v>5.2793529577847327</v>
      </c>
      <c r="BW97" s="100">
        <v>2071.6181006347288</v>
      </c>
      <c r="BX97" s="100">
        <v>4.1994848396933602</v>
      </c>
      <c r="BY97" s="100">
        <v>1647.8778510956745</v>
      </c>
      <c r="BZ97" s="100">
        <v>6.0579444963168454</v>
      </c>
      <c r="CA97" s="100">
        <v>2377.1374203547298</v>
      </c>
      <c r="CB97" s="100">
        <v>0.33975660152300996</v>
      </c>
      <c r="CC97" s="100">
        <v>133.3204904376291</v>
      </c>
      <c r="CD97" s="100">
        <v>7</v>
      </c>
      <c r="CE97" s="100">
        <v>2746.7999999999997</v>
      </c>
      <c r="CF97" s="100">
        <v>6</v>
      </c>
      <c r="CG97" s="100">
        <v>2354.3999999999996</v>
      </c>
      <c r="CH97" s="100">
        <v>8.5271111741399519</v>
      </c>
      <c r="CI97" s="100">
        <v>3346.0384247325169</v>
      </c>
      <c r="CJ97" s="100">
        <v>5.6760493109509191</v>
      </c>
      <c r="CK97" s="100">
        <v>2227.2817496171406</v>
      </c>
      <c r="CL97" s="100">
        <v>4.7476619103663085</v>
      </c>
      <c r="CM97" s="100">
        <v>1862.9825336277393</v>
      </c>
      <c r="CN97" s="100">
        <v>4.9431855883853411</v>
      </c>
      <c r="CO97" s="100">
        <v>1939.7060248824077</v>
      </c>
      <c r="CP97" s="100">
        <v>4.5810252433681677</v>
      </c>
      <c r="CQ97" s="100">
        <v>1797.594305497669</v>
      </c>
      <c r="CR97" s="100">
        <v>0.33708135269212014</v>
      </c>
      <c r="CS97" s="100">
        <v>132.27072279638793</v>
      </c>
      <c r="CT97" s="100">
        <v>10.446403927464658</v>
      </c>
      <c r="CU97" s="100">
        <v>4099.1689011371318</v>
      </c>
    </row>
    <row r="98" spans="2:99">
      <c r="C98" s="99" t="s">
        <v>264</v>
      </c>
      <c r="D98" s="100">
        <v>4.7679691646738682</v>
      </c>
      <c r="E98" s="100">
        <v>2506.0445929525854</v>
      </c>
      <c r="F98" s="100">
        <v>5.3013358160228083</v>
      </c>
      <c r="G98" s="100">
        <v>2786.3821049015883</v>
      </c>
      <c r="H98" s="100">
        <v>5.4292484522023257</v>
      </c>
      <c r="I98" s="100">
        <v>2853.6129864775426</v>
      </c>
      <c r="J98" s="100">
        <v>4.4059343342106585</v>
      </c>
      <c r="K98" s="100">
        <v>2315.7590860611222</v>
      </c>
      <c r="L98" s="100">
        <v>6.4589392109377739</v>
      </c>
      <c r="M98" s="100">
        <v>3394.8184492688943</v>
      </c>
      <c r="N98" s="100">
        <v>4.327311307159257</v>
      </c>
      <c r="O98" s="100">
        <v>2274.4348230429055</v>
      </c>
      <c r="P98" s="100">
        <v>0.49395382836806839</v>
      </c>
      <c r="Q98" s="100">
        <v>259.62213219025676</v>
      </c>
      <c r="R98" s="100">
        <v>8</v>
      </c>
      <c r="S98" s="100">
        <v>4204.8</v>
      </c>
      <c r="T98" s="100">
        <v>3.3053319551608014</v>
      </c>
      <c r="U98" s="100">
        <v>1737.2824756325172</v>
      </c>
      <c r="V98" s="100">
        <v>11</v>
      </c>
      <c r="W98" s="100">
        <v>5781.6</v>
      </c>
      <c r="X98" s="100">
        <v>2.4237224757168518</v>
      </c>
      <c r="Y98" s="100">
        <v>1273.9085332367774</v>
      </c>
      <c r="Z98" s="100">
        <v>8</v>
      </c>
      <c r="AA98" s="100">
        <v>4204.8</v>
      </c>
      <c r="AB98" s="100">
        <v>10</v>
      </c>
      <c r="AC98" s="100">
        <v>5256</v>
      </c>
      <c r="AD98" s="100">
        <v>5.5896282552515864</v>
      </c>
      <c r="AE98" s="100">
        <v>2937.908610960234</v>
      </c>
      <c r="AF98" s="100">
        <v>0.44873513408699434</v>
      </c>
      <c r="AG98" s="100">
        <v>235.85518647612423</v>
      </c>
      <c r="AH98" s="100">
        <v>10</v>
      </c>
      <c r="AI98" s="100">
        <v>5256</v>
      </c>
      <c r="AJ98" s="100">
        <v>9.6049224486828582</v>
      </c>
      <c r="AK98" s="100">
        <v>5048.3472390277102</v>
      </c>
      <c r="AL98" s="100">
        <v>6.1301072561336802</v>
      </c>
      <c r="AM98" s="100">
        <v>3221.9843738238624</v>
      </c>
      <c r="AN98" s="100">
        <v>4.4532730763127821</v>
      </c>
      <c r="AO98" s="100">
        <v>2340.6403289099985</v>
      </c>
      <c r="AP98" s="100">
        <v>4.7939324654033779</v>
      </c>
      <c r="AQ98" s="100">
        <v>2519.6909038160156</v>
      </c>
      <c r="AR98" s="100">
        <v>5.3419994945012217</v>
      </c>
      <c r="AS98" s="100">
        <v>2807.7549343098422</v>
      </c>
      <c r="AT98" s="100">
        <v>5.3963647421313174</v>
      </c>
      <c r="AU98" s="100">
        <v>2836.3293084642205</v>
      </c>
      <c r="AV98" s="100">
        <v>5.5094517285512454</v>
      </c>
      <c r="AW98" s="100">
        <v>2895.7678285265347</v>
      </c>
      <c r="AX98" s="100">
        <v>6.0844570179228894</v>
      </c>
      <c r="AY98" s="100">
        <v>3197.9906086202709</v>
      </c>
      <c r="AZ98" s="100">
        <v>5.0705382586082619</v>
      </c>
      <c r="BA98" s="100">
        <v>2665.0749087245026</v>
      </c>
      <c r="BB98" s="100">
        <v>4.4519128144032187</v>
      </c>
      <c r="BC98" s="100">
        <v>2339.9253752503319</v>
      </c>
      <c r="BD98" s="100">
        <v>0.4038616206782949</v>
      </c>
      <c r="BE98" s="100">
        <v>212.26966782851181</v>
      </c>
      <c r="BF98" s="100">
        <v>7</v>
      </c>
      <c r="BG98" s="100">
        <v>3679.2000000000003</v>
      </c>
      <c r="BH98" s="100">
        <v>4.1630487349019996</v>
      </c>
      <c r="BI98" s="100">
        <v>2188.0984150644908</v>
      </c>
      <c r="BJ98" s="100">
        <v>6.219196709308215</v>
      </c>
      <c r="BK98" s="100">
        <v>3268.8097904123979</v>
      </c>
      <c r="BL98" s="100">
        <v>4.9531144663015905</v>
      </c>
      <c r="BM98" s="100">
        <v>2603.356963488116</v>
      </c>
      <c r="BN98" s="100">
        <v>5.0167864279334875</v>
      </c>
      <c r="BO98" s="100">
        <v>2636.822946521841</v>
      </c>
      <c r="BP98" s="100">
        <v>0.43682991624386996</v>
      </c>
      <c r="BQ98" s="100">
        <v>229.59780397777806</v>
      </c>
      <c r="BR98" s="100">
        <v>7</v>
      </c>
      <c r="BS98" s="100">
        <v>3679.2000000000003</v>
      </c>
      <c r="BT98" s="100">
        <v>11.378878518280725</v>
      </c>
      <c r="BU98" s="100">
        <v>5980.7385492083495</v>
      </c>
      <c r="BV98" s="100">
        <v>6.0335462374682658</v>
      </c>
      <c r="BW98" s="100">
        <v>3171.2319024133208</v>
      </c>
      <c r="BX98" s="100">
        <v>4.1994848396933602</v>
      </c>
      <c r="BY98" s="100">
        <v>2207.24923174283</v>
      </c>
      <c r="BZ98" s="100">
        <v>5.579821046928422</v>
      </c>
      <c r="CA98" s="100">
        <v>2932.7539422655786</v>
      </c>
      <c r="CB98" s="100">
        <v>0.33975660152300996</v>
      </c>
      <c r="CC98" s="100">
        <v>178.57606976049405</v>
      </c>
      <c r="CD98" s="100">
        <v>7</v>
      </c>
      <c r="CE98" s="100">
        <v>3679.2000000000003</v>
      </c>
      <c r="CF98" s="100">
        <v>7</v>
      </c>
      <c r="CG98" s="100">
        <v>3679.2000000000003</v>
      </c>
      <c r="CH98" s="100">
        <v>7.6744000567259576</v>
      </c>
      <c r="CI98" s="100">
        <v>4033.6646698151635</v>
      </c>
      <c r="CJ98" s="100">
        <v>5.2030452017050086</v>
      </c>
      <c r="CK98" s="100">
        <v>2734.7205580161526</v>
      </c>
      <c r="CL98" s="100">
        <v>4.7288507247884963</v>
      </c>
      <c r="CM98" s="100">
        <v>2485.4839409488336</v>
      </c>
      <c r="CN98" s="100">
        <v>4.9697651385167321</v>
      </c>
      <c r="CO98" s="100">
        <v>2612.1085568043945</v>
      </c>
      <c r="CP98" s="100">
        <v>3.9344840810005728</v>
      </c>
      <c r="CQ98" s="100">
        <v>2067.9648329739011</v>
      </c>
      <c r="CR98" s="100">
        <v>0.39326157814080681</v>
      </c>
      <c r="CS98" s="100">
        <v>206.69828547080806</v>
      </c>
      <c r="CT98" s="100">
        <v>9.4960043638496217</v>
      </c>
      <c r="CU98" s="100">
        <v>4991.0998936393617</v>
      </c>
    </row>
    <row r="99" spans="2:99">
      <c r="C99" s="99" t="s">
        <v>265</v>
      </c>
      <c r="D99" s="100">
        <v>3.4056922604813344</v>
      </c>
      <c r="E99" s="100">
        <v>14332.515309009646</v>
      </c>
      <c r="F99" s="100">
        <v>3.8037522491829452</v>
      </c>
      <c r="G99" s="100">
        <v>16007.710965461505</v>
      </c>
      <c r="H99" s="100">
        <v>3.8138537187875023</v>
      </c>
      <c r="I99" s="100">
        <v>16050.221990145323</v>
      </c>
      <c r="J99" s="100">
        <v>4.4059343342106585</v>
      </c>
      <c r="K99" s="100">
        <v>18541.934052092132</v>
      </c>
      <c r="L99" s="100">
        <v>4.6974103352274721</v>
      </c>
      <c r="M99" s="100">
        <v>19768.581654771293</v>
      </c>
      <c r="N99" s="100">
        <v>4.2888962493161866</v>
      </c>
      <c r="O99" s="100">
        <v>18049.390975622238</v>
      </c>
      <c r="P99" s="100">
        <v>0.32930255224537891</v>
      </c>
      <c r="Q99" s="100">
        <v>1385.8368608694525</v>
      </c>
      <c r="R99" s="100">
        <v>7</v>
      </c>
      <c r="S99" s="100">
        <v>29458.799999999996</v>
      </c>
      <c r="T99" s="100">
        <v>2.892165460765701</v>
      </c>
      <c r="U99" s="100">
        <v>12171.389125086374</v>
      </c>
      <c r="V99" s="100">
        <v>8</v>
      </c>
      <c r="W99" s="100">
        <v>33667.199999999997</v>
      </c>
      <c r="X99" s="100">
        <v>1.7627072550668013</v>
      </c>
      <c r="Y99" s="100">
        <v>7418.1772122231259</v>
      </c>
      <c r="Z99" s="100">
        <v>6</v>
      </c>
      <c r="AA99" s="100">
        <v>25250.399999999998</v>
      </c>
      <c r="AB99" s="100">
        <v>8</v>
      </c>
      <c r="AC99" s="100">
        <v>33667.199999999997</v>
      </c>
      <c r="AD99" s="100">
        <v>4.6153520437515327</v>
      </c>
      <c r="AE99" s="100">
        <v>19423.247540923949</v>
      </c>
      <c r="AF99" s="100">
        <v>0.4038616206782949</v>
      </c>
      <c r="AG99" s="100">
        <v>1699.6112444625362</v>
      </c>
      <c r="AH99" s="100">
        <v>8</v>
      </c>
      <c r="AI99" s="100">
        <v>33667.199999999997</v>
      </c>
      <c r="AJ99" s="100">
        <v>8.0041020405690482</v>
      </c>
      <c r="AK99" s="100">
        <v>33684.463027530779</v>
      </c>
      <c r="AL99" s="100">
        <v>5.2468308689590053</v>
      </c>
      <c r="AM99" s="100">
        <v>22080.763028927075</v>
      </c>
      <c r="AN99" s="100">
        <v>3.7089167456686023</v>
      </c>
      <c r="AO99" s="100">
        <v>15608.605232471744</v>
      </c>
      <c r="AP99" s="100">
        <v>4.1946909072279555</v>
      </c>
      <c r="AQ99" s="100">
        <v>17652.937213978126</v>
      </c>
      <c r="AR99" s="100">
        <v>4.5788567095724755</v>
      </c>
      <c r="AS99" s="100">
        <v>19269.660576564806</v>
      </c>
      <c r="AT99" s="100">
        <v>4.685443301153815</v>
      </c>
      <c r="AU99" s="100">
        <v>19718.219588575714</v>
      </c>
      <c r="AV99" s="100">
        <v>4.7486253052358647</v>
      </c>
      <c r="AW99" s="100">
        <v>19984.114734554612</v>
      </c>
      <c r="AX99" s="100">
        <v>3.8476468405752446</v>
      </c>
      <c r="AY99" s="100">
        <v>16192.436963876858</v>
      </c>
      <c r="AZ99" s="100">
        <v>4.563484432747436</v>
      </c>
      <c r="BA99" s="100">
        <v>19204.96788677431</v>
      </c>
      <c r="BB99" s="100">
        <v>3.815925269488472</v>
      </c>
      <c r="BC99" s="100">
        <v>16058.939904115285</v>
      </c>
      <c r="BD99" s="100">
        <v>0.35898810726959546</v>
      </c>
      <c r="BE99" s="100">
        <v>1510.7655506333654</v>
      </c>
      <c r="BF99" s="100">
        <v>5.4332449755772405</v>
      </c>
      <c r="BG99" s="100">
        <v>22865.268155219255</v>
      </c>
      <c r="BH99" s="100">
        <v>3.5683274870588564</v>
      </c>
      <c r="BI99" s="100">
        <v>15016.94939653849</v>
      </c>
      <c r="BJ99" s="100">
        <v>4.529071215569572</v>
      </c>
      <c r="BK99" s="100">
        <v>19060.143303602985</v>
      </c>
      <c r="BL99" s="100">
        <v>4.4578030196714309</v>
      </c>
      <c r="BM99" s="100">
        <v>18760.21822798525</v>
      </c>
      <c r="BN99" s="100">
        <v>4.0122119593371046</v>
      </c>
      <c r="BO99" s="100">
        <v>16884.99280967427</v>
      </c>
      <c r="BP99" s="100">
        <v>0.38829325888343996</v>
      </c>
      <c r="BQ99" s="100">
        <v>1634.0933506850686</v>
      </c>
      <c r="BR99" s="100">
        <v>5</v>
      </c>
      <c r="BS99" s="100">
        <v>21042</v>
      </c>
      <c r="BT99" s="100">
        <v>7.5859190121871496</v>
      </c>
      <c r="BU99" s="100">
        <v>31924.581570888397</v>
      </c>
      <c r="BV99" s="100">
        <v>4.5251596781011996</v>
      </c>
      <c r="BW99" s="100">
        <v>19043.681989321085</v>
      </c>
      <c r="BX99" s="100">
        <v>3.4995706997444667</v>
      </c>
      <c r="BY99" s="100">
        <v>14727.593332804612</v>
      </c>
      <c r="BZ99" s="100">
        <v>5.0571888331433641</v>
      </c>
      <c r="CA99" s="100">
        <v>21282.67348540053</v>
      </c>
      <c r="CB99" s="100">
        <v>0.33975660152300996</v>
      </c>
      <c r="CC99" s="100">
        <v>1429.831681849435</v>
      </c>
      <c r="CD99" s="100">
        <v>6</v>
      </c>
      <c r="CE99" s="100">
        <v>25250.399999999998</v>
      </c>
      <c r="CF99" s="100">
        <v>5</v>
      </c>
      <c r="CG99" s="100">
        <v>21042</v>
      </c>
      <c r="CH99" s="100">
        <v>5.9689778218979672</v>
      </c>
      <c r="CI99" s="100">
        <v>25119.846265675402</v>
      </c>
      <c r="CJ99" s="100">
        <v>4.2570369832131885</v>
      </c>
      <c r="CK99" s="100">
        <v>17915.31444015438</v>
      </c>
      <c r="CL99" s="100">
        <v>3.3918589068894271</v>
      </c>
      <c r="CM99" s="100">
        <v>14274.299023753463</v>
      </c>
      <c r="CN99" s="100">
        <v>4.9431855883853411</v>
      </c>
      <c r="CO99" s="100">
        <v>20802.902230160867</v>
      </c>
      <c r="CP99" s="100">
        <v>3.9265930657441439</v>
      </c>
      <c r="CQ99" s="100">
        <v>16524.674257877654</v>
      </c>
      <c r="CR99" s="100">
        <v>0.28090112724343347</v>
      </c>
      <c r="CS99" s="100">
        <v>1182.1443038912653</v>
      </c>
      <c r="CT99" s="100">
        <v>8.3968034910796963</v>
      </c>
      <c r="CU99" s="100">
        <v>35337.107811859794</v>
      </c>
    </row>
    <row r="100" spans="2:99">
      <c r="C100" s="99" t="s">
        <v>266</v>
      </c>
      <c r="D100" s="100">
        <v>4.7679691646738682</v>
      </c>
      <c r="E100" s="100">
        <v>1544.8220093543332</v>
      </c>
      <c r="F100" s="100">
        <v>5.3013358160228083</v>
      </c>
      <c r="G100" s="100">
        <v>1717.63280439139</v>
      </c>
      <c r="H100" s="100">
        <v>4.8939692082654505</v>
      </c>
      <c r="I100" s="100">
        <v>1585.6460234780059</v>
      </c>
      <c r="J100" s="100">
        <v>5.6647727154137035</v>
      </c>
      <c r="K100" s="100">
        <v>1835.3863597940399</v>
      </c>
      <c r="L100" s="100">
        <v>5.8717629190343397</v>
      </c>
      <c r="M100" s="100">
        <v>1902.4511857671262</v>
      </c>
      <c r="N100" s="100">
        <v>4.3465188360807927</v>
      </c>
      <c r="O100" s="100">
        <v>1408.2721028901769</v>
      </c>
      <c r="P100" s="100">
        <v>0.43907006966050527</v>
      </c>
      <c r="Q100" s="100">
        <v>142.25870257000372</v>
      </c>
      <c r="R100" s="100">
        <v>8</v>
      </c>
      <c r="S100" s="100">
        <v>2592</v>
      </c>
      <c r="T100" s="100">
        <v>3.3053319551608014</v>
      </c>
      <c r="U100" s="100">
        <v>1070.9275534720996</v>
      </c>
      <c r="V100" s="100">
        <v>10.436423318671009</v>
      </c>
      <c r="W100" s="100">
        <v>3381.4011552494071</v>
      </c>
      <c r="X100" s="100">
        <v>2.4237224757168518</v>
      </c>
      <c r="Y100" s="100">
        <v>785.28608213226005</v>
      </c>
      <c r="Z100" s="100">
        <v>9</v>
      </c>
      <c r="AA100" s="100">
        <v>2916</v>
      </c>
      <c r="AB100" s="100">
        <v>11</v>
      </c>
      <c r="AC100" s="100">
        <v>3564</v>
      </c>
      <c r="AD100" s="100">
        <v>5.5896282552515864</v>
      </c>
      <c r="AE100" s="100">
        <v>1811.0395547015139</v>
      </c>
      <c r="AF100" s="100">
        <v>0.44873513408699434</v>
      </c>
      <c r="AG100" s="100">
        <v>145.39018344418616</v>
      </c>
      <c r="AH100" s="100">
        <v>10</v>
      </c>
      <c r="AI100" s="100">
        <v>3240</v>
      </c>
      <c r="AJ100" s="100">
        <v>8.8045122446259523</v>
      </c>
      <c r="AK100" s="100">
        <v>2852.6619672588085</v>
      </c>
      <c r="AL100" s="100">
        <v>6.1301072561336802</v>
      </c>
      <c r="AM100" s="100">
        <v>1986.1547509873124</v>
      </c>
      <c r="AN100" s="100">
        <v>4.4532730763127821</v>
      </c>
      <c r="AO100" s="100">
        <v>1442.8604767253414</v>
      </c>
      <c r="AP100" s="100">
        <v>5.3931740235788004</v>
      </c>
      <c r="AQ100" s="100">
        <v>1747.3883836395314</v>
      </c>
      <c r="AR100" s="100">
        <v>5.3419994945012217</v>
      </c>
      <c r="AS100" s="100">
        <v>1730.8078362183958</v>
      </c>
      <c r="AT100" s="100">
        <v>5.9908834688333386</v>
      </c>
      <c r="AU100" s="100">
        <v>1941.0462439020016</v>
      </c>
      <c r="AV100" s="100">
        <v>5.2762503391509616</v>
      </c>
      <c r="AW100" s="100">
        <v>1709.5051098849115</v>
      </c>
      <c r="AX100" s="100">
        <v>5.1301957874336592</v>
      </c>
      <c r="AY100" s="100">
        <v>1662.1834351285056</v>
      </c>
      <c r="AZ100" s="100">
        <v>5.5775920844690878</v>
      </c>
      <c r="BA100" s="100">
        <v>1807.1398353679845</v>
      </c>
      <c r="BB100" s="100">
        <v>4.4519128144032187</v>
      </c>
      <c r="BC100" s="100">
        <v>1442.4197518666429</v>
      </c>
      <c r="BD100" s="100">
        <v>0.35898810726959546</v>
      </c>
      <c r="BE100" s="100">
        <v>116.31214675534893</v>
      </c>
      <c r="BF100" s="100">
        <v>7.5776599674363201</v>
      </c>
      <c r="BG100" s="100">
        <v>2455.1618294493678</v>
      </c>
      <c r="BH100" s="100">
        <v>4.1630487349019996</v>
      </c>
      <c r="BI100" s="100">
        <v>1348.8277901082479</v>
      </c>
      <c r="BJ100" s="100">
        <v>5.6778914436618555</v>
      </c>
      <c r="BK100" s="100">
        <v>1839.6368277464412</v>
      </c>
      <c r="BL100" s="100">
        <v>5.4484259129317492</v>
      </c>
      <c r="BM100" s="100">
        <v>1765.2899957898867</v>
      </c>
      <c r="BN100" s="100">
        <v>5.5069018321348295</v>
      </c>
      <c r="BO100" s="100">
        <v>1784.2361936116847</v>
      </c>
      <c r="BP100" s="100">
        <v>0.43682991624386996</v>
      </c>
      <c r="BQ100" s="100">
        <v>141.53289286301387</v>
      </c>
      <c r="BR100" s="100">
        <v>7</v>
      </c>
      <c r="BS100" s="100">
        <v>2268</v>
      </c>
      <c r="BT100" s="100">
        <v>11.378878518280725</v>
      </c>
      <c r="BU100" s="100">
        <v>3686.7566399229549</v>
      </c>
      <c r="BV100" s="100">
        <v>6.0335462374682658</v>
      </c>
      <c r="BW100" s="100">
        <v>1954.8689809397181</v>
      </c>
      <c r="BX100" s="100">
        <v>4.1994848396933602</v>
      </c>
      <c r="BY100" s="100">
        <v>1360.6330880606488</v>
      </c>
      <c r="BZ100" s="100">
        <v>5.5709192940490961</v>
      </c>
      <c r="CA100" s="100">
        <v>1804.9778512719072</v>
      </c>
      <c r="CB100" s="100">
        <v>0.40770792182761201</v>
      </c>
      <c r="CC100" s="100">
        <v>132.09736667214628</v>
      </c>
      <c r="CD100" s="100">
        <v>7</v>
      </c>
      <c r="CE100" s="100">
        <v>2268</v>
      </c>
      <c r="CF100" s="100">
        <v>6</v>
      </c>
      <c r="CG100" s="100">
        <v>1944</v>
      </c>
      <c r="CH100" s="100">
        <v>7.6744000567259576</v>
      </c>
      <c r="CI100" s="100">
        <v>2486.5056183792103</v>
      </c>
      <c r="CJ100" s="100">
        <v>5.2030452017050086</v>
      </c>
      <c r="CK100" s="100">
        <v>1685.7866453524227</v>
      </c>
      <c r="CL100" s="100">
        <v>4.7476619103663085</v>
      </c>
      <c r="CM100" s="100">
        <v>1538.242458958684</v>
      </c>
      <c r="CN100" s="100">
        <v>5.554438899400659</v>
      </c>
      <c r="CO100" s="100">
        <v>1799.6382034058136</v>
      </c>
      <c r="CP100" s="100">
        <v>3.9344840810005728</v>
      </c>
      <c r="CQ100" s="100">
        <v>1274.7728422441855</v>
      </c>
      <c r="CR100" s="100">
        <v>0.39326157814080681</v>
      </c>
      <c r="CS100" s="100">
        <v>127.4167513176214</v>
      </c>
      <c r="CT100" s="100">
        <v>10.496004363849622</v>
      </c>
      <c r="CU100" s="100">
        <v>3400.7054138872772</v>
      </c>
    </row>
    <row r="101" spans="2:99">
      <c r="C101" s="99" t="s">
        <v>267</v>
      </c>
      <c r="D101" s="100">
        <v>4.0868307125776013</v>
      </c>
      <c r="E101" s="100">
        <v>2957.2307036211523</v>
      </c>
      <c r="F101" s="100">
        <v>4.552544032602877</v>
      </c>
      <c r="G101" s="100">
        <v>3294.2208619914418</v>
      </c>
      <c r="H101" s="100">
        <v>4.8939692082654505</v>
      </c>
      <c r="I101" s="100">
        <v>3541.2761191008799</v>
      </c>
      <c r="J101" s="100">
        <v>4.4059343342106585</v>
      </c>
      <c r="K101" s="100">
        <v>3188.1340842348327</v>
      </c>
      <c r="L101" s="100">
        <v>5.8717629190343397</v>
      </c>
      <c r="M101" s="100">
        <v>4248.8076482132483</v>
      </c>
      <c r="N101" s="100">
        <v>4.3465188360807927</v>
      </c>
      <c r="O101" s="100">
        <v>3145.1410297880616</v>
      </c>
      <c r="P101" s="100">
        <v>0.49395382836806839</v>
      </c>
      <c r="Q101" s="100">
        <v>357.42499020713433</v>
      </c>
      <c r="R101" s="100">
        <v>8</v>
      </c>
      <c r="S101" s="100">
        <v>5788.8</v>
      </c>
      <c r="T101" s="100">
        <v>3.3053319551608014</v>
      </c>
      <c r="U101" s="100">
        <v>2391.7382027543558</v>
      </c>
      <c r="V101" s="100">
        <v>9.392780986803908</v>
      </c>
      <c r="W101" s="100">
        <v>6796.6163220513081</v>
      </c>
      <c r="X101" s="100">
        <v>2.4237224757168518</v>
      </c>
      <c r="Y101" s="100">
        <v>1753.805583428714</v>
      </c>
      <c r="Z101" s="100">
        <v>7</v>
      </c>
      <c r="AA101" s="100">
        <v>5065.2</v>
      </c>
      <c r="AB101" s="100">
        <v>9</v>
      </c>
      <c r="AC101" s="100">
        <v>6512.4000000000005</v>
      </c>
      <c r="AD101" s="100">
        <v>5.5896282552515864</v>
      </c>
      <c r="AE101" s="100">
        <v>4044.655005500048</v>
      </c>
      <c r="AF101" s="100">
        <v>0.4038616206782949</v>
      </c>
      <c r="AG101" s="100">
        <v>292.23426872281419</v>
      </c>
      <c r="AH101" s="100">
        <v>10</v>
      </c>
      <c r="AI101" s="100">
        <v>7236</v>
      </c>
      <c r="AJ101" s="100">
        <v>8.8045122446259523</v>
      </c>
      <c r="AK101" s="100">
        <v>6370.9450602113393</v>
      </c>
      <c r="AL101" s="100">
        <v>6.1528495089891591</v>
      </c>
      <c r="AM101" s="100">
        <v>4452.201904704556</v>
      </c>
      <c r="AN101" s="100">
        <v>3.7140627086895206</v>
      </c>
      <c r="AO101" s="100">
        <v>2687.4957760077373</v>
      </c>
      <c r="AP101" s="100">
        <v>5.3931740235788004</v>
      </c>
      <c r="AQ101" s="100">
        <v>3902.5007234616201</v>
      </c>
      <c r="AR101" s="100">
        <v>4.5788567095724755</v>
      </c>
      <c r="AS101" s="100">
        <v>3313.2607150466433</v>
      </c>
      <c r="AT101" s="100">
        <v>4.7727453368604262</v>
      </c>
      <c r="AU101" s="100">
        <v>3453.5585257522043</v>
      </c>
      <c r="AV101" s="100">
        <v>4.7486253052358647</v>
      </c>
      <c r="AW101" s="100">
        <v>3436.1052708686716</v>
      </c>
      <c r="AX101" s="100">
        <v>5.4431825444936814</v>
      </c>
      <c r="AY101" s="100">
        <v>3938.6868891956278</v>
      </c>
      <c r="AZ101" s="100">
        <v>5.0705382586082619</v>
      </c>
      <c r="BA101" s="100">
        <v>3669.0414839289383</v>
      </c>
      <c r="BB101" s="100">
        <v>4.4519128144032187</v>
      </c>
      <c r="BC101" s="100">
        <v>3221.404112502169</v>
      </c>
      <c r="BD101" s="100">
        <v>0.35898810726959546</v>
      </c>
      <c r="BE101" s="100">
        <v>259.76379442027928</v>
      </c>
      <c r="BF101" s="100">
        <v>6.5776599674363201</v>
      </c>
      <c r="BG101" s="100">
        <v>4759.5947524369212</v>
      </c>
      <c r="BH101" s="100">
        <v>4.7577699827451418</v>
      </c>
      <c r="BI101" s="100">
        <v>3442.7223595143846</v>
      </c>
      <c r="BJ101" s="100">
        <v>5.1145162790823075</v>
      </c>
      <c r="BK101" s="100">
        <v>3700.8639795439581</v>
      </c>
      <c r="BL101" s="100">
        <v>4.9531144663015905</v>
      </c>
      <c r="BM101" s="100">
        <v>3584.0736278158311</v>
      </c>
      <c r="BN101" s="100">
        <v>4.5144991936352961</v>
      </c>
      <c r="BO101" s="100">
        <v>3266.6916165145003</v>
      </c>
      <c r="BP101" s="100">
        <v>0.48536657360430002</v>
      </c>
      <c r="BQ101" s="100">
        <v>351.21125266007152</v>
      </c>
      <c r="BR101" s="100">
        <v>6</v>
      </c>
      <c r="BS101" s="100">
        <v>4341.6000000000004</v>
      </c>
      <c r="BT101" s="100">
        <v>9.4823987652339383</v>
      </c>
      <c r="BU101" s="100">
        <v>6861.4637465232781</v>
      </c>
      <c r="BV101" s="100">
        <v>6.0335462374682658</v>
      </c>
      <c r="BW101" s="100">
        <v>4365.8740574320373</v>
      </c>
      <c r="BX101" s="100">
        <v>4.1994848396933602</v>
      </c>
      <c r="BY101" s="100">
        <v>3038.7472300021154</v>
      </c>
      <c r="BZ101" s="100">
        <v>5.5620175411697685</v>
      </c>
      <c r="CA101" s="100">
        <v>4024.6758927904448</v>
      </c>
      <c r="CB101" s="100">
        <v>0.33975660152300996</v>
      </c>
      <c r="CC101" s="100">
        <v>245.84787686205001</v>
      </c>
      <c r="CD101" s="100">
        <v>6</v>
      </c>
      <c r="CE101" s="100">
        <v>4341.6000000000004</v>
      </c>
      <c r="CF101" s="100">
        <v>6</v>
      </c>
      <c r="CG101" s="100">
        <v>4341.6000000000004</v>
      </c>
      <c r="CH101" s="100">
        <v>6.8216889393119624</v>
      </c>
      <c r="CI101" s="100">
        <v>4936.174116486136</v>
      </c>
      <c r="CJ101" s="100">
        <v>5.6760493109509191</v>
      </c>
      <c r="CK101" s="100">
        <v>4107.1892814040848</v>
      </c>
      <c r="CL101" s="100">
        <v>4.7476619103663085</v>
      </c>
      <c r="CM101" s="100">
        <v>3435.4081583410607</v>
      </c>
      <c r="CN101" s="100">
        <v>5.5810184495320518</v>
      </c>
      <c r="CO101" s="100">
        <v>4038.424950081393</v>
      </c>
      <c r="CP101" s="100">
        <v>4.5889162586245966</v>
      </c>
      <c r="CQ101" s="100">
        <v>3320.5398047407584</v>
      </c>
      <c r="CR101" s="100">
        <v>0.39326157814080681</v>
      </c>
      <c r="CS101" s="100">
        <v>284.56407794268785</v>
      </c>
      <c r="CT101" s="100">
        <v>11.496004363849622</v>
      </c>
      <c r="CU101" s="100">
        <v>8318.5087576815858</v>
      </c>
    </row>
    <row r="102" spans="2:99">
      <c r="C102" s="99" t="s">
        <v>268</v>
      </c>
      <c r="D102" s="100">
        <v>4.0868307125776013</v>
      </c>
      <c r="E102" s="100">
        <v>2172.5592068062529</v>
      </c>
      <c r="F102" s="100">
        <v>4.552544032602877</v>
      </c>
      <c r="G102" s="100">
        <v>2420.1324077316895</v>
      </c>
      <c r="H102" s="100">
        <v>5.4196914505981288</v>
      </c>
      <c r="I102" s="100">
        <v>2881.1079751379652</v>
      </c>
      <c r="J102" s="100">
        <v>5.6647727154137035</v>
      </c>
      <c r="K102" s="100">
        <v>3011.3931755139251</v>
      </c>
      <c r="L102" s="100">
        <v>5.8717629190343397</v>
      </c>
      <c r="M102" s="100">
        <v>3121.4291677586552</v>
      </c>
      <c r="N102" s="100">
        <v>5.029322329430931</v>
      </c>
      <c r="O102" s="100">
        <v>2673.5877503254833</v>
      </c>
      <c r="P102" s="100">
        <v>0.43907006966050527</v>
      </c>
      <c r="Q102" s="100">
        <v>233.40964903152462</v>
      </c>
      <c r="R102" s="100">
        <v>9</v>
      </c>
      <c r="S102" s="100">
        <v>4784.4000000000005</v>
      </c>
      <c r="T102" s="100">
        <v>3.7184984495559013</v>
      </c>
      <c r="U102" s="100">
        <v>1976.7537757839173</v>
      </c>
      <c r="V102" s="100">
        <v>9</v>
      </c>
      <c r="W102" s="100">
        <v>4784.4000000000005</v>
      </c>
      <c r="X102" s="100">
        <v>2.4237224757168518</v>
      </c>
      <c r="Y102" s="100">
        <v>1288.4508680910785</v>
      </c>
      <c r="Z102" s="100">
        <v>8</v>
      </c>
      <c r="AA102" s="100">
        <v>4252.8</v>
      </c>
      <c r="AB102" s="100">
        <v>10</v>
      </c>
      <c r="AC102" s="100">
        <v>5316</v>
      </c>
      <c r="AD102" s="100">
        <v>6.4358899598772723</v>
      </c>
      <c r="AE102" s="100">
        <v>3421.3191026707582</v>
      </c>
      <c r="AF102" s="100">
        <v>0.49360864749569378</v>
      </c>
      <c r="AG102" s="100">
        <v>262.40235700871079</v>
      </c>
      <c r="AH102" s="100">
        <v>10</v>
      </c>
      <c r="AI102" s="100">
        <v>5316</v>
      </c>
      <c r="AJ102" s="100">
        <v>8.0041020405690482</v>
      </c>
      <c r="AK102" s="100">
        <v>4254.980644766506</v>
      </c>
      <c r="AL102" s="100">
        <v>5.4969956503692838</v>
      </c>
      <c r="AM102" s="100">
        <v>2922.2028877363114</v>
      </c>
      <c r="AN102" s="100">
        <v>4.4558460578232415</v>
      </c>
      <c r="AO102" s="100">
        <v>2368.7277643388352</v>
      </c>
      <c r="AP102" s="100">
        <v>5.3931740235788004</v>
      </c>
      <c r="AQ102" s="100">
        <v>2867.0113109344902</v>
      </c>
      <c r="AR102" s="100">
        <v>4.5788567095724755</v>
      </c>
      <c r="AS102" s="100">
        <v>2434.1202268087281</v>
      </c>
      <c r="AT102" s="100">
        <v>5.3381633849935763</v>
      </c>
      <c r="AU102" s="100">
        <v>2837.7676554625855</v>
      </c>
      <c r="AV102" s="100">
        <v>5.2762503391509616</v>
      </c>
      <c r="AW102" s="100">
        <v>2804.8546802926512</v>
      </c>
      <c r="AX102" s="100">
        <v>5.5000892275955025</v>
      </c>
      <c r="AY102" s="100">
        <v>2923.8474333897693</v>
      </c>
      <c r="AZ102" s="100">
        <v>5.5775920844690878</v>
      </c>
      <c r="BA102" s="100">
        <v>2965.0479521037673</v>
      </c>
      <c r="BB102" s="100">
        <v>4.4598900108541404</v>
      </c>
      <c r="BC102" s="100">
        <v>2370.8775297700613</v>
      </c>
      <c r="BD102" s="100">
        <v>0.4038616206782949</v>
      </c>
      <c r="BE102" s="100">
        <v>214.69283755258158</v>
      </c>
      <c r="BF102" s="100">
        <v>6.5295216368166269</v>
      </c>
      <c r="BG102" s="100">
        <v>3471.0937021317191</v>
      </c>
      <c r="BH102" s="100">
        <v>4.3809585826090114</v>
      </c>
      <c r="BI102" s="100">
        <v>2328.9175825149505</v>
      </c>
      <c r="BJ102" s="100">
        <v>5.6337516457954804</v>
      </c>
      <c r="BK102" s="100">
        <v>2994.9023749048774</v>
      </c>
      <c r="BL102" s="100">
        <v>5.4484259129317492</v>
      </c>
      <c r="BM102" s="100">
        <v>2896.3832153145181</v>
      </c>
      <c r="BN102" s="100">
        <v>4.5205851086837221</v>
      </c>
      <c r="BO102" s="100">
        <v>2403.1430437762669</v>
      </c>
      <c r="BP102" s="100">
        <v>0.43682991624386996</v>
      </c>
      <c r="BQ102" s="100">
        <v>232.21878347524128</v>
      </c>
      <c r="BR102" s="100">
        <v>6</v>
      </c>
      <c r="BS102" s="100">
        <v>3189.6000000000004</v>
      </c>
      <c r="BT102" s="100">
        <v>10.430638641757332</v>
      </c>
      <c r="BU102" s="100">
        <v>5544.9275019581983</v>
      </c>
      <c r="BV102" s="100">
        <v>5.2793529577847327</v>
      </c>
      <c r="BW102" s="100">
        <v>2806.5040323583639</v>
      </c>
      <c r="BX102" s="100">
        <v>4.1994848396933602</v>
      </c>
      <c r="BY102" s="100">
        <v>2232.4461407809904</v>
      </c>
      <c r="BZ102" s="100">
        <v>5.5620175411697685</v>
      </c>
      <c r="CA102" s="100">
        <v>2956.7685248858493</v>
      </c>
      <c r="CB102" s="100">
        <v>0.40770792182761201</v>
      </c>
      <c r="CC102" s="100">
        <v>216.73753124355855</v>
      </c>
      <c r="CD102" s="100">
        <v>7</v>
      </c>
      <c r="CE102" s="100">
        <v>3721.2000000000003</v>
      </c>
      <c r="CF102" s="100">
        <v>6</v>
      </c>
      <c r="CG102" s="100">
        <v>3189.6000000000004</v>
      </c>
      <c r="CH102" s="100">
        <v>7.6744000567259576</v>
      </c>
      <c r="CI102" s="100">
        <v>4079.7110701555193</v>
      </c>
      <c r="CJ102" s="100">
        <v>5.4398715374375692</v>
      </c>
      <c r="CK102" s="100">
        <v>2891.8357093018121</v>
      </c>
      <c r="CL102" s="100">
        <v>4.7500133085635348</v>
      </c>
      <c r="CM102" s="100">
        <v>2525.107074832375</v>
      </c>
      <c r="CN102" s="100">
        <v>5.554438899400659</v>
      </c>
      <c r="CO102" s="100">
        <v>2952.7397189213902</v>
      </c>
      <c r="CP102" s="100">
        <v>3.9344840810005728</v>
      </c>
      <c r="CQ102" s="100">
        <v>2091.5717374599044</v>
      </c>
      <c r="CR102" s="100">
        <v>0.33708135269212014</v>
      </c>
      <c r="CS102" s="100">
        <v>179.19244709113107</v>
      </c>
      <c r="CT102" s="100">
        <v>10.496004363849622</v>
      </c>
      <c r="CU102" s="100">
        <v>5579.675919822459</v>
      </c>
    </row>
    <row r="103" spans="2:99">
      <c r="C103" s="99" t="s">
        <v>269</v>
      </c>
      <c r="D103" s="100">
        <v>4.0868307125776013</v>
      </c>
      <c r="E103" s="100">
        <v>2407.9606558507226</v>
      </c>
      <c r="F103" s="100">
        <v>5.3013358160228083</v>
      </c>
      <c r="G103" s="100">
        <v>3123.5470628006383</v>
      </c>
      <c r="H103" s="100">
        <v>4.8844122066612536</v>
      </c>
      <c r="I103" s="100">
        <v>2877.8956721648101</v>
      </c>
      <c r="J103" s="100">
        <v>4.4059343342106585</v>
      </c>
      <c r="K103" s="100">
        <v>2595.9765097169197</v>
      </c>
      <c r="L103" s="100">
        <v>6.4589392109377739</v>
      </c>
      <c r="M103" s="100">
        <v>3805.6069830845358</v>
      </c>
      <c r="N103" s="100">
        <v>4.3465188360807927</v>
      </c>
      <c r="O103" s="100">
        <v>2560.9688982188027</v>
      </c>
      <c r="P103" s="100">
        <v>0.49395382836806839</v>
      </c>
      <c r="Q103" s="100">
        <v>291.03759567446588</v>
      </c>
      <c r="R103" s="100">
        <v>9</v>
      </c>
      <c r="S103" s="100">
        <v>5302.7999999999993</v>
      </c>
      <c r="T103" s="100">
        <v>3.3053319551608014</v>
      </c>
      <c r="U103" s="100">
        <v>1947.501587980744</v>
      </c>
      <c r="V103" s="100">
        <v>9.392780986803908</v>
      </c>
      <c r="W103" s="100">
        <v>5534.2265574248622</v>
      </c>
      <c r="X103" s="100">
        <v>2.4237224757168518</v>
      </c>
      <c r="Y103" s="100">
        <v>1428.057282692369</v>
      </c>
      <c r="Z103" s="100">
        <v>8</v>
      </c>
      <c r="AA103" s="100">
        <v>4713.5999999999995</v>
      </c>
      <c r="AB103" s="100">
        <v>11</v>
      </c>
      <c r="AC103" s="100">
        <v>6481.1999999999989</v>
      </c>
      <c r="AD103" s="100">
        <v>6.4038863331586802</v>
      </c>
      <c r="AE103" s="100">
        <v>3773.169827497094</v>
      </c>
      <c r="AF103" s="100">
        <v>0.44873513408699434</v>
      </c>
      <c r="AG103" s="100">
        <v>264.39474100405704</v>
      </c>
      <c r="AH103" s="100">
        <v>9</v>
      </c>
      <c r="AI103" s="100">
        <v>5302.7999999999993</v>
      </c>
      <c r="AJ103" s="100">
        <v>8.8045122446259523</v>
      </c>
      <c r="AK103" s="100">
        <v>5187.6186145336105</v>
      </c>
      <c r="AL103" s="100">
        <v>6.7859611147535555</v>
      </c>
      <c r="AM103" s="100">
        <v>3998.2882888127942</v>
      </c>
      <c r="AN103" s="100">
        <v>4.4507000948023228</v>
      </c>
      <c r="AO103" s="100">
        <v>2622.3524958575281</v>
      </c>
      <c r="AP103" s="100">
        <v>5.3931740235788004</v>
      </c>
      <c r="AQ103" s="100">
        <v>3177.6581346926287</v>
      </c>
      <c r="AR103" s="100">
        <v>5.3419994945012217</v>
      </c>
      <c r="AS103" s="100">
        <v>3147.5061021601196</v>
      </c>
      <c r="AT103" s="100">
        <v>5.3381633849935763</v>
      </c>
      <c r="AU103" s="100">
        <v>3145.2458664382148</v>
      </c>
      <c r="AV103" s="100">
        <v>5.8038753730660568</v>
      </c>
      <c r="AW103" s="100">
        <v>3419.6433698105202</v>
      </c>
      <c r="AX103" s="100">
        <v>6.1129103594737995</v>
      </c>
      <c r="AY103" s="100">
        <v>3601.726783801962</v>
      </c>
      <c r="AZ103" s="100">
        <v>5.0705382586082619</v>
      </c>
      <c r="BA103" s="100">
        <v>2987.5611419719876</v>
      </c>
      <c r="BB103" s="100">
        <v>4.4519128144032187</v>
      </c>
      <c r="BC103" s="100">
        <v>2623.0670302463764</v>
      </c>
      <c r="BD103" s="100">
        <v>0.4038616206782949</v>
      </c>
      <c r="BE103" s="100">
        <v>237.95526690365134</v>
      </c>
      <c r="BF103" s="100">
        <v>6.5295216368166269</v>
      </c>
      <c r="BG103" s="100">
        <v>3847.1941484123563</v>
      </c>
      <c r="BH103" s="100">
        <v>4.3809585826090114</v>
      </c>
      <c r="BI103" s="100">
        <v>2581.2607968732291</v>
      </c>
      <c r="BJ103" s="100">
        <v>5.6558215447286679</v>
      </c>
      <c r="BK103" s="100">
        <v>3332.4100541541306</v>
      </c>
      <c r="BL103" s="100">
        <v>5.9437373595619087</v>
      </c>
      <c r="BM103" s="100">
        <v>3502.0500522538764</v>
      </c>
      <c r="BN103" s="100">
        <v>5.0107005128850624</v>
      </c>
      <c r="BO103" s="100">
        <v>2952.3047421918782</v>
      </c>
      <c r="BP103" s="100">
        <v>0.43682991624386996</v>
      </c>
      <c r="BQ103" s="100">
        <v>257.38018665088816</v>
      </c>
      <c r="BR103" s="100">
        <v>6</v>
      </c>
      <c r="BS103" s="100">
        <v>3535.2</v>
      </c>
      <c r="BT103" s="100">
        <v>9.4823987652339383</v>
      </c>
      <c r="BU103" s="100">
        <v>5587.0293524758354</v>
      </c>
      <c r="BV103" s="100">
        <v>5.2793529577847327</v>
      </c>
      <c r="BW103" s="100">
        <v>3110.5947627267642</v>
      </c>
      <c r="BX103" s="100">
        <v>4.8993989796422532</v>
      </c>
      <c r="BY103" s="100">
        <v>2886.7258788052154</v>
      </c>
      <c r="BZ103" s="100">
        <v>6.0579444963168454</v>
      </c>
      <c r="CA103" s="100">
        <v>3569.3408972298848</v>
      </c>
      <c r="CB103" s="100">
        <v>0.40770792182761201</v>
      </c>
      <c r="CC103" s="100">
        <v>240.22150754082898</v>
      </c>
      <c r="CD103" s="100">
        <v>7</v>
      </c>
      <c r="CE103" s="100">
        <v>4124.3999999999996</v>
      </c>
      <c r="CF103" s="100">
        <v>6</v>
      </c>
      <c r="CG103" s="100">
        <v>3535.2</v>
      </c>
      <c r="CH103" s="100">
        <v>7.6744000567259576</v>
      </c>
      <c r="CI103" s="100">
        <v>4521.7565134229335</v>
      </c>
      <c r="CJ103" s="100">
        <v>4.9668674281916587</v>
      </c>
      <c r="CK103" s="100">
        <v>2926.478288690525</v>
      </c>
      <c r="CL103" s="100">
        <v>4.7500133085635348</v>
      </c>
      <c r="CM103" s="100">
        <v>2798.7078414056346</v>
      </c>
      <c r="CN103" s="100">
        <v>4.9697651385167321</v>
      </c>
      <c r="CO103" s="100">
        <v>2928.1856196140584</v>
      </c>
      <c r="CP103" s="100">
        <v>3.9344840810005728</v>
      </c>
      <c r="CQ103" s="100">
        <v>2318.1980205255372</v>
      </c>
      <c r="CR103" s="100">
        <v>0.39326157814080681</v>
      </c>
      <c r="CS103" s="100">
        <v>231.70972184056333</v>
      </c>
      <c r="CT103" s="100">
        <v>11.496004363849622</v>
      </c>
      <c r="CU103" s="100">
        <v>6773.4457711801961</v>
      </c>
    </row>
    <row r="104" spans="2:99">
      <c r="C104" s="99" t="s">
        <v>270</v>
      </c>
      <c r="D104" s="100">
        <v>4.0868307125776013</v>
      </c>
      <c r="E104" s="100">
        <v>2584.5117426340748</v>
      </c>
      <c r="F104" s="100">
        <v>4.5724751432973054</v>
      </c>
      <c r="G104" s="100">
        <v>2891.6332806212158</v>
      </c>
      <c r="H104" s="100">
        <v>5.4196914505981288</v>
      </c>
      <c r="I104" s="100">
        <v>3427.4128733582565</v>
      </c>
      <c r="J104" s="100">
        <v>5.0353535248121819</v>
      </c>
      <c r="K104" s="100">
        <v>3184.3575690912239</v>
      </c>
      <c r="L104" s="100">
        <v>5.8717629190343397</v>
      </c>
      <c r="M104" s="100">
        <v>3713.3028699973161</v>
      </c>
      <c r="N104" s="100">
        <v>3.663715342730653</v>
      </c>
      <c r="O104" s="100">
        <v>2316.9335827428649</v>
      </c>
      <c r="P104" s="100">
        <v>0.49395382836806839</v>
      </c>
      <c r="Q104" s="100">
        <v>312.37640105996644</v>
      </c>
      <c r="R104" s="100">
        <v>9</v>
      </c>
      <c r="S104" s="100">
        <v>5691.5999999999995</v>
      </c>
      <c r="T104" s="100">
        <v>3.3053319551608014</v>
      </c>
      <c r="U104" s="100">
        <v>2090.2919284436907</v>
      </c>
      <c r="V104" s="100">
        <v>11</v>
      </c>
      <c r="W104" s="100">
        <v>6956.4</v>
      </c>
      <c r="X104" s="100">
        <v>2.4237224757168518</v>
      </c>
      <c r="Y104" s="100">
        <v>1532.762093643337</v>
      </c>
      <c r="Z104" s="100">
        <v>7</v>
      </c>
      <c r="AA104" s="100">
        <v>4426.8</v>
      </c>
      <c r="AB104" s="100">
        <v>9</v>
      </c>
      <c r="AC104" s="100">
        <v>5691.5999999999995</v>
      </c>
      <c r="AD104" s="100">
        <v>5.5576246285329942</v>
      </c>
      <c r="AE104" s="100">
        <v>3514.6418150842655</v>
      </c>
      <c r="AF104" s="100">
        <v>0.4038616206782949</v>
      </c>
      <c r="AG104" s="100">
        <v>255.40208891695369</v>
      </c>
      <c r="AH104" s="100">
        <v>8</v>
      </c>
      <c r="AI104" s="100">
        <v>5059.2</v>
      </c>
      <c r="AJ104" s="100">
        <v>8.0041020405690482</v>
      </c>
      <c r="AK104" s="100">
        <v>5061.7941304558663</v>
      </c>
      <c r="AL104" s="100">
        <v>6.1528495089891591</v>
      </c>
      <c r="AM104" s="100">
        <v>3891.062029484744</v>
      </c>
      <c r="AN104" s="100">
        <v>4.4532730763127821</v>
      </c>
      <c r="AO104" s="100">
        <v>2816.2498934602031</v>
      </c>
      <c r="AP104" s="100">
        <v>4.7939324654033779</v>
      </c>
      <c r="AQ104" s="100">
        <v>3031.682891121096</v>
      </c>
      <c r="AR104" s="100">
        <v>4.5788567095724755</v>
      </c>
      <c r="AS104" s="100">
        <v>2895.6689831336334</v>
      </c>
      <c r="AT104" s="100">
        <v>6.0199841474022087</v>
      </c>
      <c r="AU104" s="100">
        <v>3807.0379748171567</v>
      </c>
      <c r="AV104" s="100">
        <v>5.2762503391509616</v>
      </c>
      <c r="AW104" s="100">
        <v>3336.7007144790682</v>
      </c>
      <c r="AX104" s="100">
        <v>6.1129103594737995</v>
      </c>
      <c r="AY104" s="100">
        <v>3865.8045113312305</v>
      </c>
      <c r="AZ104" s="100">
        <v>5.5775920844690878</v>
      </c>
      <c r="BA104" s="100">
        <v>3527.2692342182509</v>
      </c>
      <c r="BB104" s="100">
        <v>4.4598900108541404</v>
      </c>
      <c r="BC104" s="100">
        <v>2820.4344428641584</v>
      </c>
      <c r="BD104" s="100">
        <v>0.4038616206782949</v>
      </c>
      <c r="BE104" s="100">
        <v>255.40208891695369</v>
      </c>
      <c r="BF104" s="100">
        <v>6.5295216368166269</v>
      </c>
      <c r="BG104" s="100">
        <v>4129.2694831228346</v>
      </c>
      <c r="BH104" s="100">
        <v>4.1630487349019996</v>
      </c>
      <c r="BI104" s="100">
        <v>2632.7120199520245</v>
      </c>
      <c r="BJ104" s="100">
        <v>5.1365861780154951</v>
      </c>
      <c r="BK104" s="100">
        <v>3248.3770989769992</v>
      </c>
      <c r="BL104" s="100">
        <v>4.9531144663015905</v>
      </c>
      <c r="BM104" s="100">
        <v>3132.3495884891258</v>
      </c>
      <c r="BN104" s="100">
        <v>5.5129877471832538</v>
      </c>
      <c r="BO104" s="100">
        <v>3486.4134513186896</v>
      </c>
      <c r="BP104" s="100">
        <v>0.48536657360430002</v>
      </c>
      <c r="BQ104" s="100">
        <v>306.94582114735931</v>
      </c>
      <c r="BR104" s="100">
        <v>6</v>
      </c>
      <c r="BS104" s="100">
        <v>3794.3999999999996</v>
      </c>
      <c r="BT104" s="100">
        <v>9.4823987652339383</v>
      </c>
      <c r="BU104" s="100">
        <v>5996.6689791339422</v>
      </c>
      <c r="BV104" s="100">
        <v>6.0335462374682658</v>
      </c>
      <c r="BW104" s="100">
        <v>3815.6146405749309</v>
      </c>
      <c r="BX104" s="100">
        <v>4.1994848396933602</v>
      </c>
      <c r="BY104" s="100">
        <v>2655.754212622081</v>
      </c>
      <c r="BZ104" s="100">
        <v>5.083894091781346</v>
      </c>
      <c r="CA104" s="100">
        <v>3215.054623642523</v>
      </c>
      <c r="CB104" s="100">
        <v>0.33975660152300996</v>
      </c>
      <c r="CC104" s="100">
        <v>214.8620748031515</v>
      </c>
      <c r="CD104" s="100">
        <v>7</v>
      </c>
      <c r="CE104" s="100">
        <v>4426.8</v>
      </c>
      <c r="CF104" s="100">
        <v>6</v>
      </c>
      <c r="CG104" s="100">
        <v>3794.3999999999996</v>
      </c>
      <c r="CH104" s="100">
        <v>8.5271111741399519</v>
      </c>
      <c r="CI104" s="100">
        <v>5392.545106526105</v>
      </c>
      <c r="CJ104" s="100">
        <v>5.2030452017050086</v>
      </c>
      <c r="CK104" s="100">
        <v>3290.4057855582473</v>
      </c>
      <c r="CL104" s="100">
        <v>4.0721118068250943</v>
      </c>
      <c r="CM104" s="100">
        <v>2575.2035066361896</v>
      </c>
      <c r="CN104" s="100">
        <v>4.9697651385167321</v>
      </c>
      <c r="CO104" s="100">
        <v>3142.8794735979814</v>
      </c>
      <c r="CP104" s="100">
        <v>4.5810252433681677</v>
      </c>
      <c r="CQ104" s="100">
        <v>2897.0403639060291</v>
      </c>
      <c r="CR104" s="100">
        <v>0.39326157814080681</v>
      </c>
      <c r="CS104" s="100">
        <v>248.69862201624622</v>
      </c>
      <c r="CT104" s="100">
        <v>11.496004363849622</v>
      </c>
      <c r="CU104" s="100">
        <v>7270.0731596985006</v>
      </c>
    </row>
    <row r="105" spans="2:99">
      <c r="C105" s="99" t="s">
        <v>271</v>
      </c>
      <c r="D105" s="100">
        <v>4.7679691646738682</v>
      </c>
      <c r="E105" s="100">
        <v>2654.8052308904098</v>
      </c>
      <c r="F105" s="100">
        <v>5.3013358160228083</v>
      </c>
      <c r="G105" s="100">
        <v>2951.7837823614996</v>
      </c>
      <c r="H105" s="100">
        <v>5.4196914505981288</v>
      </c>
      <c r="I105" s="100">
        <v>3017.684199693038</v>
      </c>
      <c r="J105" s="100">
        <v>5.0353535248121819</v>
      </c>
      <c r="K105" s="100">
        <v>2803.6848426154224</v>
      </c>
      <c r="L105" s="100">
        <v>5.8717629190343397</v>
      </c>
      <c r="M105" s="100">
        <v>3269.3975933183201</v>
      </c>
      <c r="N105" s="100">
        <v>4.3465188360807927</v>
      </c>
      <c r="O105" s="100">
        <v>2420.1416879297853</v>
      </c>
      <c r="P105" s="100">
        <v>0.43907006966050527</v>
      </c>
      <c r="Q105" s="100">
        <v>244.47421478696933</v>
      </c>
      <c r="R105" s="100">
        <v>8</v>
      </c>
      <c r="S105" s="100">
        <v>4454.3999999999996</v>
      </c>
      <c r="T105" s="100">
        <v>3.7184984495559013</v>
      </c>
      <c r="U105" s="100">
        <v>2070.4599367127257</v>
      </c>
      <c r="V105" s="100">
        <v>9</v>
      </c>
      <c r="W105" s="100">
        <v>5011.2</v>
      </c>
      <c r="X105" s="100">
        <v>2.4237224757168518</v>
      </c>
      <c r="Y105" s="100">
        <v>1349.5286744791431</v>
      </c>
      <c r="Z105" s="100">
        <v>8</v>
      </c>
      <c r="AA105" s="100">
        <v>4454.3999999999996</v>
      </c>
      <c r="AB105" s="100">
        <v>10</v>
      </c>
      <c r="AC105" s="100">
        <v>5568</v>
      </c>
      <c r="AD105" s="100">
        <v>5.5576246285329942</v>
      </c>
      <c r="AE105" s="100">
        <v>3094.485393167171</v>
      </c>
      <c r="AF105" s="100">
        <v>0.4038616206782949</v>
      </c>
      <c r="AG105" s="100">
        <v>224.87015039367458</v>
      </c>
      <c r="AH105" s="100">
        <v>9</v>
      </c>
      <c r="AI105" s="100">
        <v>5011.2</v>
      </c>
      <c r="AJ105" s="100">
        <v>8.0041020405690482</v>
      </c>
      <c r="AK105" s="100">
        <v>4456.6840161888458</v>
      </c>
      <c r="AL105" s="100">
        <v>6.1301072561336802</v>
      </c>
      <c r="AM105" s="100">
        <v>3413.2437202152328</v>
      </c>
      <c r="AN105" s="100">
        <v>3.7140627086895206</v>
      </c>
      <c r="AO105" s="100">
        <v>2067.9901161983248</v>
      </c>
      <c r="AP105" s="100">
        <v>5.3931740235788004</v>
      </c>
      <c r="AQ105" s="100">
        <v>3002.919296328676</v>
      </c>
      <c r="AR105" s="100">
        <v>5.3419994945012217</v>
      </c>
      <c r="AS105" s="100">
        <v>2974.42531853828</v>
      </c>
      <c r="AT105" s="100">
        <v>4.7727453368604262</v>
      </c>
      <c r="AU105" s="100">
        <v>2657.4646035638852</v>
      </c>
      <c r="AV105" s="100">
        <v>5.8038753730660568</v>
      </c>
      <c r="AW105" s="100">
        <v>3231.5978077231803</v>
      </c>
      <c r="AX105" s="100">
        <v>6.1129103594737995</v>
      </c>
      <c r="AY105" s="100">
        <v>3403.6684881550113</v>
      </c>
      <c r="AZ105" s="100">
        <v>5.5775920844690878</v>
      </c>
      <c r="BA105" s="100">
        <v>3105.6032726323879</v>
      </c>
      <c r="BB105" s="100">
        <v>4.4519128144032187</v>
      </c>
      <c r="BC105" s="100">
        <v>2478.8250550597122</v>
      </c>
      <c r="BD105" s="100">
        <v>0.4038616206782949</v>
      </c>
      <c r="BE105" s="100">
        <v>224.87015039367458</v>
      </c>
      <c r="BF105" s="100">
        <v>6.5776599674363201</v>
      </c>
      <c r="BG105" s="100">
        <v>3662.4410698685429</v>
      </c>
      <c r="BH105" s="100">
        <v>4.3809585826090114</v>
      </c>
      <c r="BI105" s="100">
        <v>2439.3177387966975</v>
      </c>
      <c r="BJ105" s="100">
        <v>5.1145162790823075</v>
      </c>
      <c r="BK105" s="100">
        <v>2847.7626641930287</v>
      </c>
      <c r="BL105" s="100">
        <v>4.9531144663015905</v>
      </c>
      <c r="BM105" s="100">
        <v>2757.8941348367252</v>
      </c>
      <c r="BN105" s="100">
        <v>5.0107005128850624</v>
      </c>
      <c r="BO105" s="100">
        <v>2789.9580455744026</v>
      </c>
      <c r="BP105" s="100">
        <v>0.43682991624386996</v>
      </c>
      <c r="BQ105" s="100">
        <v>243.22689736458679</v>
      </c>
      <c r="BR105" s="100">
        <v>7</v>
      </c>
      <c r="BS105" s="100">
        <v>3897.5999999999995</v>
      </c>
      <c r="BT105" s="100">
        <v>10.430638641757332</v>
      </c>
      <c r="BU105" s="100">
        <v>5807.7795957304816</v>
      </c>
      <c r="BV105" s="100">
        <v>6.0335462374682658</v>
      </c>
      <c r="BW105" s="100">
        <v>3359.4785450223303</v>
      </c>
      <c r="BX105" s="100">
        <v>4.1994848396933602</v>
      </c>
      <c r="BY105" s="100">
        <v>2338.2731587412627</v>
      </c>
      <c r="BZ105" s="100">
        <v>5.0749923389020193</v>
      </c>
      <c r="CA105" s="100">
        <v>2825.7557343006442</v>
      </c>
      <c r="CB105" s="100">
        <v>0.33975660152300996</v>
      </c>
      <c r="CC105" s="100">
        <v>189.17647572801192</v>
      </c>
      <c r="CD105" s="100">
        <v>6</v>
      </c>
      <c r="CE105" s="100">
        <v>3340.7999999999997</v>
      </c>
      <c r="CF105" s="100">
        <v>6</v>
      </c>
      <c r="CG105" s="100">
        <v>3340.7999999999997</v>
      </c>
      <c r="CH105" s="100">
        <v>7.6744000567259576</v>
      </c>
      <c r="CI105" s="100">
        <v>4273.1059515850129</v>
      </c>
      <c r="CJ105" s="100">
        <v>5.2030452017050086</v>
      </c>
      <c r="CK105" s="100">
        <v>2897.0555683093485</v>
      </c>
      <c r="CL105" s="100">
        <v>5.4232120139075217</v>
      </c>
      <c r="CM105" s="100">
        <v>3019.6444493437079</v>
      </c>
      <c r="CN105" s="100">
        <v>5.554438899400659</v>
      </c>
      <c r="CO105" s="100">
        <v>3092.7115791862866</v>
      </c>
      <c r="CP105" s="100">
        <v>3.9423750962570021</v>
      </c>
      <c r="CQ105" s="100">
        <v>2195.1144535958988</v>
      </c>
      <c r="CR105" s="100">
        <v>0.33708135269212014</v>
      </c>
      <c r="CS105" s="100">
        <v>187.68689717897249</v>
      </c>
      <c r="CT105" s="100">
        <v>10.496004363849622</v>
      </c>
      <c r="CU105" s="100">
        <v>5844.1752297914691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388</v>
      </c>
      <c r="E109" s="100">
        <f>SUM(L$6:L$19)+SUM(N$6:N$19)+SUM(P$6:P$19)+SUM(R$6:R$19)</f>
        <v>324</v>
      </c>
      <c r="F109" s="100">
        <f>SUM(T$6:T$19)+SUM(V$6:V$19)+SUM(X$6:X$19)+SUM(Z$6:Z$19)</f>
        <v>321</v>
      </c>
      <c r="G109" s="100">
        <f>SUM(AB$6:AB$19)+SUM(AD$6:AD$19)+SUM(AF$6:AF$19)+SUM(AH$6:AH$19)</f>
        <v>459.72473675463232</v>
      </c>
      <c r="H109" s="100">
        <f>SUM(AJ$6:AJ$19)+SUM(AL$6:AL$19)+SUM(AN$6:AN$19)+SUM(AP$6:AP$19)</f>
        <v>357.73950283640119</v>
      </c>
      <c r="I109" s="100">
        <f>SUM(AR$6:AR$19)+SUM(AT$6:AT$19)+SUM(AV$6:AV$19)+SUM(AX$6:AX$19)</f>
        <v>401.01256267357229</v>
      </c>
      <c r="J109" s="100">
        <f>SUM(AZ$6:AZ$19)+SUM(BB$6:BB$19)+SUM(BD$6:BD$19)+SUM(BF$6:BF$19)</f>
        <v>373.64570965607027</v>
      </c>
      <c r="K109" s="100">
        <f>SUM(BH$6:BH$19)+SUM(BJ$6:BJ$19)+SUM(BL$6:BL$19)+SUM(BN$6:BN$19)</f>
        <v>316.80123669363115</v>
      </c>
      <c r="L109" s="100">
        <f>SUM(BP$6:BP$19)+SUM(BR$6:BR$19)+SUM(BT$6:BT$19)+SUM(BV$6:BV$19)</f>
        <v>469.90391767916685</v>
      </c>
      <c r="M109" s="100">
        <f>SUM(BX$6:BX$19)+SUM(BZ$6:BZ$19)+SUM(CB$6:CB$19)+SUM(CD$6:CD$19)</f>
        <v>397.59017867248167</v>
      </c>
      <c r="N109" s="100">
        <f>SUM(CF$6:CF$19)+SUM(CH$6:CH$19)+SUM(CJ$6:CJ$19)+SUM(CL$6:CL$19)</f>
        <v>392.49545308044765</v>
      </c>
      <c r="O109" s="100">
        <f>SUM(CN$6:CN$19)+SUM(CP$6:CP$19)+SUM(CR$6:CR$19)+SUM(CT$6:CT$19)</f>
        <v>373.82329801344144</v>
      </c>
    </row>
    <row r="110" spans="2:99">
      <c r="C110" s="99" t="s">
        <v>127</v>
      </c>
      <c r="D110" s="100">
        <f>SUM(D$20:D$36)+SUM(F$20:F$36)+SUM(H$20:H$36)+SUM(J$20:J$36)</f>
        <v>887</v>
      </c>
      <c r="E110" s="100">
        <f>SUM(L$20:L$36)+SUM(N$20:N$36)+SUM(P$20:P$36)+SUM(R$20:R$36)</f>
        <v>676</v>
      </c>
      <c r="F110" s="100">
        <f>SUM(T$20:T$36)+SUM(V$20:V$36)+SUM(X$20:X$36)+SUM(Z$20:Z$36)</f>
        <v>676</v>
      </c>
      <c r="G110" s="100">
        <f>SUM(AB$20:AB$36)+SUM(AD$20:AD$36)+SUM(AF$20:AF$36)+SUM(AH$20:AH$36)</f>
        <v>744.66426466494022</v>
      </c>
      <c r="H110" s="100">
        <f>SUM(AJ$20:AJ$36)+SUM(AL$20:AL$36)+SUM(AN$20:AN$36)+SUM(AP$20:AP$36)</f>
        <v>851.43120917332305</v>
      </c>
      <c r="I110" s="100">
        <f>SUM(AR$20:AR$36)+SUM(AT$20:AT$36)+SUM(AV$20:AV$36)+SUM(AX$20:AX$36)</f>
        <v>822.01474139141033</v>
      </c>
      <c r="J110" s="100">
        <f>SUM(AZ$20:AZ$36)+SUM(BB$20:BB$36)+SUM(BD$20:BD$36)+SUM(BF$20:BF$36)</f>
        <v>683.41391996978734</v>
      </c>
      <c r="K110" s="100">
        <f>SUM(BH$20:BH$36)+SUM(BJ$20:BJ$36)+SUM(BL$20:BL$36)+SUM(BN$20:BN$36)</f>
        <v>562.88161684200782</v>
      </c>
      <c r="L110" s="100">
        <f>SUM(BP$20:BP$36)+SUM(BR$20:BR$36)+SUM(BT$20:BT$36)+SUM(BV$20:BV$36)</f>
        <v>817.56583665528842</v>
      </c>
      <c r="M110" s="100">
        <f>SUM(BX$20:BX$36)+SUM(BZ$20:BZ$36)+SUM(CB$20:CB$36)+SUM(CD$20:CD$36)</f>
        <v>779.97401748352252</v>
      </c>
      <c r="N110" s="100">
        <f>SUM(CF$20:CF$36)+SUM(CH$20:CH$36)+SUM(CJ$20:CJ$36)+SUM(CL$20:CL$36)</f>
        <v>808.37241699593278</v>
      </c>
      <c r="O110" s="100">
        <f>SUM(CN$20:CN$36)+SUM(CP$20:CP$36)+SUM(CR$20:CR$36)+SUM(CT$20:CT$36)</f>
        <v>750.06245722369556</v>
      </c>
    </row>
    <row r="111" spans="2:99">
      <c r="C111" s="99" t="s">
        <v>128</v>
      </c>
      <c r="D111" s="100">
        <f>SUM(D$37:D$48)+SUM(F$37:F$48)+SUM(H$37:H$48)+SUM(J$37:J$48)</f>
        <v>293</v>
      </c>
      <c r="E111" s="100">
        <f>SUM(L$37:L$48)+SUM(N$37:N$48)+SUM(P$37:P$48)+SUM(R$37:R$48)</f>
        <v>379</v>
      </c>
      <c r="F111" s="100">
        <f>SUM(T$37:T$48)+SUM(V$37:V$48)+SUM(X$37:X$48)+SUM(Z$37:Z$48)</f>
        <v>319</v>
      </c>
      <c r="G111" s="100">
        <f>SUM(AB$37:AB$48)+SUM(AD$37:AD$48)+SUM(AF$37:AF$48)+SUM(AH$37:AH$48)</f>
        <v>345.119477013204</v>
      </c>
      <c r="H111" s="100">
        <f>SUM(AJ$37:AJ$48)+SUM(AL$37:AL$48)+SUM(AN$37:AN$48)+SUM(AP$37:AP$48)</f>
        <v>355.80892865949647</v>
      </c>
      <c r="I111" s="100">
        <f>SUM(AR$37:AR$48)+SUM(AT$37:AT$48)+SUM(AV$37:AV$48)+SUM(AX$37:AX$48)</f>
        <v>367.50639315087847</v>
      </c>
      <c r="J111" s="100">
        <f>SUM(AZ$37:AZ$48)+SUM(BB$37:BB$48)+SUM(BD$37:BD$48)+SUM(BF$37:BF$48)</f>
        <v>275.74508155550245</v>
      </c>
      <c r="K111" s="100">
        <f>SUM(BH$37:BH$48)+SUM(BJ$37:BJ$48)+SUM(BL$37:BL$48)+SUM(BN$37:BN$48)</f>
        <v>269.97282687153063</v>
      </c>
      <c r="L111" s="100">
        <f>SUM(BP$37:BP$48)+SUM(BR$37:BR$48)+SUM(BT$37:BT$48)+SUM(BV$37:BV$48)</f>
        <v>384.99229195675764</v>
      </c>
      <c r="M111" s="100">
        <f>SUM(BX$37:BX$48)+SUM(BZ$37:BZ$48)+SUM(CB$37:CB$48)+SUM(CD$37:CD$48)</f>
        <v>299.64831217564955</v>
      </c>
      <c r="N111" s="100">
        <f>SUM(CF$37:CF$48)+SUM(CH$37:CH$48)+SUM(CJ$37:CJ$48)+SUM(CL$37:CL$48)</f>
        <v>273.44486632430733</v>
      </c>
      <c r="O111" s="100">
        <f>SUM(CN$37:CN$48)+SUM(CP$37:CP$48)+SUM(CR$37:CR$48)+SUM(CT$37:CT$48)</f>
        <v>254.46036283642621</v>
      </c>
    </row>
    <row r="112" spans="2:99">
      <c r="C112" s="99" t="s">
        <v>129</v>
      </c>
      <c r="D112" s="100">
        <f>SUM(D$49:D$70)+SUM(F$49:F$70)+SUM(H$49:H$70)+SUM(J$49:J$70)</f>
        <v>484.1819588215206</v>
      </c>
      <c r="E112" s="100">
        <f>SUM(L$49:L$70)+SUM(N$49:N$70)+SUM(P$49:P$70)+SUM(R$49:R$70)</f>
        <v>384.04257678355839</v>
      </c>
      <c r="F112" s="100">
        <f>SUM(T$49:T$70)+SUM(V$49:V$70)+SUM(X$49:X$70)+SUM(Z$49:Z$70)</f>
        <v>383.4247497354142</v>
      </c>
      <c r="G112" s="100">
        <f>SUM(AB$49:AB$70)+SUM(AD$49:AD$70)+SUM(AF$49:AF$70)+SUM(AH$49:AH$70)</f>
        <v>434.32932484446229</v>
      </c>
      <c r="H112" s="100">
        <f>SUM(AJ$49:AJ$70)+SUM(AL$49:AL$70)+SUM(AN$49:AN$70)+SUM(AP$49:AP$70)</f>
        <v>558.60729318473398</v>
      </c>
      <c r="I112" s="100">
        <f>SUM(AR$49:AR$70)+SUM(AT$49:AT$70)+SUM(AV$49:AV$70)+SUM(AX$49:AX$70)</f>
        <v>440.15338358764586</v>
      </c>
      <c r="J112" s="100">
        <f>SUM(AZ$49:AZ$70)+SUM(BB$49:BB$70)+SUM(BD$49:BD$70)+SUM(BF$49:BF$70)</f>
        <v>405.93506194646108</v>
      </c>
      <c r="K112" s="100">
        <f>SUM(BH$49:BH$70)+SUM(BJ$49:BJ$70)+SUM(BL$49:BL$70)+SUM(BN$49:BN$70)</f>
        <v>325.4119804227563</v>
      </c>
      <c r="L112" s="100">
        <f>SUM(BP$49:BP$70)+SUM(BR$49:BR$70)+SUM(BT$49:BT$70)+SUM(BV$49:BV$70)</f>
        <v>528.89562716655962</v>
      </c>
      <c r="M112" s="100">
        <f>SUM(BX$49:BX$70)+SUM(BZ$49:BZ$70)+SUM(CB$49:CB$70)+SUM(CD$49:CD$70)</f>
        <v>340.99730981623549</v>
      </c>
      <c r="N112" s="100">
        <f>SUM(CF$49:CF$70)+SUM(CH$49:CH$70)+SUM(CJ$49:CJ$70)+SUM(CL$49:CL$70)</f>
        <v>400.16724283663439</v>
      </c>
      <c r="O112" s="100">
        <f>SUM(CN$49:CN$70)+SUM(CP$49:CP$70)+SUM(CR$49:CR$70)+SUM(CT$49:CT$70)</f>
        <v>323.94392063725928</v>
      </c>
    </row>
    <row r="113" spans="2:15">
      <c r="C113" s="99" t="s">
        <v>130</v>
      </c>
      <c r="D113" s="100">
        <f>SUM(D$71:D$86)+SUM(F$71:F$86)+SUM(H$71:H$86)+SUM(J$71:J$86)</f>
        <v>286</v>
      </c>
      <c r="E113" s="100">
        <f>SUM(L$71:L$86)+SUM(N$71:N$86)+SUM(P$71:P$86)+SUM(R$71:R$86)</f>
        <v>274</v>
      </c>
      <c r="F113" s="100">
        <f>SUM(T$71:T$86)+SUM(V$71:V$86)+SUM(X$71:X$86)+SUM(Z$71:Z$86)</f>
        <v>261</v>
      </c>
      <c r="G113" s="100">
        <f>SUM(AB$71:AB$86)+SUM(AD$71:AD$86)+SUM(AF$71:AF$86)+SUM(AH$71:AH$86)</f>
        <v>331.22763528170458</v>
      </c>
      <c r="H113" s="100">
        <f>SUM(AJ$71:AJ$86)+SUM(AL$71:AL$86)+SUM(AN$71:AN$86)+SUM(AP$71:AP$86)</f>
        <v>328.39356848586272</v>
      </c>
      <c r="I113" s="100">
        <f>SUM(AR$71:AR$86)+SUM(AT$71:AT$86)+SUM(AV$71:AV$86)+SUM(AX$71:AX$86)</f>
        <v>273.64558953600863</v>
      </c>
      <c r="J113" s="100">
        <f>SUM(AZ$71:AZ$86)+SUM(BB$71:BB$86)+SUM(BD$71:BD$86)+SUM(BF$71:BF$86)</f>
        <v>251.5620312040509</v>
      </c>
      <c r="K113" s="100">
        <f>SUM(BH$71:BH$86)+SUM(BJ$71:BJ$86)+SUM(BL$71:BL$86)+SUM(BN$71:BN$86)</f>
        <v>212.11002351657629</v>
      </c>
      <c r="L113" s="100">
        <f>SUM(BP$71:BP$86)+SUM(BR$71:BR$86)+SUM(BT$71:BT$86)+SUM(BV$71:BV$86)</f>
        <v>271.78033853189623</v>
      </c>
      <c r="M113" s="100">
        <f>SUM(BX$71:BX$86)+SUM(BZ$71:BZ$86)+SUM(CB$71:CB$86)+SUM(CD$71:CD$86)</f>
        <v>321.71628060252516</v>
      </c>
      <c r="N113" s="100">
        <f>SUM(CF$71:CF$86)+SUM(CH$71:CH$86)+SUM(CJ$71:CJ$86)+SUM(CL$71:CL$86)</f>
        <v>239.00542381850124</v>
      </c>
      <c r="O113" s="100">
        <f>SUM(CN$71:CN$86)+SUM(CP$71:CP$86)+SUM(CR$71:CR$86)+SUM(CT$71:CT$86)</f>
        <v>286</v>
      </c>
    </row>
    <row r="114" spans="2:15">
      <c r="C114" s="99" t="s">
        <v>131</v>
      </c>
      <c r="D114" s="100">
        <f>SUM(D$87:D$94)+SUM(F$87:F$94)+SUM(H$87:H$94)+SUM(J$87:J$94)</f>
        <v>109.37020450992112</v>
      </c>
      <c r="E114" s="100">
        <f>SUM(L$87:L$94)+SUM(N$87:N$94)+SUM(P$87:P$94)+SUM(R$87:R$94)</f>
        <v>85.625019740268954</v>
      </c>
      <c r="F114" s="100">
        <f>SUM(T$87:T$94)+SUM(V$87:V$94)+SUM(X$87:X$94)+SUM(Z$87:Z$94)</f>
        <v>101.51977717042314</v>
      </c>
      <c r="G114" s="100">
        <f>SUM(AB$87:AB$94)+SUM(AD$87:AD$94)+SUM(AF$87:AF$94)+SUM(AH$87:AH$94)</f>
        <v>98.999819898861745</v>
      </c>
      <c r="H114" s="100">
        <f>SUM(AJ$87:AJ$94)+SUM(AL$87:AL$94)+SUM(AN$87:AN$94)+SUM(AP$87:AP$94)</f>
        <v>124.09315215014048</v>
      </c>
      <c r="I114" s="100">
        <f>SUM(AR$87:AR$94)+SUM(AT$87:AT$94)+SUM(AV$87:AV$94)+SUM(AX$87:AX$94)</f>
        <v>90.034805473319352</v>
      </c>
      <c r="J114" s="100">
        <f>SUM(AZ$87:AZ$94)+SUM(BB$87:BB$94)+SUM(BD$87:BD$94)+SUM(BF$87:BF$94)</f>
        <v>109.188103651917</v>
      </c>
      <c r="K114" s="100">
        <f>SUM(BH$87:BH$94)+SUM(BJ$87:BJ$94)+SUM(BL$87:BL$94)+SUM(BN$87:BN$94)</f>
        <v>93.074262341927607</v>
      </c>
      <c r="L114" s="100">
        <f>SUM(BP$87:BP$94)+SUM(BR$87:BR$94)+SUM(BT$87:BT$94)+SUM(BV$87:BV$94)</f>
        <v>115.33902709705212</v>
      </c>
      <c r="M114" s="100">
        <f>SUM(BX$87:BX$94)+SUM(BZ$87:BZ$94)+SUM(CB$87:CB$94)+SUM(CD$87:CD$94)</f>
        <v>102.87695897180451</v>
      </c>
      <c r="N114" s="100">
        <f>SUM(CF$87:CF$94)+SUM(CH$87:CH$94)+SUM(CJ$87:CJ$94)+SUM(CL$87:CL$94)</f>
        <v>136.86550130712294</v>
      </c>
      <c r="O114" s="100">
        <f>SUM(CN$87:CN$94)+SUM(CP$87:CP$94)+SUM(CR$87:CR$94)+SUM(CT$87:CT$94)</f>
        <v>105.51794698370496</v>
      </c>
    </row>
    <row r="115" spans="2:15">
      <c r="C115" s="99" t="s">
        <v>132</v>
      </c>
      <c r="D115" s="100">
        <f>SUM(D$95:D$105)+SUM(F$95:F$105)+SUM(H$95:H$105)+SUM(J$95:J$105)</f>
        <v>212.07484381357588</v>
      </c>
      <c r="E115" s="100">
        <f>SUM(L$95:L$105)+SUM(N$95:N$105)+SUM(P$95:P$105)+SUM(R$95:R$105)</f>
        <v>210.44582709537914</v>
      </c>
      <c r="F115" s="100">
        <f>SUM(T$95:T$105)+SUM(V$95:V$105)+SUM(X$95:X$105)+SUM(Z$95:Z$105)</f>
        <v>255.28400193251088</v>
      </c>
      <c r="G115" s="100">
        <f>SUM(AB$95:AB$105)+SUM(AD$95:AD$105)+SUM(AF$95:AF$105)+SUM(AH$95:AH$105)</f>
        <v>276.01221398872104</v>
      </c>
      <c r="H115" s="100">
        <f>SUM(AJ$95:AJ$105)+SUM(AL$95:AL$105)+SUM(AN$95:AN$105)+SUM(AP$95:AP$105)</f>
        <v>262.57487772454044</v>
      </c>
      <c r="I115" s="100">
        <f>SUM(AR$95:AR$105)+SUM(AT$95:AT$105)+SUM(AV$95:AV$105)+SUM(AX$95:AX$105)</f>
        <v>233.89091830713625</v>
      </c>
      <c r="J115" s="100">
        <f>SUM(AZ$95:AZ$105)+SUM(BB$95:BB$105)+SUM(BD$95:BD$105)+SUM(BF$95:BF$105)</f>
        <v>183.09640731640349</v>
      </c>
      <c r="K115" s="100">
        <f>SUM(BH$95:BH$105)+SUM(BJ$95:BJ$105)+SUM(BL$95:BL$105)+SUM(BN$95:BN$105)</f>
        <v>219.4144739621872</v>
      </c>
      <c r="L115" s="100">
        <f>SUM(BP$95:BP$105)+SUM(BR$95:BR$105)+SUM(BT$95:BT$105)+SUM(BV$95:BV$105)</f>
        <v>245.44753362648993</v>
      </c>
      <c r="M115" s="100">
        <f>SUM(BX$95:BX$105)+SUM(BZ$95:BZ$105)+SUM(CB$95:CB$105)+SUM(CD$95:CD$105)</f>
        <v>184.63415003666438</v>
      </c>
      <c r="N115" s="100">
        <f>SUM(CF$95:CF$105)+SUM(CH$95:CH$105)+SUM(CJ$95:CJ$105)+SUM(CL$95:CL$105)</f>
        <v>260.47830922524332</v>
      </c>
      <c r="O115" s="100">
        <f>SUM(CN$95:CN$105)+SUM(CP$95:CP$105)+SUM(CR$95:CR$105)+SUM(CT$95:CT$105)</f>
        <v>223.10708763245319</v>
      </c>
    </row>
    <row r="116" spans="2:15">
      <c r="C116" s="99" t="s">
        <v>278</v>
      </c>
      <c r="D116" s="100">
        <f t="shared" ref="D116:O116" si="0">SUM(D$109:D$115)</f>
        <v>2659.6270071450181</v>
      </c>
      <c r="E116" s="100">
        <f t="shared" si="0"/>
        <v>2333.1134236192065</v>
      </c>
      <c r="F116" s="100">
        <f t="shared" si="0"/>
        <v>2317.2285288383482</v>
      </c>
      <c r="G116" s="100">
        <f t="shared" si="0"/>
        <v>2690.0774724465264</v>
      </c>
      <c r="H116" s="100">
        <f t="shared" si="0"/>
        <v>2838.6485322144986</v>
      </c>
      <c r="I116" s="100">
        <f t="shared" si="0"/>
        <v>2628.2583941199714</v>
      </c>
      <c r="J116" s="100">
        <f t="shared" si="0"/>
        <v>2282.5863153001928</v>
      </c>
      <c r="K116" s="100">
        <f t="shared" si="0"/>
        <v>1999.6664206506171</v>
      </c>
      <c r="L116" s="100">
        <f t="shared" si="0"/>
        <v>2833.9245727132111</v>
      </c>
      <c r="M116" s="100">
        <f t="shared" si="0"/>
        <v>2427.4372077588832</v>
      </c>
      <c r="N116" s="100">
        <f t="shared" si="0"/>
        <v>2510.8292135881898</v>
      </c>
      <c r="O116" s="100">
        <f t="shared" si="0"/>
        <v>2316.9150733269807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2948799.9999999995</v>
      </c>
      <c r="E120" s="100">
        <f>E109*pricing!E24*2000</f>
        <v>2462400</v>
      </c>
      <c r="F120" s="100">
        <f>F109*pricing!F24*2000</f>
        <v>2439600</v>
      </c>
      <c r="G120" s="100">
        <f>G109*pricing!G24*2000</f>
        <v>3493907.9993352056</v>
      </c>
      <c r="H120" s="100">
        <f>H109*pricing!H24*2000</f>
        <v>2718820.2215566491</v>
      </c>
      <c r="I120" s="100">
        <f>I109*pricing!I24*2000</f>
        <v>3047695.4763191491</v>
      </c>
      <c r="J120" s="100">
        <f>J109*pricing!J24*2000</f>
        <v>2839707.3933861339</v>
      </c>
      <c r="K120" s="100">
        <f>K109*pricing!K24*2000</f>
        <v>2407689.3988715964</v>
      </c>
      <c r="L120" s="100">
        <f>L109*pricing!L24*2000</f>
        <v>3571269.7743616677</v>
      </c>
      <c r="M120" s="100">
        <f>M109*pricing!M24*2000</f>
        <v>3021685.3579108608</v>
      </c>
      <c r="N120" s="100">
        <f>N109*pricing!N24*2000</f>
        <v>2982965.4434114019</v>
      </c>
      <c r="O120" s="100">
        <f>O109*pricing!O24*2000</f>
        <v>2841057.0649021547</v>
      </c>
    </row>
    <row r="121" spans="2:15">
      <c r="C121" s="99" t="s">
        <v>127</v>
      </c>
      <c r="D121" s="100">
        <f>D110*pricing!D25*2000</f>
        <v>6741200</v>
      </c>
      <c r="E121" s="100">
        <f>E110*pricing!E25*2000</f>
        <v>5137599.9999999991</v>
      </c>
      <c r="F121" s="100">
        <f>F110*pricing!F25*2000</f>
        <v>5137599.9999999991</v>
      </c>
      <c r="G121" s="100">
        <f>G110*pricing!G25*2000</f>
        <v>5659448.4114535451</v>
      </c>
      <c r="H121" s="100">
        <f>H110*pricing!H25*2000</f>
        <v>6470877.1897172546</v>
      </c>
      <c r="I121" s="100">
        <f>I110*pricing!I25*2000</f>
        <v>6247312.0345747182</v>
      </c>
      <c r="J121" s="100">
        <f>J110*pricing!J25*2000</f>
        <v>5193945.7917703837</v>
      </c>
      <c r="K121" s="100">
        <f>K110*pricing!K25*2000</f>
        <v>4277900.2879992593</v>
      </c>
      <c r="L121" s="100">
        <f>L110*pricing!L25*2000</f>
        <v>6213500.3585801916</v>
      </c>
      <c r="M121" s="100">
        <f>M110*pricing!M25*2000</f>
        <v>5927802.5328747705</v>
      </c>
      <c r="N121" s="100">
        <f>N110*pricing!N25*2000</f>
        <v>6143630.369169089</v>
      </c>
      <c r="O121" s="100">
        <f>O110*pricing!O25*2000</f>
        <v>5700474.6749000857</v>
      </c>
    </row>
    <row r="122" spans="2:15">
      <c r="C122" s="99" t="s">
        <v>128</v>
      </c>
      <c r="D122" s="100">
        <f>D111*pricing!D26*2000</f>
        <v>2226799.9999999995</v>
      </c>
      <c r="E122" s="100">
        <f>E111*pricing!E26*2000</f>
        <v>2880400</v>
      </c>
      <c r="F122" s="100">
        <f>F111*pricing!F26*2000</f>
        <v>2424400</v>
      </c>
      <c r="G122" s="100">
        <f>G111*pricing!G26*2000</f>
        <v>2622908.0253003505</v>
      </c>
      <c r="H122" s="100">
        <f>H111*pricing!H26*2000</f>
        <v>2704147.8578121732</v>
      </c>
      <c r="I122" s="100">
        <f>I111*pricing!I26*2000</f>
        <v>2793048.5879466766</v>
      </c>
      <c r="J122" s="100">
        <f>J111*pricing!J26*2000</f>
        <v>2095662.6198218188</v>
      </c>
      <c r="K122" s="100">
        <f>K111*pricing!K26*2000</f>
        <v>2051793.4842236328</v>
      </c>
      <c r="L122" s="100">
        <f>L111*pricing!L26*2000</f>
        <v>2925941.418871358</v>
      </c>
      <c r="M122" s="100">
        <f>M111*pricing!M26*2000</f>
        <v>2277327.1725349366</v>
      </c>
      <c r="N122" s="100">
        <f>N111*pricing!N26*2000</f>
        <v>2078180.9840647357</v>
      </c>
      <c r="O122" s="100">
        <f>O111*pricing!O26*2000</f>
        <v>1933898.7575568391</v>
      </c>
    </row>
    <row r="123" spans="2:15">
      <c r="C123" s="99" t="s">
        <v>129</v>
      </c>
      <c r="D123" s="100">
        <f>D112*pricing!D27*2000</f>
        <v>3679782.8870435567</v>
      </c>
      <c r="E123" s="100">
        <f>E112*pricing!E27*2000</f>
        <v>2918723.5835550437</v>
      </c>
      <c r="F123" s="100">
        <f>F112*pricing!F27*2000</f>
        <v>2914028.0979891475</v>
      </c>
      <c r="G123" s="100">
        <f>G112*pricing!G27*2000</f>
        <v>3300902.8688179133</v>
      </c>
      <c r="H123" s="100">
        <f>H112*pricing!H27*2000</f>
        <v>4245415.4282039776</v>
      </c>
      <c r="I123" s="100">
        <f>I112*pricing!I27*2000</f>
        <v>3345165.715266108</v>
      </c>
      <c r="J123" s="100">
        <f>J112*pricing!J27*2000</f>
        <v>3085106.4707931043</v>
      </c>
      <c r="K123" s="100">
        <f>K112*pricing!K27*2000</f>
        <v>2473131.0512129473</v>
      </c>
      <c r="L123" s="100">
        <f>L112*pricing!L27*2000</f>
        <v>4019606.766465853</v>
      </c>
      <c r="M123" s="100">
        <f>M112*pricing!M27*2000</f>
        <v>2591579.5546033895</v>
      </c>
      <c r="N123" s="100">
        <f>N112*pricing!N27*2000</f>
        <v>3041271.0455584209</v>
      </c>
      <c r="O123" s="100">
        <f>O112*pricing!O27*2000</f>
        <v>2461973.7968431707</v>
      </c>
    </row>
    <row r="124" spans="2:15">
      <c r="C124" s="99" t="s">
        <v>130</v>
      </c>
      <c r="D124" s="100">
        <f>D113*pricing!D28*2000</f>
        <v>2173600</v>
      </c>
      <c r="E124" s="100">
        <f>E113*pricing!E28*2000</f>
        <v>2082400</v>
      </c>
      <c r="F124" s="100">
        <f>F113*pricing!F28*2000</f>
        <v>1983600</v>
      </c>
      <c r="G124" s="100">
        <f>G113*pricing!G28*2000</f>
        <v>2517330.0281409547</v>
      </c>
      <c r="H124" s="100">
        <f>H113*pricing!H28*2000</f>
        <v>2495791.1204925566</v>
      </c>
      <c r="I124" s="100">
        <f>I113*pricing!I28*2000</f>
        <v>2079706.4804736655</v>
      </c>
      <c r="J124" s="100">
        <f>J113*pricing!J28*2000</f>
        <v>1911871.4371507866</v>
      </c>
      <c r="K124" s="100">
        <f>K113*pricing!K28*2000</f>
        <v>1612036.1787259798</v>
      </c>
      <c r="L124" s="100">
        <f>L113*pricing!L28*2000</f>
        <v>2065530.5728424115</v>
      </c>
      <c r="M124" s="100">
        <f>M113*pricing!M28*2000</f>
        <v>2445043.7325791907</v>
      </c>
      <c r="N124" s="100">
        <f>N113*pricing!N28*2000</f>
        <v>1816441.2210206094</v>
      </c>
      <c r="O124" s="100">
        <f>O113*pricing!O28*2000</f>
        <v>2173600</v>
      </c>
    </row>
    <row r="125" spans="2:15">
      <c r="C125" s="99" t="s">
        <v>131</v>
      </c>
      <c r="D125" s="100">
        <f>D114*pricing!D29*2000</f>
        <v>831213.55427540047</v>
      </c>
      <c r="E125" s="100">
        <f>E114*pricing!E29*2000</f>
        <v>650750.15002604399</v>
      </c>
      <c r="F125" s="100">
        <f>F114*pricing!F29*2000</f>
        <v>771550.30649521586</v>
      </c>
      <c r="G125" s="100">
        <f>G114*pricing!G29*2000</f>
        <v>752398.63123134919</v>
      </c>
      <c r="H125" s="100">
        <f>H114*pricing!H29*2000</f>
        <v>943107.95634106756</v>
      </c>
      <c r="I125" s="100">
        <f>I114*pricing!I29*2000</f>
        <v>684264.52159722708</v>
      </c>
      <c r="J125" s="100">
        <f>J114*pricing!J29*2000</f>
        <v>829829.58775456913</v>
      </c>
      <c r="K125" s="100">
        <f>K114*pricing!K29*2000</f>
        <v>707364.39379864978</v>
      </c>
      <c r="L125" s="100">
        <f>L114*pricing!L29*2000</f>
        <v>876576.60593759618</v>
      </c>
      <c r="M125" s="100">
        <f>M114*pricing!M29*2000</f>
        <v>781864.88818571426</v>
      </c>
      <c r="N125" s="100">
        <f>N114*pricing!N29*2000</f>
        <v>1040177.8099341342</v>
      </c>
      <c r="O125" s="100">
        <f>O114*pricing!O29*2000</f>
        <v>801936.39707615762</v>
      </c>
    </row>
    <row r="126" spans="2:15">
      <c r="C126" s="99" t="s">
        <v>132</v>
      </c>
      <c r="D126" s="100">
        <f>D115*pricing!D30*2000</f>
        <v>1611768.8129831764</v>
      </c>
      <c r="E126" s="100">
        <f>E115*pricing!E30*2000</f>
        <v>1599388.2859248815</v>
      </c>
      <c r="F126" s="100">
        <f>F115*pricing!F30*2000</f>
        <v>1940158.4146870826</v>
      </c>
      <c r="G126" s="100">
        <f>G115*pricing!G30*2000</f>
        <v>2097692.8263142798</v>
      </c>
      <c r="H126" s="100">
        <f>H115*pricing!H30*2000</f>
        <v>1995569.0707065074</v>
      </c>
      <c r="I126" s="100">
        <f>I115*pricing!I30*2000</f>
        <v>1777570.9791342353</v>
      </c>
      <c r="J126" s="100">
        <f>J115*pricing!J30*2000</f>
        <v>1391532.6956046666</v>
      </c>
      <c r="K126" s="100">
        <f>K115*pricing!K30*2000</f>
        <v>1667550.0021126226</v>
      </c>
      <c r="L126" s="100">
        <f>L115*pricing!L30*2000</f>
        <v>1865401.2555613234</v>
      </c>
      <c r="M126" s="100">
        <f>M115*pricing!M30*2000</f>
        <v>1403219.5402786492</v>
      </c>
      <c r="N126" s="100">
        <f>N115*pricing!N30*2000</f>
        <v>1979635.150111849</v>
      </c>
      <c r="O126" s="100">
        <f>O115*pricing!O30*2000</f>
        <v>1695613.8660066442</v>
      </c>
    </row>
    <row r="127" spans="2:15">
      <c r="C127" s="99" t="s">
        <v>278</v>
      </c>
      <c r="D127" s="100">
        <f t="shared" ref="D127:O127" si="1">SUM(D$120:D$126)</f>
        <v>20213165.254302137</v>
      </c>
      <c r="E127" s="100">
        <f t="shared" si="1"/>
        <v>17731662.019505966</v>
      </c>
      <c r="F127" s="100">
        <f t="shared" si="1"/>
        <v>17610936.819171447</v>
      </c>
      <c r="G127" s="100">
        <f t="shared" si="1"/>
        <v>20444588.790593594</v>
      </c>
      <c r="H127" s="100">
        <f t="shared" si="1"/>
        <v>21573728.844830189</v>
      </c>
      <c r="I127" s="100">
        <f t="shared" si="1"/>
        <v>19974763.795311783</v>
      </c>
      <c r="J127" s="100">
        <f t="shared" si="1"/>
        <v>17347655.996281464</v>
      </c>
      <c r="K127" s="100">
        <f t="shared" si="1"/>
        <v>15197464.796944689</v>
      </c>
      <c r="L127" s="100">
        <f t="shared" si="1"/>
        <v>21537826.752620399</v>
      </c>
      <c r="M127" s="100">
        <f t="shared" si="1"/>
        <v>18448522.778967511</v>
      </c>
      <c r="N127" s="100">
        <f t="shared" si="1"/>
        <v>19082302.023270242</v>
      </c>
      <c r="O127" s="100">
        <f t="shared" si="1"/>
        <v>17608554.557285052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196917.59999999998</v>
      </c>
      <c r="E131" s="106">
        <f>SUM(M$6:M$19)+SUM(O$6:O$19)+SUM(Q$6:Q$19)+SUM(S$6:S$19)</f>
        <v>163249.20000000001</v>
      </c>
      <c r="F131" s="106">
        <f>SUM(U$6:U$19)+SUM(W$6:W$19)+SUM(Y$6:Y$19)+SUM(AA$6:AA$19)</f>
        <v>161916</v>
      </c>
      <c r="G131" s="106">
        <f>SUM(AC$6:AC$19)+SUM(AE$6:AE$19)+SUM(AG$6:AG$19)+SUM(AI$6:AI$19)</f>
        <v>231454.72795612353</v>
      </c>
      <c r="H131" s="106">
        <f>SUM(AK$6:AK$19)+SUM(AM$6:AM$19)+SUM(AO$6:AO$19)+SUM(AQ$6:AQ$19)</f>
        <v>180069.46598216056</v>
      </c>
      <c r="I131" s="106">
        <f>SUM(AS$6:AS$19)+SUM(AU$6:AU$19)+SUM(AW$6:AW$19)+SUM(AY$6:AY$19)</f>
        <v>202181.09598592043</v>
      </c>
      <c r="J131" s="106">
        <f>SUM(BA$6:BA$19)+SUM(BC$6:BC$19)+SUM(BE$6:BE$19)+SUM(BG$6:BG$19)</f>
        <v>189057.89362930489</v>
      </c>
      <c r="K131" s="106">
        <f>SUM(BI$6:BI$19)+SUM(BK$6:BK$19)+SUM(BM$6:BM$19)+SUM(BO$6:BO$19)</f>
        <v>160756.65667213639</v>
      </c>
      <c r="L131" s="106">
        <f>SUM(BQ$6:BQ$19)+SUM(BS$6:BS$19)+SUM(BU$6:BU$19)+SUM(BW$6:BW$19)</f>
        <v>237548.90832174034</v>
      </c>
      <c r="M131" s="106">
        <f>SUM(BY$6:BY$19)+SUM(CA$6:CA$19)+SUM(CC$6:CC$19)+SUM(CE$6:CE$19)</f>
        <v>201177.1761865156</v>
      </c>
      <c r="N131" s="106">
        <f>SUM(CG$6:CG$19)+SUM(CI$6:CI$19)+SUM(CK$6:CK$19)+SUM(CM$6:CM$19)</f>
        <v>197876.69606083242</v>
      </c>
      <c r="O131" s="106">
        <f>SUM(CO$6:CO$19)+SUM(CQ$6:CQ$19)+SUM(CS$6:CS$19)+SUM(CU$6:CU$19)</f>
        <v>189092.97004807441</v>
      </c>
    </row>
    <row r="132" spans="2:15">
      <c r="C132" s="105" t="s">
        <v>127</v>
      </c>
      <c r="D132" s="106">
        <f>SUM(E$20:E$36)+SUM(G$20:G$36)+SUM(I$20:I$36)+SUM(K$20:K$36)</f>
        <v>379441.2</v>
      </c>
      <c r="E132" s="106">
        <f>SUM(M$20:M$36)+SUM(O$20:O$36)+SUM(Q$20:Q$36)+SUM(S$20:S$36)</f>
        <v>290962.8</v>
      </c>
      <c r="F132" s="106">
        <f>SUM(U$20:U$36)+SUM(W$20:W$36)+SUM(Y$20:Y$36)+SUM(AA$20:AA$36)</f>
        <v>289675.19999999995</v>
      </c>
      <c r="G132" s="106">
        <f>SUM(AC$20:AC$36)+SUM(AE$20:AE$36)+SUM(AG$20:AG$36)+SUM(AI$20:AI$36)</f>
        <v>320080.61327592959</v>
      </c>
      <c r="H132" s="106">
        <f>SUM(AK$20:AK$36)+SUM(AM$20:AM$36)+SUM(AO$20:AO$36)+SUM(AQ$20:AQ$36)</f>
        <v>367225.37314759596</v>
      </c>
      <c r="I132" s="106">
        <f>SUM(AS$20:AS$36)+SUM(AU$20:AU$36)+SUM(AW$20:AW$36)+SUM(AY$20:AY$36)</f>
        <v>353754.69199125213</v>
      </c>
      <c r="J132" s="106">
        <f>SUM(BA$20:BA$36)+SUM(BC$20:BC$36)+SUM(BE$20:BE$36)+SUM(BG$20:BG$36)</f>
        <v>292686.4183031955</v>
      </c>
      <c r="K132" s="106">
        <f>SUM(BI$20:BI$36)+SUM(BK$20:BK$36)+SUM(BM$20:BM$36)+SUM(BO$20:BO$36)</f>
        <v>241375.77451086784</v>
      </c>
      <c r="L132" s="106">
        <f>SUM(BQ$20:BQ$36)+SUM(BS$20:BS$36)+SUM(BU$20:BU$36)+SUM(BW$20:BW$36)</f>
        <v>350368.90279044228</v>
      </c>
      <c r="M132" s="106">
        <f>SUM(BY$20:BY$36)+SUM(CA$20:CA$36)+SUM(CC$20:CC$36)+SUM(CE$20:CE$36)</f>
        <v>334494.14363751112</v>
      </c>
      <c r="N132" s="106">
        <f>SUM(CG$20:CG$36)+SUM(CI$20:CI$36)+SUM(CK$20:CK$36)+SUM(CM$20:CM$36)</f>
        <v>346781.58239772031</v>
      </c>
      <c r="O132" s="106">
        <f>SUM(CO$20:CO$36)+SUM(CQ$20:CQ$36)+SUM(CS$20:CS$36)+SUM(CU$20:CU$36)</f>
        <v>322195.32497517974</v>
      </c>
    </row>
    <row r="133" spans="2:15">
      <c r="C133" s="105" t="s">
        <v>128</v>
      </c>
      <c r="D133" s="106">
        <f>SUM(E$37:E$48)+SUM(G$37:G$48)+SUM(I$37:I$48)+SUM(K$37:K$48)</f>
        <v>307896</v>
      </c>
      <c r="E133" s="106">
        <f>SUM(M$37:M$48)+SUM(O$37:O$48)+SUM(Q$37:Q$48)+SUM(S$37:S$48)</f>
        <v>395829.6</v>
      </c>
      <c r="F133" s="106">
        <f>SUM(U$37:U$48)+SUM(W$37:W$48)+SUM(Y$37:Y$48)+SUM(AA$37:AA$48)</f>
        <v>337376.4</v>
      </c>
      <c r="G133" s="106">
        <f>SUM(AC$37:AC$48)+SUM(AE$37:AE$48)+SUM(AG$37:AG$48)+SUM(AI$37:AI$48)</f>
        <v>362109.12855637912</v>
      </c>
      <c r="H133" s="106">
        <f>SUM(AK$37:AK$48)+SUM(AM$37:AM$48)+SUM(AO$37:AO$48)+SUM(AQ$37:AQ$48)</f>
        <v>372649.30254203727</v>
      </c>
      <c r="I133" s="106">
        <f>SUM(AS$37:AS$48)+SUM(AU$37:AU$48)+SUM(AW$37:AW$48)+SUM(AY$37:AY$48)</f>
        <v>385607.96300205064</v>
      </c>
      <c r="J133" s="106">
        <f>SUM(BA$37:BA$48)+SUM(BC$37:BC$48)+SUM(BE$37:BE$48)+SUM(BG$37:BG$48)</f>
        <v>291085.44369221793</v>
      </c>
      <c r="K133" s="106">
        <f>SUM(BI$37:BI$48)+SUM(BK$37:BK$48)+SUM(BM$37:BM$48)+SUM(BO$37:BO$48)</f>
        <v>283901.71196640783</v>
      </c>
      <c r="L133" s="106">
        <f>SUM(BQ$37:BQ$48)+SUM(BS$37:BS$48)+SUM(BU$37:BU$48)+SUM(BW$37:BW$48)</f>
        <v>405124.1734669914</v>
      </c>
      <c r="M133" s="106">
        <f>SUM(BY$37:BY$48)+SUM(CA$37:CA$48)+SUM(CC$37:CC$48)+SUM(CE$37:CE$48)</f>
        <v>315023.39419251063</v>
      </c>
      <c r="N133" s="106">
        <f>SUM(CG$37:CG$48)+SUM(CI$37:CI$48)+SUM(CK$37:CK$48)+SUM(CM$37:CM$48)</f>
        <v>287183.805614235</v>
      </c>
      <c r="O133" s="106">
        <f>SUM(CO$37:CO$48)+SUM(CQ$37:CQ$48)+SUM(CS$37:CS$48)+SUM(CU$37:CU$48)</f>
        <v>266332.08109940798</v>
      </c>
    </row>
    <row r="134" spans="2:15">
      <c r="C134" s="105" t="s">
        <v>129</v>
      </c>
      <c r="D134" s="106">
        <f>SUM(E$49:E$70)+SUM(G$49:G$70)+SUM(I$49:I$70)+SUM(K$49:K$70)</f>
        <v>401482.5479991032</v>
      </c>
      <c r="E134" s="106">
        <f>SUM(M$49:M$70)+SUM(O$49:O$70)+SUM(Q$49:Q$70)+SUM(S$49:S$70)</f>
        <v>318503.90435234248</v>
      </c>
      <c r="F134" s="106">
        <f>SUM(U$49:U$70)+SUM(W$49:W$70)+SUM(Y$49:Y$70)+SUM(AA$49:AA$70)</f>
        <v>316680.24115170876</v>
      </c>
      <c r="G134" s="106">
        <f>SUM(AC$49:AC$70)+SUM(AE$49:AE$70)+SUM(AG$49:AG$70)+SUM(AI$49:AI$70)</f>
        <v>362047.72961401363</v>
      </c>
      <c r="H134" s="106">
        <f>SUM(AK$49:AK$70)+SUM(AM$49:AM$70)+SUM(AO$49:AO$70)+SUM(AQ$49:AQ$70)</f>
        <v>463832.87476893637</v>
      </c>
      <c r="I134" s="106">
        <f>SUM(AS$49:AS$70)+SUM(AU$49:AU$70)+SUM(AW$49:AW$70)+SUM(AY$49:AY$70)</f>
        <v>364039.3453882162</v>
      </c>
      <c r="J134" s="106">
        <f>SUM(BA$49:BA$70)+SUM(BC$49:BC$70)+SUM(BE$49:BE$70)+SUM(BG$49:BG$70)</f>
        <v>337265.05985690642</v>
      </c>
      <c r="K134" s="106">
        <f>SUM(BI$49:BI$70)+SUM(BK$49:BK$70)+SUM(BM$49:BM$70)+SUM(BO$49:BO$70)</f>
        <v>270026.64225111657</v>
      </c>
      <c r="L134" s="106">
        <f>SUM(BQ$49:BQ$70)+SUM(BS$49:BS$70)+SUM(BU$49:BU$70)+SUM(BW$49:BW$70)</f>
        <v>441141.25628330646</v>
      </c>
      <c r="M134" s="106">
        <f>SUM(BY$49:BY$70)+SUM(CA$49:CA$70)+SUM(CC$49:CC$70)+SUM(CE$49:CE$70)</f>
        <v>284671.08855250455</v>
      </c>
      <c r="N134" s="106">
        <f>SUM(CG$49:CG$70)+SUM(CI$49:CI$70)+SUM(CK$49:CK$70)+SUM(CM$49:CM$70)</f>
        <v>334086.45783554378</v>
      </c>
      <c r="O134" s="106">
        <f>SUM(CO$49:CO$70)+SUM(CQ$49:CQ$70)+SUM(CS$49:CS$70)+SUM(CU$49:CU$70)</f>
        <v>270843.02843695914</v>
      </c>
    </row>
    <row r="135" spans="2:15">
      <c r="C135" s="105" t="s">
        <v>130</v>
      </c>
      <c r="D135" s="106">
        <f>SUM(E$71:E$86)+SUM(G$71:G$86)+SUM(I$71:I$86)+SUM(K$71:K$86)</f>
        <v>160076.4</v>
      </c>
      <c r="E135" s="106">
        <f>SUM(M$71:M$86)+SUM(O$71:O$86)+SUM(Q$71:Q$86)+SUM(S$71:S$86)</f>
        <v>153278.39999999999</v>
      </c>
      <c r="F135" s="106">
        <f>SUM(U$71:U$86)+SUM(W$71:W$86)+SUM(Y$71:Y$86)+SUM(AA$71:AA$86)</f>
        <v>145816.79999999999</v>
      </c>
      <c r="G135" s="106">
        <f>SUM(AC$71:AC$86)+SUM(AE$71:AE$86)+SUM(AG$71:AG$86)+SUM(AI$71:AI$86)</f>
        <v>186373.29364952922</v>
      </c>
      <c r="H135" s="106">
        <f>SUM(AK$71:AK$86)+SUM(AM$71:AM$86)+SUM(AO$71:AO$86)+SUM(AQ$71:AQ$86)</f>
        <v>183908.44562737676</v>
      </c>
      <c r="I135" s="106">
        <f>SUM(AS$71:AS$86)+SUM(AU$71:AU$86)+SUM(AW$71:AW$86)+SUM(AY$71:AY$86)</f>
        <v>152984.0759559212</v>
      </c>
      <c r="J135" s="106">
        <f>SUM(BA$71:BA$86)+SUM(BC$71:BC$86)+SUM(BE$71:BE$86)+SUM(BG$71:BG$86)</f>
        <v>141536.37977100105</v>
      </c>
      <c r="K135" s="106">
        <f>SUM(BI$71:BI$86)+SUM(BK$71:BK$86)+SUM(BM$71:BM$86)+SUM(BO$71:BO$86)</f>
        <v>118188.16394065737</v>
      </c>
      <c r="L135" s="106">
        <f>SUM(BQ$71:BQ$86)+SUM(BS$71:BS$86)+SUM(BU$71:BU$86)+SUM(BW$71:BW$86)</f>
        <v>151405.17650265081</v>
      </c>
      <c r="M135" s="106">
        <f>SUM(BY$71:BY$86)+SUM(CA$71:CA$86)+SUM(CC$71:CC$86)+SUM(CE$71:CE$86)</f>
        <v>180514.56529800309</v>
      </c>
      <c r="N135" s="106">
        <f>SUM(CG$71:CG$86)+SUM(CI$71:CI$86)+SUM(CK$71:CK$86)+SUM(CM$71:CM$86)</f>
        <v>133955.42593084564</v>
      </c>
      <c r="O135" s="106">
        <f>SUM(CO$71:CO$86)+SUM(CQ$71:CQ$86)+SUM(CS$71:CS$86)+SUM(CU$71:CU$86)</f>
        <v>160344</v>
      </c>
    </row>
    <row r="136" spans="2:15">
      <c r="C136" s="105" t="s">
        <v>131</v>
      </c>
      <c r="D136" s="106">
        <f>SUM(E$87:E$94)+SUM(G$87:G$94)+SUM(I$87:I$94)+SUM(K$87:K$94)</f>
        <v>109622.44478634413</v>
      </c>
      <c r="E136" s="106">
        <f>SUM(M$87:M$94)+SUM(O$87:O$94)+SUM(Q$87:Q$94)+SUM(S$87:S$94)</f>
        <v>85702.113518349623</v>
      </c>
      <c r="F136" s="106">
        <f>SUM(U$87:U$94)+SUM(W$87:W$94)+SUM(Y$87:Y$94)+SUM(AA$87:AA$94)</f>
        <v>101771.41252280078</v>
      </c>
      <c r="G136" s="106">
        <f>SUM(AC$87:AC$94)+SUM(AE$87:AE$94)+SUM(AG$87:AG$94)+SUM(AI$87:AI$94)</f>
        <v>99100.716740052565</v>
      </c>
      <c r="H136" s="106">
        <f>SUM(AK$87:AK$94)+SUM(AM$87:AM$94)+SUM(AO$87:AO$94)+SUM(AQ$87:AQ$94)</f>
        <v>124648.64491857478</v>
      </c>
      <c r="I136" s="106">
        <f>SUM(AS$87:AS$94)+SUM(AU$87:AU$94)+SUM(AW$87:AW$94)+SUM(AY$87:AY$94)</f>
        <v>90427.055490542902</v>
      </c>
      <c r="J136" s="106">
        <f>SUM(BA$87:BA$94)+SUM(BC$87:BC$94)+SUM(BE$87:BE$94)+SUM(BG$87:BG$94)</f>
        <v>109363.24998250586</v>
      </c>
      <c r="K136" s="106">
        <f>SUM(BI$87:BI$94)+SUM(BK$87:BK$94)+SUM(BM$87:BM$94)+SUM(BO$87:BO$94)</f>
        <v>93600.544979962564</v>
      </c>
      <c r="L136" s="106">
        <f>SUM(BQ$87:BQ$94)+SUM(BS$87:BS$94)+SUM(BU$87:BU$94)+SUM(BW$87:BW$94)</f>
        <v>115580.77754454993</v>
      </c>
      <c r="M136" s="106">
        <f>SUM(BY$87:BY$94)+SUM(CA$87:CA$94)+SUM(CC$87:CC$94)+SUM(CE$87:CE$94)</f>
        <v>103037.00791591419</v>
      </c>
      <c r="N136" s="106">
        <f>SUM(CG$87:CG$94)+SUM(CI$87:CI$94)+SUM(CK$87:CK$94)+SUM(CM$87:CM$94)</f>
        <v>137314.58242087718</v>
      </c>
      <c r="O136" s="106">
        <f>SUM(CO$87:CO$94)+SUM(CQ$87:CQ$94)+SUM(CS$87:CS$94)+SUM(CU$87:CU$94)</f>
        <v>106179.61197922875</v>
      </c>
    </row>
    <row r="137" spans="2:15">
      <c r="C137" s="105" t="s">
        <v>132</v>
      </c>
      <c r="D137" s="106">
        <f>SUM(E$95:E$105)+SUM(G$95:G$105)+SUM(I$95:I$105)+SUM(K$95:K$105)</f>
        <v>168380.43374196679</v>
      </c>
      <c r="E137" s="106">
        <f>SUM(M$95:M$105)+SUM(O$95:O$105)+SUM(Q$95:Q$105)+SUM(S$95:S$105)</f>
        <v>171340.31142982858</v>
      </c>
      <c r="F137" s="106">
        <f>SUM(U$95:U$105)+SUM(W$95:W$105)+SUM(Y$95:Y$105)+SUM(AA$95:AA$105)</f>
        <v>202853.43660326547</v>
      </c>
      <c r="G137" s="106">
        <f>SUM(AC$95:AC$105)+SUM(AE$95:AE$105)+SUM(AG$95:AG$105)+SUM(AI$95:AI$105)</f>
        <v>223052.75662646437</v>
      </c>
      <c r="H137" s="106">
        <f>SUM(AK$95:AK$105)+SUM(AM$95:AM$105)+SUM(AO$95:AO$105)+SUM(AQ$95:AQ$105)</f>
        <v>217033.79180721697</v>
      </c>
      <c r="I137" s="106">
        <f>SUM(AS$95:AS$105)+SUM(AU$95:AU$105)+SUM(AW$95:AW$105)+SUM(AY$95:AY$105)</f>
        <v>189606.33784396751</v>
      </c>
      <c r="J137" s="106">
        <f>SUM(BA$95:BA$105)+SUM(BC$95:BC$105)+SUM(BE$95:BE$105)+SUM(BG$95:BG$105)</f>
        <v>149150.35270178592</v>
      </c>
      <c r="K137" s="106">
        <f>SUM(BI$95:BI$105)+SUM(BK$95:BK$105)+SUM(BM$95:BM$105)+SUM(BO$95:BO$105)</f>
        <v>176895.82017000485</v>
      </c>
      <c r="L137" s="106">
        <f>SUM(BQ$95:BQ$105)+SUM(BS$95:BS$105)+SUM(BU$95:BU$105)+SUM(BW$95:BW$105)</f>
        <v>193634.65627668245</v>
      </c>
      <c r="M137" s="106">
        <f>SUM(BY$95:BY$105)+SUM(CA$95:CA$105)+SUM(CC$95:CC$105)+SUM(CE$95:CE$105)</f>
        <v>152126.36192226555</v>
      </c>
      <c r="N137" s="106">
        <f>SUM(CG$95:CG$105)+SUM(CI$95:CI$105)+SUM(CK$95:CK$105)+SUM(CM$95:CM$105)</f>
        <v>205648.07901714201</v>
      </c>
      <c r="O137" s="106">
        <f>SUM(CO$95:CO$105)+SUM(CQ$95:CQ$105)+SUM(CS$95:CS$105)+SUM(CU$95:CU$105)</f>
        <v>183316.06253176293</v>
      </c>
    </row>
    <row r="138" spans="2:15">
      <c r="C138" s="105" t="s">
        <v>278</v>
      </c>
      <c r="D138" s="100">
        <f t="shared" ref="D138:O138" si="2">SUM(D$131:D$137)</f>
        <v>1723816.6265274142</v>
      </c>
      <c r="E138" s="100">
        <f t="shared" si="2"/>
        <v>1578866.3293005205</v>
      </c>
      <c r="F138" s="100">
        <f t="shared" si="2"/>
        <v>1556089.4902777751</v>
      </c>
      <c r="G138" s="100">
        <f t="shared" si="2"/>
        <v>1784218.9664184921</v>
      </c>
      <c r="H138" s="100">
        <f t="shared" si="2"/>
        <v>1909367.8987938985</v>
      </c>
      <c r="I138" s="100">
        <f t="shared" si="2"/>
        <v>1738600.5656578711</v>
      </c>
      <c r="J138" s="100">
        <f t="shared" si="2"/>
        <v>1510144.7979369175</v>
      </c>
      <c r="K138" s="100">
        <f t="shared" si="2"/>
        <v>1344745.3144911532</v>
      </c>
      <c r="L138" s="100">
        <f t="shared" si="2"/>
        <v>1894803.8511863637</v>
      </c>
      <c r="M138" s="100">
        <f t="shared" si="2"/>
        <v>1571043.7377052249</v>
      </c>
      <c r="N138" s="100">
        <f t="shared" si="2"/>
        <v>1642846.6292771962</v>
      </c>
      <c r="O138" s="100">
        <f t="shared" si="2"/>
        <v>1498303.0790706128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4</v>
      </c>
      <c r="E6" s="100">
        <v>2313.6</v>
      </c>
      <c r="F6" s="100">
        <v>5</v>
      </c>
      <c r="G6" s="100">
        <v>2892</v>
      </c>
      <c r="H6" s="100">
        <v>5</v>
      </c>
      <c r="I6" s="100">
        <v>2892</v>
      </c>
      <c r="J6" s="100">
        <v>5</v>
      </c>
      <c r="K6" s="100">
        <v>2892</v>
      </c>
      <c r="L6" s="100">
        <v>2.8534691285658851</v>
      </c>
      <c r="M6" s="100">
        <v>1650.4465439625078</v>
      </c>
      <c r="N6" s="100">
        <v>4.9848574701743464</v>
      </c>
      <c r="O6" s="100">
        <v>2883.2415607488419</v>
      </c>
      <c r="P6" s="100">
        <v>6.064775268953337</v>
      </c>
      <c r="Q6" s="100">
        <v>3507.8660155626098</v>
      </c>
      <c r="R6" s="100">
        <v>5</v>
      </c>
      <c r="S6" s="100">
        <v>2892</v>
      </c>
      <c r="T6" s="100">
        <v>4</v>
      </c>
      <c r="U6" s="100">
        <v>2313.6</v>
      </c>
      <c r="V6" s="100">
        <v>7</v>
      </c>
      <c r="W6" s="100">
        <v>4048.7999999999997</v>
      </c>
      <c r="X6" s="100">
        <v>0.2907092488878697</v>
      </c>
      <c r="Y6" s="100">
        <v>168.14622955674383</v>
      </c>
      <c r="Z6" s="100">
        <v>7</v>
      </c>
      <c r="AA6" s="100">
        <v>4048.7999999999997</v>
      </c>
      <c r="AB6" s="100">
        <v>8</v>
      </c>
      <c r="AC6" s="100">
        <v>4627.2</v>
      </c>
      <c r="AD6" s="100">
        <v>7.2068040508646503</v>
      </c>
      <c r="AE6" s="100">
        <v>4168.4154630201137</v>
      </c>
      <c r="AF6" s="100">
        <v>9.3549158523605236</v>
      </c>
      <c r="AG6" s="100">
        <v>5410.8833290053262</v>
      </c>
      <c r="AH6" s="100">
        <v>1.7167485776801035</v>
      </c>
      <c r="AI6" s="100">
        <v>992.96737733017176</v>
      </c>
      <c r="AJ6" s="100">
        <v>6</v>
      </c>
      <c r="AK6" s="100">
        <v>3470.3999999999996</v>
      </c>
      <c r="AL6" s="100">
        <v>7.1001334689865505</v>
      </c>
      <c r="AM6" s="100">
        <v>4106.7171984618208</v>
      </c>
      <c r="AN6" s="100">
        <v>3.2835303123731858</v>
      </c>
      <c r="AO6" s="100">
        <v>1899.1939326766505</v>
      </c>
      <c r="AP6" s="100">
        <v>5.4157452832957134</v>
      </c>
      <c r="AQ6" s="100">
        <v>3132.4670718582406</v>
      </c>
      <c r="AR6" s="100">
        <v>5.7935544363127267</v>
      </c>
      <c r="AS6" s="100">
        <v>3350.9918859632812</v>
      </c>
      <c r="AT6" s="100">
        <v>5.8375439281607776E-4</v>
      </c>
      <c r="AU6" s="100">
        <v>0.33764354080481934</v>
      </c>
      <c r="AV6" s="100">
        <v>6</v>
      </c>
      <c r="AW6" s="100">
        <v>3470.3999999999996</v>
      </c>
      <c r="AX6" s="100">
        <v>1.6790614074810843</v>
      </c>
      <c r="AY6" s="100">
        <v>971.16911808705913</v>
      </c>
      <c r="AZ6" s="100">
        <v>11.131455018746736</v>
      </c>
      <c r="BA6" s="100">
        <v>6438.4335828431122</v>
      </c>
      <c r="BB6" s="100">
        <v>1.5383178361725713</v>
      </c>
      <c r="BC6" s="100">
        <v>889.76303644221525</v>
      </c>
      <c r="BD6" s="100">
        <v>8.9295423610889824</v>
      </c>
      <c r="BE6" s="100">
        <v>5164.8473016538674</v>
      </c>
      <c r="BF6" s="100">
        <v>1.9274823997156805</v>
      </c>
      <c r="BG6" s="100">
        <v>1114.8558199955496</v>
      </c>
      <c r="BH6" s="100">
        <v>2.1470969187842504</v>
      </c>
      <c r="BI6" s="100">
        <v>1241.8808578248104</v>
      </c>
      <c r="BJ6" s="100">
        <v>8.0286112325830672</v>
      </c>
      <c r="BK6" s="100">
        <v>4643.7487369260461</v>
      </c>
      <c r="BL6" s="100">
        <v>6</v>
      </c>
      <c r="BM6" s="100">
        <v>3470.3999999999996</v>
      </c>
      <c r="BN6" s="100">
        <v>3.2356581785812422</v>
      </c>
      <c r="BO6" s="100">
        <v>1871.5046904913904</v>
      </c>
      <c r="BP6" s="100">
        <v>6</v>
      </c>
      <c r="BQ6" s="100">
        <v>3470.3999999999996</v>
      </c>
      <c r="BR6" s="100">
        <v>3.0143189469886797</v>
      </c>
      <c r="BS6" s="100">
        <v>1743.4820789382522</v>
      </c>
      <c r="BT6" s="100">
        <v>9</v>
      </c>
      <c r="BU6" s="100">
        <v>5205.5999999999995</v>
      </c>
      <c r="BV6" s="100">
        <v>2.1701621965316931</v>
      </c>
      <c r="BW6" s="100">
        <v>1255.2218144739313</v>
      </c>
      <c r="BX6" s="100">
        <v>9.078511238459571</v>
      </c>
      <c r="BY6" s="100">
        <v>5251.0109003250154</v>
      </c>
      <c r="BZ6" s="100">
        <v>11</v>
      </c>
      <c r="CA6" s="100">
        <v>6362.4</v>
      </c>
      <c r="CB6" s="100">
        <v>2.1334632387857027</v>
      </c>
      <c r="CC6" s="100">
        <v>1233.9951373136503</v>
      </c>
      <c r="CD6" s="100">
        <v>4.8222208418278898</v>
      </c>
      <c r="CE6" s="100">
        <v>2789.1725349132512</v>
      </c>
      <c r="CF6" s="100">
        <v>6.4784013723092091</v>
      </c>
      <c r="CG6" s="100">
        <v>3747.1073537436464</v>
      </c>
      <c r="CH6" s="100">
        <v>6.3123440259363548</v>
      </c>
      <c r="CI6" s="100">
        <v>3651.0597846015876</v>
      </c>
      <c r="CJ6" s="100">
        <v>10</v>
      </c>
      <c r="CK6" s="100">
        <v>5784</v>
      </c>
      <c r="CL6" s="100">
        <v>7</v>
      </c>
      <c r="CM6" s="100">
        <v>4048.7999999999997</v>
      </c>
      <c r="CN6" s="100">
        <v>0.68693365363218839</v>
      </c>
      <c r="CO6" s="100">
        <v>397.32242526085776</v>
      </c>
      <c r="CP6" s="100">
        <v>8.1998915005375199</v>
      </c>
      <c r="CQ6" s="100">
        <v>4742.8172439109012</v>
      </c>
      <c r="CR6" s="100">
        <v>1.9934144201042345</v>
      </c>
      <c r="CS6" s="100">
        <v>1152.9909005882892</v>
      </c>
      <c r="CT6" s="100">
        <v>2.1614160582413096</v>
      </c>
      <c r="CU6" s="100">
        <v>1250.1630480867734</v>
      </c>
    </row>
    <row r="7" spans="1:99">
      <c r="C7" s="99" t="s">
        <v>173</v>
      </c>
      <c r="D7" s="100">
        <v>4</v>
      </c>
      <c r="E7" s="100">
        <v>3153.6</v>
      </c>
      <c r="F7" s="100">
        <v>5</v>
      </c>
      <c r="G7" s="100">
        <v>3942</v>
      </c>
      <c r="H7" s="100">
        <v>4</v>
      </c>
      <c r="I7" s="100">
        <v>3153.6</v>
      </c>
      <c r="J7" s="100">
        <v>6</v>
      </c>
      <c r="K7" s="100">
        <v>4730.3999999999996</v>
      </c>
      <c r="L7" s="100">
        <v>2.8534691285658851</v>
      </c>
      <c r="M7" s="100">
        <v>2249.6750609613437</v>
      </c>
      <c r="N7" s="100">
        <v>4.9848574701743464</v>
      </c>
      <c r="O7" s="100">
        <v>3930.0616294854544</v>
      </c>
      <c r="P7" s="100">
        <v>6.064775268953337</v>
      </c>
      <c r="Q7" s="100">
        <v>4781.4688220428106</v>
      </c>
      <c r="R7" s="100">
        <v>5</v>
      </c>
      <c r="S7" s="100">
        <v>3942</v>
      </c>
      <c r="T7" s="100">
        <v>5</v>
      </c>
      <c r="U7" s="100">
        <v>3942</v>
      </c>
      <c r="V7" s="100">
        <v>6</v>
      </c>
      <c r="W7" s="100">
        <v>4730.3999999999996</v>
      </c>
      <c r="X7" s="100">
        <v>0.2907092488878697</v>
      </c>
      <c r="Y7" s="100">
        <v>229.19517182319646</v>
      </c>
      <c r="Z7" s="100">
        <v>7</v>
      </c>
      <c r="AA7" s="100">
        <v>5518.8</v>
      </c>
      <c r="AB7" s="100">
        <v>8</v>
      </c>
      <c r="AC7" s="100">
        <v>6307.2</v>
      </c>
      <c r="AD7" s="100">
        <v>7.2068040508646503</v>
      </c>
      <c r="AE7" s="100">
        <v>5681.8443137016902</v>
      </c>
      <c r="AF7" s="100">
        <v>8.4194242671244695</v>
      </c>
      <c r="AG7" s="100">
        <v>6637.874092200932</v>
      </c>
      <c r="AH7" s="100">
        <v>1.9619983744915468</v>
      </c>
      <c r="AI7" s="100">
        <v>1546.8395184491355</v>
      </c>
      <c r="AJ7" s="100">
        <v>6</v>
      </c>
      <c r="AK7" s="100">
        <v>4730.3999999999996</v>
      </c>
      <c r="AL7" s="100">
        <v>7.1001334689865505</v>
      </c>
      <c r="AM7" s="100">
        <v>5597.7452269489959</v>
      </c>
      <c r="AN7" s="100">
        <v>3.2835303123731858</v>
      </c>
      <c r="AO7" s="100">
        <v>2588.7352982750194</v>
      </c>
      <c r="AP7" s="100">
        <v>4.8517142716550996</v>
      </c>
      <c r="AQ7" s="100">
        <v>3825.0915317728804</v>
      </c>
      <c r="AR7" s="100">
        <v>7.1615605615207949</v>
      </c>
      <c r="AS7" s="100">
        <v>5646.1743467029946</v>
      </c>
      <c r="AT7" s="100">
        <v>5.8375439281607776E-4</v>
      </c>
      <c r="AU7" s="100">
        <v>0.4602319632961957</v>
      </c>
      <c r="AV7" s="100">
        <v>7</v>
      </c>
      <c r="AW7" s="100">
        <v>5518.8</v>
      </c>
      <c r="AX7" s="100">
        <v>1.694178443417981</v>
      </c>
      <c r="AY7" s="100">
        <v>1335.6902847907361</v>
      </c>
      <c r="AZ7" s="100">
        <v>11.131455018746736</v>
      </c>
      <c r="BA7" s="100">
        <v>8776.0391367799275</v>
      </c>
      <c r="BB7" s="100">
        <v>1.5298559214754301</v>
      </c>
      <c r="BC7" s="100">
        <v>1206.138408491229</v>
      </c>
      <c r="BD7" s="100">
        <v>6.9295423610889824</v>
      </c>
      <c r="BE7" s="100">
        <v>5463.2511974825538</v>
      </c>
      <c r="BF7" s="100">
        <v>2.1684176996801408</v>
      </c>
      <c r="BG7" s="100">
        <v>1709.5805144278229</v>
      </c>
      <c r="BH7" s="100">
        <v>1.9501809403911883</v>
      </c>
      <c r="BI7" s="100">
        <v>1537.5226534044127</v>
      </c>
      <c r="BJ7" s="100">
        <v>8.9000348285101829</v>
      </c>
      <c r="BK7" s="100">
        <v>7016.7874587974284</v>
      </c>
      <c r="BL7" s="100">
        <v>6</v>
      </c>
      <c r="BM7" s="100">
        <v>4730.3999999999996</v>
      </c>
      <c r="BN7" s="100">
        <v>3.7749345416781157</v>
      </c>
      <c r="BO7" s="100">
        <v>2976.1583926590265</v>
      </c>
      <c r="BP7" s="100">
        <v>6</v>
      </c>
      <c r="BQ7" s="100">
        <v>4730.3999999999996</v>
      </c>
      <c r="BR7" s="100">
        <v>3.0143189469886797</v>
      </c>
      <c r="BS7" s="100">
        <v>2376.4890578058748</v>
      </c>
      <c r="BT7" s="100">
        <v>9</v>
      </c>
      <c r="BU7" s="100">
        <v>7095.5999999999995</v>
      </c>
      <c r="BV7" s="100">
        <v>1.8667442828258338</v>
      </c>
      <c r="BW7" s="100">
        <v>1471.7411925798874</v>
      </c>
      <c r="BX7" s="100">
        <v>9.1983458205106334</v>
      </c>
      <c r="BY7" s="100">
        <v>7251.9758448905832</v>
      </c>
      <c r="BZ7" s="100">
        <v>10</v>
      </c>
      <c r="CA7" s="100">
        <v>7884</v>
      </c>
      <c r="CB7" s="100">
        <v>2.1334632387857027</v>
      </c>
      <c r="CC7" s="100">
        <v>1682.0224174586479</v>
      </c>
      <c r="CD7" s="100">
        <v>4.2773806351760717</v>
      </c>
      <c r="CE7" s="100">
        <v>3372.286892772815</v>
      </c>
      <c r="CF7" s="100">
        <v>5.6862430442899781</v>
      </c>
      <c r="CG7" s="100">
        <v>4483.0340161182185</v>
      </c>
      <c r="CH7" s="100">
        <v>6.3123440259363548</v>
      </c>
      <c r="CI7" s="100">
        <v>4976.6520300482216</v>
      </c>
      <c r="CJ7" s="100">
        <v>9</v>
      </c>
      <c r="CK7" s="100">
        <v>7095.5999999999995</v>
      </c>
      <c r="CL7" s="100">
        <v>7</v>
      </c>
      <c r="CM7" s="100">
        <v>5518.8</v>
      </c>
      <c r="CN7" s="100">
        <v>0.62380093896163791</v>
      </c>
      <c r="CO7" s="100">
        <v>491.80466027735531</v>
      </c>
      <c r="CP7" s="100">
        <v>8.1998915005375199</v>
      </c>
      <c r="CQ7" s="100">
        <v>6464.7944590237803</v>
      </c>
      <c r="CR7" s="100">
        <v>2.3761722308157247</v>
      </c>
      <c r="CS7" s="100">
        <v>1873.3741867751173</v>
      </c>
      <c r="CT7" s="100">
        <v>2.1527704927653577</v>
      </c>
      <c r="CU7" s="100">
        <v>1697.244256496208</v>
      </c>
    </row>
    <row r="8" spans="1:99">
      <c r="C8" s="99" t="s">
        <v>174</v>
      </c>
      <c r="D8" s="100">
        <v>5</v>
      </c>
      <c r="E8" s="100">
        <v>1547.9999999999998</v>
      </c>
      <c r="F8" s="100">
        <v>6</v>
      </c>
      <c r="G8" s="100">
        <v>1857.6</v>
      </c>
      <c r="H8" s="100">
        <v>5</v>
      </c>
      <c r="I8" s="100">
        <v>1547.9999999999998</v>
      </c>
      <c r="J8" s="100">
        <v>6</v>
      </c>
      <c r="K8" s="100">
        <v>1857.6</v>
      </c>
      <c r="L8" s="100">
        <v>2.8534691285658851</v>
      </c>
      <c r="M8" s="100">
        <v>883.43404220399793</v>
      </c>
      <c r="N8" s="100">
        <v>4.9848574701743464</v>
      </c>
      <c r="O8" s="100">
        <v>1543.3118727659776</v>
      </c>
      <c r="P8" s="100">
        <v>7.5809690861916712</v>
      </c>
      <c r="Q8" s="100">
        <v>2347.0680290849414</v>
      </c>
      <c r="R8" s="100">
        <v>5</v>
      </c>
      <c r="S8" s="100">
        <v>1547.9999999999998</v>
      </c>
      <c r="T8" s="100">
        <v>5</v>
      </c>
      <c r="U8" s="100">
        <v>1547.9999999999998</v>
      </c>
      <c r="V8" s="100">
        <v>7</v>
      </c>
      <c r="W8" s="100">
        <v>2167.1999999999998</v>
      </c>
      <c r="X8" s="100">
        <v>0.2907092488878697</v>
      </c>
      <c r="Y8" s="100">
        <v>90.003583455684449</v>
      </c>
      <c r="Z8" s="100">
        <v>8</v>
      </c>
      <c r="AA8" s="100">
        <v>2476.7999999999997</v>
      </c>
      <c r="AB8" s="100">
        <v>9</v>
      </c>
      <c r="AC8" s="100">
        <v>2786.3999999999996</v>
      </c>
      <c r="AD8" s="100">
        <v>6.4060480452130228</v>
      </c>
      <c r="AE8" s="100">
        <v>1983.3124747979516</v>
      </c>
      <c r="AF8" s="100">
        <v>9.3549158523605236</v>
      </c>
      <c r="AG8" s="100">
        <v>2896.2819478908177</v>
      </c>
      <c r="AH8" s="100">
        <v>1.9619983744915468</v>
      </c>
      <c r="AI8" s="100">
        <v>607.43469674258279</v>
      </c>
      <c r="AJ8" s="100">
        <v>6</v>
      </c>
      <c r="AK8" s="100">
        <v>1857.6</v>
      </c>
      <c r="AL8" s="100">
        <v>7.1001334689865505</v>
      </c>
      <c r="AM8" s="100">
        <v>2198.2013219982359</v>
      </c>
      <c r="AN8" s="100">
        <v>3.2835303123731858</v>
      </c>
      <c r="AO8" s="100">
        <v>1016.5809847107382</v>
      </c>
      <c r="AP8" s="100">
        <v>5.3968860511551489</v>
      </c>
      <c r="AQ8" s="100">
        <v>1670.8759214376339</v>
      </c>
      <c r="AR8" s="100">
        <v>5.7643244421781397</v>
      </c>
      <c r="AS8" s="100">
        <v>1784.6348472983518</v>
      </c>
      <c r="AT8" s="100">
        <v>5.8375439281607776E-4</v>
      </c>
      <c r="AU8" s="100">
        <v>0.18073036001585766</v>
      </c>
      <c r="AV8" s="100">
        <v>6</v>
      </c>
      <c r="AW8" s="100">
        <v>1857.6</v>
      </c>
      <c r="AX8" s="100">
        <v>1.6790614074810843</v>
      </c>
      <c r="AY8" s="100">
        <v>519.83741175614364</v>
      </c>
      <c r="AZ8" s="100">
        <v>11.131455018746736</v>
      </c>
      <c r="BA8" s="100">
        <v>3446.2984738039891</v>
      </c>
      <c r="BB8" s="100">
        <v>1.5383178361725713</v>
      </c>
      <c r="BC8" s="100">
        <v>476.26320207902802</v>
      </c>
      <c r="BD8" s="100">
        <v>8.0844660879371446</v>
      </c>
      <c r="BE8" s="100">
        <v>2502.9507008253395</v>
      </c>
      <c r="BF8" s="100">
        <v>2.1684176996801408</v>
      </c>
      <c r="BG8" s="100">
        <v>671.34211982097145</v>
      </c>
      <c r="BH8" s="100">
        <v>1.9408158280304708</v>
      </c>
      <c r="BI8" s="100">
        <v>600.8765803582337</v>
      </c>
      <c r="BJ8" s="100">
        <v>8.0286112325830672</v>
      </c>
      <c r="BK8" s="100">
        <v>2485.6580376077172</v>
      </c>
      <c r="BL8" s="100">
        <v>6</v>
      </c>
      <c r="BM8" s="100">
        <v>1857.6</v>
      </c>
      <c r="BN8" s="100">
        <v>3.7749345416781157</v>
      </c>
      <c r="BO8" s="100">
        <v>1168.7197341035444</v>
      </c>
      <c r="BP8" s="100">
        <v>6</v>
      </c>
      <c r="BQ8" s="100">
        <v>1857.6</v>
      </c>
      <c r="BR8" s="100">
        <v>3.0143189469886797</v>
      </c>
      <c r="BS8" s="100">
        <v>933.23314598769514</v>
      </c>
      <c r="BT8" s="100">
        <v>10</v>
      </c>
      <c r="BU8" s="100">
        <v>3095.9999999999995</v>
      </c>
      <c r="BV8" s="100">
        <v>2.1609148364135575</v>
      </c>
      <c r="BW8" s="100">
        <v>669.01923335363733</v>
      </c>
      <c r="BX8" s="100">
        <v>10.078511238459571</v>
      </c>
      <c r="BY8" s="100">
        <v>3120.307079427083</v>
      </c>
      <c r="BZ8" s="100">
        <v>11</v>
      </c>
      <c r="CA8" s="100">
        <v>3405.5999999999995</v>
      </c>
      <c r="CB8" s="100">
        <v>2.1334632387857027</v>
      </c>
      <c r="CC8" s="100">
        <v>660.52021872805346</v>
      </c>
      <c r="CD8" s="100">
        <v>4.8173457186853925</v>
      </c>
      <c r="CE8" s="100">
        <v>1491.4502345049973</v>
      </c>
      <c r="CF8" s="100">
        <v>6.3450737899985539</v>
      </c>
      <c r="CG8" s="100">
        <v>1964.4348453835521</v>
      </c>
      <c r="CH8" s="100">
        <v>5.3123440259363548</v>
      </c>
      <c r="CI8" s="100">
        <v>1644.7017104298952</v>
      </c>
      <c r="CJ8" s="100">
        <v>9</v>
      </c>
      <c r="CK8" s="100">
        <v>2786.3999999999996</v>
      </c>
      <c r="CL8" s="100">
        <v>7</v>
      </c>
      <c r="CM8" s="100">
        <v>2167.1999999999998</v>
      </c>
      <c r="CN8" s="100">
        <v>0.68693365363218839</v>
      </c>
      <c r="CO8" s="100">
        <v>212.67465916452551</v>
      </c>
      <c r="CP8" s="100">
        <v>8.1998915005375199</v>
      </c>
      <c r="CQ8" s="100">
        <v>2538.686408566416</v>
      </c>
      <c r="CR8" s="100">
        <v>2.1847933254599794</v>
      </c>
      <c r="CS8" s="100">
        <v>676.41201356240958</v>
      </c>
      <c r="CT8" s="100">
        <v>2.1527704927653577</v>
      </c>
      <c r="CU8" s="100">
        <v>666.49774456015462</v>
      </c>
    </row>
    <row r="9" spans="1:99">
      <c r="C9" s="99" t="s">
        <v>175</v>
      </c>
      <c r="D9" s="100">
        <v>4</v>
      </c>
      <c r="E9" s="100">
        <v>2808</v>
      </c>
      <c r="F9" s="100">
        <v>5</v>
      </c>
      <c r="G9" s="100">
        <v>3510</v>
      </c>
      <c r="H9" s="100">
        <v>4</v>
      </c>
      <c r="I9" s="100">
        <v>2808</v>
      </c>
      <c r="J9" s="100">
        <v>5</v>
      </c>
      <c r="K9" s="100">
        <v>3510</v>
      </c>
      <c r="L9" s="100">
        <v>2.8534691285658851</v>
      </c>
      <c r="M9" s="100">
        <v>2003.1353282532514</v>
      </c>
      <c r="N9" s="100">
        <v>4.9848574701743464</v>
      </c>
      <c r="O9" s="100">
        <v>3499.3699440623914</v>
      </c>
      <c r="P9" s="100">
        <v>7.5809690861916712</v>
      </c>
      <c r="Q9" s="100">
        <v>5321.8402985065532</v>
      </c>
      <c r="R9" s="100">
        <v>5</v>
      </c>
      <c r="S9" s="100">
        <v>3510</v>
      </c>
      <c r="T9" s="100">
        <v>5</v>
      </c>
      <c r="U9" s="100">
        <v>3510</v>
      </c>
      <c r="V9" s="100">
        <v>6</v>
      </c>
      <c r="W9" s="100">
        <v>4212</v>
      </c>
      <c r="X9" s="100">
        <v>0.2907092488878697</v>
      </c>
      <c r="Y9" s="100">
        <v>204.07789271928453</v>
      </c>
      <c r="Z9" s="100">
        <v>7</v>
      </c>
      <c r="AA9" s="100">
        <v>4914</v>
      </c>
      <c r="AB9" s="100">
        <v>8</v>
      </c>
      <c r="AC9" s="100">
        <v>5616</v>
      </c>
      <c r="AD9" s="100">
        <v>6.4060480452130228</v>
      </c>
      <c r="AE9" s="100">
        <v>4497.0457277395417</v>
      </c>
      <c r="AF9" s="100">
        <v>9.3549158523605236</v>
      </c>
      <c r="AG9" s="100">
        <v>6567.1509283570877</v>
      </c>
      <c r="AH9" s="100">
        <v>1.9619983744915468</v>
      </c>
      <c r="AI9" s="100">
        <v>1377.3228588930658</v>
      </c>
      <c r="AJ9" s="100">
        <v>5</v>
      </c>
      <c r="AK9" s="100">
        <v>3510</v>
      </c>
      <c r="AL9" s="100">
        <v>7.1001334689865505</v>
      </c>
      <c r="AM9" s="100">
        <v>4984.2936952285581</v>
      </c>
      <c r="AN9" s="100">
        <v>3.9402363748478235</v>
      </c>
      <c r="AO9" s="100">
        <v>2766.0459351431723</v>
      </c>
      <c r="AP9" s="100">
        <v>5.4157452832957134</v>
      </c>
      <c r="AQ9" s="100">
        <v>3801.8531888735906</v>
      </c>
      <c r="AR9" s="100">
        <v>6.4775574989167604</v>
      </c>
      <c r="AS9" s="100">
        <v>4547.2453642395658</v>
      </c>
      <c r="AT9" s="100">
        <v>5.1078509371406812E-4</v>
      </c>
      <c r="AU9" s="100">
        <v>0.35857113578727584</v>
      </c>
      <c r="AV9" s="100">
        <v>6</v>
      </c>
      <c r="AW9" s="100">
        <v>4212</v>
      </c>
      <c r="AX9" s="100">
        <v>1.6790614074810843</v>
      </c>
      <c r="AY9" s="100">
        <v>1178.7011080517211</v>
      </c>
      <c r="AZ9" s="100">
        <v>11.131455018746736</v>
      </c>
      <c r="BA9" s="100">
        <v>7814.2814231602088</v>
      </c>
      <c r="BB9" s="100">
        <v>1.5298559214754301</v>
      </c>
      <c r="BC9" s="100">
        <v>1073.958856875752</v>
      </c>
      <c r="BD9" s="100">
        <v>7.9295423610889824</v>
      </c>
      <c r="BE9" s="100">
        <v>5566.5387374844659</v>
      </c>
      <c r="BF9" s="100">
        <v>2.1684176996801408</v>
      </c>
      <c r="BG9" s="100">
        <v>1522.2292251754589</v>
      </c>
      <c r="BH9" s="100">
        <v>1.9408158280304708</v>
      </c>
      <c r="BI9" s="100">
        <v>1362.4527112773906</v>
      </c>
      <c r="BJ9" s="100">
        <v>8.9000348285101829</v>
      </c>
      <c r="BK9" s="100">
        <v>6247.8244496141488</v>
      </c>
      <c r="BL9" s="100">
        <v>6</v>
      </c>
      <c r="BM9" s="100">
        <v>4212</v>
      </c>
      <c r="BN9" s="100">
        <v>3.7749345416781157</v>
      </c>
      <c r="BO9" s="100">
        <v>2650.0040482580371</v>
      </c>
      <c r="BP9" s="100">
        <v>6</v>
      </c>
      <c r="BQ9" s="100">
        <v>4212</v>
      </c>
      <c r="BR9" s="100">
        <v>3.0143189469886797</v>
      </c>
      <c r="BS9" s="100">
        <v>2116.051900786053</v>
      </c>
      <c r="BT9" s="100">
        <v>9</v>
      </c>
      <c r="BU9" s="100">
        <v>6318</v>
      </c>
      <c r="BV9" s="100">
        <v>1.8574969227076981</v>
      </c>
      <c r="BW9" s="100">
        <v>1303.9628397408039</v>
      </c>
      <c r="BX9" s="100">
        <v>9.9586766564085067</v>
      </c>
      <c r="BY9" s="100">
        <v>6990.9910127987714</v>
      </c>
      <c r="BZ9" s="100">
        <v>11</v>
      </c>
      <c r="CA9" s="100">
        <v>7722</v>
      </c>
      <c r="CB9" s="100">
        <v>2.3705147097618915</v>
      </c>
      <c r="CC9" s="100">
        <v>1664.1013262528479</v>
      </c>
      <c r="CD9" s="100">
        <v>4.1750931708760506</v>
      </c>
      <c r="CE9" s="100">
        <v>2930.9154059549874</v>
      </c>
      <c r="CF9" s="100">
        <v>5.6862430442899781</v>
      </c>
      <c r="CG9" s="100">
        <v>3991.7426170915646</v>
      </c>
      <c r="CH9" s="100">
        <v>6.3123440259363548</v>
      </c>
      <c r="CI9" s="100">
        <v>4431.2655062073209</v>
      </c>
      <c r="CJ9" s="100">
        <v>10</v>
      </c>
      <c r="CK9" s="100">
        <v>7020</v>
      </c>
      <c r="CL9" s="100">
        <v>7</v>
      </c>
      <c r="CM9" s="100">
        <v>4914</v>
      </c>
      <c r="CN9" s="100">
        <v>0.62630967487626055</v>
      </c>
      <c r="CO9" s="100">
        <v>439.66939176313491</v>
      </c>
      <c r="CP9" s="100">
        <v>8.1998915005375199</v>
      </c>
      <c r="CQ9" s="100">
        <v>5756.3238333773388</v>
      </c>
      <c r="CR9" s="100">
        <v>2.1847933254599794</v>
      </c>
      <c r="CS9" s="100">
        <v>1533.7249144729055</v>
      </c>
      <c r="CT9" s="100">
        <v>2.1614160582413096</v>
      </c>
      <c r="CU9" s="100">
        <v>1517.3140728853994</v>
      </c>
    </row>
    <row r="10" spans="1:99">
      <c r="C10" s="99" t="s">
        <v>176</v>
      </c>
      <c r="D10" s="100">
        <v>4</v>
      </c>
      <c r="E10" s="100">
        <v>2179.1999999999998</v>
      </c>
      <c r="F10" s="100">
        <v>5</v>
      </c>
      <c r="G10" s="100">
        <v>2724</v>
      </c>
      <c r="H10" s="100">
        <v>5</v>
      </c>
      <c r="I10" s="100">
        <v>2724</v>
      </c>
      <c r="J10" s="100">
        <v>5</v>
      </c>
      <c r="K10" s="100">
        <v>2724</v>
      </c>
      <c r="L10" s="100">
        <v>2.8534691285658851</v>
      </c>
      <c r="M10" s="100">
        <v>1554.569981242694</v>
      </c>
      <c r="N10" s="100">
        <v>4.9848574701743464</v>
      </c>
      <c r="O10" s="100">
        <v>2715.7503497509838</v>
      </c>
      <c r="P10" s="100">
        <v>6.8228721775725045</v>
      </c>
      <c r="Q10" s="100">
        <v>3717.1007623415003</v>
      </c>
      <c r="R10" s="100">
        <v>5</v>
      </c>
      <c r="S10" s="100">
        <v>2724</v>
      </c>
      <c r="T10" s="100">
        <v>5</v>
      </c>
      <c r="U10" s="100">
        <v>2724</v>
      </c>
      <c r="V10" s="100">
        <v>6</v>
      </c>
      <c r="W10" s="100">
        <v>3268.7999999999997</v>
      </c>
      <c r="X10" s="100">
        <v>0.2907092488878697</v>
      </c>
      <c r="Y10" s="100">
        <v>158.3783987941114</v>
      </c>
      <c r="Z10" s="100">
        <v>8</v>
      </c>
      <c r="AA10" s="100">
        <v>4358.3999999999996</v>
      </c>
      <c r="AB10" s="100">
        <v>9</v>
      </c>
      <c r="AC10" s="100">
        <v>4903.2</v>
      </c>
      <c r="AD10" s="100">
        <v>7.2068040508646503</v>
      </c>
      <c r="AE10" s="100">
        <v>3926.2668469110613</v>
      </c>
      <c r="AF10" s="100">
        <v>7.4839326818884189</v>
      </c>
      <c r="AG10" s="100">
        <v>4077.2465250928103</v>
      </c>
      <c r="AH10" s="100">
        <v>1.9619983744915468</v>
      </c>
      <c r="AI10" s="100">
        <v>1068.8967144229946</v>
      </c>
      <c r="AJ10" s="100">
        <v>6</v>
      </c>
      <c r="AK10" s="100">
        <v>3268.7999999999997</v>
      </c>
      <c r="AL10" s="100">
        <v>7.1001334689865505</v>
      </c>
      <c r="AM10" s="100">
        <v>3868.1527139038726</v>
      </c>
      <c r="AN10" s="100">
        <v>3.9402363748478235</v>
      </c>
      <c r="AO10" s="100">
        <v>2146.640777017094</v>
      </c>
      <c r="AP10" s="100">
        <v>4.8328550395145333</v>
      </c>
      <c r="AQ10" s="100">
        <v>2632.9394255275174</v>
      </c>
      <c r="AR10" s="100">
        <v>6.4190975106475854</v>
      </c>
      <c r="AS10" s="100">
        <v>3497.1243238008042</v>
      </c>
      <c r="AT10" s="100">
        <v>5.8375439281607776E-4</v>
      </c>
      <c r="AU10" s="100">
        <v>0.31802939320619916</v>
      </c>
      <c r="AV10" s="100">
        <v>6</v>
      </c>
      <c r="AW10" s="100">
        <v>3268.7999999999997</v>
      </c>
      <c r="AX10" s="100">
        <v>1.694178443417981</v>
      </c>
      <c r="AY10" s="100">
        <v>922.98841597411592</v>
      </c>
      <c r="AZ10" s="100">
        <v>11.131455018746736</v>
      </c>
      <c r="BA10" s="100">
        <v>6064.4166942132215</v>
      </c>
      <c r="BB10" s="100">
        <v>1.5298559214754301</v>
      </c>
      <c r="BC10" s="100">
        <v>833.46550601981426</v>
      </c>
      <c r="BD10" s="100">
        <v>7.9295423610889824</v>
      </c>
      <c r="BE10" s="100">
        <v>4320.0146783212776</v>
      </c>
      <c r="BF10" s="100">
        <v>2.1684176996801408</v>
      </c>
      <c r="BG10" s="100">
        <v>1181.3539627857406</v>
      </c>
      <c r="BH10" s="100">
        <v>1.9501809403911883</v>
      </c>
      <c r="BI10" s="100">
        <v>1062.4585763251193</v>
      </c>
      <c r="BJ10" s="100">
        <v>8.9000348285101829</v>
      </c>
      <c r="BK10" s="100">
        <v>4848.7389745723476</v>
      </c>
      <c r="BL10" s="100">
        <v>5</v>
      </c>
      <c r="BM10" s="100">
        <v>2724</v>
      </c>
      <c r="BN10" s="100">
        <v>3.7749345416781157</v>
      </c>
      <c r="BO10" s="100">
        <v>2056.5843383062374</v>
      </c>
      <c r="BP10" s="100">
        <v>6</v>
      </c>
      <c r="BQ10" s="100">
        <v>3268.7999999999997</v>
      </c>
      <c r="BR10" s="100">
        <v>3.0143189469886797</v>
      </c>
      <c r="BS10" s="100">
        <v>1642.2009623194326</v>
      </c>
      <c r="BT10" s="100">
        <v>10</v>
      </c>
      <c r="BU10" s="100">
        <v>5448</v>
      </c>
      <c r="BV10" s="100">
        <v>2.1609148364135575</v>
      </c>
      <c r="BW10" s="100">
        <v>1177.266402878106</v>
      </c>
      <c r="BX10" s="100">
        <v>10.198345820510633</v>
      </c>
      <c r="BY10" s="100">
        <v>5556.0588030141926</v>
      </c>
      <c r="BZ10" s="100">
        <v>11</v>
      </c>
      <c r="CA10" s="100">
        <v>5992.7999999999993</v>
      </c>
      <c r="CB10" s="100">
        <v>2.1334632387857027</v>
      </c>
      <c r="CC10" s="100">
        <v>1162.3107724904507</v>
      </c>
      <c r="CD10" s="100">
        <v>4.2676303888910754</v>
      </c>
      <c r="CE10" s="100">
        <v>2325.0050358678577</v>
      </c>
      <c r="CF10" s="100">
        <v>5.5529154619793228</v>
      </c>
      <c r="CG10" s="100">
        <v>3025.2283436863349</v>
      </c>
      <c r="CH10" s="100">
        <v>6.3123440259363548</v>
      </c>
      <c r="CI10" s="100">
        <v>3438.9650253301256</v>
      </c>
      <c r="CJ10" s="100">
        <v>9</v>
      </c>
      <c r="CK10" s="100">
        <v>4903.2</v>
      </c>
      <c r="CL10" s="100">
        <v>7</v>
      </c>
      <c r="CM10" s="100">
        <v>3813.5999999999995</v>
      </c>
      <c r="CN10" s="100">
        <v>0.68693365363218839</v>
      </c>
      <c r="CO10" s="100">
        <v>374.24145449881621</v>
      </c>
      <c r="CP10" s="100">
        <v>8.1998915005375199</v>
      </c>
      <c r="CQ10" s="100">
        <v>4467.3008894928407</v>
      </c>
      <c r="CR10" s="100">
        <v>2.3850194937653675</v>
      </c>
      <c r="CS10" s="100">
        <v>1299.3586202033721</v>
      </c>
      <c r="CT10" s="100">
        <v>2.3823610303215617</v>
      </c>
      <c r="CU10" s="100">
        <v>1297.9102893191866</v>
      </c>
    </row>
    <row r="11" spans="1:99">
      <c r="C11" s="99" t="s">
        <v>177</v>
      </c>
      <c r="D11" s="100">
        <v>4</v>
      </c>
      <c r="E11" s="100">
        <v>2131.1999999999998</v>
      </c>
      <c r="F11" s="100">
        <v>6</v>
      </c>
      <c r="G11" s="100">
        <v>3196.7999999999997</v>
      </c>
      <c r="H11" s="100">
        <v>4</v>
      </c>
      <c r="I11" s="100">
        <v>2131.1999999999998</v>
      </c>
      <c r="J11" s="100">
        <v>5</v>
      </c>
      <c r="K11" s="100">
        <v>2664</v>
      </c>
      <c r="L11" s="100">
        <v>2.3778909404715711</v>
      </c>
      <c r="M11" s="100">
        <v>1266.940293083253</v>
      </c>
      <c r="N11" s="100">
        <v>4.9848574701743464</v>
      </c>
      <c r="O11" s="100">
        <v>2655.9320601088916</v>
      </c>
      <c r="P11" s="100">
        <v>7.5809690861916712</v>
      </c>
      <c r="Q11" s="100">
        <v>4039.1403291229221</v>
      </c>
      <c r="R11" s="100">
        <v>5</v>
      </c>
      <c r="S11" s="100">
        <v>2664</v>
      </c>
      <c r="T11" s="100">
        <v>5</v>
      </c>
      <c r="U11" s="100">
        <v>2664</v>
      </c>
      <c r="V11" s="100">
        <v>6</v>
      </c>
      <c r="W11" s="100">
        <v>3196.7999999999997</v>
      </c>
      <c r="X11" s="100">
        <v>0.2907092488878697</v>
      </c>
      <c r="Y11" s="100">
        <v>154.88988780745697</v>
      </c>
      <c r="Z11" s="100">
        <v>7</v>
      </c>
      <c r="AA11" s="100">
        <v>3729.5999999999995</v>
      </c>
      <c r="AB11" s="100">
        <v>9</v>
      </c>
      <c r="AC11" s="100">
        <v>4795.2</v>
      </c>
      <c r="AD11" s="100">
        <v>7.2068040508646503</v>
      </c>
      <c r="AE11" s="100">
        <v>3839.7851983006854</v>
      </c>
      <c r="AF11" s="100">
        <v>7.4839326818884189</v>
      </c>
      <c r="AG11" s="100">
        <v>3987.4393329101495</v>
      </c>
      <c r="AH11" s="100">
        <v>1.9619983744915468</v>
      </c>
      <c r="AI11" s="100">
        <v>1045.3527339290961</v>
      </c>
      <c r="AJ11" s="100">
        <v>5</v>
      </c>
      <c r="AK11" s="100">
        <v>2664</v>
      </c>
      <c r="AL11" s="100">
        <v>7.1001334689865505</v>
      </c>
      <c r="AM11" s="100">
        <v>3782.9511122760337</v>
      </c>
      <c r="AN11" s="100">
        <v>3.9402363748478235</v>
      </c>
      <c r="AO11" s="100">
        <v>2099.3579405189203</v>
      </c>
      <c r="AP11" s="100">
        <v>5.4157452832957134</v>
      </c>
      <c r="AQ11" s="100">
        <v>2885.509086939956</v>
      </c>
      <c r="AR11" s="100">
        <v>6.4190975106475854</v>
      </c>
      <c r="AS11" s="100">
        <v>3420.0951536730331</v>
      </c>
      <c r="AT11" s="100">
        <v>5.8375439281607776E-4</v>
      </c>
      <c r="AU11" s="100">
        <v>0.31102434049240618</v>
      </c>
      <c r="AV11" s="100">
        <v>6</v>
      </c>
      <c r="AW11" s="100">
        <v>3196.7999999999997</v>
      </c>
      <c r="AX11" s="100">
        <v>1.9816162099161294</v>
      </c>
      <c r="AY11" s="100">
        <v>1055.8051166433136</v>
      </c>
      <c r="AZ11" s="100">
        <v>11.131455018746736</v>
      </c>
      <c r="BA11" s="100">
        <v>5930.8392339882603</v>
      </c>
      <c r="BB11" s="100">
        <v>1.521394006778289</v>
      </c>
      <c r="BC11" s="100">
        <v>810.59872681147226</v>
      </c>
      <c r="BD11" s="100">
        <v>7.9295423610889824</v>
      </c>
      <c r="BE11" s="100">
        <v>4224.8601699882092</v>
      </c>
      <c r="BF11" s="100">
        <v>1.9274823997156805</v>
      </c>
      <c r="BG11" s="100">
        <v>1026.9626225685145</v>
      </c>
      <c r="BH11" s="100">
        <v>2.1470969187842504</v>
      </c>
      <c r="BI11" s="100">
        <v>1143.9732383282485</v>
      </c>
      <c r="BJ11" s="100">
        <v>9.0286112325830672</v>
      </c>
      <c r="BK11" s="100">
        <v>4810.4440647202582</v>
      </c>
      <c r="BL11" s="100">
        <v>6</v>
      </c>
      <c r="BM11" s="100">
        <v>3196.7999999999997</v>
      </c>
      <c r="BN11" s="100">
        <v>3.2356581785812422</v>
      </c>
      <c r="BO11" s="100">
        <v>1723.9586775480857</v>
      </c>
      <c r="BP11" s="100">
        <v>6</v>
      </c>
      <c r="BQ11" s="100">
        <v>3196.7999999999997</v>
      </c>
      <c r="BR11" s="100">
        <v>3.0143189469886797</v>
      </c>
      <c r="BS11" s="100">
        <v>1606.0291349555685</v>
      </c>
      <c r="BT11" s="100">
        <v>10</v>
      </c>
      <c r="BU11" s="100">
        <v>5328</v>
      </c>
      <c r="BV11" s="100">
        <v>2.1609148364135575</v>
      </c>
      <c r="BW11" s="100">
        <v>1151.3354248411433</v>
      </c>
      <c r="BX11" s="100">
        <v>9.078511238459571</v>
      </c>
      <c r="BY11" s="100">
        <v>4837.0307878512594</v>
      </c>
      <c r="BZ11" s="100">
        <v>10</v>
      </c>
      <c r="CA11" s="100">
        <v>5328</v>
      </c>
      <c r="CB11" s="100">
        <v>2.3705147097618915</v>
      </c>
      <c r="CC11" s="100">
        <v>1263.0102373611358</v>
      </c>
      <c r="CD11" s="100">
        <v>4.2676303888910754</v>
      </c>
      <c r="CE11" s="100">
        <v>2273.7934712011647</v>
      </c>
      <c r="CF11" s="100">
        <v>5.5529154619793228</v>
      </c>
      <c r="CG11" s="100">
        <v>2958.5933581425829</v>
      </c>
      <c r="CH11" s="100">
        <v>6.3123440259363548</v>
      </c>
      <c r="CI11" s="100">
        <v>3363.2168970188895</v>
      </c>
      <c r="CJ11" s="100">
        <v>9</v>
      </c>
      <c r="CK11" s="100">
        <v>4795.2</v>
      </c>
      <c r="CL11" s="100">
        <v>7</v>
      </c>
      <c r="CM11" s="100">
        <v>3729.5999999999995</v>
      </c>
      <c r="CN11" s="100">
        <v>0.62380093896163791</v>
      </c>
      <c r="CO11" s="100">
        <v>332.36114027876067</v>
      </c>
      <c r="CP11" s="100">
        <v>8.1998915005375199</v>
      </c>
      <c r="CQ11" s="100">
        <v>4368.9021914863906</v>
      </c>
      <c r="CR11" s="100">
        <v>2.1847933254599794</v>
      </c>
      <c r="CS11" s="100">
        <v>1164.0578838050769</v>
      </c>
      <c r="CT11" s="100">
        <v>2.3823610303215617</v>
      </c>
      <c r="CU11" s="100">
        <v>1269.321956955328</v>
      </c>
    </row>
    <row r="12" spans="1:99">
      <c r="C12" s="99" t="s">
        <v>178</v>
      </c>
      <c r="D12" s="100">
        <v>5</v>
      </c>
      <c r="E12" s="100">
        <v>2814</v>
      </c>
      <c r="F12" s="100">
        <v>6</v>
      </c>
      <c r="G12" s="100">
        <v>3376.7999999999997</v>
      </c>
      <c r="H12" s="100">
        <v>4</v>
      </c>
      <c r="I12" s="100">
        <v>2251.1999999999998</v>
      </c>
      <c r="J12" s="100">
        <v>5</v>
      </c>
      <c r="K12" s="100">
        <v>2814</v>
      </c>
      <c r="L12" s="100">
        <v>2.8534691285658851</v>
      </c>
      <c r="M12" s="100">
        <v>1605.9324255568799</v>
      </c>
      <c r="N12" s="100">
        <v>4.9848574701743464</v>
      </c>
      <c r="O12" s="100">
        <v>2805.477784214122</v>
      </c>
      <c r="P12" s="100">
        <v>6.8228721775725045</v>
      </c>
      <c r="Q12" s="100">
        <v>3839.912461537805</v>
      </c>
      <c r="R12" s="100">
        <v>5</v>
      </c>
      <c r="S12" s="100">
        <v>2814</v>
      </c>
      <c r="T12" s="100">
        <v>4</v>
      </c>
      <c r="U12" s="100">
        <v>2251.1999999999998</v>
      </c>
      <c r="V12" s="100">
        <v>6</v>
      </c>
      <c r="W12" s="100">
        <v>3376.7999999999997</v>
      </c>
      <c r="X12" s="100">
        <v>0.2907092488878697</v>
      </c>
      <c r="Y12" s="100">
        <v>163.61116527409305</v>
      </c>
      <c r="Z12" s="100">
        <v>7</v>
      </c>
      <c r="AA12" s="100">
        <v>3939.5999999999995</v>
      </c>
      <c r="AB12" s="100">
        <v>9</v>
      </c>
      <c r="AC12" s="100">
        <v>5065.2</v>
      </c>
      <c r="AD12" s="100">
        <v>6.4060480452130228</v>
      </c>
      <c r="AE12" s="100">
        <v>3605.3238398458889</v>
      </c>
      <c r="AF12" s="100">
        <v>8.4194242671244695</v>
      </c>
      <c r="AG12" s="100">
        <v>4738.4519775376511</v>
      </c>
      <c r="AH12" s="100">
        <v>1.7167485776801035</v>
      </c>
      <c r="AI12" s="100">
        <v>966.1860995183622</v>
      </c>
      <c r="AJ12" s="100">
        <v>6</v>
      </c>
      <c r="AK12" s="100">
        <v>3376.7999999999997</v>
      </c>
      <c r="AL12" s="100">
        <v>6.212616785363231</v>
      </c>
      <c r="AM12" s="100">
        <v>3496.4607268024261</v>
      </c>
      <c r="AN12" s="100">
        <v>3.2835303123731858</v>
      </c>
      <c r="AO12" s="100">
        <v>1847.9708598036289</v>
      </c>
      <c r="AP12" s="100">
        <v>4.8517142716550996</v>
      </c>
      <c r="AQ12" s="100">
        <v>2730.5447920874899</v>
      </c>
      <c r="AR12" s="100">
        <v>5.7350944480435526</v>
      </c>
      <c r="AS12" s="100">
        <v>3227.7111553589111</v>
      </c>
      <c r="AT12" s="100">
        <v>5.8375439281607776E-4</v>
      </c>
      <c r="AU12" s="100">
        <v>0.32853697227688855</v>
      </c>
      <c r="AV12" s="100">
        <v>7</v>
      </c>
      <c r="AW12" s="100">
        <v>3939.5999999999995</v>
      </c>
      <c r="AX12" s="100">
        <v>1.9816162099161294</v>
      </c>
      <c r="AY12" s="100">
        <v>1115.2536029407975</v>
      </c>
      <c r="AZ12" s="100">
        <v>10.131455018746736</v>
      </c>
      <c r="BA12" s="100">
        <v>5701.9828845506627</v>
      </c>
      <c r="BB12" s="100">
        <v>1.7351094728764127</v>
      </c>
      <c r="BC12" s="100">
        <v>976.51961133484497</v>
      </c>
      <c r="BD12" s="100">
        <v>7.9295423610889824</v>
      </c>
      <c r="BE12" s="100">
        <v>4462.7464408208789</v>
      </c>
      <c r="BF12" s="100">
        <v>1.9274823997156805</v>
      </c>
      <c r="BG12" s="100">
        <v>1084.7870945599848</v>
      </c>
      <c r="BH12" s="100">
        <v>2.1470969187842504</v>
      </c>
      <c r="BI12" s="100">
        <v>1208.3861458917761</v>
      </c>
      <c r="BJ12" s="100">
        <v>8.9000348285101829</v>
      </c>
      <c r="BK12" s="100">
        <v>5008.9396014855301</v>
      </c>
      <c r="BL12" s="100">
        <v>6</v>
      </c>
      <c r="BM12" s="100">
        <v>3376.7999999999997</v>
      </c>
      <c r="BN12" s="100">
        <v>3.7749345416781157</v>
      </c>
      <c r="BO12" s="100">
        <v>2124.5331600564432</v>
      </c>
      <c r="BP12" s="100">
        <v>6</v>
      </c>
      <c r="BQ12" s="100">
        <v>3376.7999999999997</v>
      </c>
      <c r="BR12" s="100">
        <v>3.0143189469886797</v>
      </c>
      <c r="BS12" s="100">
        <v>1696.4587033652288</v>
      </c>
      <c r="BT12" s="100">
        <v>11</v>
      </c>
      <c r="BU12" s="100">
        <v>6190.7999999999993</v>
      </c>
      <c r="BV12" s="100">
        <v>2.1701621965316931</v>
      </c>
      <c r="BW12" s="100">
        <v>1221.3672842080368</v>
      </c>
      <c r="BX12" s="100">
        <v>9.078511238459571</v>
      </c>
      <c r="BY12" s="100">
        <v>5109.3861250050459</v>
      </c>
      <c r="BZ12" s="100">
        <v>10</v>
      </c>
      <c r="CA12" s="100">
        <v>5628</v>
      </c>
      <c r="CB12" s="100">
        <v>2.1334632387857027</v>
      </c>
      <c r="CC12" s="100">
        <v>1200.7131107885934</v>
      </c>
      <c r="CD12" s="100">
        <v>4.2725055120335735</v>
      </c>
      <c r="CE12" s="100">
        <v>2404.566102172495</v>
      </c>
      <c r="CF12" s="100">
        <v>6.3450737899985539</v>
      </c>
      <c r="CG12" s="100">
        <v>3571.0075290111859</v>
      </c>
      <c r="CH12" s="100">
        <v>6.3123440259363548</v>
      </c>
      <c r="CI12" s="100">
        <v>3552.58721779698</v>
      </c>
      <c r="CJ12" s="100">
        <v>10</v>
      </c>
      <c r="CK12" s="100">
        <v>5628</v>
      </c>
      <c r="CL12" s="100">
        <v>6</v>
      </c>
      <c r="CM12" s="100">
        <v>3376.7999999999997</v>
      </c>
      <c r="CN12" s="100">
        <v>0.68693365363218839</v>
      </c>
      <c r="CO12" s="100">
        <v>386.60626026419561</v>
      </c>
      <c r="CP12" s="100">
        <v>8.3713045720428791</v>
      </c>
      <c r="CQ12" s="100">
        <v>4711.3702131457321</v>
      </c>
      <c r="CR12" s="100">
        <v>2.1847933254599794</v>
      </c>
      <c r="CS12" s="100">
        <v>1229.6016835688763</v>
      </c>
      <c r="CT12" s="100">
        <v>2.391006595797514</v>
      </c>
      <c r="CU12" s="100">
        <v>1345.6585121148407</v>
      </c>
    </row>
    <row r="13" spans="1:99">
      <c r="C13" s="99" t="s">
        <v>179</v>
      </c>
      <c r="D13" s="100">
        <v>4</v>
      </c>
      <c r="E13" s="100">
        <v>340.8</v>
      </c>
      <c r="F13" s="100">
        <v>6</v>
      </c>
      <c r="G13" s="100">
        <v>511.20000000000005</v>
      </c>
      <c r="H13" s="100">
        <v>4</v>
      </c>
      <c r="I13" s="100">
        <v>340.8</v>
      </c>
      <c r="J13" s="100">
        <v>5</v>
      </c>
      <c r="K13" s="100">
        <v>426</v>
      </c>
      <c r="L13" s="100">
        <v>2.8534691285658851</v>
      </c>
      <c r="M13" s="100">
        <v>243.11556975381342</v>
      </c>
      <c r="N13" s="100">
        <v>5.8156670485367368</v>
      </c>
      <c r="O13" s="100">
        <v>495.49483253532998</v>
      </c>
      <c r="P13" s="100">
        <v>7.5809690861916712</v>
      </c>
      <c r="Q13" s="100">
        <v>645.89856614353039</v>
      </c>
      <c r="R13" s="100">
        <v>6</v>
      </c>
      <c r="S13" s="100">
        <v>511.20000000000005</v>
      </c>
      <c r="T13" s="100">
        <v>5</v>
      </c>
      <c r="U13" s="100">
        <v>426</v>
      </c>
      <c r="V13" s="100">
        <v>7</v>
      </c>
      <c r="W13" s="100">
        <v>596.4</v>
      </c>
      <c r="X13" s="100">
        <v>0.32301027654207742</v>
      </c>
      <c r="Y13" s="100">
        <v>27.520475561384998</v>
      </c>
      <c r="Z13" s="100">
        <v>7</v>
      </c>
      <c r="AA13" s="100">
        <v>596.4</v>
      </c>
      <c r="AB13" s="100">
        <v>9</v>
      </c>
      <c r="AC13" s="100">
        <v>766.80000000000007</v>
      </c>
      <c r="AD13" s="100">
        <v>7.2068040508646503</v>
      </c>
      <c r="AE13" s="100">
        <v>614.01970513366825</v>
      </c>
      <c r="AF13" s="100">
        <v>8.4194242671244695</v>
      </c>
      <c r="AG13" s="100">
        <v>717.33494755900483</v>
      </c>
      <c r="AH13" s="100">
        <v>1.9619983744915468</v>
      </c>
      <c r="AI13" s="100">
        <v>167.16226150667978</v>
      </c>
      <c r="AJ13" s="100">
        <v>6</v>
      </c>
      <c r="AK13" s="100">
        <v>511.20000000000005</v>
      </c>
      <c r="AL13" s="100">
        <v>7.1001334689865505</v>
      </c>
      <c r="AM13" s="100">
        <v>604.93137155765407</v>
      </c>
      <c r="AN13" s="100">
        <v>3.9402363748478235</v>
      </c>
      <c r="AO13" s="100">
        <v>335.70813913703455</v>
      </c>
      <c r="AP13" s="100">
        <v>5.4346045154362796</v>
      </c>
      <c r="AQ13" s="100">
        <v>463.02830471517103</v>
      </c>
      <c r="AR13" s="100">
        <v>6.8400306260403356</v>
      </c>
      <c r="AS13" s="100">
        <v>582.77060933863663</v>
      </c>
      <c r="AT13" s="100">
        <v>5.8375439281607776E-4</v>
      </c>
      <c r="AU13" s="100">
        <v>4.9735874267929824E-2</v>
      </c>
      <c r="AV13" s="100">
        <v>7</v>
      </c>
      <c r="AW13" s="100">
        <v>596.4</v>
      </c>
      <c r="AX13" s="100">
        <v>1.6790614074810843</v>
      </c>
      <c r="AY13" s="100">
        <v>143.0560319173884</v>
      </c>
      <c r="AZ13" s="100">
        <v>10.131455018746736</v>
      </c>
      <c r="BA13" s="100">
        <v>863.19996759722198</v>
      </c>
      <c r="BB13" s="100">
        <v>1.7435713875735537</v>
      </c>
      <c r="BC13" s="100">
        <v>148.55228222126678</v>
      </c>
      <c r="BD13" s="100">
        <v>7.9295423610889824</v>
      </c>
      <c r="BE13" s="100">
        <v>675.5970091647813</v>
      </c>
      <c r="BF13" s="100">
        <v>2.4093529996446006</v>
      </c>
      <c r="BG13" s="100">
        <v>205.27687556971998</v>
      </c>
      <c r="BH13" s="100">
        <v>2.3627431218987476</v>
      </c>
      <c r="BI13" s="100">
        <v>201.30571398577331</v>
      </c>
      <c r="BJ13" s="100">
        <v>8.9000348285101829</v>
      </c>
      <c r="BK13" s="100">
        <v>758.28296738906761</v>
      </c>
      <c r="BL13" s="100">
        <v>6</v>
      </c>
      <c r="BM13" s="100">
        <v>511.20000000000005</v>
      </c>
      <c r="BN13" s="100">
        <v>3.7749345416781157</v>
      </c>
      <c r="BO13" s="100">
        <v>321.62442295097549</v>
      </c>
      <c r="BP13" s="100">
        <v>6</v>
      </c>
      <c r="BQ13" s="100">
        <v>511.20000000000005</v>
      </c>
      <c r="BR13" s="100">
        <v>3.0143189469886797</v>
      </c>
      <c r="BS13" s="100">
        <v>256.8199742834355</v>
      </c>
      <c r="BT13" s="100">
        <v>11</v>
      </c>
      <c r="BU13" s="100">
        <v>937.2</v>
      </c>
      <c r="BV13" s="100">
        <v>2.1701621965316931</v>
      </c>
      <c r="BW13" s="100">
        <v>184.89781914450026</v>
      </c>
      <c r="BX13" s="100">
        <v>10.078511238459571</v>
      </c>
      <c r="BY13" s="100">
        <v>858.68915751675547</v>
      </c>
      <c r="BZ13" s="100">
        <v>11</v>
      </c>
      <c r="CA13" s="100">
        <v>937.2</v>
      </c>
      <c r="CB13" s="100">
        <v>2.1334632387857027</v>
      </c>
      <c r="CC13" s="100">
        <v>181.77106794454187</v>
      </c>
      <c r="CD13" s="100">
        <v>4.9245083061279127</v>
      </c>
      <c r="CE13" s="100">
        <v>419.56810768209817</v>
      </c>
      <c r="CF13" s="100">
        <v>6.4784013723092091</v>
      </c>
      <c r="CG13" s="100">
        <v>551.95979692074468</v>
      </c>
      <c r="CH13" s="100">
        <v>6.3123440259363548</v>
      </c>
      <c r="CI13" s="100">
        <v>537.81171100977747</v>
      </c>
      <c r="CJ13" s="100">
        <v>11</v>
      </c>
      <c r="CK13" s="100">
        <v>937.2</v>
      </c>
      <c r="CL13" s="100">
        <v>8</v>
      </c>
      <c r="CM13" s="100">
        <v>681.6</v>
      </c>
      <c r="CN13" s="100">
        <v>0.68442491771756586</v>
      </c>
      <c r="CO13" s="100">
        <v>58.313002989536614</v>
      </c>
      <c r="CP13" s="100">
        <v>9.1998915005375199</v>
      </c>
      <c r="CQ13" s="100">
        <v>783.83075584579672</v>
      </c>
      <c r="CR13" s="100">
        <v>2.3761722308157247</v>
      </c>
      <c r="CS13" s="100">
        <v>202.44987406549976</v>
      </c>
      <c r="CT13" s="100">
        <v>2.1614160582413096</v>
      </c>
      <c r="CU13" s="100">
        <v>184.15264816215958</v>
      </c>
    </row>
    <row r="14" spans="1:99">
      <c r="C14" s="99" t="s">
        <v>180</v>
      </c>
      <c r="D14" s="100">
        <v>4</v>
      </c>
      <c r="E14" s="100">
        <v>1953.6</v>
      </c>
      <c r="F14" s="100">
        <v>5</v>
      </c>
      <c r="G14" s="100">
        <v>2442</v>
      </c>
      <c r="H14" s="100">
        <v>4</v>
      </c>
      <c r="I14" s="100">
        <v>1953.6</v>
      </c>
      <c r="J14" s="100">
        <v>5</v>
      </c>
      <c r="K14" s="100">
        <v>2442</v>
      </c>
      <c r="L14" s="100">
        <v>2.8534691285658851</v>
      </c>
      <c r="M14" s="100">
        <v>1393.6343223915783</v>
      </c>
      <c r="N14" s="100">
        <v>4.9848574701743464</v>
      </c>
      <c r="O14" s="100">
        <v>2434.6043884331507</v>
      </c>
      <c r="P14" s="100">
        <v>6.8228721775725045</v>
      </c>
      <c r="Q14" s="100">
        <v>3332.2907715264109</v>
      </c>
      <c r="R14" s="100">
        <v>5</v>
      </c>
      <c r="S14" s="100">
        <v>2442</v>
      </c>
      <c r="T14" s="100">
        <v>5</v>
      </c>
      <c r="U14" s="100">
        <v>2442</v>
      </c>
      <c r="V14" s="100">
        <v>6</v>
      </c>
      <c r="W14" s="100">
        <v>2930.3999999999996</v>
      </c>
      <c r="X14" s="100">
        <v>0.32301027654207742</v>
      </c>
      <c r="Y14" s="100">
        <v>157.75821906315062</v>
      </c>
      <c r="Z14" s="100">
        <v>8</v>
      </c>
      <c r="AA14" s="100">
        <v>3907.2</v>
      </c>
      <c r="AB14" s="100">
        <v>8</v>
      </c>
      <c r="AC14" s="100">
        <v>3907.2</v>
      </c>
      <c r="AD14" s="100">
        <v>7.2068040508646503</v>
      </c>
      <c r="AE14" s="100">
        <v>3519.8030984422949</v>
      </c>
      <c r="AF14" s="100">
        <v>8.4194242671244695</v>
      </c>
      <c r="AG14" s="100">
        <v>4112.0468120635906</v>
      </c>
      <c r="AH14" s="100">
        <v>1.7167485776801035</v>
      </c>
      <c r="AI14" s="100">
        <v>838.46000533896245</v>
      </c>
      <c r="AJ14" s="100">
        <v>6</v>
      </c>
      <c r="AK14" s="100">
        <v>2930.3999999999996</v>
      </c>
      <c r="AL14" s="100">
        <v>7.1001334689865505</v>
      </c>
      <c r="AM14" s="100">
        <v>3467.7051862530311</v>
      </c>
      <c r="AN14" s="100">
        <v>3.2835303123731858</v>
      </c>
      <c r="AO14" s="100">
        <v>1603.6762045630639</v>
      </c>
      <c r="AP14" s="100">
        <v>4.8328550395145333</v>
      </c>
      <c r="AQ14" s="100">
        <v>2360.3664012988979</v>
      </c>
      <c r="AR14" s="100">
        <v>7.132330567386207</v>
      </c>
      <c r="AS14" s="100">
        <v>3483.4302491114231</v>
      </c>
      <c r="AT14" s="100">
        <v>5.1078509371406812E-4</v>
      </c>
      <c r="AU14" s="100">
        <v>0.24946743976995087</v>
      </c>
      <c r="AV14" s="100">
        <v>6</v>
      </c>
      <c r="AW14" s="100">
        <v>2930.3999999999996</v>
      </c>
      <c r="AX14" s="100">
        <v>1.694178443417981</v>
      </c>
      <c r="AY14" s="100">
        <v>827.43675176534191</v>
      </c>
      <c r="AZ14" s="100">
        <v>11.131455018746736</v>
      </c>
      <c r="BA14" s="100">
        <v>5436.6026311559062</v>
      </c>
      <c r="BB14" s="100">
        <v>1.7435713875735537</v>
      </c>
      <c r="BC14" s="100">
        <v>851.56026569092353</v>
      </c>
      <c r="BD14" s="100">
        <v>7.9295423610889824</v>
      </c>
      <c r="BE14" s="100">
        <v>3872.7884891558588</v>
      </c>
      <c r="BF14" s="100">
        <v>2.1684176996801408</v>
      </c>
      <c r="BG14" s="100">
        <v>1059.0552045237807</v>
      </c>
      <c r="BH14" s="100">
        <v>1.9408158280304708</v>
      </c>
      <c r="BI14" s="100">
        <v>947.89445041008184</v>
      </c>
      <c r="BJ14" s="100">
        <v>9.0286112325830672</v>
      </c>
      <c r="BK14" s="100">
        <v>4409.5737259935695</v>
      </c>
      <c r="BL14" s="100">
        <v>5</v>
      </c>
      <c r="BM14" s="100">
        <v>2442</v>
      </c>
      <c r="BN14" s="100">
        <v>3.7749345416781157</v>
      </c>
      <c r="BO14" s="100">
        <v>1843.6780301555916</v>
      </c>
      <c r="BP14" s="100">
        <v>6</v>
      </c>
      <c r="BQ14" s="100">
        <v>2930.3999999999996</v>
      </c>
      <c r="BR14" s="100">
        <v>2.6375290786150947</v>
      </c>
      <c r="BS14" s="100">
        <v>1288.1692019956122</v>
      </c>
      <c r="BT14" s="100">
        <v>9</v>
      </c>
      <c r="BU14" s="100">
        <v>4395.5999999999995</v>
      </c>
      <c r="BV14" s="100">
        <v>2.1516674762954215</v>
      </c>
      <c r="BW14" s="100">
        <v>1050.8743954226838</v>
      </c>
      <c r="BX14" s="100">
        <v>9.9586766564085067</v>
      </c>
      <c r="BY14" s="100">
        <v>4863.8176789899144</v>
      </c>
      <c r="BZ14" s="100">
        <v>10</v>
      </c>
      <c r="CA14" s="100">
        <v>4884</v>
      </c>
      <c r="CB14" s="100">
        <v>2.1334632387857027</v>
      </c>
      <c r="CC14" s="100">
        <v>1041.983445822937</v>
      </c>
      <c r="CD14" s="100">
        <v>4.3699178531910974</v>
      </c>
      <c r="CE14" s="100">
        <v>2134.2678794985318</v>
      </c>
      <c r="CF14" s="100">
        <v>5.5529154619793228</v>
      </c>
      <c r="CG14" s="100">
        <v>2712.0439116307011</v>
      </c>
      <c r="CH14" s="100">
        <v>5.3123440259363548</v>
      </c>
      <c r="CI14" s="100">
        <v>2594.5488222673157</v>
      </c>
      <c r="CJ14" s="100">
        <v>9</v>
      </c>
      <c r="CK14" s="100">
        <v>4395.5999999999995</v>
      </c>
      <c r="CL14" s="100">
        <v>7</v>
      </c>
      <c r="CM14" s="100">
        <v>3418.7999999999997</v>
      </c>
      <c r="CN14" s="100">
        <v>0.62630967487626055</v>
      </c>
      <c r="CO14" s="100">
        <v>305.88964520956563</v>
      </c>
      <c r="CP14" s="100">
        <v>9.1998915005375199</v>
      </c>
      <c r="CQ14" s="100">
        <v>4493.2270088625246</v>
      </c>
      <c r="CR14" s="100">
        <v>2.3761722308157247</v>
      </c>
      <c r="CS14" s="100">
        <v>1160.5225175303999</v>
      </c>
      <c r="CT14" s="100">
        <v>2.1527704927653577</v>
      </c>
      <c r="CU14" s="100">
        <v>1051.4131086666007</v>
      </c>
    </row>
    <row r="15" spans="1:99">
      <c r="C15" s="99" t="s">
        <v>181</v>
      </c>
      <c r="D15" s="100">
        <v>4</v>
      </c>
      <c r="E15" s="100">
        <v>3052.7999999999997</v>
      </c>
      <c r="F15" s="100">
        <v>6</v>
      </c>
      <c r="G15" s="100">
        <v>4579.2</v>
      </c>
      <c r="H15" s="100">
        <v>5</v>
      </c>
      <c r="I15" s="100">
        <v>3815.9999999999995</v>
      </c>
      <c r="J15" s="100">
        <v>5</v>
      </c>
      <c r="K15" s="100">
        <v>3815.9999999999995</v>
      </c>
      <c r="L15" s="100">
        <v>2.8534691285658851</v>
      </c>
      <c r="M15" s="100">
        <v>2177.7676389214835</v>
      </c>
      <c r="N15" s="100">
        <v>5.8156670485367368</v>
      </c>
      <c r="O15" s="100">
        <v>4438.5170914432374</v>
      </c>
      <c r="P15" s="100">
        <v>6.064775268953337</v>
      </c>
      <c r="Q15" s="100">
        <v>4628.6364852651859</v>
      </c>
      <c r="R15" s="100">
        <v>5</v>
      </c>
      <c r="S15" s="100">
        <v>3815.9999999999995</v>
      </c>
      <c r="T15" s="100">
        <v>4</v>
      </c>
      <c r="U15" s="100">
        <v>3052.7999999999997</v>
      </c>
      <c r="V15" s="100">
        <v>6</v>
      </c>
      <c r="W15" s="100">
        <v>4579.2</v>
      </c>
      <c r="X15" s="100">
        <v>0.2907092488878697</v>
      </c>
      <c r="Y15" s="100">
        <v>221.86929875122215</v>
      </c>
      <c r="Z15" s="100">
        <v>7</v>
      </c>
      <c r="AA15" s="100">
        <v>5342.4</v>
      </c>
      <c r="AB15" s="100">
        <v>9</v>
      </c>
      <c r="AC15" s="100">
        <v>6868.7999999999993</v>
      </c>
      <c r="AD15" s="100">
        <v>7.2068040508646503</v>
      </c>
      <c r="AE15" s="100">
        <v>5500.2328516199004</v>
      </c>
      <c r="AF15" s="100">
        <v>7.4839326818884189</v>
      </c>
      <c r="AG15" s="100">
        <v>5711.7374228172412</v>
      </c>
      <c r="AH15" s="100">
        <v>1.7167485776801035</v>
      </c>
      <c r="AI15" s="100">
        <v>1310.2225144854549</v>
      </c>
      <c r="AJ15" s="100">
        <v>5</v>
      </c>
      <c r="AK15" s="100">
        <v>3815.9999999999995</v>
      </c>
      <c r="AL15" s="100">
        <v>7.1001334689865505</v>
      </c>
      <c r="AM15" s="100">
        <v>5418.8218635305348</v>
      </c>
      <c r="AN15" s="100">
        <v>3.2835303123731858</v>
      </c>
      <c r="AO15" s="100">
        <v>2505.990334403215</v>
      </c>
      <c r="AP15" s="100">
        <v>4.8517142716550996</v>
      </c>
      <c r="AQ15" s="100">
        <v>3702.8283321271715</v>
      </c>
      <c r="AR15" s="100">
        <v>6.4483275047821733</v>
      </c>
      <c r="AS15" s="100">
        <v>4921.3635516497543</v>
      </c>
      <c r="AT15" s="100">
        <v>5.1078509371406812E-4</v>
      </c>
      <c r="AU15" s="100">
        <v>0.38983118352257673</v>
      </c>
      <c r="AV15" s="100">
        <v>6</v>
      </c>
      <c r="AW15" s="100">
        <v>4579.2</v>
      </c>
      <c r="AX15" s="100">
        <v>1.9816162099161294</v>
      </c>
      <c r="AY15" s="100">
        <v>1512.3694914079899</v>
      </c>
      <c r="AZ15" s="100">
        <v>11.131455018746736</v>
      </c>
      <c r="BA15" s="100">
        <v>8495.5264703075081</v>
      </c>
      <c r="BB15" s="100">
        <v>1.5383178361725713</v>
      </c>
      <c r="BC15" s="100">
        <v>1174.0441725669064</v>
      </c>
      <c r="BD15" s="100">
        <v>6.9295423610889824</v>
      </c>
      <c r="BE15" s="100">
        <v>5288.6267299831106</v>
      </c>
      <c r="BF15" s="100">
        <v>2.1684176996801408</v>
      </c>
      <c r="BG15" s="100">
        <v>1654.9363883958833</v>
      </c>
      <c r="BH15" s="100">
        <v>1.9408158280304708</v>
      </c>
      <c r="BI15" s="100">
        <v>1481.2306399528552</v>
      </c>
      <c r="BJ15" s="100">
        <v>8.0286112325830672</v>
      </c>
      <c r="BK15" s="100">
        <v>6127.4360927073967</v>
      </c>
      <c r="BL15" s="100">
        <v>6</v>
      </c>
      <c r="BM15" s="100">
        <v>4579.2</v>
      </c>
      <c r="BN15" s="100">
        <v>3.2356581785812422</v>
      </c>
      <c r="BO15" s="100">
        <v>2469.454321893204</v>
      </c>
      <c r="BP15" s="100">
        <v>6</v>
      </c>
      <c r="BQ15" s="100">
        <v>4579.2</v>
      </c>
      <c r="BR15" s="100">
        <v>3.0143189469886797</v>
      </c>
      <c r="BS15" s="100">
        <v>2300.5282203417601</v>
      </c>
      <c r="BT15" s="100">
        <v>9</v>
      </c>
      <c r="BU15" s="100">
        <v>6868.7999999999993</v>
      </c>
      <c r="BV15" s="100">
        <v>2.1609148364135575</v>
      </c>
      <c r="BW15" s="100">
        <v>1649.2102031508271</v>
      </c>
      <c r="BX15" s="100">
        <v>10.198345820510633</v>
      </c>
      <c r="BY15" s="100">
        <v>7783.3775302137146</v>
      </c>
      <c r="BZ15" s="100">
        <v>11</v>
      </c>
      <c r="CA15" s="100">
        <v>8395.1999999999989</v>
      </c>
      <c r="CB15" s="100">
        <v>2.1334632387857027</v>
      </c>
      <c r="CC15" s="100">
        <v>1628.259143841248</v>
      </c>
      <c r="CD15" s="100">
        <v>4.2725055120335735</v>
      </c>
      <c r="CE15" s="100">
        <v>3260.7762067840231</v>
      </c>
      <c r="CF15" s="100">
        <v>6.3450737899985539</v>
      </c>
      <c r="CG15" s="100">
        <v>4842.5603165268958</v>
      </c>
      <c r="CH15" s="100">
        <v>6.3123440259363548</v>
      </c>
      <c r="CI15" s="100">
        <v>4817.5809605946251</v>
      </c>
      <c r="CJ15" s="100">
        <v>9</v>
      </c>
      <c r="CK15" s="100">
        <v>6868.7999999999993</v>
      </c>
      <c r="CL15" s="100">
        <v>7</v>
      </c>
      <c r="CM15" s="100">
        <v>5342.4</v>
      </c>
      <c r="CN15" s="100">
        <v>0.62380093896163791</v>
      </c>
      <c r="CO15" s="100">
        <v>476.08487661552203</v>
      </c>
      <c r="CP15" s="100">
        <v>8.1998915005375199</v>
      </c>
      <c r="CQ15" s="100">
        <v>6258.1571932102343</v>
      </c>
      <c r="CR15" s="100">
        <v>1.9934144201042345</v>
      </c>
      <c r="CS15" s="100">
        <v>1521.3738854235517</v>
      </c>
      <c r="CT15" s="100">
        <v>2.3823610303215617</v>
      </c>
      <c r="CU15" s="100">
        <v>1818.2179383414157</v>
      </c>
    </row>
    <row r="16" spans="1:99">
      <c r="C16" s="99" t="s">
        <v>182</v>
      </c>
      <c r="D16" s="100">
        <v>4</v>
      </c>
      <c r="E16" s="100">
        <v>1363.2</v>
      </c>
      <c r="F16" s="100">
        <v>6</v>
      </c>
      <c r="G16" s="100">
        <v>2044.8000000000002</v>
      </c>
      <c r="H16" s="100">
        <v>4</v>
      </c>
      <c r="I16" s="100">
        <v>1363.2</v>
      </c>
      <c r="J16" s="100">
        <v>5</v>
      </c>
      <c r="K16" s="100">
        <v>1704</v>
      </c>
      <c r="L16" s="100">
        <v>2.3778909404715711</v>
      </c>
      <c r="M16" s="100">
        <v>810.38523251271147</v>
      </c>
      <c r="N16" s="100">
        <v>5.8156670485367368</v>
      </c>
      <c r="O16" s="100">
        <v>1981.9793301413199</v>
      </c>
      <c r="P16" s="100">
        <v>6.8228721775725045</v>
      </c>
      <c r="Q16" s="100">
        <v>2325.2348381167094</v>
      </c>
      <c r="R16" s="100">
        <v>6</v>
      </c>
      <c r="S16" s="100">
        <v>2044.8000000000002</v>
      </c>
      <c r="T16" s="100">
        <v>4</v>
      </c>
      <c r="U16" s="100">
        <v>1363.2</v>
      </c>
      <c r="V16" s="100">
        <v>6</v>
      </c>
      <c r="W16" s="100">
        <v>2044.8000000000002</v>
      </c>
      <c r="X16" s="100">
        <v>0.25840822123366197</v>
      </c>
      <c r="Y16" s="100">
        <v>88.065521796432009</v>
      </c>
      <c r="Z16" s="100">
        <v>7</v>
      </c>
      <c r="AA16" s="100">
        <v>2385.6</v>
      </c>
      <c r="AB16" s="100">
        <v>9</v>
      </c>
      <c r="AC16" s="100">
        <v>3067.2000000000003</v>
      </c>
      <c r="AD16" s="100">
        <v>7.2068040508646503</v>
      </c>
      <c r="AE16" s="100">
        <v>2456.078820534673</v>
      </c>
      <c r="AF16" s="100">
        <v>8.4194242671244695</v>
      </c>
      <c r="AG16" s="100">
        <v>2869.3397902360193</v>
      </c>
      <c r="AH16" s="100">
        <v>1.9619983744915468</v>
      </c>
      <c r="AI16" s="100">
        <v>668.64904602671913</v>
      </c>
      <c r="AJ16" s="100">
        <v>5</v>
      </c>
      <c r="AK16" s="100">
        <v>1704</v>
      </c>
      <c r="AL16" s="100">
        <v>7.1001334689865505</v>
      </c>
      <c r="AM16" s="100">
        <v>2419.7254862306163</v>
      </c>
      <c r="AN16" s="100">
        <v>3.9402363748478235</v>
      </c>
      <c r="AO16" s="100">
        <v>1342.8325565481382</v>
      </c>
      <c r="AP16" s="100">
        <v>4.8517142716550996</v>
      </c>
      <c r="AQ16" s="100">
        <v>1653.4642237800581</v>
      </c>
      <c r="AR16" s="100">
        <v>6.4483275047821733</v>
      </c>
      <c r="AS16" s="100">
        <v>2197.5900136297646</v>
      </c>
      <c r="AT16" s="100">
        <v>5.8375439281607776E-4</v>
      </c>
      <c r="AU16" s="100">
        <v>0.19894349707171929</v>
      </c>
      <c r="AV16" s="100">
        <v>6</v>
      </c>
      <c r="AW16" s="100">
        <v>2044.8000000000002</v>
      </c>
      <c r="AX16" s="100">
        <v>1.996733245853026</v>
      </c>
      <c r="AY16" s="100">
        <v>680.48669018671126</v>
      </c>
      <c r="AZ16" s="100">
        <v>12.131455018746736</v>
      </c>
      <c r="BA16" s="100">
        <v>4134.3998703888883</v>
      </c>
      <c r="BB16" s="100">
        <v>1.5298559214754301</v>
      </c>
      <c r="BC16" s="100">
        <v>521.37489803882659</v>
      </c>
      <c r="BD16" s="100">
        <v>7.9295423610889824</v>
      </c>
      <c r="BE16" s="100">
        <v>2702.3880366591252</v>
      </c>
      <c r="BF16" s="100">
        <v>1.9274823997156805</v>
      </c>
      <c r="BG16" s="100">
        <v>656.88600182310392</v>
      </c>
      <c r="BH16" s="100">
        <v>2.1470969187842504</v>
      </c>
      <c r="BI16" s="100">
        <v>731.73062992167252</v>
      </c>
      <c r="BJ16" s="100">
        <v>9.0286112325830672</v>
      </c>
      <c r="BK16" s="100">
        <v>3076.9507080643093</v>
      </c>
      <c r="BL16" s="100">
        <v>6</v>
      </c>
      <c r="BM16" s="100">
        <v>2044.8000000000002</v>
      </c>
      <c r="BN16" s="100">
        <v>3.2356581785812422</v>
      </c>
      <c r="BO16" s="100">
        <v>1102.7123072604875</v>
      </c>
      <c r="BP16" s="100">
        <v>6</v>
      </c>
      <c r="BQ16" s="100">
        <v>2044.8000000000002</v>
      </c>
      <c r="BR16" s="100">
        <v>3.0143189469886797</v>
      </c>
      <c r="BS16" s="100">
        <v>1027.279897133742</v>
      </c>
      <c r="BT16" s="100">
        <v>10</v>
      </c>
      <c r="BU16" s="100">
        <v>3408</v>
      </c>
      <c r="BV16" s="100">
        <v>2.1609148364135575</v>
      </c>
      <c r="BW16" s="100">
        <v>736.43977624974048</v>
      </c>
      <c r="BX16" s="100">
        <v>9.078511238459571</v>
      </c>
      <c r="BY16" s="100">
        <v>3093.9566300670217</v>
      </c>
      <c r="BZ16" s="100">
        <v>11</v>
      </c>
      <c r="CA16" s="100">
        <v>3748.8</v>
      </c>
      <c r="CB16" s="100">
        <v>2.1334632387857027</v>
      </c>
      <c r="CC16" s="100">
        <v>727.08427177816748</v>
      </c>
      <c r="CD16" s="100">
        <v>4.2676303888910754</v>
      </c>
      <c r="CE16" s="100">
        <v>1454.4084365340786</v>
      </c>
      <c r="CF16" s="100">
        <v>6.3450737899985539</v>
      </c>
      <c r="CG16" s="100">
        <v>2162.4011476315072</v>
      </c>
      <c r="CH16" s="100">
        <v>6.3123440259363548</v>
      </c>
      <c r="CI16" s="100">
        <v>2151.2468440391099</v>
      </c>
      <c r="CJ16" s="100">
        <v>11</v>
      </c>
      <c r="CK16" s="100">
        <v>3748.8</v>
      </c>
      <c r="CL16" s="100">
        <v>7</v>
      </c>
      <c r="CM16" s="100">
        <v>2385.6</v>
      </c>
      <c r="CN16" s="100">
        <v>0.74755763238811646</v>
      </c>
      <c r="CO16" s="100">
        <v>254.76764111787008</v>
      </c>
      <c r="CP16" s="100">
        <v>9.1998915005375199</v>
      </c>
      <c r="CQ16" s="100">
        <v>3135.3230233831869</v>
      </c>
      <c r="CR16" s="100">
        <v>1.9934144201042345</v>
      </c>
      <c r="CS16" s="100">
        <v>679.35563437152314</v>
      </c>
      <c r="CT16" s="100">
        <v>2.391006595797514</v>
      </c>
      <c r="CU16" s="100">
        <v>814.85504784779278</v>
      </c>
    </row>
    <row r="17" spans="2:99">
      <c r="C17" s="99" t="s">
        <v>183</v>
      </c>
      <c r="D17" s="100">
        <v>5</v>
      </c>
      <c r="E17" s="100">
        <v>2112</v>
      </c>
      <c r="F17" s="100">
        <v>6</v>
      </c>
      <c r="G17" s="100">
        <v>2534.3999999999996</v>
      </c>
      <c r="H17" s="100">
        <v>5</v>
      </c>
      <c r="I17" s="100">
        <v>2112</v>
      </c>
      <c r="J17" s="100">
        <v>5</v>
      </c>
      <c r="K17" s="100">
        <v>2112</v>
      </c>
      <c r="L17" s="100">
        <v>2.8534691285658851</v>
      </c>
      <c r="M17" s="100">
        <v>1205.3053599062298</v>
      </c>
      <c r="N17" s="100">
        <v>5.8156670485367368</v>
      </c>
      <c r="O17" s="100">
        <v>2456.5377613019173</v>
      </c>
      <c r="P17" s="100">
        <v>7.5809690861916712</v>
      </c>
      <c r="Q17" s="100">
        <v>3202.2013420073617</v>
      </c>
      <c r="R17" s="100">
        <v>5</v>
      </c>
      <c r="S17" s="100">
        <v>2112</v>
      </c>
      <c r="T17" s="100">
        <v>5</v>
      </c>
      <c r="U17" s="100">
        <v>2112</v>
      </c>
      <c r="V17" s="100">
        <v>6</v>
      </c>
      <c r="W17" s="100">
        <v>2534.3999999999996</v>
      </c>
      <c r="X17" s="100">
        <v>0.2907092488878697</v>
      </c>
      <c r="Y17" s="100">
        <v>122.79558673023615</v>
      </c>
      <c r="Z17" s="100">
        <v>7</v>
      </c>
      <c r="AA17" s="100">
        <v>2956.7999999999997</v>
      </c>
      <c r="AB17" s="100">
        <v>10</v>
      </c>
      <c r="AC17" s="100">
        <v>4224</v>
      </c>
      <c r="AD17" s="100">
        <v>7.2068040508646503</v>
      </c>
      <c r="AE17" s="100">
        <v>3044.1540310852283</v>
      </c>
      <c r="AF17" s="100">
        <v>8.4194242671244695</v>
      </c>
      <c r="AG17" s="100">
        <v>3556.3648104333756</v>
      </c>
      <c r="AH17" s="100">
        <v>1.7167485776801035</v>
      </c>
      <c r="AI17" s="100">
        <v>725.15459921207571</v>
      </c>
      <c r="AJ17" s="100">
        <v>5</v>
      </c>
      <c r="AK17" s="100">
        <v>2112</v>
      </c>
      <c r="AL17" s="100">
        <v>6.212616785363231</v>
      </c>
      <c r="AM17" s="100">
        <v>2624.2093301374284</v>
      </c>
      <c r="AN17" s="100">
        <v>3.9402363748478235</v>
      </c>
      <c r="AO17" s="100">
        <v>1664.3558447357207</v>
      </c>
      <c r="AP17" s="100">
        <v>4.8328550395145333</v>
      </c>
      <c r="AQ17" s="100">
        <v>2041.3979686909388</v>
      </c>
      <c r="AR17" s="100">
        <v>6.4775574989167604</v>
      </c>
      <c r="AS17" s="100">
        <v>2736.1202875424397</v>
      </c>
      <c r="AT17" s="100">
        <v>5.8375439281607776E-4</v>
      </c>
      <c r="AU17" s="100">
        <v>0.24657785552551123</v>
      </c>
      <c r="AV17" s="100">
        <v>6</v>
      </c>
      <c r="AW17" s="100">
        <v>2534.3999999999996</v>
      </c>
      <c r="AX17" s="100">
        <v>1.6790614074810843</v>
      </c>
      <c r="AY17" s="100">
        <v>709.23553852000998</v>
      </c>
      <c r="AZ17" s="100">
        <v>10.131455018746736</v>
      </c>
      <c r="BA17" s="100">
        <v>4279.5265999186213</v>
      </c>
      <c r="BB17" s="100">
        <v>1.5383178361725713</v>
      </c>
      <c r="BC17" s="100">
        <v>649.78545399929408</v>
      </c>
      <c r="BD17" s="100">
        <v>7.9295423610889824</v>
      </c>
      <c r="BE17" s="100">
        <v>3349.4386933239862</v>
      </c>
      <c r="BF17" s="100">
        <v>2.1684176996801408</v>
      </c>
      <c r="BG17" s="100">
        <v>915.93963634489137</v>
      </c>
      <c r="BH17" s="100">
        <v>1.9595460527519057</v>
      </c>
      <c r="BI17" s="100">
        <v>827.71225268240494</v>
      </c>
      <c r="BJ17" s="100">
        <v>8.0286112325830672</v>
      </c>
      <c r="BK17" s="100">
        <v>3391.2853846430876</v>
      </c>
      <c r="BL17" s="100">
        <v>6</v>
      </c>
      <c r="BM17" s="100">
        <v>2534.3999999999996</v>
      </c>
      <c r="BN17" s="100">
        <v>3.7749345416781157</v>
      </c>
      <c r="BO17" s="100">
        <v>1594.5323504048361</v>
      </c>
      <c r="BP17" s="100">
        <v>6</v>
      </c>
      <c r="BQ17" s="100">
        <v>2534.3999999999996</v>
      </c>
      <c r="BR17" s="100">
        <v>3.0143189469886797</v>
      </c>
      <c r="BS17" s="100">
        <v>1273.2483232080183</v>
      </c>
      <c r="BT17" s="100">
        <v>11</v>
      </c>
      <c r="BU17" s="100">
        <v>4646.3999999999996</v>
      </c>
      <c r="BV17" s="100">
        <v>2.1609148364135575</v>
      </c>
      <c r="BW17" s="100">
        <v>912.77042690108669</v>
      </c>
      <c r="BX17" s="100">
        <v>10.198345820510633</v>
      </c>
      <c r="BY17" s="100">
        <v>4307.7812745836909</v>
      </c>
      <c r="BZ17" s="100">
        <v>10</v>
      </c>
      <c r="CA17" s="100">
        <v>4224</v>
      </c>
      <c r="CB17" s="100">
        <v>2.1334632387857027</v>
      </c>
      <c r="CC17" s="100">
        <v>901.17487206308078</v>
      </c>
      <c r="CD17" s="100">
        <v>4.1750931708760506</v>
      </c>
      <c r="CE17" s="100">
        <v>1763.5593553780436</v>
      </c>
      <c r="CF17" s="100">
        <v>5.5529154619793228</v>
      </c>
      <c r="CG17" s="100">
        <v>2345.551491140066</v>
      </c>
      <c r="CH17" s="100">
        <v>5.3123440259363548</v>
      </c>
      <c r="CI17" s="100">
        <v>2243.9341165555161</v>
      </c>
      <c r="CJ17" s="100">
        <v>10</v>
      </c>
      <c r="CK17" s="100">
        <v>4224</v>
      </c>
      <c r="CL17" s="100">
        <v>8</v>
      </c>
      <c r="CM17" s="100">
        <v>3379.2</v>
      </c>
      <c r="CN17" s="100">
        <v>0.68693365363218839</v>
      </c>
      <c r="CO17" s="100">
        <v>290.16077529423637</v>
      </c>
      <c r="CP17" s="100">
        <v>9.1998915005375199</v>
      </c>
      <c r="CQ17" s="100">
        <v>3886.0341698270481</v>
      </c>
      <c r="CR17" s="100">
        <v>2.3673249678660824</v>
      </c>
      <c r="CS17" s="100">
        <v>999.9580664266332</v>
      </c>
      <c r="CT17" s="100">
        <v>2.3823610303215617</v>
      </c>
      <c r="CU17" s="100">
        <v>1006.3092992078276</v>
      </c>
    </row>
    <row r="18" spans="2:99">
      <c r="C18" s="99" t="s">
        <v>184</v>
      </c>
      <c r="D18" s="100">
        <v>4</v>
      </c>
      <c r="E18" s="100">
        <v>2611.1999999999998</v>
      </c>
      <c r="F18" s="100">
        <v>6</v>
      </c>
      <c r="G18" s="100">
        <v>3916.7999999999997</v>
      </c>
      <c r="H18" s="100">
        <v>4</v>
      </c>
      <c r="I18" s="100">
        <v>2611.1999999999998</v>
      </c>
      <c r="J18" s="100">
        <v>6</v>
      </c>
      <c r="K18" s="100">
        <v>3916.7999999999997</v>
      </c>
      <c r="L18" s="100">
        <v>2.3778909404715711</v>
      </c>
      <c r="M18" s="100">
        <v>1552.2872059398414</v>
      </c>
      <c r="N18" s="100">
        <v>4.9848574701743464</v>
      </c>
      <c r="O18" s="100">
        <v>3254.1149565298133</v>
      </c>
      <c r="P18" s="100">
        <v>6.8228721775725045</v>
      </c>
      <c r="Q18" s="100">
        <v>4453.970957519331</v>
      </c>
      <c r="R18" s="100">
        <v>5</v>
      </c>
      <c r="S18" s="100">
        <v>3264</v>
      </c>
      <c r="T18" s="100">
        <v>5</v>
      </c>
      <c r="U18" s="100">
        <v>3264</v>
      </c>
      <c r="V18" s="100">
        <v>6</v>
      </c>
      <c r="W18" s="100">
        <v>3916.7999999999997</v>
      </c>
      <c r="X18" s="100">
        <v>0.2907092488878697</v>
      </c>
      <c r="Y18" s="100">
        <v>189.77499767400133</v>
      </c>
      <c r="Z18" s="100">
        <v>7</v>
      </c>
      <c r="AA18" s="100">
        <v>4569.5999999999995</v>
      </c>
      <c r="AB18" s="100">
        <v>9</v>
      </c>
      <c r="AC18" s="100">
        <v>5875.2</v>
      </c>
      <c r="AD18" s="100">
        <v>7.2068040508646503</v>
      </c>
      <c r="AE18" s="100">
        <v>4704.6016844044434</v>
      </c>
      <c r="AF18" s="100">
        <v>8.4194242671244695</v>
      </c>
      <c r="AG18" s="100">
        <v>5496.2001615788531</v>
      </c>
      <c r="AH18" s="100">
        <v>1.7167485776801035</v>
      </c>
      <c r="AI18" s="100">
        <v>1120.6934715095715</v>
      </c>
      <c r="AJ18" s="100">
        <v>6</v>
      </c>
      <c r="AK18" s="100">
        <v>3916.7999999999997</v>
      </c>
      <c r="AL18" s="100">
        <v>7.1001334689865505</v>
      </c>
      <c r="AM18" s="100">
        <v>4634.96712855442</v>
      </c>
      <c r="AN18" s="100">
        <v>3.2835303123731858</v>
      </c>
      <c r="AO18" s="100">
        <v>2143.4885879172157</v>
      </c>
      <c r="AP18" s="100">
        <v>4.8517142716550996</v>
      </c>
      <c r="AQ18" s="100">
        <v>3167.199076536449</v>
      </c>
      <c r="AR18" s="100">
        <v>6.4483275047821733</v>
      </c>
      <c r="AS18" s="100">
        <v>4209.4681951218026</v>
      </c>
      <c r="AT18" s="100">
        <v>5.8375439281607776E-4</v>
      </c>
      <c r="AU18" s="100">
        <v>0.38107486763033555</v>
      </c>
      <c r="AV18" s="100">
        <v>6</v>
      </c>
      <c r="AW18" s="100">
        <v>3916.7999999999997</v>
      </c>
      <c r="AX18" s="100">
        <v>1.6639443715441882</v>
      </c>
      <c r="AY18" s="100">
        <v>1086.2228857440459</v>
      </c>
      <c r="AZ18" s="100">
        <v>10.131455018746736</v>
      </c>
      <c r="BA18" s="100">
        <v>6613.8138362378695</v>
      </c>
      <c r="BB18" s="100">
        <v>1.3246023700744476</v>
      </c>
      <c r="BC18" s="100">
        <v>864.70042718459933</v>
      </c>
      <c r="BD18" s="100">
        <v>8.0844660879371446</v>
      </c>
      <c r="BE18" s="100">
        <v>5277.5394622053673</v>
      </c>
      <c r="BF18" s="100">
        <v>2.1684176996801408</v>
      </c>
      <c r="BG18" s="100">
        <v>1415.5430743511959</v>
      </c>
      <c r="BH18" s="100">
        <v>2.1470969187842504</v>
      </c>
      <c r="BI18" s="100">
        <v>1401.6248685823584</v>
      </c>
      <c r="BJ18" s="100">
        <v>7.9000348285101829</v>
      </c>
      <c r="BK18" s="100">
        <v>5157.1427360514472</v>
      </c>
      <c r="BL18" s="100">
        <v>6</v>
      </c>
      <c r="BM18" s="100">
        <v>3916.7999999999997</v>
      </c>
      <c r="BN18" s="100">
        <v>3.7749345416781157</v>
      </c>
      <c r="BO18" s="100">
        <v>2464.2772688074738</v>
      </c>
      <c r="BP18" s="100">
        <v>6</v>
      </c>
      <c r="BQ18" s="100">
        <v>3916.7999999999997</v>
      </c>
      <c r="BR18" s="100">
        <v>3.0143189469886797</v>
      </c>
      <c r="BS18" s="100">
        <v>1967.7474085942099</v>
      </c>
      <c r="BT18" s="100">
        <v>11</v>
      </c>
      <c r="BU18" s="100">
        <v>7180.7999999999993</v>
      </c>
      <c r="BV18" s="100">
        <v>2.1701621965316931</v>
      </c>
      <c r="BW18" s="100">
        <v>1416.6818818958891</v>
      </c>
      <c r="BX18" s="100">
        <v>8.9586766564085067</v>
      </c>
      <c r="BY18" s="100">
        <v>5848.2241213034731</v>
      </c>
      <c r="BZ18" s="100">
        <v>10</v>
      </c>
      <c r="CA18" s="100">
        <v>6528</v>
      </c>
      <c r="CB18" s="100">
        <v>2.1334632387857027</v>
      </c>
      <c r="CC18" s="100">
        <v>1392.7248022793067</v>
      </c>
      <c r="CD18" s="100">
        <v>4.1653429245910543</v>
      </c>
      <c r="CE18" s="100">
        <v>2719.1358611730402</v>
      </c>
      <c r="CF18" s="100">
        <v>5.5529154619793228</v>
      </c>
      <c r="CG18" s="100">
        <v>3624.9432135801017</v>
      </c>
      <c r="CH18" s="100">
        <v>6.3123440259363548</v>
      </c>
      <c r="CI18" s="100">
        <v>4120.6981801312522</v>
      </c>
      <c r="CJ18" s="100">
        <v>11</v>
      </c>
      <c r="CK18" s="100">
        <v>7180.7999999999993</v>
      </c>
      <c r="CL18" s="100">
        <v>7</v>
      </c>
      <c r="CM18" s="100">
        <v>4569.5999999999995</v>
      </c>
      <c r="CN18" s="100">
        <v>0.74755763238811646</v>
      </c>
      <c r="CO18" s="100">
        <v>488.0056224229624</v>
      </c>
      <c r="CP18" s="100">
        <v>8.1998915005375199</v>
      </c>
      <c r="CQ18" s="100">
        <v>5352.8891715508926</v>
      </c>
      <c r="CR18" s="100">
        <v>1.9934144201042345</v>
      </c>
      <c r="CS18" s="100">
        <v>1301.3009334440442</v>
      </c>
      <c r="CT18" s="100">
        <v>2.1614160582413096</v>
      </c>
      <c r="CU18" s="100">
        <v>1410.9724028199269</v>
      </c>
    </row>
    <row r="19" spans="2:99">
      <c r="C19" s="99" t="s">
        <v>185</v>
      </c>
      <c r="D19" s="100">
        <v>4</v>
      </c>
      <c r="E19" s="100">
        <v>1320</v>
      </c>
      <c r="F19" s="100">
        <v>6</v>
      </c>
      <c r="G19" s="100">
        <v>1980</v>
      </c>
      <c r="H19" s="100">
        <v>5</v>
      </c>
      <c r="I19" s="100">
        <v>1650</v>
      </c>
      <c r="J19" s="100">
        <v>5</v>
      </c>
      <c r="K19" s="100">
        <v>1650</v>
      </c>
      <c r="L19" s="100">
        <v>2.3778909404715711</v>
      </c>
      <c r="M19" s="100">
        <v>784.70401035561849</v>
      </c>
      <c r="N19" s="100">
        <v>4.9848574701743464</v>
      </c>
      <c r="O19" s="100">
        <v>1645.0029651575344</v>
      </c>
      <c r="P19" s="100">
        <v>6.8228721775725045</v>
      </c>
      <c r="Q19" s="100">
        <v>2251.5478185989264</v>
      </c>
      <c r="R19" s="100">
        <v>5</v>
      </c>
      <c r="S19" s="100">
        <v>1650</v>
      </c>
      <c r="T19" s="100">
        <v>5</v>
      </c>
      <c r="U19" s="100">
        <v>1650</v>
      </c>
      <c r="V19" s="100">
        <v>7</v>
      </c>
      <c r="W19" s="100">
        <v>2310</v>
      </c>
      <c r="X19" s="100">
        <v>0.32301027654207742</v>
      </c>
      <c r="Y19" s="100">
        <v>106.59339125888555</v>
      </c>
      <c r="Z19" s="100">
        <v>7</v>
      </c>
      <c r="AA19" s="100">
        <v>2310</v>
      </c>
      <c r="AB19" s="100">
        <v>9</v>
      </c>
      <c r="AC19" s="100">
        <v>2970</v>
      </c>
      <c r="AD19" s="100">
        <v>6.4060480452130228</v>
      </c>
      <c r="AE19" s="100">
        <v>2113.9958549202975</v>
      </c>
      <c r="AF19" s="100">
        <v>8.4194242671244695</v>
      </c>
      <c r="AG19" s="100">
        <v>2778.4100081510751</v>
      </c>
      <c r="AH19" s="100">
        <v>1.9619983744915468</v>
      </c>
      <c r="AI19" s="100">
        <v>647.45946358221045</v>
      </c>
      <c r="AJ19" s="100">
        <v>6</v>
      </c>
      <c r="AK19" s="100">
        <v>1980</v>
      </c>
      <c r="AL19" s="100">
        <v>7.9876501526098682</v>
      </c>
      <c r="AM19" s="100">
        <v>2635.9245503612565</v>
      </c>
      <c r="AN19" s="100">
        <v>3.9402363748478235</v>
      </c>
      <c r="AO19" s="100">
        <v>1300.2780036997817</v>
      </c>
      <c r="AP19" s="100">
        <v>5.4346045154362796</v>
      </c>
      <c r="AQ19" s="100">
        <v>1793.4194900939722</v>
      </c>
      <c r="AR19" s="100">
        <v>6.4483275047821733</v>
      </c>
      <c r="AS19" s="100">
        <v>2127.9480765781173</v>
      </c>
      <c r="AT19" s="100">
        <v>5.8375439281607776E-4</v>
      </c>
      <c r="AU19" s="100">
        <v>0.19263894962930567</v>
      </c>
      <c r="AV19" s="100">
        <v>6</v>
      </c>
      <c r="AW19" s="100">
        <v>1980</v>
      </c>
      <c r="AX19" s="100">
        <v>2.011850281789922</v>
      </c>
      <c r="AY19" s="100">
        <v>663.91059299067422</v>
      </c>
      <c r="AZ19" s="100">
        <v>10.131455018746736</v>
      </c>
      <c r="BA19" s="100">
        <v>3343.3801561864229</v>
      </c>
      <c r="BB19" s="100">
        <v>1.5298559214754301</v>
      </c>
      <c r="BC19" s="100">
        <v>504.85245408689195</v>
      </c>
      <c r="BD19" s="100">
        <v>7.9295423610889824</v>
      </c>
      <c r="BE19" s="100">
        <v>2616.7489791593644</v>
      </c>
      <c r="BF19" s="100">
        <v>2.1684176996801408</v>
      </c>
      <c r="BG19" s="100">
        <v>715.57784089444647</v>
      </c>
      <c r="BH19" s="100">
        <v>2.1470969187842504</v>
      </c>
      <c r="BI19" s="100">
        <v>708.54198319880265</v>
      </c>
      <c r="BJ19" s="100">
        <v>10.028611232583067</v>
      </c>
      <c r="BK19" s="100">
        <v>3309.4417067524123</v>
      </c>
      <c r="BL19" s="100">
        <v>6</v>
      </c>
      <c r="BM19" s="100">
        <v>1980</v>
      </c>
      <c r="BN19" s="100">
        <v>3.2356581785812422</v>
      </c>
      <c r="BO19" s="100">
        <v>1067.7671989318098</v>
      </c>
      <c r="BP19" s="100">
        <v>7</v>
      </c>
      <c r="BQ19" s="100">
        <v>2310</v>
      </c>
      <c r="BR19" s="100">
        <v>3.0143189469886797</v>
      </c>
      <c r="BS19" s="100">
        <v>994.72525250626427</v>
      </c>
      <c r="BT19" s="100">
        <v>10</v>
      </c>
      <c r="BU19" s="100">
        <v>3300</v>
      </c>
      <c r="BV19" s="100">
        <v>2.1609148364135575</v>
      </c>
      <c r="BW19" s="100">
        <v>713.10189601647403</v>
      </c>
      <c r="BX19" s="100">
        <v>10.078511238459571</v>
      </c>
      <c r="BY19" s="100">
        <v>3325.9087086916584</v>
      </c>
      <c r="BZ19" s="100">
        <v>11</v>
      </c>
      <c r="CA19" s="100">
        <v>3630</v>
      </c>
      <c r="CB19" s="100">
        <v>2.1334632387857027</v>
      </c>
      <c r="CC19" s="100">
        <v>704.04286879928191</v>
      </c>
      <c r="CD19" s="100">
        <v>4.8270959649703888</v>
      </c>
      <c r="CE19" s="100">
        <v>1592.9416684402283</v>
      </c>
      <c r="CF19" s="100">
        <v>6.4784013723092091</v>
      </c>
      <c r="CG19" s="100">
        <v>2137.8724528620392</v>
      </c>
      <c r="CH19" s="100">
        <v>6.3123440259363548</v>
      </c>
      <c r="CI19" s="100">
        <v>2083.0735285589972</v>
      </c>
      <c r="CJ19" s="100">
        <v>10</v>
      </c>
      <c r="CK19" s="100">
        <v>3300</v>
      </c>
      <c r="CL19" s="100">
        <v>7</v>
      </c>
      <c r="CM19" s="100">
        <v>2310</v>
      </c>
      <c r="CN19" s="100">
        <v>0.62630967487626055</v>
      </c>
      <c r="CO19" s="100">
        <v>206.68219270916597</v>
      </c>
      <c r="CP19" s="100">
        <v>9.1998915005375199</v>
      </c>
      <c r="CQ19" s="100">
        <v>3035.9641951773815</v>
      </c>
      <c r="CR19" s="100">
        <v>2.3673249678660824</v>
      </c>
      <c r="CS19" s="100">
        <v>781.21723939580716</v>
      </c>
      <c r="CT19" s="100">
        <v>2.391006595797514</v>
      </c>
      <c r="CU19" s="100">
        <v>789.03217661317956</v>
      </c>
    </row>
    <row r="20" spans="2:99">
      <c r="B20" s="99" t="s">
        <v>127</v>
      </c>
      <c r="C20" s="99" t="s">
        <v>186</v>
      </c>
      <c r="D20" s="100">
        <v>10</v>
      </c>
      <c r="E20" s="100">
        <v>2868</v>
      </c>
      <c r="F20" s="100">
        <v>8</v>
      </c>
      <c r="G20" s="100">
        <v>2294.4</v>
      </c>
      <c r="H20" s="100">
        <v>7</v>
      </c>
      <c r="I20" s="100">
        <v>2007.6000000000001</v>
      </c>
      <c r="J20" s="100">
        <v>7</v>
      </c>
      <c r="K20" s="100">
        <v>2007.6000000000001</v>
      </c>
      <c r="L20" s="100">
        <v>4.7557818809431422</v>
      </c>
      <c r="M20" s="100">
        <v>1363.9582434544932</v>
      </c>
      <c r="N20" s="100">
        <v>9.1389053619863017</v>
      </c>
      <c r="O20" s="100">
        <v>2621.0380578176714</v>
      </c>
      <c r="P20" s="100">
        <v>6.064775268953337</v>
      </c>
      <c r="Q20" s="100">
        <v>1739.3775471358172</v>
      </c>
      <c r="R20" s="100">
        <v>6</v>
      </c>
      <c r="S20" s="100">
        <v>1720.8000000000002</v>
      </c>
      <c r="T20" s="100">
        <v>9</v>
      </c>
      <c r="U20" s="100">
        <v>2581.2000000000003</v>
      </c>
      <c r="V20" s="100">
        <v>7</v>
      </c>
      <c r="W20" s="100">
        <v>2007.6000000000001</v>
      </c>
      <c r="X20" s="100">
        <v>0.25840822123366197</v>
      </c>
      <c r="Y20" s="100">
        <v>74.11147784981425</v>
      </c>
      <c r="Z20" s="100">
        <v>8</v>
      </c>
      <c r="AA20" s="100">
        <v>2294.4</v>
      </c>
      <c r="AB20" s="100">
        <v>11</v>
      </c>
      <c r="AC20" s="100">
        <v>3154.8</v>
      </c>
      <c r="AD20" s="100">
        <v>6.4060480452130228</v>
      </c>
      <c r="AE20" s="100">
        <v>1837.2545793670949</v>
      </c>
      <c r="AF20" s="100">
        <v>6.5484410966523665</v>
      </c>
      <c r="AG20" s="100">
        <v>1878.0929065198989</v>
      </c>
      <c r="AH20" s="100">
        <v>2.697747764925877</v>
      </c>
      <c r="AI20" s="100">
        <v>773.71405898074158</v>
      </c>
      <c r="AJ20" s="100">
        <v>11</v>
      </c>
      <c r="AK20" s="100">
        <v>3154.8</v>
      </c>
      <c r="AL20" s="100">
        <v>9.7626835198565054</v>
      </c>
      <c r="AM20" s="100">
        <v>2799.9376334948461</v>
      </c>
      <c r="AN20" s="100">
        <v>3.9402363748478235</v>
      </c>
      <c r="AO20" s="100">
        <v>1130.0597923063558</v>
      </c>
      <c r="AP20" s="100">
        <v>6.092931687779723</v>
      </c>
      <c r="AQ20" s="100">
        <v>1747.4528080552248</v>
      </c>
      <c r="AR20" s="100">
        <v>4.5424682876430076</v>
      </c>
      <c r="AS20" s="100">
        <v>1302.7799048960146</v>
      </c>
      <c r="AT20" s="100">
        <v>5.1078509371406812E-4</v>
      </c>
      <c r="AU20" s="100">
        <v>0.14649316487719474</v>
      </c>
      <c r="AV20" s="100">
        <v>7</v>
      </c>
      <c r="AW20" s="100">
        <v>2007.6000000000001</v>
      </c>
      <c r="AX20" s="100">
        <v>3.5850924377127331</v>
      </c>
      <c r="AY20" s="100">
        <v>1028.2045111360119</v>
      </c>
      <c r="AZ20" s="100">
        <v>8.555750650776762</v>
      </c>
      <c r="BA20" s="100">
        <v>2453.7892866427756</v>
      </c>
      <c r="BB20" s="100">
        <v>1.7858809610592594</v>
      </c>
      <c r="BC20" s="100">
        <v>512.1906596317956</v>
      </c>
      <c r="BD20" s="100">
        <v>9.2393898147853086</v>
      </c>
      <c r="BE20" s="100">
        <v>2649.8569988804265</v>
      </c>
      <c r="BF20" s="100">
        <v>1.4456117997867604</v>
      </c>
      <c r="BG20" s="100">
        <v>414.60146417884289</v>
      </c>
      <c r="BH20" s="100">
        <v>2.0157367269162099</v>
      </c>
      <c r="BI20" s="100">
        <v>578.11329327956901</v>
      </c>
      <c r="BJ20" s="100">
        <v>9.542916848874599</v>
      </c>
      <c r="BK20" s="100">
        <v>2736.908552257235</v>
      </c>
      <c r="BL20" s="100">
        <v>7</v>
      </c>
      <c r="BM20" s="100">
        <v>2007.6000000000001</v>
      </c>
      <c r="BN20" s="100">
        <v>4.3142109047749893</v>
      </c>
      <c r="BO20" s="100">
        <v>1237.3156874894669</v>
      </c>
      <c r="BP20" s="100">
        <v>7</v>
      </c>
      <c r="BQ20" s="100">
        <v>2007.6000000000001</v>
      </c>
      <c r="BR20" s="100">
        <v>4.144688552109435</v>
      </c>
      <c r="BS20" s="100">
        <v>1188.696676744986</v>
      </c>
      <c r="BT20" s="100">
        <v>6</v>
      </c>
      <c r="BU20" s="100">
        <v>1720.8000000000002</v>
      </c>
      <c r="BV20" s="100">
        <v>2.9417055358772375</v>
      </c>
      <c r="BW20" s="100">
        <v>843.68114768959174</v>
      </c>
      <c r="BX20" s="100">
        <v>9.6776841487148886</v>
      </c>
      <c r="BY20" s="100">
        <v>2775.5598138514301</v>
      </c>
      <c r="BZ20" s="100">
        <v>8</v>
      </c>
      <c r="CA20" s="100">
        <v>2294.4</v>
      </c>
      <c r="CB20" s="100">
        <v>3.0816691226904589</v>
      </c>
      <c r="CC20" s="100">
        <v>883.82270438762362</v>
      </c>
      <c r="CD20" s="100">
        <v>7.1867462261576511</v>
      </c>
      <c r="CE20" s="100">
        <v>2061.1588176620144</v>
      </c>
      <c r="CF20" s="100">
        <v>7.2783668661731493</v>
      </c>
      <c r="CG20" s="100">
        <v>2087.4356172184594</v>
      </c>
      <c r="CH20" s="100">
        <v>9.6246880518727096</v>
      </c>
      <c r="CI20" s="100">
        <v>2760.3605332770931</v>
      </c>
      <c r="CJ20" s="100">
        <v>11</v>
      </c>
      <c r="CK20" s="100">
        <v>3154.8</v>
      </c>
      <c r="CL20" s="100">
        <v>7</v>
      </c>
      <c r="CM20" s="100">
        <v>2007.6000000000001</v>
      </c>
      <c r="CN20" s="100">
        <v>0.64387082627861891</v>
      </c>
      <c r="CO20" s="100">
        <v>184.66215297670792</v>
      </c>
      <c r="CP20" s="100">
        <v>8.0569568580643196</v>
      </c>
      <c r="CQ20" s="100">
        <v>2310.7352268928471</v>
      </c>
      <c r="CR20" s="100">
        <v>2.0464979978020903</v>
      </c>
      <c r="CS20" s="100">
        <v>586.9356257696395</v>
      </c>
      <c r="CT20" s="100">
        <v>1.7541083759846139</v>
      </c>
      <c r="CU20" s="100">
        <v>503.07828223238727</v>
      </c>
    </row>
    <row r="21" spans="2:99">
      <c r="C21" s="99" t="s">
        <v>187</v>
      </c>
      <c r="D21" s="100">
        <v>11</v>
      </c>
      <c r="E21" s="100">
        <v>686.4</v>
      </c>
      <c r="F21" s="100">
        <v>9</v>
      </c>
      <c r="G21" s="100">
        <v>561.6</v>
      </c>
      <c r="H21" s="100">
        <v>8</v>
      </c>
      <c r="I21" s="100">
        <v>499.2</v>
      </c>
      <c r="J21" s="100">
        <v>7</v>
      </c>
      <c r="K21" s="100">
        <v>436.8</v>
      </c>
      <c r="L21" s="100">
        <v>4.7557818809431422</v>
      </c>
      <c r="M21" s="100">
        <v>296.76078937085208</v>
      </c>
      <c r="N21" s="100">
        <v>9.1389053619863017</v>
      </c>
      <c r="O21" s="100">
        <v>570.26769458794524</v>
      </c>
      <c r="P21" s="100">
        <v>6.064775268953337</v>
      </c>
      <c r="Q21" s="100">
        <v>378.44197678268824</v>
      </c>
      <c r="R21" s="100">
        <v>7</v>
      </c>
      <c r="S21" s="100">
        <v>436.8</v>
      </c>
      <c r="T21" s="100">
        <v>10</v>
      </c>
      <c r="U21" s="100">
        <v>624</v>
      </c>
      <c r="V21" s="100">
        <v>8</v>
      </c>
      <c r="W21" s="100">
        <v>499.2</v>
      </c>
      <c r="X21" s="100">
        <v>0.22610719357945422</v>
      </c>
      <c r="Y21" s="100">
        <v>14.109088879357943</v>
      </c>
      <c r="Z21" s="100">
        <v>9</v>
      </c>
      <c r="AA21" s="100">
        <v>561.6</v>
      </c>
      <c r="AB21" s="100">
        <v>12</v>
      </c>
      <c r="AC21" s="100">
        <v>748.8</v>
      </c>
      <c r="AD21" s="100">
        <v>6.4060480452130228</v>
      </c>
      <c r="AE21" s="100">
        <v>399.73739802129262</v>
      </c>
      <c r="AF21" s="100">
        <v>5.6129495114163142</v>
      </c>
      <c r="AG21" s="100">
        <v>350.24804951237797</v>
      </c>
      <c r="AH21" s="100">
        <v>2.697747764925877</v>
      </c>
      <c r="AI21" s="100">
        <v>168.33946053137473</v>
      </c>
      <c r="AJ21" s="100">
        <v>10</v>
      </c>
      <c r="AK21" s="100">
        <v>624</v>
      </c>
      <c r="AL21" s="100">
        <v>9.7626835198565054</v>
      </c>
      <c r="AM21" s="100">
        <v>609.19145163904591</v>
      </c>
      <c r="AN21" s="100">
        <v>4.5969424373224603</v>
      </c>
      <c r="AO21" s="100">
        <v>286.8492080889215</v>
      </c>
      <c r="AP21" s="100">
        <v>6.092931687779723</v>
      </c>
      <c r="AQ21" s="100">
        <v>380.19893731745469</v>
      </c>
      <c r="AR21" s="100">
        <v>5.2849313385162162</v>
      </c>
      <c r="AS21" s="100">
        <v>329.77971552341188</v>
      </c>
      <c r="AT21" s="100">
        <v>5.1078509371406812E-4</v>
      </c>
      <c r="AU21" s="100">
        <v>3.1872989847757847E-2</v>
      </c>
      <c r="AV21" s="100">
        <v>8</v>
      </c>
      <c r="AW21" s="100">
        <v>499.2</v>
      </c>
      <c r="AX21" s="100">
        <v>3.5699754017758361</v>
      </c>
      <c r="AY21" s="100">
        <v>222.76646507081216</v>
      </c>
      <c r="AZ21" s="100">
        <v>9.555750650776762</v>
      </c>
      <c r="BA21" s="100">
        <v>596.27884060846998</v>
      </c>
      <c r="BB21" s="100">
        <v>1.991134512460242</v>
      </c>
      <c r="BC21" s="100">
        <v>124.2467935775191</v>
      </c>
      <c r="BD21" s="100">
        <v>10.394313541633473</v>
      </c>
      <c r="BE21" s="100">
        <v>648.60516499792868</v>
      </c>
      <c r="BF21" s="100">
        <v>1.4456117997867604</v>
      </c>
      <c r="BG21" s="100">
        <v>90.206176306693848</v>
      </c>
      <c r="BH21" s="100">
        <v>2.2126527053092722</v>
      </c>
      <c r="BI21" s="100">
        <v>138.06952881129857</v>
      </c>
      <c r="BJ21" s="100">
        <v>9.8000696570203658</v>
      </c>
      <c r="BK21" s="100">
        <v>611.52434659807079</v>
      </c>
      <c r="BL21" s="100">
        <v>7</v>
      </c>
      <c r="BM21" s="100">
        <v>436.8</v>
      </c>
      <c r="BN21" s="100">
        <v>4.8534872678718628</v>
      </c>
      <c r="BO21" s="100">
        <v>302.85760551520423</v>
      </c>
      <c r="BP21" s="100">
        <v>7</v>
      </c>
      <c r="BQ21" s="100">
        <v>436.8</v>
      </c>
      <c r="BR21" s="100">
        <v>4.144688552109435</v>
      </c>
      <c r="BS21" s="100">
        <v>258.62856565162872</v>
      </c>
      <c r="BT21" s="100">
        <v>6</v>
      </c>
      <c r="BU21" s="100">
        <v>374.4</v>
      </c>
      <c r="BV21" s="100">
        <v>3.235876089464961</v>
      </c>
      <c r="BW21" s="100">
        <v>201.91866798261356</v>
      </c>
      <c r="BX21" s="100">
        <v>8.797518730765951</v>
      </c>
      <c r="BY21" s="100">
        <v>548.96516879979538</v>
      </c>
      <c r="BZ21" s="100">
        <v>8</v>
      </c>
      <c r="CA21" s="100">
        <v>499.2</v>
      </c>
      <c r="CB21" s="100">
        <v>2.8446176517142696</v>
      </c>
      <c r="CC21" s="100">
        <v>177.50414146697042</v>
      </c>
      <c r="CD21" s="100">
        <v>8.2813017626037873</v>
      </c>
      <c r="CE21" s="100">
        <v>516.7532299864763</v>
      </c>
      <c r="CF21" s="100">
        <v>8.8626835222116096</v>
      </c>
      <c r="CG21" s="100">
        <v>553.03145178600448</v>
      </c>
      <c r="CH21" s="100">
        <v>10.53544690160518</v>
      </c>
      <c r="CI21" s="100">
        <v>657.41188666016319</v>
      </c>
      <c r="CJ21" s="100">
        <v>11</v>
      </c>
      <c r="CK21" s="100">
        <v>686.4</v>
      </c>
      <c r="CL21" s="100">
        <v>7</v>
      </c>
      <c r="CM21" s="100">
        <v>436.8</v>
      </c>
      <c r="CN21" s="100">
        <v>0.70951227686379204</v>
      </c>
      <c r="CO21" s="100">
        <v>44.273566076300625</v>
      </c>
      <c r="CP21" s="100">
        <v>8.3997830010750398</v>
      </c>
      <c r="CQ21" s="100">
        <v>524.14645926708249</v>
      </c>
      <c r="CR21" s="100">
        <v>2.0641925237013754</v>
      </c>
      <c r="CS21" s="100">
        <v>128.80561347896582</v>
      </c>
      <c r="CT21" s="100">
        <v>1.975053348064866</v>
      </c>
      <c r="CU21" s="100">
        <v>123.24332891924763</v>
      </c>
    </row>
    <row r="22" spans="2:99">
      <c r="C22" s="99" t="s">
        <v>188</v>
      </c>
      <c r="D22" s="100">
        <v>10</v>
      </c>
      <c r="E22" s="100">
        <v>1872</v>
      </c>
      <c r="F22" s="100">
        <v>8</v>
      </c>
      <c r="G22" s="100">
        <v>1497.6</v>
      </c>
      <c r="H22" s="100">
        <v>6</v>
      </c>
      <c r="I22" s="100">
        <v>1123.1999999999998</v>
      </c>
      <c r="J22" s="100">
        <v>6</v>
      </c>
      <c r="K22" s="100">
        <v>1123.1999999999998</v>
      </c>
      <c r="L22" s="100">
        <v>5.2313600690374562</v>
      </c>
      <c r="M22" s="100">
        <v>979.31060492381175</v>
      </c>
      <c r="N22" s="100">
        <v>8.3080957836239104</v>
      </c>
      <c r="O22" s="100">
        <v>1555.2755306943959</v>
      </c>
      <c r="P22" s="100">
        <v>6.064775268953337</v>
      </c>
      <c r="Q22" s="100">
        <v>1135.3259303480645</v>
      </c>
      <c r="R22" s="100">
        <v>7</v>
      </c>
      <c r="S22" s="100">
        <v>1310.3999999999999</v>
      </c>
      <c r="T22" s="100">
        <v>9</v>
      </c>
      <c r="U22" s="100">
        <v>1684.8</v>
      </c>
      <c r="V22" s="100">
        <v>8</v>
      </c>
      <c r="W22" s="100">
        <v>1497.6</v>
      </c>
      <c r="X22" s="100">
        <v>0.22610719357945422</v>
      </c>
      <c r="Y22" s="100">
        <v>42.32726663807383</v>
      </c>
      <c r="Z22" s="100">
        <v>8</v>
      </c>
      <c r="AA22" s="100">
        <v>1497.6</v>
      </c>
      <c r="AB22" s="100">
        <v>11</v>
      </c>
      <c r="AC22" s="100">
        <v>2059.1999999999998</v>
      </c>
      <c r="AD22" s="100">
        <v>7.2068040508646503</v>
      </c>
      <c r="AE22" s="100">
        <v>1349.1137183218625</v>
      </c>
      <c r="AF22" s="100">
        <v>6.5484410966523665</v>
      </c>
      <c r="AG22" s="100">
        <v>1225.868173293323</v>
      </c>
      <c r="AH22" s="100">
        <v>2.9429975617373199</v>
      </c>
      <c r="AI22" s="100">
        <v>550.92914355722621</v>
      </c>
      <c r="AJ22" s="100">
        <v>12</v>
      </c>
      <c r="AK22" s="100">
        <v>2246.3999999999996</v>
      </c>
      <c r="AL22" s="100">
        <v>8.8751668362331859</v>
      </c>
      <c r="AM22" s="100">
        <v>1661.4312317428523</v>
      </c>
      <c r="AN22" s="100">
        <v>3.9402363748478235</v>
      </c>
      <c r="AO22" s="100">
        <v>737.61224937151246</v>
      </c>
      <c r="AP22" s="100">
        <v>6.1117909199202893</v>
      </c>
      <c r="AQ22" s="100">
        <v>1144.127260209078</v>
      </c>
      <c r="AR22" s="100">
        <v>4.6009282759121826</v>
      </c>
      <c r="AS22" s="100">
        <v>861.29377325076052</v>
      </c>
      <c r="AT22" s="100">
        <v>4.3781579461205837E-4</v>
      </c>
      <c r="AU22" s="100">
        <v>8.195911675137732E-2</v>
      </c>
      <c r="AV22" s="100">
        <v>8</v>
      </c>
      <c r="AW22" s="100">
        <v>1497.6</v>
      </c>
      <c r="AX22" s="100">
        <v>3.5699754017758361</v>
      </c>
      <c r="AY22" s="100">
        <v>668.29939521243648</v>
      </c>
      <c r="AZ22" s="100">
        <v>9.555750650776762</v>
      </c>
      <c r="BA22" s="100">
        <v>1788.8365218254098</v>
      </c>
      <c r="BB22" s="100">
        <v>1.9826725977631006</v>
      </c>
      <c r="BC22" s="100">
        <v>371.1563103012524</v>
      </c>
      <c r="BD22" s="100">
        <v>10.084466087937145</v>
      </c>
      <c r="BE22" s="100">
        <v>1887.8120516618333</v>
      </c>
      <c r="BF22" s="100">
        <v>1.4456117997867604</v>
      </c>
      <c r="BG22" s="100">
        <v>270.61852892008153</v>
      </c>
      <c r="BH22" s="100">
        <v>2.2220178176699892</v>
      </c>
      <c r="BI22" s="100">
        <v>415.96173546782194</v>
      </c>
      <c r="BJ22" s="100">
        <v>8.542916848874599</v>
      </c>
      <c r="BK22" s="100">
        <v>1599.2340341093247</v>
      </c>
      <c r="BL22" s="100">
        <v>7</v>
      </c>
      <c r="BM22" s="100">
        <v>1310.3999999999999</v>
      </c>
      <c r="BN22" s="100">
        <v>4.3142109047749893</v>
      </c>
      <c r="BO22" s="100">
        <v>807.6202813738779</v>
      </c>
      <c r="BP22" s="100">
        <v>7</v>
      </c>
      <c r="BQ22" s="100">
        <v>1310.3999999999999</v>
      </c>
      <c r="BR22" s="100">
        <v>4.8982682888566043</v>
      </c>
      <c r="BS22" s="100">
        <v>916.95582367395627</v>
      </c>
      <c r="BT22" s="100">
        <v>7</v>
      </c>
      <c r="BU22" s="100">
        <v>1310.3999999999999</v>
      </c>
      <c r="BV22" s="100">
        <v>3.235876089464961</v>
      </c>
      <c r="BW22" s="100">
        <v>605.75600394784067</v>
      </c>
      <c r="BX22" s="100">
        <v>10.677684148714889</v>
      </c>
      <c r="BY22" s="100">
        <v>1998.8624726394271</v>
      </c>
      <c r="BZ22" s="100">
        <v>9</v>
      </c>
      <c r="CA22" s="100">
        <v>1684.8</v>
      </c>
      <c r="CB22" s="100">
        <v>2.8446176517142696</v>
      </c>
      <c r="CC22" s="100">
        <v>532.51242440091119</v>
      </c>
      <c r="CD22" s="100">
        <v>7.1818711030151539</v>
      </c>
      <c r="CE22" s="100">
        <v>1344.4462704844368</v>
      </c>
      <c r="CF22" s="100">
        <v>8.8626835222116096</v>
      </c>
      <c r="CG22" s="100">
        <v>1659.0943553580132</v>
      </c>
      <c r="CH22" s="100">
        <v>9.5800674767389449</v>
      </c>
      <c r="CI22" s="100">
        <v>1793.3886316455303</v>
      </c>
      <c r="CJ22" s="100">
        <v>10</v>
      </c>
      <c r="CK22" s="100">
        <v>1872</v>
      </c>
      <c r="CL22" s="100">
        <v>7</v>
      </c>
      <c r="CM22" s="100">
        <v>1310.3999999999999</v>
      </c>
      <c r="CN22" s="100">
        <v>0.7070035409491694</v>
      </c>
      <c r="CO22" s="100">
        <v>132.3510628656845</v>
      </c>
      <c r="CP22" s="100">
        <v>8.2283699295696788</v>
      </c>
      <c r="CQ22" s="100">
        <v>1540.3508508154439</v>
      </c>
      <c r="CR22" s="100">
        <v>2.0641925237013754</v>
      </c>
      <c r="CS22" s="100">
        <v>386.41684043689747</v>
      </c>
      <c r="CT22" s="100">
        <v>1.771399506936518</v>
      </c>
      <c r="CU22" s="100">
        <v>331.60598769851617</v>
      </c>
    </row>
    <row r="23" spans="2:99">
      <c r="C23" s="99" t="s">
        <v>189</v>
      </c>
      <c r="D23" s="100">
        <v>11</v>
      </c>
      <c r="E23" s="100">
        <v>3234</v>
      </c>
      <c r="F23" s="100">
        <v>9</v>
      </c>
      <c r="G23" s="100">
        <v>2646</v>
      </c>
      <c r="H23" s="100">
        <v>8</v>
      </c>
      <c r="I23" s="100">
        <v>2352</v>
      </c>
      <c r="J23" s="100">
        <v>6</v>
      </c>
      <c r="K23" s="100">
        <v>1764</v>
      </c>
      <c r="L23" s="100">
        <v>4.7557818809431422</v>
      </c>
      <c r="M23" s="100">
        <v>1398.1998729972838</v>
      </c>
      <c r="N23" s="100">
        <v>9.1389053619863017</v>
      </c>
      <c r="O23" s="100">
        <v>2686.8381764239725</v>
      </c>
      <c r="P23" s="100">
        <v>6.8228721775725045</v>
      </c>
      <c r="Q23" s="100">
        <v>2005.9244202063164</v>
      </c>
      <c r="R23" s="100">
        <v>6</v>
      </c>
      <c r="S23" s="100">
        <v>1764</v>
      </c>
      <c r="T23" s="100">
        <v>8</v>
      </c>
      <c r="U23" s="100">
        <v>2352</v>
      </c>
      <c r="V23" s="100">
        <v>8</v>
      </c>
      <c r="W23" s="100">
        <v>2352</v>
      </c>
      <c r="X23" s="100">
        <v>0.22610719357945422</v>
      </c>
      <c r="Y23" s="100">
        <v>66.475514912359543</v>
      </c>
      <c r="Z23" s="100">
        <v>9</v>
      </c>
      <c r="AA23" s="100">
        <v>2646</v>
      </c>
      <c r="AB23" s="100">
        <v>10</v>
      </c>
      <c r="AC23" s="100">
        <v>2940</v>
      </c>
      <c r="AD23" s="100">
        <v>6.4060480452130228</v>
      </c>
      <c r="AE23" s="100">
        <v>1883.3781252926287</v>
      </c>
      <c r="AF23" s="100">
        <v>6.5484410966523665</v>
      </c>
      <c r="AG23" s="100">
        <v>1925.2416824157958</v>
      </c>
      <c r="AH23" s="100">
        <v>2.697747764925877</v>
      </c>
      <c r="AI23" s="100">
        <v>793.13784288820784</v>
      </c>
      <c r="AJ23" s="100">
        <v>10</v>
      </c>
      <c r="AK23" s="100">
        <v>2940</v>
      </c>
      <c r="AL23" s="100">
        <v>9.7626835198565054</v>
      </c>
      <c r="AM23" s="100">
        <v>2870.2289548378126</v>
      </c>
      <c r="AN23" s="100">
        <v>3.9402363748478235</v>
      </c>
      <c r="AO23" s="100">
        <v>1158.4294942052602</v>
      </c>
      <c r="AP23" s="100">
        <v>5.5289006761391084</v>
      </c>
      <c r="AQ23" s="100">
        <v>1625.4967987848979</v>
      </c>
      <c r="AR23" s="100">
        <v>5.2557013443816292</v>
      </c>
      <c r="AS23" s="100">
        <v>1545.1761952481991</v>
      </c>
      <c r="AT23" s="100">
        <v>5.1078509371406812E-4</v>
      </c>
      <c r="AU23" s="100">
        <v>0.15017081755193604</v>
      </c>
      <c r="AV23" s="100">
        <v>7</v>
      </c>
      <c r="AW23" s="100">
        <v>2058</v>
      </c>
      <c r="AX23" s="100">
        <v>3.5850924377127331</v>
      </c>
      <c r="AY23" s="100">
        <v>1054.0171766875435</v>
      </c>
      <c r="AZ23" s="100">
        <v>9.555750650776762</v>
      </c>
      <c r="BA23" s="100">
        <v>2809.3906913283681</v>
      </c>
      <c r="BB23" s="100">
        <v>1.9995964271573834</v>
      </c>
      <c r="BC23" s="100">
        <v>587.88134958427077</v>
      </c>
      <c r="BD23" s="100">
        <v>9.3943135416334727</v>
      </c>
      <c r="BE23" s="100">
        <v>2761.928181240241</v>
      </c>
      <c r="BF23" s="100">
        <v>1.2046764998223003</v>
      </c>
      <c r="BG23" s="100">
        <v>354.1748909477563</v>
      </c>
      <c r="BH23" s="100">
        <v>2.0251018392769269</v>
      </c>
      <c r="BI23" s="100">
        <v>595.37994074741653</v>
      </c>
      <c r="BJ23" s="100">
        <v>8.8000696570203658</v>
      </c>
      <c r="BK23" s="100">
        <v>2587.2204791639874</v>
      </c>
      <c r="BL23" s="100">
        <v>7</v>
      </c>
      <c r="BM23" s="100">
        <v>2058</v>
      </c>
      <c r="BN23" s="100">
        <v>3.7749345416781157</v>
      </c>
      <c r="BO23" s="100">
        <v>1109.8307552533661</v>
      </c>
      <c r="BP23" s="100">
        <v>6</v>
      </c>
      <c r="BQ23" s="100">
        <v>1764</v>
      </c>
      <c r="BR23" s="100">
        <v>4.5214784204830201</v>
      </c>
      <c r="BS23" s="100">
        <v>1329.3146556220079</v>
      </c>
      <c r="BT23" s="100">
        <v>6</v>
      </c>
      <c r="BU23" s="100">
        <v>1764</v>
      </c>
      <c r="BV23" s="100">
        <v>3.235876089464961</v>
      </c>
      <c r="BW23" s="100">
        <v>951.3475703026985</v>
      </c>
      <c r="BX23" s="100">
        <v>9.9173533128170135</v>
      </c>
      <c r="BY23" s="100">
        <v>2915.7018739682021</v>
      </c>
      <c r="BZ23" s="100">
        <v>7</v>
      </c>
      <c r="CA23" s="100">
        <v>2058</v>
      </c>
      <c r="CB23" s="100">
        <v>2.8446176517142696</v>
      </c>
      <c r="CC23" s="100">
        <v>836.31758960399532</v>
      </c>
      <c r="CD23" s="100">
        <v>7.1721208567301584</v>
      </c>
      <c r="CE23" s="100">
        <v>2108.6035318786667</v>
      </c>
      <c r="CF23" s="100">
        <v>8.2038527765030338</v>
      </c>
      <c r="CG23" s="100">
        <v>2411.9327162918921</v>
      </c>
      <c r="CH23" s="100">
        <v>9.5800674767389449</v>
      </c>
      <c r="CI23" s="100">
        <v>2816.5398381612499</v>
      </c>
      <c r="CJ23" s="100">
        <v>11</v>
      </c>
      <c r="CK23" s="100">
        <v>3234</v>
      </c>
      <c r="CL23" s="100">
        <v>7</v>
      </c>
      <c r="CM23" s="100">
        <v>2058</v>
      </c>
      <c r="CN23" s="100">
        <v>0.64888829810786408</v>
      </c>
      <c r="CO23" s="100">
        <v>190.77315964371203</v>
      </c>
      <c r="CP23" s="100">
        <v>9.3997830010750398</v>
      </c>
      <c r="CQ23" s="100">
        <v>2763.5362023160619</v>
      </c>
      <c r="CR23" s="100">
        <v>2.4469503344128656</v>
      </c>
      <c r="CS23" s="100">
        <v>719.40339831738243</v>
      </c>
      <c r="CT23" s="100">
        <v>2.0009900444927222</v>
      </c>
      <c r="CU23" s="100">
        <v>588.29107308086031</v>
      </c>
    </row>
    <row r="24" spans="2:99">
      <c r="C24" s="99" t="s">
        <v>190</v>
      </c>
      <c r="D24" s="100">
        <v>11</v>
      </c>
      <c r="E24" s="100">
        <v>4039.2</v>
      </c>
      <c r="F24" s="100">
        <v>7</v>
      </c>
      <c r="G24" s="100">
        <v>2570.4</v>
      </c>
      <c r="H24" s="100">
        <v>7</v>
      </c>
      <c r="I24" s="100">
        <v>2570.4</v>
      </c>
      <c r="J24" s="100">
        <v>6</v>
      </c>
      <c r="K24" s="100">
        <v>2203.1999999999998</v>
      </c>
      <c r="L24" s="100">
        <v>4.2802036928488283</v>
      </c>
      <c r="M24" s="100">
        <v>1571.6907960140898</v>
      </c>
      <c r="N24" s="100">
        <v>8.3080957836239104</v>
      </c>
      <c r="O24" s="100">
        <v>3050.7327717466997</v>
      </c>
      <c r="P24" s="100">
        <v>5.3066783603341703</v>
      </c>
      <c r="Q24" s="100">
        <v>1948.6122939147074</v>
      </c>
      <c r="R24" s="100">
        <v>7</v>
      </c>
      <c r="S24" s="100">
        <v>2570.4</v>
      </c>
      <c r="T24" s="100">
        <v>9</v>
      </c>
      <c r="U24" s="100">
        <v>3304.7999999999997</v>
      </c>
      <c r="V24" s="100">
        <v>8</v>
      </c>
      <c r="W24" s="100">
        <v>2937.6</v>
      </c>
      <c r="X24" s="100">
        <v>0.22610719357945422</v>
      </c>
      <c r="Y24" s="100">
        <v>83.026561482375584</v>
      </c>
      <c r="Z24" s="100">
        <v>9</v>
      </c>
      <c r="AA24" s="100">
        <v>3304.7999999999997</v>
      </c>
      <c r="AB24" s="100">
        <v>11</v>
      </c>
      <c r="AC24" s="100">
        <v>4039.2</v>
      </c>
      <c r="AD24" s="100">
        <v>6.4060480452130228</v>
      </c>
      <c r="AE24" s="100">
        <v>2352.3008422022217</v>
      </c>
      <c r="AF24" s="100">
        <v>6.5484410966523665</v>
      </c>
      <c r="AG24" s="100">
        <v>2404.5875706907491</v>
      </c>
      <c r="AH24" s="100">
        <v>2.697747764925877</v>
      </c>
      <c r="AI24" s="100">
        <v>990.61297928078204</v>
      </c>
      <c r="AJ24" s="100">
        <v>10</v>
      </c>
      <c r="AK24" s="100">
        <v>3672</v>
      </c>
      <c r="AL24" s="100">
        <v>9.7626835198565054</v>
      </c>
      <c r="AM24" s="100">
        <v>3584.8573884913085</v>
      </c>
      <c r="AN24" s="100">
        <v>3.9402363748478235</v>
      </c>
      <c r="AO24" s="100">
        <v>1446.8547968441208</v>
      </c>
      <c r="AP24" s="100">
        <v>6.6569626994203368</v>
      </c>
      <c r="AQ24" s="100">
        <v>2444.4367032271475</v>
      </c>
      <c r="AR24" s="100">
        <v>5.2264713502470412</v>
      </c>
      <c r="AS24" s="100">
        <v>1919.1602798107135</v>
      </c>
      <c r="AT24" s="100">
        <v>4.3781579461205837E-4</v>
      </c>
      <c r="AU24" s="100">
        <v>0.16076595978154784</v>
      </c>
      <c r="AV24" s="100">
        <v>7</v>
      </c>
      <c r="AW24" s="100">
        <v>2570.4</v>
      </c>
      <c r="AX24" s="100">
        <v>3.5699754017758361</v>
      </c>
      <c r="AY24" s="100">
        <v>1310.8949675320869</v>
      </c>
      <c r="AZ24" s="100">
        <v>8.4143187734334202</v>
      </c>
      <c r="BA24" s="100">
        <v>3089.7378536047518</v>
      </c>
      <c r="BB24" s="100">
        <v>1.777419046362118</v>
      </c>
      <c r="BC24" s="100">
        <v>652.66827382416966</v>
      </c>
      <c r="BD24" s="100">
        <v>9.2393898147853086</v>
      </c>
      <c r="BE24" s="100">
        <v>3392.7039399891651</v>
      </c>
      <c r="BF24" s="100">
        <v>1.4456117997867604</v>
      </c>
      <c r="BG24" s="100">
        <v>530.82865288169842</v>
      </c>
      <c r="BH24" s="100">
        <v>2.2126527053092722</v>
      </c>
      <c r="BI24" s="100">
        <v>812.48607338956469</v>
      </c>
      <c r="BJ24" s="100">
        <v>8.6714932529474833</v>
      </c>
      <c r="BK24" s="100">
        <v>3184.1723224823158</v>
      </c>
      <c r="BL24" s="100">
        <v>7</v>
      </c>
      <c r="BM24" s="100">
        <v>2570.4</v>
      </c>
      <c r="BN24" s="100">
        <v>4.3142109047749893</v>
      </c>
      <c r="BO24" s="100">
        <v>1584.1782442333761</v>
      </c>
      <c r="BP24" s="100">
        <v>6</v>
      </c>
      <c r="BQ24" s="100">
        <v>2203.1999999999998</v>
      </c>
      <c r="BR24" s="100">
        <v>4.5214784204830201</v>
      </c>
      <c r="BS24" s="100">
        <v>1660.2868760013648</v>
      </c>
      <c r="BT24" s="100">
        <v>7</v>
      </c>
      <c r="BU24" s="100">
        <v>2570.4</v>
      </c>
      <c r="BV24" s="100">
        <v>3.5300466430526849</v>
      </c>
      <c r="BW24" s="100">
        <v>1296.2331273289458</v>
      </c>
      <c r="BX24" s="100">
        <v>9.797518730765951</v>
      </c>
      <c r="BY24" s="100">
        <v>3597.6488779372571</v>
      </c>
      <c r="BZ24" s="100">
        <v>8</v>
      </c>
      <c r="CA24" s="100">
        <v>2937.6</v>
      </c>
      <c r="CB24" s="100">
        <v>2.6075661807380808</v>
      </c>
      <c r="CC24" s="100">
        <v>957.49830156702319</v>
      </c>
      <c r="CD24" s="100">
        <v>7.1769959798726557</v>
      </c>
      <c r="CE24" s="100">
        <v>2635.3929238092392</v>
      </c>
      <c r="CF24" s="100">
        <v>8.2038527765030338</v>
      </c>
      <c r="CG24" s="100">
        <v>3012.4547395319141</v>
      </c>
      <c r="CH24" s="100">
        <v>9.5354469016051802</v>
      </c>
      <c r="CI24" s="100">
        <v>3501.416102269422</v>
      </c>
      <c r="CJ24" s="100">
        <v>9</v>
      </c>
      <c r="CK24" s="100">
        <v>3304.7999999999997</v>
      </c>
      <c r="CL24" s="100">
        <v>6</v>
      </c>
      <c r="CM24" s="100">
        <v>2203.1999999999998</v>
      </c>
      <c r="CN24" s="100">
        <v>0.58324684752269096</v>
      </c>
      <c r="CO24" s="100">
        <v>214.16824241033211</v>
      </c>
      <c r="CP24" s="100">
        <v>8.0569568580643196</v>
      </c>
      <c r="CQ24" s="100">
        <v>2958.5145582812179</v>
      </c>
      <c r="CR24" s="100">
        <v>2.0464979978020903</v>
      </c>
      <c r="CS24" s="100">
        <v>751.47406479292749</v>
      </c>
      <c r="CT24" s="100">
        <v>1.9923444790167701</v>
      </c>
      <c r="CU24" s="100">
        <v>731.58889269495796</v>
      </c>
    </row>
    <row r="25" spans="2:99">
      <c r="C25" s="99" t="s">
        <v>191</v>
      </c>
      <c r="D25" s="100">
        <v>11</v>
      </c>
      <c r="E25" s="100">
        <v>5834.4</v>
      </c>
      <c r="F25" s="100">
        <v>9</v>
      </c>
      <c r="G25" s="100">
        <v>4773.5999999999995</v>
      </c>
      <c r="H25" s="100">
        <v>6</v>
      </c>
      <c r="I25" s="100">
        <v>3182.3999999999996</v>
      </c>
      <c r="J25" s="100">
        <v>6</v>
      </c>
      <c r="K25" s="100">
        <v>3182.3999999999996</v>
      </c>
      <c r="L25" s="100">
        <v>4.7557818809431422</v>
      </c>
      <c r="M25" s="100">
        <v>2522.4667096522426</v>
      </c>
      <c r="N25" s="100">
        <v>7.4772862052615192</v>
      </c>
      <c r="O25" s="100">
        <v>3965.9526032707095</v>
      </c>
      <c r="P25" s="100">
        <v>5.3066783603341703</v>
      </c>
      <c r="Q25" s="100">
        <v>2814.662202321244</v>
      </c>
      <c r="R25" s="100">
        <v>6</v>
      </c>
      <c r="S25" s="100">
        <v>3182.3999999999996</v>
      </c>
      <c r="T25" s="100">
        <v>10</v>
      </c>
      <c r="U25" s="100">
        <v>5304</v>
      </c>
      <c r="V25" s="100">
        <v>7</v>
      </c>
      <c r="W25" s="100">
        <v>3712.7999999999997</v>
      </c>
      <c r="X25" s="100">
        <v>0.19380616592524647</v>
      </c>
      <c r="Y25" s="100">
        <v>102.79479040675072</v>
      </c>
      <c r="Z25" s="100">
        <v>7</v>
      </c>
      <c r="AA25" s="100">
        <v>3712.7999999999997</v>
      </c>
      <c r="AB25" s="100">
        <v>10</v>
      </c>
      <c r="AC25" s="100">
        <v>5304</v>
      </c>
      <c r="AD25" s="100">
        <v>6.4060480452130228</v>
      </c>
      <c r="AE25" s="100">
        <v>3397.7678831809872</v>
      </c>
      <c r="AF25" s="100">
        <v>6.5484410966523665</v>
      </c>
      <c r="AG25" s="100">
        <v>3473.293157664415</v>
      </c>
      <c r="AH25" s="100">
        <v>2.4524979681144337</v>
      </c>
      <c r="AI25" s="100">
        <v>1300.8049222878956</v>
      </c>
      <c r="AJ25" s="100">
        <v>11</v>
      </c>
      <c r="AK25" s="100">
        <v>5834.4</v>
      </c>
      <c r="AL25" s="100">
        <v>8.8751668362331859</v>
      </c>
      <c r="AM25" s="100">
        <v>4707.3884899380819</v>
      </c>
      <c r="AN25" s="100">
        <v>3.9402363748478235</v>
      </c>
      <c r="AO25" s="100">
        <v>2089.9013732192857</v>
      </c>
      <c r="AP25" s="100">
        <v>6.6569626994203368</v>
      </c>
      <c r="AQ25" s="100">
        <v>3530.8530157725463</v>
      </c>
      <c r="AR25" s="100">
        <v>4.6009282759121826</v>
      </c>
      <c r="AS25" s="100">
        <v>2440.3323575438217</v>
      </c>
      <c r="AT25" s="100">
        <v>5.1078509371406812E-4</v>
      </c>
      <c r="AU25" s="100">
        <v>0.27092041370594172</v>
      </c>
      <c r="AV25" s="100">
        <v>8</v>
      </c>
      <c r="AW25" s="100">
        <v>4243.2</v>
      </c>
      <c r="AX25" s="100">
        <v>2.9648657969057464</v>
      </c>
      <c r="AY25" s="100">
        <v>1572.5648186788078</v>
      </c>
      <c r="AZ25" s="100">
        <v>8.555750650776762</v>
      </c>
      <c r="BA25" s="100">
        <v>4537.9701451719948</v>
      </c>
      <c r="BB25" s="100">
        <v>1.768957131664977</v>
      </c>
      <c r="BC25" s="100">
        <v>938.25486263510379</v>
      </c>
      <c r="BD25" s="100">
        <v>9.3943135416334727</v>
      </c>
      <c r="BE25" s="100">
        <v>4982.7439024823934</v>
      </c>
      <c r="BF25" s="100">
        <v>1.4456117997867604</v>
      </c>
      <c r="BG25" s="100">
        <v>766.75249860689769</v>
      </c>
      <c r="BH25" s="100">
        <v>2.0344669516376443</v>
      </c>
      <c r="BI25" s="100">
        <v>1079.0812711486064</v>
      </c>
      <c r="BJ25" s="100">
        <v>9.8000696570203658</v>
      </c>
      <c r="BK25" s="100">
        <v>5197.9569460836019</v>
      </c>
      <c r="BL25" s="100">
        <v>6</v>
      </c>
      <c r="BM25" s="100">
        <v>3182.3999999999996</v>
      </c>
      <c r="BN25" s="100">
        <v>4.3142109047749893</v>
      </c>
      <c r="BO25" s="100">
        <v>2288.2574638926544</v>
      </c>
      <c r="BP25" s="100">
        <v>6</v>
      </c>
      <c r="BQ25" s="100">
        <v>3182.3999999999996</v>
      </c>
      <c r="BR25" s="100">
        <v>4.144688552109435</v>
      </c>
      <c r="BS25" s="100">
        <v>2198.3428080388444</v>
      </c>
      <c r="BT25" s="100">
        <v>6</v>
      </c>
      <c r="BU25" s="100">
        <v>3182.3999999999996</v>
      </c>
      <c r="BV25" s="100">
        <v>3.5300466430526849</v>
      </c>
      <c r="BW25" s="100">
        <v>1872.336739475144</v>
      </c>
      <c r="BX25" s="100">
        <v>8.6776841487148886</v>
      </c>
      <c r="BY25" s="100">
        <v>4602.6436724783771</v>
      </c>
      <c r="BZ25" s="100">
        <v>8</v>
      </c>
      <c r="CA25" s="100">
        <v>4243.2</v>
      </c>
      <c r="CB25" s="100">
        <v>2.6075661807380808</v>
      </c>
      <c r="CC25" s="100">
        <v>1383.053102263478</v>
      </c>
      <c r="CD25" s="100">
        <v>7.1769959798726557</v>
      </c>
      <c r="CE25" s="100">
        <v>3806.6786677244563</v>
      </c>
      <c r="CF25" s="100">
        <v>8.2038527765030338</v>
      </c>
      <c r="CG25" s="100">
        <v>4351.323512657209</v>
      </c>
      <c r="CH25" s="100">
        <v>9.5800674767389449</v>
      </c>
      <c r="CI25" s="100">
        <v>5081.2677896623363</v>
      </c>
      <c r="CJ25" s="100">
        <v>11</v>
      </c>
      <c r="CK25" s="100">
        <v>5834.4</v>
      </c>
      <c r="CL25" s="100">
        <v>7</v>
      </c>
      <c r="CM25" s="100">
        <v>3712.7999999999997</v>
      </c>
      <c r="CN25" s="100">
        <v>0.58073811160806832</v>
      </c>
      <c r="CO25" s="100">
        <v>308.02349439691943</v>
      </c>
      <c r="CP25" s="100">
        <v>8.2283699295696788</v>
      </c>
      <c r="CQ25" s="100">
        <v>4364.3274106437575</v>
      </c>
      <c r="CR25" s="100">
        <v>2.2378769031578356</v>
      </c>
      <c r="CS25" s="100">
        <v>1186.969909434916</v>
      </c>
      <c r="CT25" s="100">
        <v>1.7541083759846139</v>
      </c>
      <c r="CU25" s="100">
        <v>930.37908262223914</v>
      </c>
    </row>
    <row r="26" spans="2:99">
      <c r="C26" s="99" t="s">
        <v>192</v>
      </c>
      <c r="D26" s="100">
        <v>10</v>
      </c>
      <c r="E26" s="100">
        <v>4860</v>
      </c>
      <c r="F26" s="100">
        <v>8</v>
      </c>
      <c r="G26" s="100">
        <v>3888</v>
      </c>
      <c r="H26" s="100">
        <v>7</v>
      </c>
      <c r="I26" s="100">
        <v>3402</v>
      </c>
      <c r="J26" s="100">
        <v>6</v>
      </c>
      <c r="K26" s="100">
        <v>2916</v>
      </c>
      <c r="L26" s="100">
        <v>4.7557818809431422</v>
      </c>
      <c r="M26" s="100">
        <v>2311.3099941383671</v>
      </c>
      <c r="N26" s="100">
        <v>8.3080957836239104</v>
      </c>
      <c r="O26" s="100">
        <v>4037.7345508412204</v>
      </c>
      <c r="P26" s="100">
        <v>6.064775268953337</v>
      </c>
      <c r="Q26" s="100">
        <v>2947.4807807113216</v>
      </c>
      <c r="R26" s="100">
        <v>6</v>
      </c>
      <c r="S26" s="100">
        <v>2916</v>
      </c>
      <c r="T26" s="100">
        <v>9</v>
      </c>
      <c r="U26" s="100">
        <v>4374</v>
      </c>
      <c r="V26" s="100">
        <v>7</v>
      </c>
      <c r="W26" s="100">
        <v>3402</v>
      </c>
      <c r="X26" s="100">
        <v>0.22610719357945422</v>
      </c>
      <c r="Y26" s="100">
        <v>109.88809607961475</v>
      </c>
      <c r="Z26" s="100">
        <v>7</v>
      </c>
      <c r="AA26" s="100">
        <v>3402</v>
      </c>
      <c r="AB26" s="100">
        <v>10</v>
      </c>
      <c r="AC26" s="100">
        <v>4860</v>
      </c>
      <c r="AD26" s="100">
        <v>7.2068040508646503</v>
      </c>
      <c r="AE26" s="100">
        <v>3502.50676872022</v>
      </c>
      <c r="AF26" s="100">
        <v>5.6129495114163142</v>
      </c>
      <c r="AG26" s="100">
        <v>2727.8934625483289</v>
      </c>
      <c r="AH26" s="100">
        <v>2.2072481713029899</v>
      </c>
      <c r="AI26" s="100">
        <v>1072.722611253253</v>
      </c>
      <c r="AJ26" s="100">
        <v>10</v>
      </c>
      <c r="AK26" s="100">
        <v>4860</v>
      </c>
      <c r="AL26" s="100">
        <v>10.650200203479825</v>
      </c>
      <c r="AM26" s="100">
        <v>5175.997298891195</v>
      </c>
      <c r="AN26" s="100">
        <v>3.2835303123731858</v>
      </c>
      <c r="AO26" s="100">
        <v>1595.7957318133683</v>
      </c>
      <c r="AP26" s="100">
        <v>6.675821931560904</v>
      </c>
      <c r="AQ26" s="100">
        <v>3244.4494587385993</v>
      </c>
      <c r="AR26" s="100">
        <v>4.5424682876430076</v>
      </c>
      <c r="AS26" s="100">
        <v>2207.6395877945015</v>
      </c>
      <c r="AT26" s="100">
        <v>4.3781579461205837E-4</v>
      </c>
      <c r="AU26" s="100">
        <v>0.21277847618146037</v>
      </c>
      <c r="AV26" s="100">
        <v>8</v>
      </c>
      <c r="AW26" s="100">
        <v>3888</v>
      </c>
      <c r="AX26" s="100">
        <v>2.9497487609688502</v>
      </c>
      <c r="AY26" s="100">
        <v>1433.5778978308613</v>
      </c>
      <c r="AZ26" s="100">
        <v>8.555750650776762</v>
      </c>
      <c r="BA26" s="100">
        <v>4158.0948162775067</v>
      </c>
      <c r="BB26" s="100">
        <v>1.7943428757564008</v>
      </c>
      <c r="BC26" s="100">
        <v>872.05063761761085</v>
      </c>
      <c r="BD26" s="100">
        <v>10.239389814785309</v>
      </c>
      <c r="BE26" s="100">
        <v>4976.3434499856603</v>
      </c>
      <c r="BF26" s="100">
        <v>1.2046764998223003</v>
      </c>
      <c r="BG26" s="100">
        <v>585.47277891363797</v>
      </c>
      <c r="BH26" s="100">
        <v>2.0157367269162099</v>
      </c>
      <c r="BI26" s="100">
        <v>979.64804928127796</v>
      </c>
      <c r="BJ26" s="100">
        <v>8.8000696570203658</v>
      </c>
      <c r="BK26" s="100">
        <v>4276.8338533118977</v>
      </c>
      <c r="BL26" s="100">
        <v>7</v>
      </c>
      <c r="BM26" s="100">
        <v>3402</v>
      </c>
      <c r="BN26" s="100">
        <v>4.8534872678718628</v>
      </c>
      <c r="BO26" s="100">
        <v>2358.7948121857253</v>
      </c>
      <c r="BP26" s="100">
        <v>7</v>
      </c>
      <c r="BQ26" s="100">
        <v>3402</v>
      </c>
      <c r="BR26" s="100">
        <v>4.5214784204830201</v>
      </c>
      <c r="BS26" s="100">
        <v>2197.4385123547477</v>
      </c>
      <c r="BT26" s="100">
        <v>6</v>
      </c>
      <c r="BU26" s="100">
        <v>2916</v>
      </c>
      <c r="BV26" s="100">
        <v>3.5300466430526849</v>
      </c>
      <c r="BW26" s="100">
        <v>1715.602668523605</v>
      </c>
      <c r="BX26" s="100">
        <v>8.797518730765951</v>
      </c>
      <c r="BY26" s="100">
        <v>4275.5941031522525</v>
      </c>
      <c r="BZ26" s="100">
        <v>7</v>
      </c>
      <c r="CA26" s="100">
        <v>3402</v>
      </c>
      <c r="CB26" s="100">
        <v>2.8446176517142696</v>
      </c>
      <c r="CC26" s="100">
        <v>1382.484178733135</v>
      </c>
      <c r="CD26" s="100">
        <v>6.719817868093366</v>
      </c>
      <c r="CE26" s="100">
        <v>3265.8314838933757</v>
      </c>
      <c r="CF26" s="100">
        <v>8.0705251941923795</v>
      </c>
      <c r="CG26" s="100">
        <v>3922.2752443774966</v>
      </c>
      <c r="CH26" s="100">
        <v>9.5354469016051802</v>
      </c>
      <c r="CI26" s="100">
        <v>4634.2271941801173</v>
      </c>
      <c r="CJ26" s="100">
        <v>10</v>
      </c>
      <c r="CK26" s="100">
        <v>4860</v>
      </c>
      <c r="CL26" s="100">
        <v>6</v>
      </c>
      <c r="CM26" s="100">
        <v>2916</v>
      </c>
      <c r="CN26" s="100">
        <v>0.70449480503454687</v>
      </c>
      <c r="CO26" s="100">
        <v>342.3844752467898</v>
      </c>
      <c r="CP26" s="100">
        <v>8.0569568580643196</v>
      </c>
      <c r="CQ26" s="100">
        <v>3915.6810330192593</v>
      </c>
      <c r="CR26" s="100">
        <v>2.2467241661074775</v>
      </c>
      <c r="CS26" s="100">
        <v>1091.907944728234</v>
      </c>
      <c r="CT26" s="100">
        <v>2.0009900444927222</v>
      </c>
      <c r="CU26" s="100">
        <v>972.48116162346298</v>
      </c>
    </row>
    <row r="27" spans="2:99">
      <c r="C27" s="99" t="s">
        <v>193</v>
      </c>
      <c r="D27" s="100">
        <v>11</v>
      </c>
      <c r="E27" s="100">
        <v>4699.2</v>
      </c>
      <c r="F27" s="100">
        <v>9</v>
      </c>
      <c r="G27" s="100">
        <v>3844.7999999999997</v>
      </c>
      <c r="H27" s="100">
        <v>7</v>
      </c>
      <c r="I27" s="100">
        <v>2990.4</v>
      </c>
      <c r="J27" s="100">
        <v>6</v>
      </c>
      <c r="K27" s="100">
        <v>2563.1999999999998</v>
      </c>
      <c r="L27" s="100">
        <v>4.7557818809431422</v>
      </c>
      <c r="M27" s="100">
        <v>2031.6700195389103</v>
      </c>
      <c r="N27" s="100">
        <v>8.3080957836239104</v>
      </c>
      <c r="O27" s="100">
        <v>3549.2185187641344</v>
      </c>
      <c r="P27" s="100">
        <v>6.064775268953337</v>
      </c>
      <c r="Q27" s="100">
        <v>2590.8719948968655</v>
      </c>
      <c r="R27" s="100">
        <v>7</v>
      </c>
      <c r="S27" s="100">
        <v>2990.4</v>
      </c>
      <c r="T27" s="100">
        <v>10</v>
      </c>
      <c r="U27" s="100">
        <v>4272</v>
      </c>
      <c r="V27" s="100">
        <v>7</v>
      </c>
      <c r="W27" s="100">
        <v>2990.4</v>
      </c>
      <c r="X27" s="100">
        <v>0.19380616592524647</v>
      </c>
      <c r="Y27" s="100">
        <v>82.793994083265289</v>
      </c>
      <c r="Z27" s="100">
        <v>7</v>
      </c>
      <c r="AA27" s="100">
        <v>2990.4</v>
      </c>
      <c r="AB27" s="100">
        <v>10</v>
      </c>
      <c r="AC27" s="100">
        <v>4272</v>
      </c>
      <c r="AD27" s="100">
        <v>6.4060480452130228</v>
      </c>
      <c r="AE27" s="100">
        <v>2736.6637249150035</v>
      </c>
      <c r="AF27" s="100">
        <v>5.6129495114163142</v>
      </c>
      <c r="AG27" s="100">
        <v>2397.8520312770493</v>
      </c>
      <c r="AH27" s="100">
        <v>2.8999127077064992</v>
      </c>
      <c r="AI27" s="100">
        <v>1238.8427087322164</v>
      </c>
      <c r="AJ27" s="100">
        <v>10</v>
      </c>
      <c r="AK27" s="100">
        <v>4272</v>
      </c>
      <c r="AL27" s="100">
        <v>10.650200203479825</v>
      </c>
      <c r="AM27" s="100">
        <v>4549.7655269265815</v>
      </c>
      <c r="AN27" s="100">
        <v>3.9402363748478235</v>
      </c>
      <c r="AO27" s="100">
        <v>1683.2689793349903</v>
      </c>
      <c r="AP27" s="100">
        <v>5.510041443998543</v>
      </c>
      <c r="AQ27" s="100">
        <v>2353.8897048761773</v>
      </c>
      <c r="AR27" s="100">
        <v>4.5132382935084214</v>
      </c>
      <c r="AS27" s="100">
        <v>1928.0553989867976</v>
      </c>
      <c r="AT27" s="100">
        <v>4.3781579461205837E-4</v>
      </c>
      <c r="AU27" s="100">
        <v>0.18703490745827134</v>
      </c>
      <c r="AV27" s="100">
        <v>8</v>
      </c>
      <c r="AW27" s="100">
        <v>3417.6</v>
      </c>
      <c r="AX27" s="100">
        <v>2.9497487609688502</v>
      </c>
      <c r="AY27" s="100">
        <v>1260.1326706858927</v>
      </c>
      <c r="AZ27" s="100">
        <v>8.4143187734334202</v>
      </c>
      <c r="BA27" s="100">
        <v>3594.5969800107569</v>
      </c>
      <c r="BB27" s="100">
        <v>1.9742106830659596</v>
      </c>
      <c r="BC27" s="100">
        <v>843.38280380577794</v>
      </c>
      <c r="BD27" s="100">
        <v>9.2393898147853086</v>
      </c>
      <c r="BE27" s="100">
        <v>3947.0673288762837</v>
      </c>
      <c r="BF27" s="100">
        <v>1.2046764998223003</v>
      </c>
      <c r="BG27" s="100">
        <v>514.63780072408667</v>
      </c>
      <c r="BH27" s="100">
        <v>2.0063716145554924</v>
      </c>
      <c r="BI27" s="100">
        <v>857.1219537381063</v>
      </c>
      <c r="BJ27" s="100">
        <v>8.6714932529474833</v>
      </c>
      <c r="BK27" s="100">
        <v>3704.4619176591646</v>
      </c>
      <c r="BL27" s="100">
        <v>7</v>
      </c>
      <c r="BM27" s="100">
        <v>2990.4</v>
      </c>
      <c r="BN27" s="100">
        <v>4.3142109047749893</v>
      </c>
      <c r="BO27" s="100">
        <v>1843.0308985198753</v>
      </c>
      <c r="BP27" s="100">
        <v>6</v>
      </c>
      <c r="BQ27" s="100">
        <v>2563.1999999999998</v>
      </c>
      <c r="BR27" s="100">
        <v>4.144688552109435</v>
      </c>
      <c r="BS27" s="100">
        <v>1770.6109494611505</v>
      </c>
      <c r="BT27" s="100">
        <v>6</v>
      </c>
      <c r="BU27" s="100">
        <v>2563.1999999999998</v>
      </c>
      <c r="BV27" s="100">
        <v>2.9417055358772375</v>
      </c>
      <c r="BW27" s="100">
        <v>1256.6966049267558</v>
      </c>
      <c r="BX27" s="100">
        <v>8.797518730765951</v>
      </c>
      <c r="BY27" s="100">
        <v>3758.3000017832142</v>
      </c>
      <c r="BZ27" s="100">
        <v>8</v>
      </c>
      <c r="CA27" s="100">
        <v>3417.6</v>
      </c>
      <c r="CB27" s="100">
        <v>2.8446176517142696</v>
      </c>
      <c r="CC27" s="100">
        <v>1215.2206608123358</v>
      </c>
      <c r="CD27" s="100">
        <v>7.1769959798726557</v>
      </c>
      <c r="CE27" s="100">
        <v>3066.0126826015985</v>
      </c>
      <c r="CF27" s="100">
        <v>8.3371803588136917</v>
      </c>
      <c r="CG27" s="100">
        <v>3561.643449285209</v>
      </c>
      <c r="CH27" s="100">
        <v>9.5354469016051802</v>
      </c>
      <c r="CI27" s="100">
        <v>4073.5429163657327</v>
      </c>
      <c r="CJ27" s="100">
        <v>11</v>
      </c>
      <c r="CK27" s="100">
        <v>4699.2</v>
      </c>
      <c r="CL27" s="100">
        <v>6</v>
      </c>
      <c r="CM27" s="100">
        <v>2563.1999999999998</v>
      </c>
      <c r="CN27" s="100">
        <v>0.64637956219324144</v>
      </c>
      <c r="CO27" s="100">
        <v>276.13334896895276</v>
      </c>
      <c r="CP27" s="100">
        <v>8.0569568580643196</v>
      </c>
      <c r="CQ27" s="100">
        <v>3441.9319697650772</v>
      </c>
      <c r="CR27" s="100">
        <v>2.0641925237013754</v>
      </c>
      <c r="CS27" s="100">
        <v>881.82304612522751</v>
      </c>
      <c r="CT27" s="100">
        <v>1.7454628105086618</v>
      </c>
      <c r="CU27" s="100">
        <v>745.66171264930028</v>
      </c>
    </row>
    <row r="28" spans="2:99">
      <c r="C28" s="99" t="s">
        <v>194</v>
      </c>
      <c r="D28" s="100">
        <v>10</v>
      </c>
      <c r="E28" s="100">
        <v>7380</v>
      </c>
      <c r="F28" s="100">
        <v>9</v>
      </c>
      <c r="G28" s="100">
        <v>6642</v>
      </c>
      <c r="H28" s="100">
        <v>7</v>
      </c>
      <c r="I28" s="100">
        <v>5166</v>
      </c>
      <c r="J28" s="100">
        <v>6</v>
      </c>
      <c r="K28" s="100">
        <v>4428</v>
      </c>
      <c r="L28" s="100">
        <v>4.2802036928488283</v>
      </c>
      <c r="M28" s="100">
        <v>3158.7903253224354</v>
      </c>
      <c r="N28" s="100">
        <v>7.4772862052615192</v>
      </c>
      <c r="O28" s="100">
        <v>5518.2372194830014</v>
      </c>
      <c r="P28" s="100">
        <v>6.064775268953337</v>
      </c>
      <c r="Q28" s="100">
        <v>4475.804148487563</v>
      </c>
      <c r="R28" s="100">
        <v>7</v>
      </c>
      <c r="S28" s="100">
        <v>5166</v>
      </c>
      <c r="T28" s="100">
        <v>9</v>
      </c>
      <c r="U28" s="100">
        <v>6642</v>
      </c>
      <c r="V28" s="100">
        <v>8</v>
      </c>
      <c r="W28" s="100">
        <v>5904</v>
      </c>
      <c r="X28" s="100">
        <v>0.22610719357945422</v>
      </c>
      <c r="Y28" s="100">
        <v>166.86710886163721</v>
      </c>
      <c r="Z28" s="100">
        <v>8</v>
      </c>
      <c r="AA28" s="100">
        <v>5904</v>
      </c>
      <c r="AB28" s="100">
        <v>10</v>
      </c>
      <c r="AC28" s="100">
        <v>7380</v>
      </c>
      <c r="AD28" s="100">
        <v>5.6052920395613954</v>
      </c>
      <c r="AE28" s="100">
        <v>4136.7055251963102</v>
      </c>
      <c r="AF28" s="100">
        <v>5.6129495114163142</v>
      </c>
      <c r="AG28" s="100">
        <v>4142.3567394252395</v>
      </c>
      <c r="AH28" s="100">
        <v>2.4524979681144337</v>
      </c>
      <c r="AI28" s="100">
        <v>1809.9435004684519</v>
      </c>
      <c r="AJ28" s="100">
        <v>12</v>
      </c>
      <c r="AK28" s="100">
        <v>8856</v>
      </c>
      <c r="AL28" s="100">
        <v>9.7626835198565054</v>
      </c>
      <c r="AM28" s="100">
        <v>7204.8604376541007</v>
      </c>
      <c r="AN28" s="100">
        <v>3.9402363748478235</v>
      </c>
      <c r="AO28" s="100">
        <v>2907.8944446376936</v>
      </c>
      <c r="AP28" s="100">
        <v>6.6569626994203368</v>
      </c>
      <c r="AQ28" s="100">
        <v>4912.8384721722086</v>
      </c>
      <c r="AR28" s="100">
        <v>4.5132382935084214</v>
      </c>
      <c r="AS28" s="100">
        <v>3330.7698606092149</v>
      </c>
      <c r="AT28" s="100">
        <v>4.3781579461205837E-4</v>
      </c>
      <c r="AU28" s="100">
        <v>0.32310805642369905</v>
      </c>
      <c r="AV28" s="100">
        <v>7</v>
      </c>
      <c r="AW28" s="100">
        <v>5166</v>
      </c>
      <c r="AX28" s="100">
        <v>3.5548583658389399</v>
      </c>
      <c r="AY28" s="100">
        <v>2623.4854739891375</v>
      </c>
      <c r="AZ28" s="100">
        <v>8.2728868960900783</v>
      </c>
      <c r="BA28" s="100">
        <v>6105.390529314478</v>
      </c>
      <c r="BB28" s="100">
        <v>1.991134512460242</v>
      </c>
      <c r="BC28" s="100">
        <v>1469.4572701956586</v>
      </c>
      <c r="BD28" s="100">
        <v>10.239389814785309</v>
      </c>
      <c r="BE28" s="100">
        <v>7556.6696833115575</v>
      </c>
      <c r="BF28" s="100">
        <v>1.4456117997867604</v>
      </c>
      <c r="BG28" s="100">
        <v>1066.861508242629</v>
      </c>
      <c r="BH28" s="100">
        <v>1.8281858608838648</v>
      </c>
      <c r="BI28" s="100">
        <v>1349.2011653322922</v>
      </c>
      <c r="BJ28" s="100">
        <v>8.6714932529474833</v>
      </c>
      <c r="BK28" s="100">
        <v>6399.5620206752428</v>
      </c>
      <c r="BL28" s="100">
        <v>7</v>
      </c>
      <c r="BM28" s="100">
        <v>5166</v>
      </c>
      <c r="BN28" s="100">
        <v>4.3142109047749893</v>
      </c>
      <c r="BO28" s="100">
        <v>3183.8876477239419</v>
      </c>
      <c r="BP28" s="100">
        <v>6</v>
      </c>
      <c r="BQ28" s="100">
        <v>4428</v>
      </c>
      <c r="BR28" s="100">
        <v>4.5214784204830201</v>
      </c>
      <c r="BS28" s="100">
        <v>3336.8510743164688</v>
      </c>
      <c r="BT28" s="100">
        <v>6</v>
      </c>
      <c r="BU28" s="100">
        <v>4428</v>
      </c>
      <c r="BV28" s="100">
        <v>3.235876089464961</v>
      </c>
      <c r="BW28" s="100">
        <v>2388.0765540251414</v>
      </c>
      <c r="BX28" s="100">
        <v>9.9173533128170135</v>
      </c>
      <c r="BY28" s="100">
        <v>7319.0067448589562</v>
      </c>
      <c r="BZ28" s="100">
        <v>7</v>
      </c>
      <c r="CA28" s="100">
        <v>5166</v>
      </c>
      <c r="CB28" s="100">
        <v>2.8446176517142696</v>
      </c>
      <c r="CC28" s="100">
        <v>2099.327826965131</v>
      </c>
      <c r="CD28" s="100">
        <v>7.7169610633819765</v>
      </c>
      <c r="CE28" s="100">
        <v>5695.1172647758985</v>
      </c>
      <c r="CF28" s="100">
        <v>8.0705251941923795</v>
      </c>
      <c r="CG28" s="100">
        <v>5956.047593313976</v>
      </c>
      <c r="CH28" s="100">
        <v>9.5800674767389449</v>
      </c>
      <c r="CI28" s="100">
        <v>7070.0897978333414</v>
      </c>
      <c r="CJ28" s="100">
        <v>10</v>
      </c>
      <c r="CK28" s="100">
        <v>7380</v>
      </c>
      <c r="CL28" s="100">
        <v>6</v>
      </c>
      <c r="CM28" s="100">
        <v>4428</v>
      </c>
      <c r="CN28" s="100">
        <v>0.64136209036399616</v>
      </c>
      <c r="CO28" s="100">
        <v>473.32522268862914</v>
      </c>
      <c r="CP28" s="100">
        <v>8.3997830010750398</v>
      </c>
      <c r="CQ28" s="100">
        <v>6199.0398547933792</v>
      </c>
      <c r="CR28" s="100">
        <v>2.0464979978020903</v>
      </c>
      <c r="CS28" s="100">
        <v>1510.3155223779427</v>
      </c>
      <c r="CT28" s="100">
        <v>2.0009900444927222</v>
      </c>
      <c r="CU28" s="100">
        <v>1476.7306528356289</v>
      </c>
    </row>
    <row r="29" spans="2:99">
      <c r="C29" s="99" t="s">
        <v>195</v>
      </c>
      <c r="D29" s="100">
        <v>11</v>
      </c>
      <c r="E29" s="100">
        <v>3722.3999999999996</v>
      </c>
      <c r="F29" s="100">
        <v>8</v>
      </c>
      <c r="G29" s="100">
        <v>2707.2</v>
      </c>
      <c r="H29" s="100">
        <v>7</v>
      </c>
      <c r="I29" s="100">
        <v>2368.7999999999997</v>
      </c>
      <c r="J29" s="100">
        <v>6</v>
      </c>
      <c r="K29" s="100">
        <v>2030.3999999999999</v>
      </c>
      <c r="L29" s="100">
        <v>4.2802036928488283</v>
      </c>
      <c r="M29" s="100">
        <v>1448.4209296600434</v>
      </c>
      <c r="N29" s="100">
        <v>9.1389053619863017</v>
      </c>
      <c r="O29" s="100">
        <v>3092.6055744961641</v>
      </c>
      <c r="P29" s="100">
        <v>6.064775268953337</v>
      </c>
      <c r="Q29" s="100">
        <v>2052.3199510138093</v>
      </c>
      <c r="R29" s="100">
        <v>6</v>
      </c>
      <c r="S29" s="100">
        <v>2030.3999999999999</v>
      </c>
      <c r="T29" s="100">
        <v>9</v>
      </c>
      <c r="U29" s="100">
        <v>3045.6</v>
      </c>
      <c r="V29" s="100">
        <v>7</v>
      </c>
      <c r="W29" s="100">
        <v>2368.7999999999997</v>
      </c>
      <c r="X29" s="100">
        <v>0.22610719357945422</v>
      </c>
      <c r="Y29" s="100">
        <v>76.514674307287308</v>
      </c>
      <c r="Z29" s="100">
        <v>8</v>
      </c>
      <c r="AA29" s="100">
        <v>2707.2</v>
      </c>
      <c r="AB29" s="100">
        <v>11</v>
      </c>
      <c r="AC29" s="100">
        <v>3722.3999999999996</v>
      </c>
      <c r="AD29" s="100">
        <v>6.4060480452130228</v>
      </c>
      <c r="AE29" s="100">
        <v>2167.806658500087</v>
      </c>
      <c r="AF29" s="100">
        <v>5.6129495114163142</v>
      </c>
      <c r="AG29" s="100">
        <v>1899.4221146632806</v>
      </c>
      <c r="AH29" s="100">
        <v>2.8999127077064992</v>
      </c>
      <c r="AI29" s="100">
        <v>981.3304602878793</v>
      </c>
      <c r="AJ29" s="100">
        <v>12</v>
      </c>
      <c r="AK29" s="100">
        <v>4060.7999999999997</v>
      </c>
      <c r="AL29" s="100">
        <v>10.650200203479825</v>
      </c>
      <c r="AM29" s="100">
        <v>3604.0277488575725</v>
      </c>
      <c r="AN29" s="100">
        <v>3.9402363748478235</v>
      </c>
      <c r="AO29" s="100">
        <v>1333.3759892485034</v>
      </c>
      <c r="AP29" s="100">
        <v>6.0740724556391568</v>
      </c>
      <c r="AQ29" s="100">
        <v>2055.4661189882904</v>
      </c>
      <c r="AR29" s="100">
        <v>4.5716982817775955</v>
      </c>
      <c r="AS29" s="100">
        <v>1547.0626985535382</v>
      </c>
      <c r="AT29" s="100">
        <v>5.1078509371406812E-4</v>
      </c>
      <c r="AU29" s="100">
        <v>0.17284967571284063</v>
      </c>
      <c r="AV29" s="100">
        <v>7</v>
      </c>
      <c r="AW29" s="100">
        <v>2368.7999999999997</v>
      </c>
      <c r="AX29" s="100">
        <v>3.297654671214584</v>
      </c>
      <c r="AY29" s="100">
        <v>1115.9263407390151</v>
      </c>
      <c r="AZ29" s="100">
        <v>8.555750650776762</v>
      </c>
      <c r="BA29" s="100">
        <v>2895.2660202228562</v>
      </c>
      <c r="BB29" s="100">
        <v>1.9826725977631006</v>
      </c>
      <c r="BC29" s="100">
        <v>670.93640708303315</v>
      </c>
      <c r="BD29" s="100">
        <v>10.239389814785309</v>
      </c>
      <c r="BE29" s="100">
        <v>3465.0095133233481</v>
      </c>
      <c r="BF29" s="100">
        <v>1.4456117997867604</v>
      </c>
      <c r="BG29" s="100">
        <v>489.19503304783967</v>
      </c>
      <c r="BH29" s="100">
        <v>2.0251018392769269</v>
      </c>
      <c r="BI29" s="100">
        <v>685.294462411312</v>
      </c>
      <c r="BJ29" s="100">
        <v>9.8000696570203658</v>
      </c>
      <c r="BK29" s="100">
        <v>3316.3435719356917</v>
      </c>
      <c r="BL29" s="100">
        <v>7</v>
      </c>
      <c r="BM29" s="100">
        <v>2368.7999999999997</v>
      </c>
      <c r="BN29" s="100">
        <v>3.7749345416781157</v>
      </c>
      <c r="BO29" s="100">
        <v>1277.4378489038743</v>
      </c>
      <c r="BP29" s="100">
        <v>6</v>
      </c>
      <c r="BQ29" s="100">
        <v>2030.3999999999999</v>
      </c>
      <c r="BR29" s="100">
        <v>4.144688552109435</v>
      </c>
      <c r="BS29" s="100">
        <v>1402.5626060338327</v>
      </c>
      <c r="BT29" s="100">
        <v>6</v>
      </c>
      <c r="BU29" s="100">
        <v>2030.3999999999999</v>
      </c>
      <c r="BV29" s="100">
        <v>3.235876089464961</v>
      </c>
      <c r="BW29" s="100">
        <v>1095.0204686749428</v>
      </c>
      <c r="BX29" s="100">
        <v>8.6776841487148886</v>
      </c>
      <c r="BY29" s="100">
        <v>2936.528315925118</v>
      </c>
      <c r="BZ29" s="100">
        <v>7</v>
      </c>
      <c r="CA29" s="100">
        <v>2368.7999999999997</v>
      </c>
      <c r="CB29" s="100">
        <v>2.8446176517142696</v>
      </c>
      <c r="CC29" s="100">
        <v>962.61861334010882</v>
      </c>
      <c r="CD29" s="100">
        <v>7.1769959798726557</v>
      </c>
      <c r="CE29" s="100">
        <v>2428.6954395889065</v>
      </c>
      <c r="CF29" s="100">
        <v>8.8626835222116096</v>
      </c>
      <c r="CG29" s="100">
        <v>2999.1321039164086</v>
      </c>
      <c r="CH29" s="100">
        <v>9.5354469016051802</v>
      </c>
      <c r="CI29" s="100">
        <v>3226.7952315031926</v>
      </c>
      <c r="CJ29" s="100">
        <v>10</v>
      </c>
      <c r="CK29" s="100">
        <v>3384</v>
      </c>
      <c r="CL29" s="100">
        <v>7</v>
      </c>
      <c r="CM29" s="100">
        <v>2368.7999999999997</v>
      </c>
      <c r="CN29" s="100">
        <v>0.70449480503454687</v>
      </c>
      <c r="CO29" s="100">
        <v>238.40104202369065</v>
      </c>
      <c r="CP29" s="100">
        <v>8.3997830010750398</v>
      </c>
      <c r="CQ29" s="100">
        <v>2842.4865675637934</v>
      </c>
      <c r="CR29" s="100">
        <v>2.2467241661074775</v>
      </c>
      <c r="CS29" s="100">
        <v>760.29145781077034</v>
      </c>
      <c r="CT29" s="100">
        <v>2.0009900444927222</v>
      </c>
      <c r="CU29" s="100">
        <v>677.1350310563372</v>
      </c>
    </row>
    <row r="30" spans="2:99">
      <c r="C30" s="99" t="s">
        <v>196</v>
      </c>
      <c r="D30" s="100">
        <v>11</v>
      </c>
      <c r="E30" s="100">
        <v>1531.1999999999998</v>
      </c>
      <c r="F30" s="100">
        <v>9</v>
      </c>
      <c r="G30" s="100">
        <v>1252.8</v>
      </c>
      <c r="H30" s="100">
        <v>7</v>
      </c>
      <c r="I30" s="100">
        <v>974.39999999999986</v>
      </c>
      <c r="J30" s="100">
        <v>6</v>
      </c>
      <c r="K30" s="100">
        <v>835.19999999999993</v>
      </c>
      <c r="L30" s="100">
        <v>4.7557818809431422</v>
      </c>
      <c r="M30" s="100">
        <v>662.00483782728531</v>
      </c>
      <c r="N30" s="100">
        <v>9.1389053619863017</v>
      </c>
      <c r="O30" s="100">
        <v>1272.1356263884932</v>
      </c>
      <c r="P30" s="100">
        <v>6.8228721775725045</v>
      </c>
      <c r="Q30" s="100">
        <v>949.7438071180926</v>
      </c>
      <c r="R30" s="100">
        <v>7</v>
      </c>
      <c r="S30" s="100">
        <v>974.39999999999986</v>
      </c>
      <c r="T30" s="100">
        <v>10</v>
      </c>
      <c r="U30" s="100">
        <v>1392</v>
      </c>
      <c r="V30" s="100">
        <v>9</v>
      </c>
      <c r="W30" s="100">
        <v>1252.8</v>
      </c>
      <c r="X30" s="100">
        <v>0.25840822123366197</v>
      </c>
      <c r="Y30" s="100">
        <v>35.970424395725743</v>
      </c>
      <c r="Z30" s="100">
        <v>8</v>
      </c>
      <c r="AA30" s="100">
        <v>1113.5999999999999</v>
      </c>
      <c r="AB30" s="100">
        <v>11</v>
      </c>
      <c r="AC30" s="100">
        <v>1531.1999999999998</v>
      </c>
      <c r="AD30" s="100">
        <v>6.4060480452130228</v>
      </c>
      <c r="AE30" s="100">
        <v>891.72188789365271</v>
      </c>
      <c r="AF30" s="100">
        <v>6.5484410966523665</v>
      </c>
      <c r="AG30" s="100">
        <v>911.54300065400935</v>
      </c>
      <c r="AH30" s="100">
        <v>2.8999127077064992</v>
      </c>
      <c r="AI30" s="100">
        <v>403.66784891274466</v>
      </c>
      <c r="AJ30" s="100">
        <v>10</v>
      </c>
      <c r="AK30" s="100">
        <v>1392</v>
      </c>
      <c r="AL30" s="100">
        <v>10.650200203479825</v>
      </c>
      <c r="AM30" s="100">
        <v>1482.5078683243914</v>
      </c>
      <c r="AN30" s="100">
        <v>3.9402363748478235</v>
      </c>
      <c r="AO30" s="100">
        <v>548.48090337881695</v>
      </c>
      <c r="AP30" s="100">
        <v>6.0740724556391568</v>
      </c>
      <c r="AQ30" s="100">
        <v>845.5108858249705</v>
      </c>
      <c r="AR30" s="100">
        <v>4.5132382935084214</v>
      </c>
      <c r="AS30" s="100">
        <v>628.24277045637223</v>
      </c>
      <c r="AT30" s="100">
        <v>5.1078509371406812E-4</v>
      </c>
      <c r="AU30" s="100">
        <v>7.1101285044998283E-2</v>
      </c>
      <c r="AV30" s="100">
        <v>7</v>
      </c>
      <c r="AW30" s="100">
        <v>974.39999999999986</v>
      </c>
      <c r="AX30" s="100">
        <v>3.8725302042108813</v>
      </c>
      <c r="AY30" s="100">
        <v>539.05620442615464</v>
      </c>
      <c r="AZ30" s="100">
        <v>8.555750650776762</v>
      </c>
      <c r="BA30" s="100">
        <v>1190.9604905881251</v>
      </c>
      <c r="BB30" s="100">
        <v>1.9995964271573834</v>
      </c>
      <c r="BC30" s="100">
        <v>278.34382266030775</v>
      </c>
      <c r="BD30" s="100">
        <v>10.239389814785309</v>
      </c>
      <c r="BE30" s="100">
        <v>1425.323062218115</v>
      </c>
      <c r="BF30" s="100">
        <v>1.4456117997867604</v>
      </c>
      <c r="BG30" s="100">
        <v>201.22916253031701</v>
      </c>
      <c r="BH30" s="100">
        <v>2.0157367269162099</v>
      </c>
      <c r="BI30" s="100">
        <v>280.59055238673636</v>
      </c>
      <c r="BJ30" s="100">
        <v>8.6714932529474833</v>
      </c>
      <c r="BK30" s="100">
        <v>1207.0718608102895</v>
      </c>
      <c r="BL30" s="100">
        <v>7</v>
      </c>
      <c r="BM30" s="100">
        <v>974.39999999999986</v>
      </c>
      <c r="BN30" s="100">
        <v>3.7749345416781157</v>
      </c>
      <c r="BO30" s="100">
        <v>525.47088820159365</v>
      </c>
      <c r="BP30" s="100">
        <v>6</v>
      </c>
      <c r="BQ30" s="100">
        <v>835.19999999999993</v>
      </c>
      <c r="BR30" s="100">
        <v>4.5214784204830201</v>
      </c>
      <c r="BS30" s="100">
        <v>629.38979613123638</v>
      </c>
      <c r="BT30" s="100">
        <v>6</v>
      </c>
      <c r="BU30" s="100">
        <v>835.19999999999993</v>
      </c>
      <c r="BV30" s="100">
        <v>3.8242171966404084</v>
      </c>
      <c r="BW30" s="100">
        <v>532.33103377234477</v>
      </c>
      <c r="BX30" s="100">
        <v>9.9173533128170135</v>
      </c>
      <c r="BY30" s="100">
        <v>1380.4955811441282</v>
      </c>
      <c r="BZ30" s="100">
        <v>8</v>
      </c>
      <c r="CA30" s="100">
        <v>1113.5999999999999</v>
      </c>
      <c r="CB30" s="100">
        <v>2.8446176517142696</v>
      </c>
      <c r="CC30" s="100">
        <v>395.9707771186263</v>
      </c>
      <c r="CD30" s="100">
        <v>7.08445876185763</v>
      </c>
      <c r="CE30" s="100">
        <v>986.15665965058201</v>
      </c>
      <c r="CF30" s="100">
        <v>8.8626835222116096</v>
      </c>
      <c r="CG30" s="100">
        <v>1233.6855462918559</v>
      </c>
      <c r="CH30" s="100">
        <v>10.62468805187271</v>
      </c>
      <c r="CI30" s="100">
        <v>1478.956576820681</v>
      </c>
      <c r="CJ30" s="100">
        <v>10</v>
      </c>
      <c r="CK30" s="100">
        <v>1392</v>
      </c>
      <c r="CL30" s="100">
        <v>7</v>
      </c>
      <c r="CM30" s="100">
        <v>974.39999999999986</v>
      </c>
      <c r="CN30" s="100">
        <v>0.7070035409491694</v>
      </c>
      <c r="CO30" s="100">
        <v>98.414892900124372</v>
      </c>
      <c r="CP30" s="100">
        <v>9.2283699295696788</v>
      </c>
      <c r="CQ30" s="100">
        <v>1284.5890941960993</v>
      </c>
      <c r="CR30" s="100">
        <v>2.4469503344128656</v>
      </c>
      <c r="CS30" s="100">
        <v>340.61548655027087</v>
      </c>
      <c r="CT30" s="100">
        <v>1.9923444790167701</v>
      </c>
      <c r="CU30" s="100">
        <v>277.3343514791344</v>
      </c>
    </row>
    <row r="31" spans="2:99">
      <c r="C31" s="99" t="s">
        <v>197</v>
      </c>
      <c r="D31" s="100">
        <v>11</v>
      </c>
      <c r="E31" s="100">
        <v>3748.8</v>
      </c>
      <c r="F31" s="100">
        <v>9</v>
      </c>
      <c r="G31" s="100">
        <v>3067.2000000000003</v>
      </c>
      <c r="H31" s="100">
        <v>7</v>
      </c>
      <c r="I31" s="100">
        <v>2385.6</v>
      </c>
      <c r="J31" s="100">
        <v>6</v>
      </c>
      <c r="K31" s="100">
        <v>2044.8000000000002</v>
      </c>
      <c r="L31" s="100">
        <v>5.2313600690374562</v>
      </c>
      <c r="M31" s="100">
        <v>1782.847511527965</v>
      </c>
      <c r="N31" s="100">
        <v>8.3080957836239104</v>
      </c>
      <c r="O31" s="100">
        <v>2831.3990430590288</v>
      </c>
      <c r="P31" s="100">
        <v>5.3066783603341703</v>
      </c>
      <c r="Q31" s="100">
        <v>1808.5159852018853</v>
      </c>
      <c r="R31" s="100">
        <v>6</v>
      </c>
      <c r="S31" s="100">
        <v>2044.8000000000002</v>
      </c>
      <c r="T31" s="100">
        <v>9</v>
      </c>
      <c r="U31" s="100">
        <v>3067.2000000000003</v>
      </c>
      <c r="V31" s="100">
        <v>7</v>
      </c>
      <c r="W31" s="100">
        <v>2385.6</v>
      </c>
      <c r="X31" s="100">
        <v>0.25840822123366197</v>
      </c>
      <c r="Y31" s="100">
        <v>88.065521796432009</v>
      </c>
      <c r="Z31" s="100">
        <v>9</v>
      </c>
      <c r="AA31" s="100">
        <v>3067.2000000000003</v>
      </c>
      <c r="AB31" s="100">
        <v>12</v>
      </c>
      <c r="AC31" s="100">
        <v>4089.6000000000004</v>
      </c>
      <c r="AD31" s="100">
        <v>5.6052920395613954</v>
      </c>
      <c r="AE31" s="100">
        <v>1910.2835270825237</v>
      </c>
      <c r="AF31" s="100">
        <v>6.5484410966523665</v>
      </c>
      <c r="AG31" s="100">
        <v>2231.7087257391267</v>
      </c>
      <c r="AH31" s="100">
        <v>2.4524979681144337</v>
      </c>
      <c r="AI31" s="100">
        <v>835.81130753339903</v>
      </c>
      <c r="AJ31" s="100">
        <v>12</v>
      </c>
      <c r="AK31" s="100">
        <v>4089.6000000000004</v>
      </c>
      <c r="AL31" s="100">
        <v>9.7626835198565054</v>
      </c>
      <c r="AM31" s="100">
        <v>3327.1225435670972</v>
      </c>
      <c r="AN31" s="100">
        <v>3.9402363748478235</v>
      </c>
      <c r="AO31" s="100">
        <v>1342.8325565481382</v>
      </c>
      <c r="AP31" s="100">
        <v>6.092931687779723</v>
      </c>
      <c r="AQ31" s="100">
        <v>2076.4711191953297</v>
      </c>
      <c r="AR31" s="100">
        <v>4.5716982817775955</v>
      </c>
      <c r="AS31" s="100">
        <v>1558.0347744298047</v>
      </c>
      <c r="AT31" s="100">
        <v>5.1078509371406812E-4</v>
      </c>
      <c r="AU31" s="100">
        <v>0.17407555993775442</v>
      </c>
      <c r="AV31" s="100">
        <v>7</v>
      </c>
      <c r="AW31" s="100">
        <v>2385.6</v>
      </c>
      <c r="AX31" s="100">
        <v>3.5850924377127331</v>
      </c>
      <c r="AY31" s="100">
        <v>1221.7995027724994</v>
      </c>
      <c r="AZ31" s="100">
        <v>8.555750650776762</v>
      </c>
      <c r="BA31" s="100">
        <v>2915.7998217847207</v>
      </c>
      <c r="BB31" s="100">
        <v>1.9742106830659596</v>
      </c>
      <c r="BC31" s="100">
        <v>672.81100078887903</v>
      </c>
      <c r="BD31" s="100">
        <v>9.0844660879371446</v>
      </c>
      <c r="BE31" s="100">
        <v>3095.9860427689791</v>
      </c>
      <c r="BF31" s="100">
        <v>1.4456117997867604</v>
      </c>
      <c r="BG31" s="100">
        <v>492.66450136732794</v>
      </c>
      <c r="BH31" s="100">
        <v>2.0157367269162099</v>
      </c>
      <c r="BI31" s="100">
        <v>686.96307653304439</v>
      </c>
      <c r="BJ31" s="100">
        <v>9.6714932529474833</v>
      </c>
      <c r="BK31" s="100">
        <v>3296.0449006045023</v>
      </c>
      <c r="BL31" s="100">
        <v>7</v>
      </c>
      <c r="BM31" s="100">
        <v>2385.6</v>
      </c>
      <c r="BN31" s="100">
        <v>4.3142109047749893</v>
      </c>
      <c r="BO31" s="100">
        <v>1470.2830763473164</v>
      </c>
      <c r="BP31" s="100">
        <v>6</v>
      </c>
      <c r="BQ31" s="100">
        <v>2044.8000000000002</v>
      </c>
      <c r="BR31" s="100">
        <v>3.7678986837358495</v>
      </c>
      <c r="BS31" s="100">
        <v>1284.0998714171776</v>
      </c>
      <c r="BT31" s="100">
        <v>7</v>
      </c>
      <c r="BU31" s="100">
        <v>2385.6</v>
      </c>
      <c r="BV31" s="100">
        <v>2.9417055358772375</v>
      </c>
      <c r="BW31" s="100">
        <v>1002.5332466269625</v>
      </c>
      <c r="BX31" s="100">
        <v>10.797518730765951</v>
      </c>
      <c r="BY31" s="100">
        <v>3679.7943834450361</v>
      </c>
      <c r="BZ31" s="100">
        <v>7</v>
      </c>
      <c r="CA31" s="100">
        <v>2385.6</v>
      </c>
      <c r="CB31" s="100">
        <v>2.6075661807380808</v>
      </c>
      <c r="CC31" s="100">
        <v>888.65855439553798</v>
      </c>
      <c r="CD31" s="100">
        <v>7.2744083210301813</v>
      </c>
      <c r="CE31" s="100">
        <v>2479.1183558070857</v>
      </c>
      <c r="CF31" s="100">
        <v>8.2038527765030338</v>
      </c>
      <c r="CG31" s="100">
        <v>2795.8730262322342</v>
      </c>
      <c r="CH31" s="100">
        <v>8.5800674767389449</v>
      </c>
      <c r="CI31" s="100">
        <v>2924.0869960726327</v>
      </c>
      <c r="CJ31" s="100">
        <v>11</v>
      </c>
      <c r="CK31" s="100">
        <v>3748.8</v>
      </c>
      <c r="CL31" s="100">
        <v>8</v>
      </c>
      <c r="CM31" s="100">
        <v>2726.4</v>
      </c>
      <c r="CN31" s="100">
        <v>0.64387082627861891</v>
      </c>
      <c r="CO31" s="100">
        <v>219.43117759575333</v>
      </c>
      <c r="CP31" s="100">
        <v>9.0569568580643196</v>
      </c>
      <c r="CQ31" s="100">
        <v>3086.61089722832</v>
      </c>
      <c r="CR31" s="100">
        <v>2.2555714290571207</v>
      </c>
      <c r="CS31" s="100">
        <v>768.6987430226668</v>
      </c>
      <c r="CT31" s="100">
        <v>1.762753941460566</v>
      </c>
      <c r="CU31" s="100">
        <v>600.74654324976086</v>
      </c>
    </row>
    <row r="32" spans="2:99">
      <c r="C32" s="99" t="s">
        <v>198</v>
      </c>
      <c r="D32" s="100">
        <v>9</v>
      </c>
      <c r="E32" s="100">
        <v>7560</v>
      </c>
      <c r="F32" s="100">
        <v>8</v>
      </c>
      <c r="G32" s="100">
        <v>6720</v>
      </c>
      <c r="H32" s="100">
        <v>7</v>
      </c>
      <c r="I32" s="100">
        <v>5880</v>
      </c>
      <c r="J32" s="100">
        <v>6</v>
      </c>
      <c r="K32" s="100">
        <v>5040</v>
      </c>
      <c r="L32" s="100">
        <v>4.2802036928488283</v>
      </c>
      <c r="M32" s="100">
        <v>3595.3711019930156</v>
      </c>
      <c r="N32" s="100">
        <v>8.3080957836239104</v>
      </c>
      <c r="O32" s="100">
        <v>6978.8004582440844</v>
      </c>
      <c r="P32" s="100">
        <v>6.064775268953337</v>
      </c>
      <c r="Q32" s="100">
        <v>5094.4112259208032</v>
      </c>
      <c r="R32" s="100">
        <v>6</v>
      </c>
      <c r="S32" s="100">
        <v>5040</v>
      </c>
      <c r="T32" s="100">
        <v>8</v>
      </c>
      <c r="U32" s="100">
        <v>6720</v>
      </c>
      <c r="V32" s="100">
        <v>7</v>
      </c>
      <c r="W32" s="100">
        <v>5880</v>
      </c>
      <c r="X32" s="100">
        <v>0.22610719357945422</v>
      </c>
      <c r="Y32" s="100">
        <v>189.93004260674155</v>
      </c>
      <c r="Z32" s="100">
        <v>7</v>
      </c>
      <c r="AA32" s="100">
        <v>5880</v>
      </c>
      <c r="AB32" s="100">
        <v>10</v>
      </c>
      <c r="AC32" s="100">
        <v>8400</v>
      </c>
      <c r="AD32" s="100">
        <v>5.6052920395613954</v>
      </c>
      <c r="AE32" s="100">
        <v>4708.4453132315721</v>
      </c>
      <c r="AF32" s="100">
        <v>5.6129495114163142</v>
      </c>
      <c r="AG32" s="100">
        <v>4714.8775895897043</v>
      </c>
      <c r="AH32" s="100">
        <v>2.4524979681144337</v>
      </c>
      <c r="AI32" s="100">
        <v>2060.0982932161241</v>
      </c>
      <c r="AJ32" s="100">
        <v>10</v>
      </c>
      <c r="AK32" s="100">
        <v>8400</v>
      </c>
      <c r="AL32" s="100">
        <v>10.650200203479825</v>
      </c>
      <c r="AM32" s="100">
        <v>8946.1681709230525</v>
      </c>
      <c r="AN32" s="100">
        <v>3.9402363748478235</v>
      </c>
      <c r="AO32" s="100">
        <v>3309.7985548721717</v>
      </c>
      <c r="AP32" s="100">
        <v>6.0552132234985923</v>
      </c>
      <c r="AQ32" s="100">
        <v>5086.3791077388178</v>
      </c>
      <c r="AR32" s="100">
        <v>3.8584652250389739</v>
      </c>
      <c r="AS32" s="100">
        <v>3241.110789032738</v>
      </c>
      <c r="AT32" s="100">
        <v>4.3781579461205837E-4</v>
      </c>
      <c r="AU32" s="100">
        <v>0.36776526747412902</v>
      </c>
      <c r="AV32" s="100">
        <v>6</v>
      </c>
      <c r="AW32" s="100">
        <v>5040</v>
      </c>
      <c r="AX32" s="100">
        <v>3.2523035634038955</v>
      </c>
      <c r="AY32" s="100">
        <v>2731.9349932592722</v>
      </c>
      <c r="AZ32" s="100">
        <v>7.5557506507767629</v>
      </c>
      <c r="BA32" s="100">
        <v>6346.8305466524807</v>
      </c>
      <c r="BB32" s="100">
        <v>1.768957131664977</v>
      </c>
      <c r="BC32" s="100">
        <v>1485.9239905985808</v>
      </c>
      <c r="BD32" s="100">
        <v>10.239389814785309</v>
      </c>
      <c r="BE32" s="100">
        <v>8601.0874444196597</v>
      </c>
      <c r="BF32" s="100">
        <v>1.4456117997867604</v>
      </c>
      <c r="BG32" s="100">
        <v>1214.3139118208787</v>
      </c>
      <c r="BH32" s="100">
        <v>1.8000905238017131</v>
      </c>
      <c r="BI32" s="100">
        <v>1512.0760399934391</v>
      </c>
      <c r="BJ32" s="100">
        <v>8.6714932529474833</v>
      </c>
      <c r="BK32" s="100">
        <v>7284.0543324758855</v>
      </c>
      <c r="BL32" s="100">
        <v>7</v>
      </c>
      <c r="BM32" s="100">
        <v>5880</v>
      </c>
      <c r="BN32" s="100">
        <v>4.3142109047749893</v>
      </c>
      <c r="BO32" s="100">
        <v>3623.9371600109912</v>
      </c>
      <c r="BP32" s="100">
        <v>6</v>
      </c>
      <c r="BQ32" s="100">
        <v>5040</v>
      </c>
      <c r="BR32" s="100">
        <v>4.144688552109435</v>
      </c>
      <c r="BS32" s="100">
        <v>3481.5383837719255</v>
      </c>
      <c r="BT32" s="100">
        <v>6</v>
      </c>
      <c r="BU32" s="100">
        <v>5040</v>
      </c>
      <c r="BV32" s="100">
        <v>3.4023285715914016</v>
      </c>
      <c r="BW32" s="100">
        <v>2857.9560001367772</v>
      </c>
      <c r="BX32" s="100">
        <v>8.5578495666638243</v>
      </c>
      <c r="BY32" s="100">
        <v>7188.5936359976122</v>
      </c>
      <c r="BZ32" s="100">
        <v>7</v>
      </c>
      <c r="CA32" s="100">
        <v>5880</v>
      </c>
      <c r="CB32" s="100">
        <v>2.6075661807380808</v>
      </c>
      <c r="CC32" s="100">
        <v>2190.3555918199877</v>
      </c>
      <c r="CD32" s="100">
        <v>7.1769959798726557</v>
      </c>
      <c r="CE32" s="100">
        <v>6028.6766230930307</v>
      </c>
      <c r="CF32" s="100">
        <v>8.2038527765030338</v>
      </c>
      <c r="CG32" s="100">
        <v>6891.2363322625488</v>
      </c>
      <c r="CH32" s="100">
        <v>9.5354469016051802</v>
      </c>
      <c r="CI32" s="100">
        <v>8009.7753973483514</v>
      </c>
      <c r="CJ32" s="100">
        <v>11</v>
      </c>
      <c r="CK32" s="100">
        <v>9240</v>
      </c>
      <c r="CL32" s="100">
        <v>7</v>
      </c>
      <c r="CM32" s="100">
        <v>5880</v>
      </c>
      <c r="CN32" s="100">
        <v>0.58073811160806832</v>
      </c>
      <c r="CO32" s="100">
        <v>487.82001375077738</v>
      </c>
      <c r="CP32" s="100">
        <v>8.3997830010750398</v>
      </c>
      <c r="CQ32" s="100">
        <v>7055.8177209030337</v>
      </c>
      <c r="CR32" s="100">
        <v>2.0553452607517326</v>
      </c>
      <c r="CS32" s="100">
        <v>1726.4900190314554</v>
      </c>
      <c r="CT32" s="100">
        <v>1.9836989135408178</v>
      </c>
      <c r="CU32" s="100">
        <v>1666.307087374287</v>
      </c>
    </row>
    <row r="33" spans="2:99">
      <c r="C33" s="99" t="s">
        <v>199</v>
      </c>
      <c r="D33" s="100">
        <v>10</v>
      </c>
      <c r="E33" s="100">
        <v>4740</v>
      </c>
      <c r="F33" s="100">
        <v>8</v>
      </c>
      <c r="G33" s="100">
        <v>3792</v>
      </c>
      <c r="H33" s="100">
        <v>7</v>
      </c>
      <c r="I33" s="100">
        <v>3318</v>
      </c>
      <c r="J33" s="100">
        <v>6</v>
      </c>
      <c r="K33" s="100">
        <v>2844</v>
      </c>
      <c r="L33" s="100">
        <v>4.7557818809431422</v>
      </c>
      <c r="M33" s="100">
        <v>2254.2406115670492</v>
      </c>
      <c r="N33" s="100">
        <v>8.3080957836239104</v>
      </c>
      <c r="O33" s="100">
        <v>3938.0374014377335</v>
      </c>
      <c r="P33" s="100">
        <v>6.064775268953337</v>
      </c>
      <c r="Q33" s="100">
        <v>2874.7034774838817</v>
      </c>
      <c r="R33" s="100">
        <v>7</v>
      </c>
      <c r="S33" s="100">
        <v>3318</v>
      </c>
      <c r="T33" s="100">
        <v>9</v>
      </c>
      <c r="U33" s="100">
        <v>4266</v>
      </c>
      <c r="V33" s="100">
        <v>7</v>
      </c>
      <c r="W33" s="100">
        <v>3318</v>
      </c>
      <c r="X33" s="100">
        <v>0.22610719357945422</v>
      </c>
      <c r="Y33" s="100">
        <v>107.1748097566613</v>
      </c>
      <c r="Z33" s="100">
        <v>8</v>
      </c>
      <c r="AA33" s="100">
        <v>3792</v>
      </c>
      <c r="AB33" s="100">
        <v>12</v>
      </c>
      <c r="AC33" s="100">
        <v>5688</v>
      </c>
      <c r="AD33" s="100">
        <v>7.2068040508646503</v>
      </c>
      <c r="AE33" s="100">
        <v>3416.025120109844</v>
      </c>
      <c r="AF33" s="100">
        <v>5.6129495114163142</v>
      </c>
      <c r="AG33" s="100">
        <v>2660.5380684113329</v>
      </c>
      <c r="AH33" s="100">
        <v>2.6546629108950559</v>
      </c>
      <c r="AI33" s="100">
        <v>1258.3102197642565</v>
      </c>
      <c r="AJ33" s="100">
        <v>11</v>
      </c>
      <c r="AK33" s="100">
        <v>5214</v>
      </c>
      <c r="AL33" s="100">
        <v>8.8751668362331859</v>
      </c>
      <c r="AM33" s="100">
        <v>4206.8290803745303</v>
      </c>
      <c r="AN33" s="100">
        <v>3.9402363748478235</v>
      </c>
      <c r="AO33" s="100">
        <v>1867.6720416778683</v>
      </c>
      <c r="AP33" s="100">
        <v>6.6946811637014685</v>
      </c>
      <c r="AQ33" s="100">
        <v>3173.2788715944962</v>
      </c>
      <c r="AR33" s="100">
        <v>4.5716982817775955</v>
      </c>
      <c r="AS33" s="100">
        <v>2166.9849855625803</v>
      </c>
      <c r="AT33" s="100">
        <v>4.3781579461205837E-4</v>
      </c>
      <c r="AU33" s="100">
        <v>0.20752468664611567</v>
      </c>
      <c r="AV33" s="100">
        <v>8</v>
      </c>
      <c r="AW33" s="100">
        <v>3792</v>
      </c>
      <c r="AX33" s="100">
        <v>3.5850924377127331</v>
      </c>
      <c r="AY33" s="100">
        <v>1699.3338154758355</v>
      </c>
      <c r="AZ33" s="100">
        <v>9.555750650776762</v>
      </c>
      <c r="BA33" s="100">
        <v>4529.4258084681851</v>
      </c>
      <c r="BB33" s="100">
        <v>1.9995964271573834</v>
      </c>
      <c r="BC33" s="100">
        <v>947.80870647259974</v>
      </c>
      <c r="BD33" s="100">
        <v>9.3943135416334727</v>
      </c>
      <c r="BE33" s="100">
        <v>4452.9046187342665</v>
      </c>
      <c r="BF33" s="100">
        <v>1.4456117997867604</v>
      </c>
      <c r="BG33" s="100">
        <v>685.21999309892442</v>
      </c>
      <c r="BH33" s="100">
        <v>2.0157367269162099</v>
      </c>
      <c r="BI33" s="100">
        <v>955.45920855828342</v>
      </c>
      <c r="BJ33" s="100">
        <v>8.8000696570203658</v>
      </c>
      <c r="BK33" s="100">
        <v>4171.2330174276531</v>
      </c>
      <c r="BL33" s="100">
        <v>7</v>
      </c>
      <c r="BM33" s="100">
        <v>3318</v>
      </c>
      <c r="BN33" s="100">
        <v>4.8534872678718628</v>
      </c>
      <c r="BO33" s="100">
        <v>2300.552964971263</v>
      </c>
      <c r="BP33" s="100">
        <v>6</v>
      </c>
      <c r="BQ33" s="100">
        <v>2844</v>
      </c>
      <c r="BR33" s="100">
        <v>4.144688552109435</v>
      </c>
      <c r="BS33" s="100">
        <v>1964.5823736998723</v>
      </c>
      <c r="BT33" s="100">
        <v>6</v>
      </c>
      <c r="BU33" s="100">
        <v>2844</v>
      </c>
      <c r="BV33" s="100">
        <v>3.5300466430526849</v>
      </c>
      <c r="BW33" s="100">
        <v>1673.2421088069727</v>
      </c>
      <c r="BX33" s="100">
        <v>9.6776841487148886</v>
      </c>
      <c r="BY33" s="100">
        <v>4587.2222864908572</v>
      </c>
      <c r="BZ33" s="100">
        <v>7</v>
      </c>
      <c r="CA33" s="100">
        <v>3318</v>
      </c>
      <c r="CB33" s="100">
        <v>2.6075661807380808</v>
      </c>
      <c r="CC33" s="100">
        <v>1235.9863696698503</v>
      </c>
      <c r="CD33" s="100">
        <v>6.6175304037933431</v>
      </c>
      <c r="CE33" s="100">
        <v>3136.7094113980447</v>
      </c>
      <c r="CF33" s="100">
        <v>8.2038527765030338</v>
      </c>
      <c r="CG33" s="100">
        <v>3888.6262160624378</v>
      </c>
      <c r="CH33" s="100">
        <v>9.5354469016051802</v>
      </c>
      <c r="CI33" s="100">
        <v>4519.8018313608554</v>
      </c>
      <c r="CJ33" s="100">
        <v>9</v>
      </c>
      <c r="CK33" s="100">
        <v>4266</v>
      </c>
      <c r="CL33" s="100">
        <v>7</v>
      </c>
      <c r="CM33" s="100">
        <v>3318</v>
      </c>
      <c r="CN33" s="100">
        <v>0.70449480503454687</v>
      </c>
      <c r="CO33" s="100">
        <v>333.93053758637524</v>
      </c>
      <c r="CP33" s="100">
        <v>9.2283699295696788</v>
      </c>
      <c r="CQ33" s="100">
        <v>4374.2473466160282</v>
      </c>
      <c r="CR33" s="100">
        <v>2.0641925237013754</v>
      </c>
      <c r="CS33" s="100">
        <v>978.42725623445199</v>
      </c>
      <c r="CT33" s="100">
        <v>1.7541083759846139</v>
      </c>
      <c r="CU33" s="100">
        <v>831.44737021670699</v>
      </c>
    </row>
    <row r="34" spans="2:99">
      <c r="C34" s="99" t="s">
        <v>200</v>
      </c>
      <c r="D34" s="100">
        <v>9</v>
      </c>
      <c r="E34" s="100">
        <v>4935.5999999999995</v>
      </c>
      <c r="F34" s="100">
        <v>8</v>
      </c>
      <c r="G34" s="100">
        <v>4387.2</v>
      </c>
      <c r="H34" s="100">
        <v>6</v>
      </c>
      <c r="I34" s="100">
        <v>3290.3999999999996</v>
      </c>
      <c r="J34" s="100">
        <v>6</v>
      </c>
      <c r="K34" s="100">
        <v>3290.3999999999996</v>
      </c>
      <c r="L34" s="100">
        <v>4.7557818809431422</v>
      </c>
      <c r="M34" s="100">
        <v>2608.0707835092189</v>
      </c>
      <c r="N34" s="100">
        <v>7.4772862052615192</v>
      </c>
      <c r="O34" s="100">
        <v>4100.5437549654171</v>
      </c>
      <c r="P34" s="100">
        <v>6.064775268953337</v>
      </c>
      <c r="Q34" s="100">
        <v>3325.9227574940101</v>
      </c>
      <c r="R34" s="100">
        <v>7</v>
      </c>
      <c r="S34" s="100">
        <v>3838.7999999999997</v>
      </c>
      <c r="T34" s="100">
        <v>9</v>
      </c>
      <c r="U34" s="100">
        <v>4935.5999999999995</v>
      </c>
      <c r="V34" s="100">
        <v>7</v>
      </c>
      <c r="W34" s="100">
        <v>3838.7999999999997</v>
      </c>
      <c r="X34" s="100">
        <v>0.19380616592524647</v>
      </c>
      <c r="Y34" s="100">
        <v>106.28330139340515</v>
      </c>
      <c r="Z34" s="100">
        <v>8</v>
      </c>
      <c r="AA34" s="100">
        <v>4387.2</v>
      </c>
      <c r="AB34" s="100">
        <v>10</v>
      </c>
      <c r="AC34" s="100">
        <v>5484</v>
      </c>
      <c r="AD34" s="100">
        <v>5.6052920395613954</v>
      </c>
      <c r="AE34" s="100">
        <v>3073.9421544954689</v>
      </c>
      <c r="AF34" s="100">
        <v>6.5484410966523665</v>
      </c>
      <c r="AG34" s="100">
        <v>3591.1650974041577</v>
      </c>
      <c r="AH34" s="100">
        <v>2.6546629108950559</v>
      </c>
      <c r="AI34" s="100">
        <v>1455.8171403348485</v>
      </c>
      <c r="AJ34" s="100">
        <v>11</v>
      </c>
      <c r="AK34" s="100">
        <v>6032.4</v>
      </c>
      <c r="AL34" s="100">
        <v>8.8751668362331859</v>
      </c>
      <c r="AM34" s="100">
        <v>4867.1414929902794</v>
      </c>
      <c r="AN34" s="100">
        <v>3.2835303123731858</v>
      </c>
      <c r="AO34" s="100">
        <v>1800.6880233054551</v>
      </c>
      <c r="AP34" s="100">
        <v>6.0740724556391568</v>
      </c>
      <c r="AQ34" s="100">
        <v>3331.0213346725136</v>
      </c>
      <c r="AR34" s="100">
        <v>4.5716982817775955</v>
      </c>
      <c r="AS34" s="100">
        <v>2507.1193377268332</v>
      </c>
      <c r="AT34" s="100">
        <v>4.3781579461205837E-4</v>
      </c>
      <c r="AU34" s="100">
        <v>0.2400981817652528</v>
      </c>
      <c r="AV34" s="100">
        <v>7</v>
      </c>
      <c r="AW34" s="100">
        <v>3838.7999999999997</v>
      </c>
      <c r="AX34" s="100">
        <v>3.2523035634038955</v>
      </c>
      <c r="AY34" s="100">
        <v>1783.5632741706961</v>
      </c>
      <c r="AZ34" s="100">
        <v>8.4143187734334202</v>
      </c>
      <c r="BA34" s="100">
        <v>4614.4124153508874</v>
      </c>
      <c r="BB34" s="100">
        <v>1.7943428757564008</v>
      </c>
      <c r="BC34" s="100">
        <v>984.01763306481018</v>
      </c>
      <c r="BD34" s="100">
        <v>10.084466087937145</v>
      </c>
      <c r="BE34" s="100">
        <v>5530.3212026247302</v>
      </c>
      <c r="BF34" s="100">
        <v>1.2046764998223003</v>
      </c>
      <c r="BG34" s="100">
        <v>660.64459250254947</v>
      </c>
      <c r="BH34" s="100">
        <v>2.0157367269162099</v>
      </c>
      <c r="BI34" s="100">
        <v>1105.4300210408494</v>
      </c>
      <c r="BJ34" s="100">
        <v>9.6714932529474833</v>
      </c>
      <c r="BK34" s="100">
        <v>5303.8468999163997</v>
      </c>
      <c r="BL34" s="100">
        <v>7</v>
      </c>
      <c r="BM34" s="100">
        <v>3838.7999999999997</v>
      </c>
      <c r="BN34" s="100">
        <v>4.3142109047749893</v>
      </c>
      <c r="BO34" s="100">
        <v>2365.9132601786041</v>
      </c>
      <c r="BP34" s="100">
        <v>6</v>
      </c>
      <c r="BQ34" s="100">
        <v>3290.3999999999996</v>
      </c>
      <c r="BR34" s="100">
        <v>3.7678986837358495</v>
      </c>
      <c r="BS34" s="100">
        <v>2066.3156381607396</v>
      </c>
      <c r="BT34" s="100">
        <v>6</v>
      </c>
      <c r="BU34" s="100">
        <v>3290.3999999999996</v>
      </c>
      <c r="BV34" s="100">
        <v>3.235876089464961</v>
      </c>
      <c r="BW34" s="100">
        <v>1774.5544474625844</v>
      </c>
      <c r="BX34" s="100">
        <v>9.6776841487148886</v>
      </c>
      <c r="BY34" s="100">
        <v>5307.2419871552447</v>
      </c>
      <c r="BZ34" s="100">
        <v>8</v>
      </c>
      <c r="CA34" s="100">
        <v>4387.2</v>
      </c>
      <c r="CB34" s="100">
        <v>2.8446176517142696</v>
      </c>
      <c r="CC34" s="100">
        <v>1559.9883202001054</v>
      </c>
      <c r="CD34" s="100">
        <v>8.1838894214462634</v>
      </c>
      <c r="CE34" s="100">
        <v>4488.0449587211306</v>
      </c>
      <c r="CF34" s="100">
        <v>8.2038527765030338</v>
      </c>
      <c r="CG34" s="100">
        <v>4498.9928626342635</v>
      </c>
      <c r="CH34" s="100">
        <v>8.5800674767389449</v>
      </c>
      <c r="CI34" s="100">
        <v>4705.309004243637</v>
      </c>
      <c r="CJ34" s="100">
        <v>10</v>
      </c>
      <c r="CK34" s="100">
        <v>5484</v>
      </c>
      <c r="CL34" s="100">
        <v>6</v>
      </c>
      <c r="CM34" s="100">
        <v>3290.3999999999996</v>
      </c>
      <c r="CN34" s="100">
        <v>0.58575558343731349</v>
      </c>
      <c r="CO34" s="100">
        <v>321.22836195702268</v>
      </c>
      <c r="CP34" s="100">
        <v>9.2283699295696788</v>
      </c>
      <c r="CQ34" s="100">
        <v>5060.8380693760118</v>
      </c>
      <c r="CR34" s="100">
        <v>1.8639663553959878</v>
      </c>
      <c r="CS34" s="100">
        <v>1022.1991492991597</v>
      </c>
      <c r="CT34" s="100">
        <v>2.0009900444927222</v>
      </c>
      <c r="CU34" s="100">
        <v>1097.3429403998089</v>
      </c>
    </row>
    <row r="35" spans="2:99">
      <c r="C35" s="99" t="s">
        <v>201</v>
      </c>
      <c r="D35" s="100">
        <v>9</v>
      </c>
      <c r="E35" s="100">
        <v>4525.1999999999989</v>
      </c>
      <c r="F35" s="100">
        <v>7</v>
      </c>
      <c r="G35" s="100">
        <v>3519.5999999999995</v>
      </c>
      <c r="H35" s="100">
        <v>6</v>
      </c>
      <c r="I35" s="100">
        <v>3016.7999999999993</v>
      </c>
      <c r="J35" s="100">
        <v>6</v>
      </c>
      <c r="K35" s="100">
        <v>3016.7999999999993</v>
      </c>
      <c r="L35" s="100">
        <v>4.2802036928488283</v>
      </c>
      <c r="M35" s="100">
        <v>2152.0864167643904</v>
      </c>
      <c r="N35" s="100">
        <v>8.3080957836239104</v>
      </c>
      <c r="O35" s="100">
        <v>4177.3105600061017</v>
      </c>
      <c r="P35" s="100">
        <v>6.064775268953337</v>
      </c>
      <c r="Q35" s="100">
        <v>3049.369005229737</v>
      </c>
      <c r="R35" s="100">
        <v>6</v>
      </c>
      <c r="S35" s="100">
        <v>3016.7999999999993</v>
      </c>
      <c r="T35" s="100">
        <v>9</v>
      </c>
      <c r="U35" s="100">
        <v>4525.1999999999989</v>
      </c>
      <c r="V35" s="100">
        <v>8</v>
      </c>
      <c r="W35" s="100">
        <v>4022.3999999999992</v>
      </c>
      <c r="X35" s="100">
        <v>0.22610719357945422</v>
      </c>
      <c r="Y35" s="100">
        <v>113.68669693174955</v>
      </c>
      <c r="Z35" s="100">
        <v>8</v>
      </c>
      <c r="AA35" s="100">
        <v>4022.3999999999992</v>
      </c>
      <c r="AB35" s="100">
        <v>10</v>
      </c>
      <c r="AC35" s="100">
        <v>5027.9999999999991</v>
      </c>
      <c r="AD35" s="100">
        <v>6.4060480452130228</v>
      </c>
      <c r="AE35" s="100">
        <v>3220.9609571331071</v>
      </c>
      <c r="AF35" s="100">
        <v>5.6129495114163142</v>
      </c>
      <c r="AG35" s="100">
        <v>2822.1910143401224</v>
      </c>
      <c r="AH35" s="100">
        <v>2.4524979681144337</v>
      </c>
      <c r="AI35" s="100">
        <v>1233.115978367937</v>
      </c>
      <c r="AJ35" s="100">
        <v>12</v>
      </c>
      <c r="AK35" s="100">
        <v>6033.5999999999985</v>
      </c>
      <c r="AL35" s="100">
        <v>8.8751668362331859</v>
      </c>
      <c r="AM35" s="100">
        <v>4462.4338852580449</v>
      </c>
      <c r="AN35" s="100">
        <v>3.9402363748478235</v>
      </c>
      <c r="AO35" s="100">
        <v>1981.1508492734852</v>
      </c>
      <c r="AP35" s="100">
        <v>5.510041443998543</v>
      </c>
      <c r="AQ35" s="100">
        <v>2770.4488380424668</v>
      </c>
      <c r="AR35" s="100">
        <v>4.5716982817775955</v>
      </c>
      <c r="AS35" s="100">
        <v>2298.6498960777744</v>
      </c>
      <c r="AT35" s="100">
        <v>5.1078509371406812E-4</v>
      </c>
      <c r="AU35" s="100">
        <v>0.25682274511943337</v>
      </c>
      <c r="AV35" s="100">
        <v>7</v>
      </c>
      <c r="AW35" s="100">
        <v>3519.5999999999995</v>
      </c>
      <c r="AX35" s="100">
        <v>3.5699754017758361</v>
      </c>
      <c r="AY35" s="100">
        <v>1794.98363201289</v>
      </c>
      <c r="AZ35" s="100">
        <v>8.4143187734334202</v>
      </c>
      <c r="BA35" s="100">
        <v>4230.7194792823229</v>
      </c>
      <c r="BB35" s="100">
        <v>1.777419046362118</v>
      </c>
      <c r="BC35" s="100">
        <v>893.68629651087281</v>
      </c>
      <c r="BD35" s="100">
        <v>9.3943135416334727</v>
      </c>
      <c r="BE35" s="100">
        <v>4723.4608487333089</v>
      </c>
      <c r="BF35" s="100">
        <v>1.4456117997867604</v>
      </c>
      <c r="BG35" s="100">
        <v>726.85361293278299</v>
      </c>
      <c r="BH35" s="100">
        <v>2.0063716145554924</v>
      </c>
      <c r="BI35" s="100">
        <v>1008.8036477985014</v>
      </c>
      <c r="BJ35" s="100">
        <v>7.542916848874599</v>
      </c>
      <c r="BK35" s="100">
        <v>3792.5785916141476</v>
      </c>
      <c r="BL35" s="100">
        <v>7</v>
      </c>
      <c r="BM35" s="100">
        <v>3519.5999999999995</v>
      </c>
      <c r="BN35" s="100">
        <v>4.3142109047749893</v>
      </c>
      <c r="BO35" s="100">
        <v>2169.1852429208643</v>
      </c>
      <c r="BP35" s="100">
        <v>6</v>
      </c>
      <c r="BQ35" s="100">
        <v>3016.7999999999993</v>
      </c>
      <c r="BR35" s="100">
        <v>4.144688552109435</v>
      </c>
      <c r="BS35" s="100">
        <v>2083.9494040006234</v>
      </c>
      <c r="BT35" s="100">
        <v>6</v>
      </c>
      <c r="BU35" s="100">
        <v>3016.7999999999993</v>
      </c>
      <c r="BV35" s="100">
        <v>3.235876089464961</v>
      </c>
      <c r="BW35" s="100">
        <v>1626.998497782982</v>
      </c>
      <c r="BX35" s="100">
        <v>8.9173533128170135</v>
      </c>
      <c r="BY35" s="100">
        <v>4483.6452456843936</v>
      </c>
      <c r="BZ35" s="100">
        <v>7</v>
      </c>
      <c r="CA35" s="100">
        <v>3519.5999999999995</v>
      </c>
      <c r="CB35" s="100">
        <v>2.6075661807380808</v>
      </c>
      <c r="CC35" s="100">
        <v>1311.0842756751067</v>
      </c>
      <c r="CD35" s="100">
        <v>7.284158567315175</v>
      </c>
      <c r="CE35" s="100">
        <v>3662.4749276460693</v>
      </c>
      <c r="CF35" s="100">
        <v>8.9960111045222657</v>
      </c>
      <c r="CG35" s="100">
        <v>4523.1943833537944</v>
      </c>
      <c r="CH35" s="100">
        <v>8.5354469016051802</v>
      </c>
      <c r="CI35" s="100">
        <v>4291.6227021270834</v>
      </c>
      <c r="CJ35" s="100">
        <v>10</v>
      </c>
      <c r="CK35" s="100">
        <v>5027.9999999999991</v>
      </c>
      <c r="CL35" s="100">
        <v>7</v>
      </c>
      <c r="CM35" s="100">
        <v>3519.5999999999995</v>
      </c>
      <c r="CN35" s="100">
        <v>0.58826431935193613</v>
      </c>
      <c r="CO35" s="100">
        <v>295.77929977015344</v>
      </c>
      <c r="CP35" s="100">
        <v>8.3997830010750398</v>
      </c>
      <c r="CQ35" s="100">
        <v>4223.4108929405293</v>
      </c>
      <c r="CR35" s="100">
        <v>2.0730397866510182</v>
      </c>
      <c r="CS35" s="100">
        <v>1042.3244047281316</v>
      </c>
      <c r="CT35" s="100">
        <v>1.975053348064866</v>
      </c>
      <c r="CU35" s="100">
        <v>993.05682340701446</v>
      </c>
    </row>
    <row r="36" spans="2:99">
      <c r="C36" s="99" t="s">
        <v>202</v>
      </c>
      <c r="D36" s="100">
        <v>10</v>
      </c>
      <c r="E36" s="100">
        <v>7608</v>
      </c>
      <c r="F36" s="100">
        <v>8</v>
      </c>
      <c r="G36" s="100">
        <v>6086.4</v>
      </c>
      <c r="H36" s="100">
        <v>6</v>
      </c>
      <c r="I36" s="100">
        <v>4564.7999999999993</v>
      </c>
      <c r="J36" s="100">
        <v>6</v>
      </c>
      <c r="K36" s="100">
        <v>4564.7999999999993</v>
      </c>
      <c r="L36" s="100">
        <v>4.2802036928488283</v>
      </c>
      <c r="M36" s="100">
        <v>3256.3789695193882</v>
      </c>
      <c r="N36" s="100">
        <v>8.3080957836239104</v>
      </c>
      <c r="O36" s="100">
        <v>6320.7992721810706</v>
      </c>
      <c r="P36" s="100">
        <v>6.064775268953337</v>
      </c>
      <c r="Q36" s="100">
        <v>4614.0810246196988</v>
      </c>
      <c r="R36" s="100">
        <v>7</v>
      </c>
      <c r="S36" s="100">
        <v>5325.5999999999995</v>
      </c>
      <c r="T36" s="100">
        <v>9</v>
      </c>
      <c r="U36" s="100">
        <v>6847.2</v>
      </c>
      <c r="V36" s="100">
        <v>8</v>
      </c>
      <c r="W36" s="100">
        <v>6086.4</v>
      </c>
      <c r="X36" s="100">
        <v>0.22610719357945422</v>
      </c>
      <c r="Y36" s="100">
        <v>172.02235287524877</v>
      </c>
      <c r="Z36" s="100">
        <v>8</v>
      </c>
      <c r="AA36" s="100">
        <v>6086.4</v>
      </c>
      <c r="AB36" s="100">
        <v>10</v>
      </c>
      <c r="AC36" s="100">
        <v>7608</v>
      </c>
      <c r="AD36" s="100">
        <v>5.6052920395613954</v>
      </c>
      <c r="AE36" s="100">
        <v>4264.5061836983095</v>
      </c>
      <c r="AF36" s="100">
        <v>5.6129495114163142</v>
      </c>
      <c r="AG36" s="100">
        <v>4270.3319882855312</v>
      </c>
      <c r="AH36" s="100">
        <v>2.2072481713029899</v>
      </c>
      <c r="AI36" s="100">
        <v>1679.2744087273147</v>
      </c>
      <c r="AJ36" s="100">
        <v>11</v>
      </c>
      <c r="AK36" s="100">
        <v>8368.7999999999993</v>
      </c>
      <c r="AL36" s="100">
        <v>9.7626835198565054</v>
      </c>
      <c r="AM36" s="100">
        <v>7427.4496219068287</v>
      </c>
      <c r="AN36" s="100">
        <v>3.9402363748478235</v>
      </c>
      <c r="AO36" s="100">
        <v>2997.7318339842241</v>
      </c>
      <c r="AP36" s="100">
        <v>5.4911822118579767</v>
      </c>
      <c r="AQ36" s="100">
        <v>4177.6914267815482</v>
      </c>
      <c r="AR36" s="100">
        <v>3.8876952191735619</v>
      </c>
      <c r="AS36" s="100">
        <v>2957.7585227472455</v>
      </c>
      <c r="AT36" s="100">
        <v>5.1078509371406812E-4</v>
      </c>
      <c r="AU36" s="100">
        <v>0.38860529929766302</v>
      </c>
      <c r="AV36" s="100">
        <v>7</v>
      </c>
      <c r="AW36" s="100">
        <v>5325.5999999999995</v>
      </c>
      <c r="AX36" s="100">
        <v>3.5850924377127331</v>
      </c>
      <c r="AY36" s="100">
        <v>2727.538326611847</v>
      </c>
      <c r="AZ36" s="100">
        <v>8.4143187734334202</v>
      </c>
      <c r="BA36" s="100">
        <v>6401.6137228281459</v>
      </c>
      <c r="BB36" s="100">
        <v>1.991134512460242</v>
      </c>
      <c r="BC36" s="100">
        <v>1514.855137079752</v>
      </c>
      <c r="BD36" s="100">
        <v>9.2393898147853086</v>
      </c>
      <c r="BE36" s="100">
        <v>7029.3277710886623</v>
      </c>
      <c r="BF36" s="100">
        <v>1.2046764998223003</v>
      </c>
      <c r="BG36" s="100">
        <v>916.51788106480603</v>
      </c>
      <c r="BH36" s="100">
        <v>2.0251018392769269</v>
      </c>
      <c r="BI36" s="100">
        <v>1540.6974793218858</v>
      </c>
      <c r="BJ36" s="100">
        <v>8.8000696570203658</v>
      </c>
      <c r="BK36" s="100">
        <v>6695.0929950610935</v>
      </c>
      <c r="BL36" s="100">
        <v>7</v>
      </c>
      <c r="BM36" s="100">
        <v>5325.5999999999995</v>
      </c>
      <c r="BN36" s="100">
        <v>4.3142109047749893</v>
      </c>
      <c r="BO36" s="100">
        <v>3282.2516563528116</v>
      </c>
      <c r="BP36" s="100">
        <v>6</v>
      </c>
      <c r="BQ36" s="100">
        <v>4564.7999999999993</v>
      </c>
      <c r="BR36" s="100">
        <v>4.144688552109435</v>
      </c>
      <c r="BS36" s="100">
        <v>3153.2790504448581</v>
      </c>
      <c r="BT36" s="100">
        <v>6</v>
      </c>
      <c r="BU36" s="100">
        <v>4564.7999999999993</v>
      </c>
      <c r="BV36" s="100">
        <v>2.9417055358772375</v>
      </c>
      <c r="BW36" s="100">
        <v>2238.0495716954019</v>
      </c>
      <c r="BX36" s="100">
        <v>9.797518730765951</v>
      </c>
      <c r="BY36" s="100">
        <v>7453.9522503667349</v>
      </c>
      <c r="BZ36" s="100">
        <v>7</v>
      </c>
      <c r="CA36" s="100">
        <v>5325.5999999999995</v>
      </c>
      <c r="CB36" s="100">
        <v>2.3705147097618915</v>
      </c>
      <c r="CC36" s="100">
        <v>1803.4875911868469</v>
      </c>
      <c r="CD36" s="100">
        <v>6.7246929912358642</v>
      </c>
      <c r="CE36" s="100">
        <v>5116.1464277322448</v>
      </c>
      <c r="CF36" s="100">
        <v>8.0705251941923795</v>
      </c>
      <c r="CG36" s="100">
        <v>6140.0555677415623</v>
      </c>
      <c r="CH36" s="100">
        <v>8.5800674767389449</v>
      </c>
      <c r="CI36" s="100">
        <v>6527.7153363029893</v>
      </c>
      <c r="CJ36" s="100">
        <v>9</v>
      </c>
      <c r="CK36" s="100">
        <v>6847.2</v>
      </c>
      <c r="CL36" s="100">
        <v>6</v>
      </c>
      <c r="CM36" s="100">
        <v>4564.7999999999993</v>
      </c>
      <c r="CN36" s="100">
        <v>0.64136209036399616</v>
      </c>
      <c r="CO36" s="100">
        <v>487.94827834892823</v>
      </c>
      <c r="CP36" s="100">
        <v>8.0569568580643196</v>
      </c>
      <c r="CQ36" s="100">
        <v>6129.7327776153343</v>
      </c>
      <c r="CR36" s="100">
        <v>2.2378769031578356</v>
      </c>
      <c r="CS36" s="100">
        <v>1702.5767479224812</v>
      </c>
      <c r="CT36" s="100">
        <v>1.771399506936518</v>
      </c>
      <c r="CU36" s="100">
        <v>1347.6807448773029</v>
      </c>
    </row>
    <row r="37" spans="2:99">
      <c r="B37" s="99" t="s">
        <v>128</v>
      </c>
      <c r="C37" s="99" t="s">
        <v>203</v>
      </c>
      <c r="D37" s="100">
        <v>14</v>
      </c>
      <c r="E37" s="100">
        <v>12045.6</v>
      </c>
      <c r="F37" s="100">
        <v>15</v>
      </c>
      <c r="G37" s="100">
        <v>12906</v>
      </c>
      <c r="H37" s="100">
        <v>19</v>
      </c>
      <c r="I37" s="100">
        <v>16347.6</v>
      </c>
      <c r="J37" s="100">
        <v>16</v>
      </c>
      <c r="K37" s="100">
        <v>13766.4</v>
      </c>
      <c r="L37" s="100">
        <v>7.1336728214147129</v>
      </c>
      <c r="M37" s="100">
        <v>6137.8120955452187</v>
      </c>
      <c r="N37" s="100">
        <v>11.631334097073474</v>
      </c>
      <c r="O37" s="100">
        <v>10007.599857122017</v>
      </c>
      <c r="P37" s="100">
        <v>15.92003508100251</v>
      </c>
      <c r="Q37" s="100">
        <v>13697.598183694559</v>
      </c>
      <c r="R37" s="100">
        <v>13</v>
      </c>
      <c r="S37" s="100">
        <v>11185.199999999999</v>
      </c>
      <c r="T37" s="100">
        <v>18</v>
      </c>
      <c r="U37" s="100">
        <v>15487.199999999999</v>
      </c>
      <c r="V37" s="100">
        <v>12</v>
      </c>
      <c r="W37" s="100">
        <v>10324.799999999999</v>
      </c>
      <c r="X37" s="100">
        <v>0.48451541481311616</v>
      </c>
      <c r="Y37" s="100">
        <v>416.87706290520515</v>
      </c>
      <c r="Z37" s="100">
        <v>12</v>
      </c>
      <c r="AA37" s="100">
        <v>10324.799999999999</v>
      </c>
      <c r="AB37" s="100">
        <v>19</v>
      </c>
      <c r="AC37" s="100">
        <v>16347.6</v>
      </c>
      <c r="AD37" s="100">
        <v>13.612852096077672</v>
      </c>
      <c r="AE37" s="100">
        <v>11712.497943465229</v>
      </c>
      <c r="AF37" s="100">
        <v>11.225899022832628</v>
      </c>
      <c r="AG37" s="100">
        <v>9658.7635192451926</v>
      </c>
      <c r="AH37" s="100">
        <v>3.294649960012249</v>
      </c>
      <c r="AI37" s="100">
        <v>2834.7168255945389</v>
      </c>
      <c r="AJ37" s="100">
        <v>20</v>
      </c>
      <c r="AK37" s="100">
        <v>17208</v>
      </c>
      <c r="AL37" s="100">
        <v>15.087783621596417</v>
      </c>
      <c r="AM37" s="100">
        <v>12981.529028021558</v>
      </c>
      <c r="AN37" s="100">
        <v>12.477415187018108</v>
      </c>
      <c r="AO37" s="100">
        <v>10735.56802691038</v>
      </c>
      <c r="AP37" s="100">
        <v>11.074914631842425</v>
      </c>
      <c r="AQ37" s="100">
        <v>9528.8565492372218</v>
      </c>
      <c r="AR37" s="100">
        <v>9.2720297376020682</v>
      </c>
      <c r="AS37" s="100">
        <v>7977.654386232819</v>
      </c>
      <c r="AT37" s="100">
        <v>1.0215701874281362E-3</v>
      </c>
      <c r="AU37" s="100">
        <v>0.8789589892631684</v>
      </c>
      <c r="AV37" s="100">
        <v>13</v>
      </c>
      <c r="AW37" s="100">
        <v>11185.199999999999</v>
      </c>
      <c r="AX37" s="100">
        <v>3.7969450245264</v>
      </c>
      <c r="AY37" s="100">
        <v>3266.8914991025144</v>
      </c>
      <c r="AZ37" s="100">
        <v>21.848591264060051</v>
      </c>
      <c r="BA37" s="100">
        <v>18798.527923597267</v>
      </c>
      <c r="BB37" s="100">
        <v>3.8998174766186664</v>
      </c>
      <c r="BC37" s="100">
        <v>3355.4029568827004</v>
      </c>
      <c r="BD37" s="100">
        <v>20.084466087937145</v>
      </c>
      <c r="BE37" s="100">
        <v>17280.67462206112</v>
      </c>
      <c r="BF37" s="100">
        <v>4.0959000993958208</v>
      </c>
      <c r="BG37" s="100">
        <v>3524.1124455201643</v>
      </c>
      <c r="BH37" s="100">
        <v>3.4222439127497966</v>
      </c>
      <c r="BI37" s="100">
        <v>2944.4986625299248</v>
      </c>
      <c r="BJ37" s="100">
        <v>12.642882020364416</v>
      </c>
      <c r="BK37" s="100">
        <v>10877.935690321543</v>
      </c>
      <c r="BL37" s="100">
        <v>15</v>
      </c>
      <c r="BM37" s="100">
        <v>12906</v>
      </c>
      <c r="BN37" s="100">
        <v>8.0891454464531058</v>
      </c>
      <c r="BO37" s="100">
        <v>6959.9007421282522</v>
      </c>
      <c r="BP37" s="100">
        <v>10</v>
      </c>
      <c r="BQ37" s="100">
        <v>8604</v>
      </c>
      <c r="BR37" s="100">
        <v>7.912587235845284</v>
      </c>
      <c r="BS37" s="100">
        <v>6807.990057721282</v>
      </c>
      <c r="BT37" s="100">
        <v>15</v>
      </c>
      <c r="BU37" s="100">
        <v>12906</v>
      </c>
      <c r="BV37" s="100">
        <v>5.3967909258785181</v>
      </c>
      <c r="BW37" s="100">
        <v>4643.3989126258766</v>
      </c>
      <c r="BX37" s="100">
        <v>19.838842074357444</v>
      </c>
      <c r="BY37" s="100">
        <v>17069.339720777145</v>
      </c>
      <c r="BZ37" s="100">
        <v>13</v>
      </c>
      <c r="CA37" s="100">
        <v>11185.199999999999</v>
      </c>
      <c r="CB37" s="100">
        <v>4.0298750065952156</v>
      </c>
      <c r="CC37" s="100">
        <v>3467.3044556745235</v>
      </c>
      <c r="CD37" s="100">
        <v>6.9382951892751263</v>
      </c>
      <c r="CE37" s="100">
        <v>5969.7091808523182</v>
      </c>
      <c r="CF37" s="100">
        <v>15.45879814514206</v>
      </c>
      <c r="CG37" s="100">
        <v>13300.749924080228</v>
      </c>
      <c r="CH37" s="100">
        <v>12.26772345080259</v>
      </c>
      <c r="CI37" s="100">
        <v>10555.149257070549</v>
      </c>
      <c r="CJ37" s="100">
        <v>18</v>
      </c>
      <c r="CK37" s="100">
        <v>15487.199999999999</v>
      </c>
      <c r="CL37" s="100">
        <v>11</v>
      </c>
      <c r="CM37" s="100">
        <v>9464.4</v>
      </c>
      <c r="CN37" s="100">
        <v>0.84873570258299136</v>
      </c>
      <c r="CO37" s="100">
        <v>730.25219850240569</v>
      </c>
      <c r="CP37" s="100">
        <v>19.199891500537518</v>
      </c>
      <c r="CQ37" s="100">
        <v>16519.586647062479</v>
      </c>
      <c r="CR37" s="100">
        <v>3.533292925899838</v>
      </c>
      <c r="CS37" s="100">
        <v>3040.0452334442207</v>
      </c>
      <c r="CT37" s="100">
        <v>5.1547386119479155</v>
      </c>
      <c r="CU37" s="100">
        <v>4435.1371017199863</v>
      </c>
    </row>
    <row r="38" spans="2:99">
      <c r="C38" s="99" t="s">
        <v>204</v>
      </c>
      <c r="D38" s="100">
        <v>15</v>
      </c>
      <c r="E38" s="100">
        <v>18630</v>
      </c>
      <c r="F38" s="100">
        <v>13</v>
      </c>
      <c r="G38" s="100">
        <v>16146</v>
      </c>
      <c r="H38" s="100">
        <v>15</v>
      </c>
      <c r="I38" s="100">
        <v>18630</v>
      </c>
      <c r="J38" s="100">
        <v>16</v>
      </c>
      <c r="K38" s="100">
        <v>19872</v>
      </c>
      <c r="L38" s="100">
        <v>6.658094633320399</v>
      </c>
      <c r="M38" s="100">
        <v>8269.3535345839355</v>
      </c>
      <c r="N38" s="100">
        <v>13.292953253798256</v>
      </c>
      <c r="O38" s="100">
        <v>16509.847941217435</v>
      </c>
      <c r="P38" s="100">
        <v>15.92003508100251</v>
      </c>
      <c r="Q38" s="100">
        <v>19772.683570605117</v>
      </c>
      <c r="R38" s="100">
        <v>13</v>
      </c>
      <c r="S38" s="100">
        <v>16146</v>
      </c>
      <c r="T38" s="100">
        <v>14</v>
      </c>
      <c r="U38" s="100">
        <v>17388</v>
      </c>
      <c r="V38" s="100">
        <v>11</v>
      </c>
      <c r="W38" s="100">
        <v>13662</v>
      </c>
      <c r="X38" s="100">
        <v>0.54911747012153156</v>
      </c>
      <c r="Y38" s="100">
        <v>682.0038978909422</v>
      </c>
      <c r="Z38" s="100">
        <v>12</v>
      </c>
      <c r="AA38" s="100">
        <v>14904</v>
      </c>
      <c r="AB38" s="100">
        <v>18</v>
      </c>
      <c r="AC38" s="100">
        <v>22356</v>
      </c>
      <c r="AD38" s="100">
        <v>12.011340084774417</v>
      </c>
      <c r="AE38" s="100">
        <v>14918.084385289827</v>
      </c>
      <c r="AF38" s="100">
        <v>11.225899022832628</v>
      </c>
      <c r="AG38" s="100">
        <v>13942.566586358123</v>
      </c>
      <c r="AH38" s="100">
        <v>3.5398997568236918</v>
      </c>
      <c r="AI38" s="100">
        <v>4396.555497975025</v>
      </c>
      <c r="AJ38" s="100">
        <v>18</v>
      </c>
      <c r="AK38" s="100">
        <v>22356</v>
      </c>
      <c r="AL38" s="100">
        <v>13.312750254349782</v>
      </c>
      <c r="AM38" s="100">
        <v>16534.43581590243</v>
      </c>
      <c r="AN38" s="100">
        <v>12.477415187018108</v>
      </c>
      <c r="AO38" s="100">
        <v>15496.949662276491</v>
      </c>
      <c r="AP38" s="100">
        <v>10.041148769264025</v>
      </c>
      <c r="AQ38" s="100">
        <v>12471.106771425919</v>
      </c>
      <c r="AR38" s="100">
        <v>8.5295666867288613</v>
      </c>
      <c r="AS38" s="100">
        <v>10593.721824917246</v>
      </c>
      <c r="AT38" s="100">
        <v>1.0215701874281362E-3</v>
      </c>
      <c r="AU38" s="100">
        <v>1.2687901727857451</v>
      </c>
      <c r="AV38" s="100">
        <v>14</v>
      </c>
      <c r="AW38" s="100">
        <v>17388</v>
      </c>
      <c r="AX38" s="100">
        <v>3.7969450245264</v>
      </c>
      <c r="AY38" s="100">
        <v>4715.805720461789</v>
      </c>
      <c r="AZ38" s="100">
        <v>19.707159386716711</v>
      </c>
      <c r="BA38" s="100">
        <v>24476.291958302154</v>
      </c>
      <c r="BB38" s="100">
        <v>3.8998174766186664</v>
      </c>
      <c r="BC38" s="100">
        <v>4843.5733059603835</v>
      </c>
      <c r="BD38" s="100">
        <v>20.929542361088981</v>
      </c>
      <c r="BE38" s="100">
        <v>25994.491612472513</v>
      </c>
      <c r="BF38" s="100">
        <v>3.3730941995024408</v>
      </c>
      <c r="BG38" s="100">
        <v>4189.3829957820317</v>
      </c>
      <c r="BH38" s="100">
        <v>3.8441712066180731</v>
      </c>
      <c r="BI38" s="100">
        <v>4774.4606386196465</v>
      </c>
      <c r="BJ38" s="100">
        <v>12.642882020364416</v>
      </c>
      <c r="BK38" s="100">
        <v>15702.459469292604</v>
      </c>
      <c r="BL38" s="100">
        <v>14</v>
      </c>
      <c r="BM38" s="100">
        <v>17388</v>
      </c>
      <c r="BN38" s="100">
        <v>7.010592720259357</v>
      </c>
      <c r="BO38" s="100">
        <v>8707.1561585621221</v>
      </c>
      <c r="BP38" s="100">
        <v>10</v>
      </c>
      <c r="BQ38" s="100">
        <v>12420</v>
      </c>
      <c r="BR38" s="100">
        <v>7.5357973674716989</v>
      </c>
      <c r="BS38" s="100">
        <v>9359.4603303998501</v>
      </c>
      <c r="BT38" s="100">
        <v>16</v>
      </c>
      <c r="BU38" s="100">
        <v>19872</v>
      </c>
      <c r="BV38" s="100">
        <v>5.1026203722907946</v>
      </c>
      <c r="BW38" s="100">
        <v>6337.454502385167</v>
      </c>
      <c r="BX38" s="100">
        <v>20.838842074357444</v>
      </c>
      <c r="BY38" s="100">
        <v>25881.841856351944</v>
      </c>
      <c r="BZ38" s="100">
        <v>13</v>
      </c>
      <c r="CA38" s="100">
        <v>16146</v>
      </c>
      <c r="CB38" s="100">
        <v>3.7928235356190267</v>
      </c>
      <c r="CC38" s="100">
        <v>4710.6868312388315</v>
      </c>
      <c r="CD38" s="100">
        <v>6.9382951892751263</v>
      </c>
      <c r="CE38" s="100">
        <v>8617.362625079706</v>
      </c>
      <c r="CF38" s="100">
        <v>13.74115390679294</v>
      </c>
      <c r="CG38" s="100">
        <v>17066.513152236832</v>
      </c>
      <c r="CH38" s="100">
        <v>11.223102875668825</v>
      </c>
      <c r="CI38" s="100">
        <v>13939.093771580681</v>
      </c>
      <c r="CJ38" s="100">
        <v>17</v>
      </c>
      <c r="CK38" s="100">
        <v>21114</v>
      </c>
      <c r="CL38" s="100">
        <v>13</v>
      </c>
      <c r="CM38" s="100">
        <v>16146</v>
      </c>
      <c r="CN38" s="100">
        <v>0.84873570258299136</v>
      </c>
      <c r="CO38" s="100">
        <v>1054.1297426080753</v>
      </c>
      <c r="CP38" s="100">
        <v>21.371304572042881</v>
      </c>
      <c r="CQ38" s="100">
        <v>26543.160278477259</v>
      </c>
      <c r="CR38" s="100">
        <v>3.533292925899838</v>
      </c>
      <c r="CS38" s="100">
        <v>4388.3498139675985</v>
      </c>
      <c r="CT38" s="100">
        <v>4.6955575368355067</v>
      </c>
      <c r="CU38" s="100">
        <v>5831.882460749699</v>
      </c>
    </row>
    <row r="39" spans="2:99">
      <c r="C39" s="99" t="s">
        <v>205</v>
      </c>
      <c r="D39" s="100">
        <v>14</v>
      </c>
      <c r="E39" s="100">
        <v>19924.8</v>
      </c>
      <c r="F39" s="100">
        <v>13</v>
      </c>
      <c r="G39" s="100">
        <v>18501.600000000002</v>
      </c>
      <c r="H39" s="100">
        <v>15</v>
      </c>
      <c r="I39" s="100">
        <v>21348</v>
      </c>
      <c r="J39" s="100">
        <v>16</v>
      </c>
      <c r="K39" s="100">
        <v>22771.200000000001</v>
      </c>
      <c r="L39" s="100">
        <v>6.658094633320399</v>
      </c>
      <c r="M39" s="100">
        <v>9475.8002821415921</v>
      </c>
      <c r="N39" s="100">
        <v>12.462143675435865</v>
      </c>
      <c r="O39" s="100">
        <v>17736.122878880324</v>
      </c>
      <c r="P39" s="100">
        <v>15.161938172383342</v>
      </c>
      <c r="Q39" s="100">
        <v>21578.470406935972</v>
      </c>
      <c r="R39" s="100">
        <v>13</v>
      </c>
      <c r="S39" s="100">
        <v>18501.600000000002</v>
      </c>
      <c r="T39" s="100">
        <v>16</v>
      </c>
      <c r="U39" s="100">
        <v>22771.200000000001</v>
      </c>
      <c r="V39" s="100">
        <v>12</v>
      </c>
      <c r="W39" s="100">
        <v>17078.400000000001</v>
      </c>
      <c r="X39" s="100">
        <v>0.48451541481311616</v>
      </c>
      <c r="Y39" s="100">
        <v>689.56233836202694</v>
      </c>
      <c r="Z39" s="100">
        <v>12</v>
      </c>
      <c r="AA39" s="100">
        <v>17078.400000000001</v>
      </c>
      <c r="AB39" s="100">
        <v>16</v>
      </c>
      <c r="AC39" s="100">
        <v>22771.200000000001</v>
      </c>
      <c r="AD39" s="100">
        <v>13.612852096077672</v>
      </c>
      <c r="AE39" s="100">
        <v>19373.811103137745</v>
      </c>
      <c r="AF39" s="100">
        <v>10.290407437596574</v>
      </c>
      <c r="AG39" s="100">
        <v>14645.307865187446</v>
      </c>
      <c r="AH39" s="100">
        <v>3.5292594966773438</v>
      </c>
      <c r="AI39" s="100">
        <v>5022.8421156711956</v>
      </c>
      <c r="AJ39" s="100">
        <v>18</v>
      </c>
      <c r="AK39" s="100">
        <v>25617.600000000002</v>
      </c>
      <c r="AL39" s="100">
        <v>12.425233570726462</v>
      </c>
      <c r="AM39" s="100">
        <v>17683.592417857901</v>
      </c>
      <c r="AN39" s="100">
        <v>12.477415187018108</v>
      </c>
      <c r="AO39" s="100">
        <v>17757.857294164172</v>
      </c>
      <c r="AP39" s="100">
        <v>9.9091341442800651</v>
      </c>
      <c r="AQ39" s="100">
        <v>14102.679714139389</v>
      </c>
      <c r="AR39" s="100">
        <v>7.8455636241248277</v>
      </c>
      <c r="AS39" s="100">
        <v>11165.806149854456</v>
      </c>
      <c r="AT39" s="100">
        <v>9.4860088832612638E-4</v>
      </c>
      <c r="AU39" s="100">
        <v>1.3500487842657432</v>
      </c>
      <c r="AV39" s="100">
        <v>12</v>
      </c>
      <c r="AW39" s="100">
        <v>17078.400000000001</v>
      </c>
      <c r="AX39" s="100">
        <v>3.7818279885895034</v>
      </c>
      <c r="AY39" s="100">
        <v>5382.2975933605812</v>
      </c>
      <c r="AZ39" s="100">
        <v>19.848591264060051</v>
      </c>
      <c r="BA39" s="100">
        <v>28248.515087010266</v>
      </c>
      <c r="BB39" s="100">
        <v>3.8998174766186664</v>
      </c>
      <c r="BC39" s="100">
        <v>5550.2202327236864</v>
      </c>
      <c r="BD39" s="100">
        <v>19.084466087937145</v>
      </c>
      <c r="BE39" s="100">
        <v>27161.012136352147</v>
      </c>
      <c r="BF39" s="100">
        <v>3.1321588995379805</v>
      </c>
      <c r="BG39" s="100">
        <v>4457.6885458224542</v>
      </c>
      <c r="BH39" s="100">
        <v>3.431609025110514</v>
      </c>
      <c r="BI39" s="100">
        <v>4883.8659645372836</v>
      </c>
      <c r="BJ39" s="100">
        <v>12.7714584244373</v>
      </c>
      <c r="BK39" s="100">
        <v>18176.339629659167</v>
      </c>
      <c r="BL39" s="100">
        <v>15</v>
      </c>
      <c r="BM39" s="100">
        <v>21348</v>
      </c>
      <c r="BN39" s="100">
        <v>7.010592720259357</v>
      </c>
      <c r="BO39" s="100">
        <v>9977.4755594731178</v>
      </c>
      <c r="BP39" s="100">
        <v>9</v>
      </c>
      <c r="BQ39" s="100">
        <v>12808.800000000001</v>
      </c>
      <c r="BR39" s="100">
        <v>6.7822176307245288</v>
      </c>
      <c r="BS39" s="100">
        <v>9652.4521320471504</v>
      </c>
      <c r="BT39" s="100">
        <v>17</v>
      </c>
      <c r="BU39" s="100">
        <v>24194.400000000001</v>
      </c>
      <c r="BV39" s="100">
        <v>4.7992024585849355</v>
      </c>
      <c r="BW39" s="100">
        <v>6830.2249390580801</v>
      </c>
      <c r="BX39" s="100">
        <v>21.958676656408507</v>
      </c>
      <c r="BY39" s="100">
        <v>31251.588617400586</v>
      </c>
      <c r="BZ39" s="100">
        <v>12</v>
      </c>
      <c r="CA39" s="100">
        <v>17078.400000000001</v>
      </c>
      <c r="CB39" s="100">
        <v>3.5557720646428375</v>
      </c>
      <c r="CC39" s="100">
        <v>5060.5748023996866</v>
      </c>
      <c r="CD39" s="100">
        <v>6.8360077249751052</v>
      </c>
      <c r="CE39" s="100">
        <v>9729.0061941845706</v>
      </c>
      <c r="CF39" s="100">
        <v>14.66663981712283</v>
      </c>
      <c r="CG39" s="100">
        <v>20873.561787729213</v>
      </c>
      <c r="CH39" s="100">
        <v>10.223102875668825</v>
      </c>
      <c r="CI39" s="100">
        <v>14549.520012651872</v>
      </c>
      <c r="CJ39" s="100">
        <v>17</v>
      </c>
      <c r="CK39" s="100">
        <v>24194.400000000001</v>
      </c>
      <c r="CL39" s="100">
        <v>12</v>
      </c>
      <c r="CM39" s="100">
        <v>17078.400000000001</v>
      </c>
      <c r="CN39" s="100">
        <v>0.9093596813389192</v>
      </c>
      <c r="CO39" s="100">
        <v>1294.2006984815498</v>
      </c>
      <c r="CP39" s="100">
        <v>21.371304572042881</v>
      </c>
      <c r="CQ39" s="100">
        <v>30415.640666931427</v>
      </c>
      <c r="CR39" s="100">
        <v>3.3419140205440927</v>
      </c>
      <c r="CS39" s="100">
        <v>4756.2120340383526</v>
      </c>
      <c r="CT39" s="100">
        <v>4.2450220271990515</v>
      </c>
      <c r="CU39" s="100">
        <v>6041.5153491096908</v>
      </c>
    </row>
    <row r="40" spans="2:99">
      <c r="C40" s="99" t="s">
        <v>206</v>
      </c>
      <c r="D40" s="100">
        <v>14</v>
      </c>
      <c r="E40" s="100">
        <v>10147.199999999999</v>
      </c>
      <c r="F40" s="100">
        <v>15</v>
      </c>
      <c r="G40" s="100">
        <v>10872</v>
      </c>
      <c r="H40" s="100">
        <v>17</v>
      </c>
      <c r="I40" s="100">
        <v>12321.599999999999</v>
      </c>
      <c r="J40" s="100">
        <v>18</v>
      </c>
      <c r="K40" s="100">
        <v>13046.4</v>
      </c>
      <c r="L40" s="100">
        <v>6.658094633320399</v>
      </c>
      <c r="M40" s="100">
        <v>4825.7869902306247</v>
      </c>
      <c r="N40" s="100">
        <v>11.631334097073474</v>
      </c>
      <c r="O40" s="100">
        <v>8430.3909535588537</v>
      </c>
      <c r="P40" s="100">
        <v>14.403841263764175</v>
      </c>
      <c r="Q40" s="100">
        <v>10439.904147976273</v>
      </c>
      <c r="R40" s="100">
        <v>14</v>
      </c>
      <c r="S40" s="100">
        <v>10147.199999999999</v>
      </c>
      <c r="T40" s="100">
        <v>17</v>
      </c>
      <c r="U40" s="100">
        <v>12321.599999999999</v>
      </c>
      <c r="V40" s="100">
        <v>13</v>
      </c>
      <c r="W40" s="100">
        <v>9422.4</v>
      </c>
      <c r="X40" s="100">
        <v>0.54911747012153156</v>
      </c>
      <c r="Y40" s="100">
        <v>398.00034234408605</v>
      </c>
      <c r="Z40" s="100">
        <v>13</v>
      </c>
      <c r="AA40" s="100">
        <v>9422.4</v>
      </c>
      <c r="AB40" s="100">
        <v>19</v>
      </c>
      <c r="AC40" s="100">
        <v>13771.199999999999</v>
      </c>
      <c r="AD40" s="100">
        <v>13.612852096077672</v>
      </c>
      <c r="AE40" s="100">
        <v>9866.5951992370956</v>
      </c>
      <c r="AF40" s="100">
        <v>10.290407437596574</v>
      </c>
      <c r="AG40" s="100">
        <v>7458.4873107699968</v>
      </c>
      <c r="AH40" s="100">
        <v>3.294649960012249</v>
      </c>
      <c r="AI40" s="100">
        <v>2387.9622910168778</v>
      </c>
      <c r="AJ40" s="100">
        <v>17</v>
      </c>
      <c r="AK40" s="100">
        <v>12321.599999999999</v>
      </c>
      <c r="AL40" s="100">
        <v>13.312750254349782</v>
      </c>
      <c r="AM40" s="100">
        <v>9649.0813843527212</v>
      </c>
      <c r="AN40" s="100">
        <v>14.447533374442019</v>
      </c>
      <c r="AO40" s="100">
        <v>10471.572189795574</v>
      </c>
      <c r="AP40" s="100">
        <v>12.391568976529312</v>
      </c>
      <c r="AQ40" s="100">
        <v>8981.4091941884453</v>
      </c>
      <c r="AR40" s="100">
        <v>7.9040236123940018</v>
      </c>
      <c r="AS40" s="100">
        <v>5728.8363142631724</v>
      </c>
      <c r="AT40" s="100">
        <v>1.0215701874281362E-3</v>
      </c>
      <c r="AU40" s="100">
        <v>0.7404340718479131</v>
      </c>
      <c r="AV40" s="100">
        <v>12</v>
      </c>
      <c r="AW40" s="100">
        <v>8697.5999999999985</v>
      </c>
      <c r="AX40" s="100">
        <v>4.3869375934595931</v>
      </c>
      <c r="AY40" s="100">
        <v>3179.652367739513</v>
      </c>
      <c r="AZ40" s="100">
        <v>21.848591264060051</v>
      </c>
      <c r="BA40" s="100">
        <v>15835.858948190724</v>
      </c>
      <c r="BB40" s="100">
        <v>3.8998174766186664</v>
      </c>
      <c r="BC40" s="100">
        <v>2826.5877070532092</v>
      </c>
      <c r="BD40" s="100">
        <v>20.929542361088981</v>
      </c>
      <c r="BE40" s="100">
        <v>15169.732303317292</v>
      </c>
      <c r="BF40" s="100">
        <v>3.6140294994669011</v>
      </c>
      <c r="BG40" s="100">
        <v>2619.4485812136099</v>
      </c>
      <c r="BH40" s="100">
        <v>4.0504522973718524</v>
      </c>
      <c r="BI40" s="100">
        <v>2935.7678251351185</v>
      </c>
      <c r="BJ40" s="100">
        <v>13.7714584244373</v>
      </c>
      <c r="BK40" s="100">
        <v>9981.5530660321547</v>
      </c>
      <c r="BL40" s="100">
        <v>16</v>
      </c>
      <c r="BM40" s="100">
        <v>11596.8</v>
      </c>
      <c r="BN40" s="100">
        <v>7.5498690833562314</v>
      </c>
      <c r="BO40" s="100">
        <v>5472.1451116165963</v>
      </c>
      <c r="BP40" s="100">
        <v>11</v>
      </c>
      <c r="BQ40" s="100">
        <v>7972.7999999999993</v>
      </c>
      <c r="BR40" s="100">
        <v>7.5357973674716989</v>
      </c>
      <c r="BS40" s="100">
        <v>5461.9459319434873</v>
      </c>
      <c r="BT40" s="100">
        <v>18</v>
      </c>
      <c r="BU40" s="100">
        <v>13046.4</v>
      </c>
      <c r="BV40" s="100">
        <v>5.6817141193481069</v>
      </c>
      <c r="BW40" s="100">
        <v>4118.1063937035078</v>
      </c>
      <c r="BX40" s="100">
        <v>19.838842074357444</v>
      </c>
      <c r="BY40" s="100">
        <v>14379.192735494275</v>
      </c>
      <c r="BZ40" s="100">
        <v>12</v>
      </c>
      <c r="CA40" s="100">
        <v>8697.5999999999985</v>
      </c>
      <c r="CB40" s="100">
        <v>3.7928235356190267</v>
      </c>
      <c r="CC40" s="100">
        <v>2749.0384986166705</v>
      </c>
      <c r="CD40" s="100">
        <v>8.0426009720062588</v>
      </c>
      <c r="CE40" s="100">
        <v>5829.2771845101361</v>
      </c>
      <c r="CF40" s="100">
        <v>16.117628890850632</v>
      </c>
      <c r="CG40" s="100">
        <v>11682.057420088537</v>
      </c>
      <c r="CH40" s="100">
        <v>11.223102875668825</v>
      </c>
      <c r="CI40" s="100">
        <v>8134.5049642847644</v>
      </c>
      <c r="CJ40" s="100">
        <v>16</v>
      </c>
      <c r="CK40" s="100">
        <v>11596.8</v>
      </c>
      <c r="CL40" s="100">
        <v>12</v>
      </c>
      <c r="CM40" s="100">
        <v>8697.5999999999985</v>
      </c>
      <c r="CN40" s="100">
        <v>0.9093596813389192</v>
      </c>
      <c r="CO40" s="100">
        <v>659.10389703444855</v>
      </c>
      <c r="CP40" s="100">
        <v>22.199891500537518</v>
      </c>
      <c r="CQ40" s="100">
        <v>16090.481359589592</v>
      </c>
      <c r="CR40" s="100">
        <v>3.3507612834937359</v>
      </c>
      <c r="CS40" s="100">
        <v>2428.6317782762599</v>
      </c>
      <c r="CT40" s="100">
        <v>4.4573214338033509</v>
      </c>
      <c r="CU40" s="100">
        <v>3230.6665752206686</v>
      </c>
    </row>
    <row r="41" spans="2:99">
      <c r="C41" s="99" t="s">
        <v>207</v>
      </c>
      <c r="D41" s="100">
        <v>16</v>
      </c>
      <c r="E41" s="100">
        <v>10560</v>
      </c>
      <c r="F41" s="100">
        <v>14</v>
      </c>
      <c r="G41" s="100">
        <v>9240</v>
      </c>
      <c r="H41" s="100">
        <v>18</v>
      </c>
      <c r="I41" s="100">
        <v>11880</v>
      </c>
      <c r="J41" s="100">
        <v>18</v>
      </c>
      <c r="K41" s="100">
        <v>11880</v>
      </c>
      <c r="L41" s="100">
        <v>6.658094633320399</v>
      </c>
      <c r="M41" s="100">
        <v>4394.3424579914636</v>
      </c>
      <c r="N41" s="100">
        <v>12.462143675435865</v>
      </c>
      <c r="O41" s="100">
        <v>8225.0148257876699</v>
      </c>
      <c r="P41" s="100">
        <v>16.678131989621679</v>
      </c>
      <c r="Q41" s="100">
        <v>11007.567113150308</v>
      </c>
      <c r="R41" s="100">
        <v>14</v>
      </c>
      <c r="S41" s="100">
        <v>9240</v>
      </c>
      <c r="T41" s="100">
        <v>16</v>
      </c>
      <c r="U41" s="100">
        <v>10560</v>
      </c>
      <c r="V41" s="100">
        <v>14</v>
      </c>
      <c r="W41" s="100">
        <v>9240</v>
      </c>
      <c r="X41" s="100">
        <v>0.51681644246732394</v>
      </c>
      <c r="Y41" s="100">
        <v>341.09885202843378</v>
      </c>
      <c r="Z41" s="100">
        <v>13</v>
      </c>
      <c r="AA41" s="100">
        <v>8580</v>
      </c>
      <c r="AB41" s="100">
        <v>19</v>
      </c>
      <c r="AC41" s="100">
        <v>12540</v>
      </c>
      <c r="AD41" s="100">
        <v>12.812096090426046</v>
      </c>
      <c r="AE41" s="100">
        <v>8455.9834196811898</v>
      </c>
      <c r="AF41" s="100">
        <v>12.161390608068679</v>
      </c>
      <c r="AG41" s="100">
        <v>8026.517801325328</v>
      </c>
      <c r="AH41" s="100">
        <v>3.7851495536351352</v>
      </c>
      <c r="AI41" s="100">
        <v>2498.1987053991893</v>
      </c>
      <c r="AJ41" s="100">
        <v>17</v>
      </c>
      <c r="AK41" s="100">
        <v>11220</v>
      </c>
      <c r="AL41" s="100">
        <v>14.200266937973101</v>
      </c>
      <c r="AM41" s="100">
        <v>9372.1761790622459</v>
      </c>
      <c r="AN41" s="100">
        <v>13.790827311967382</v>
      </c>
      <c r="AO41" s="100">
        <v>9101.9460258984727</v>
      </c>
      <c r="AP41" s="100">
        <v>11.657804875623606</v>
      </c>
      <c r="AQ41" s="100">
        <v>7694.1512179115798</v>
      </c>
      <c r="AR41" s="100">
        <v>7.9040236123940018</v>
      </c>
      <c r="AS41" s="100">
        <v>5216.6555841800409</v>
      </c>
      <c r="AT41" s="100">
        <v>1.0945394865301459E-3</v>
      </c>
      <c r="AU41" s="100">
        <v>0.72239606110989629</v>
      </c>
      <c r="AV41" s="100">
        <v>14</v>
      </c>
      <c r="AW41" s="100">
        <v>9240</v>
      </c>
      <c r="AX41" s="100">
        <v>4.1146168628983411</v>
      </c>
      <c r="AY41" s="100">
        <v>2715.6471295129049</v>
      </c>
      <c r="AZ41" s="100">
        <v>19.848591264060051</v>
      </c>
      <c r="BA41" s="100">
        <v>13100.070234279634</v>
      </c>
      <c r="BB41" s="100">
        <v>3.8998174766186664</v>
      </c>
      <c r="BC41" s="100">
        <v>2573.8795345683197</v>
      </c>
      <c r="BD41" s="100">
        <v>21.929542361088981</v>
      </c>
      <c r="BE41" s="100">
        <v>14473.497958318727</v>
      </c>
      <c r="BF41" s="100">
        <v>3.3730941995024408</v>
      </c>
      <c r="BG41" s="100">
        <v>2226.2421716716108</v>
      </c>
      <c r="BH41" s="100">
        <v>3.4503392498319481</v>
      </c>
      <c r="BI41" s="100">
        <v>2277.2239048890856</v>
      </c>
      <c r="BJ41" s="100">
        <v>11.7714584244373</v>
      </c>
      <c r="BK41" s="100">
        <v>7769.1625601286187</v>
      </c>
      <c r="BL41" s="100">
        <v>15</v>
      </c>
      <c r="BM41" s="100">
        <v>9900</v>
      </c>
      <c r="BN41" s="100">
        <v>7.5498690833562314</v>
      </c>
      <c r="BO41" s="100">
        <v>4982.9135950151131</v>
      </c>
      <c r="BP41" s="100">
        <v>11</v>
      </c>
      <c r="BQ41" s="100">
        <v>7260</v>
      </c>
      <c r="BR41" s="100">
        <v>7.1590074990981138</v>
      </c>
      <c r="BS41" s="100">
        <v>4724.9449494047549</v>
      </c>
      <c r="BT41" s="100">
        <v>17</v>
      </c>
      <c r="BU41" s="100">
        <v>11220</v>
      </c>
      <c r="BV41" s="100">
        <v>5.985132033053965</v>
      </c>
      <c r="BW41" s="100">
        <v>3950.187141815617</v>
      </c>
      <c r="BX41" s="100">
        <v>22.838842074357444</v>
      </c>
      <c r="BY41" s="100">
        <v>15073.635769075914</v>
      </c>
      <c r="BZ41" s="100">
        <v>14</v>
      </c>
      <c r="CA41" s="100">
        <v>9240</v>
      </c>
      <c r="CB41" s="100">
        <v>4.2669264775714053</v>
      </c>
      <c r="CC41" s="100">
        <v>2816.1714751971276</v>
      </c>
      <c r="CD41" s="100">
        <v>7.9354383845637395</v>
      </c>
      <c r="CE41" s="100">
        <v>5237.3893338120679</v>
      </c>
      <c r="CF41" s="100">
        <v>15.45879814514206</v>
      </c>
      <c r="CG41" s="100">
        <v>10202.806775793759</v>
      </c>
      <c r="CH41" s="100">
        <v>12.26772345080259</v>
      </c>
      <c r="CI41" s="100">
        <v>8096.6974775297094</v>
      </c>
      <c r="CJ41" s="100">
        <v>16</v>
      </c>
      <c r="CK41" s="100">
        <v>10560</v>
      </c>
      <c r="CL41" s="100">
        <v>12</v>
      </c>
      <c r="CM41" s="100">
        <v>7920</v>
      </c>
      <c r="CN41" s="100">
        <v>0.9093596813389192</v>
      </c>
      <c r="CO41" s="100">
        <v>600.17738968368667</v>
      </c>
      <c r="CP41" s="100">
        <v>19.199891500537518</v>
      </c>
      <c r="CQ41" s="100">
        <v>12671.928390354762</v>
      </c>
      <c r="CR41" s="100">
        <v>3.3507612834937359</v>
      </c>
      <c r="CS41" s="100">
        <v>2211.5024471058655</v>
      </c>
      <c r="CT41" s="100">
        <v>4.4659669992793036</v>
      </c>
      <c r="CU41" s="100">
        <v>2947.5382195243405</v>
      </c>
    </row>
    <row r="42" spans="2:99">
      <c r="C42" s="99" t="s">
        <v>208</v>
      </c>
      <c r="D42" s="100">
        <v>16</v>
      </c>
      <c r="E42" s="100">
        <v>13536</v>
      </c>
      <c r="F42" s="100">
        <v>15</v>
      </c>
      <c r="G42" s="100">
        <v>12690</v>
      </c>
      <c r="H42" s="100">
        <v>17</v>
      </c>
      <c r="I42" s="100">
        <v>14382</v>
      </c>
      <c r="J42" s="100">
        <v>15</v>
      </c>
      <c r="K42" s="100">
        <v>12690</v>
      </c>
      <c r="L42" s="100">
        <v>6.182516445226085</v>
      </c>
      <c r="M42" s="100">
        <v>5230.408912661268</v>
      </c>
      <c r="N42" s="100">
        <v>14.123762832160647</v>
      </c>
      <c r="O42" s="100">
        <v>11948.703356007907</v>
      </c>
      <c r="P42" s="100">
        <v>16.678131989621679</v>
      </c>
      <c r="Q42" s="100">
        <v>14109.699663219941</v>
      </c>
      <c r="R42" s="100">
        <v>14</v>
      </c>
      <c r="S42" s="100">
        <v>11844</v>
      </c>
      <c r="T42" s="100">
        <v>17</v>
      </c>
      <c r="U42" s="100">
        <v>14382</v>
      </c>
      <c r="V42" s="100">
        <v>12</v>
      </c>
      <c r="W42" s="100">
        <v>10152</v>
      </c>
      <c r="X42" s="100">
        <v>0.51681644246732394</v>
      </c>
      <c r="Y42" s="100">
        <v>437.22671032735605</v>
      </c>
      <c r="Z42" s="100">
        <v>13</v>
      </c>
      <c r="AA42" s="100">
        <v>10998</v>
      </c>
      <c r="AB42" s="100">
        <v>17</v>
      </c>
      <c r="AC42" s="100">
        <v>14382</v>
      </c>
      <c r="AD42" s="100">
        <v>12.812096090426046</v>
      </c>
      <c r="AE42" s="100">
        <v>10839.033292500435</v>
      </c>
      <c r="AF42" s="100">
        <v>12.161390608068679</v>
      </c>
      <c r="AG42" s="100">
        <v>10288.536454426103</v>
      </c>
      <c r="AH42" s="100">
        <v>3.294649960012249</v>
      </c>
      <c r="AI42" s="100">
        <v>2787.2738661703625</v>
      </c>
      <c r="AJ42" s="100">
        <v>20</v>
      </c>
      <c r="AK42" s="100">
        <v>16920</v>
      </c>
      <c r="AL42" s="100">
        <v>14.200266937973101</v>
      </c>
      <c r="AM42" s="100">
        <v>12013.425829525244</v>
      </c>
      <c r="AN42" s="100">
        <v>13.134121249492743</v>
      </c>
      <c r="AO42" s="100">
        <v>11111.466577070862</v>
      </c>
      <c r="AP42" s="100">
        <v>11.657804875623606</v>
      </c>
      <c r="AQ42" s="100">
        <v>9862.502924777571</v>
      </c>
      <c r="AR42" s="100">
        <v>8.5880266749980354</v>
      </c>
      <c r="AS42" s="100">
        <v>7265.4705670483381</v>
      </c>
      <c r="AT42" s="100">
        <v>9.4860088832612638E-4</v>
      </c>
      <c r="AU42" s="100">
        <v>0.80251635152390288</v>
      </c>
      <c r="AV42" s="100">
        <v>15</v>
      </c>
      <c r="AW42" s="100">
        <v>12690</v>
      </c>
      <c r="AX42" s="100">
        <v>3.7969450245264</v>
      </c>
      <c r="AY42" s="100">
        <v>3212.2154907493345</v>
      </c>
      <c r="AZ42" s="100">
        <v>19.848591264060051</v>
      </c>
      <c r="BA42" s="100">
        <v>16791.908209394802</v>
      </c>
      <c r="BB42" s="100">
        <v>4.3103245794206311</v>
      </c>
      <c r="BC42" s="100">
        <v>3646.534594189854</v>
      </c>
      <c r="BD42" s="100">
        <v>19.929542361088981</v>
      </c>
      <c r="BE42" s="100">
        <v>16860.392837481279</v>
      </c>
      <c r="BF42" s="100">
        <v>3.6140294994669011</v>
      </c>
      <c r="BG42" s="100">
        <v>3057.4689565489984</v>
      </c>
      <c r="BH42" s="100">
        <v>3.4409741374712315</v>
      </c>
      <c r="BI42" s="100">
        <v>2911.0641203006617</v>
      </c>
      <c r="BJ42" s="100">
        <v>11.642882020364416</v>
      </c>
      <c r="BK42" s="100">
        <v>9849.8781892282968</v>
      </c>
      <c r="BL42" s="100">
        <v>14</v>
      </c>
      <c r="BM42" s="100">
        <v>11844</v>
      </c>
      <c r="BN42" s="100">
        <v>8.0891454464531058</v>
      </c>
      <c r="BO42" s="100">
        <v>6843.4170476993277</v>
      </c>
      <c r="BP42" s="100">
        <v>11</v>
      </c>
      <c r="BQ42" s="100">
        <v>9306</v>
      </c>
      <c r="BR42" s="100">
        <v>7.1590074990981138</v>
      </c>
      <c r="BS42" s="100">
        <v>6056.5203442370039</v>
      </c>
      <c r="BT42" s="100">
        <v>16</v>
      </c>
      <c r="BU42" s="100">
        <v>13536</v>
      </c>
      <c r="BV42" s="100">
        <v>5.3875435657603834</v>
      </c>
      <c r="BW42" s="100">
        <v>4557.8618566332843</v>
      </c>
      <c r="BX42" s="100">
        <v>20.838842074357444</v>
      </c>
      <c r="BY42" s="100">
        <v>17629.660394906397</v>
      </c>
      <c r="BZ42" s="100">
        <v>13</v>
      </c>
      <c r="CA42" s="100">
        <v>10998</v>
      </c>
      <c r="CB42" s="100">
        <v>3.7928235356190267</v>
      </c>
      <c r="CC42" s="100">
        <v>3208.7287111336968</v>
      </c>
      <c r="CD42" s="100">
        <v>7.4880105190694435</v>
      </c>
      <c r="CE42" s="100">
        <v>6334.8568991327493</v>
      </c>
      <c r="CF42" s="100">
        <v>15.45879814514206</v>
      </c>
      <c r="CG42" s="100">
        <v>13078.143230790183</v>
      </c>
      <c r="CH42" s="100">
        <v>11.26772345080259</v>
      </c>
      <c r="CI42" s="100">
        <v>9532.4940393789911</v>
      </c>
      <c r="CJ42" s="100">
        <v>15</v>
      </c>
      <c r="CK42" s="100">
        <v>12690</v>
      </c>
      <c r="CL42" s="100">
        <v>13</v>
      </c>
      <c r="CM42" s="100">
        <v>10998</v>
      </c>
      <c r="CN42" s="100">
        <v>0.9093596813389192</v>
      </c>
      <c r="CO42" s="100">
        <v>769.31829041272567</v>
      </c>
      <c r="CP42" s="100">
        <v>22.371304572042881</v>
      </c>
      <c r="CQ42" s="100">
        <v>18926.123667948279</v>
      </c>
      <c r="CR42" s="100">
        <v>3.1593823781379906</v>
      </c>
      <c r="CS42" s="100">
        <v>2672.8374919047401</v>
      </c>
      <c r="CT42" s="100">
        <v>5.1633841774238673</v>
      </c>
      <c r="CU42" s="100">
        <v>4368.2230141005921</v>
      </c>
    </row>
    <row r="43" spans="2:99">
      <c r="C43" s="99" t="s">
        <v>209</v>
      </c>
      <c r="D43" s="100">
        <v>15</v>
      </c>
      <c r="E43" s="100">
        <v>15336</v>
      </c>
      <c r="F43" s="100">
        <v>15</v>
      </c>
      <c r="G43" s="100">
        <v>15336</v>
      </c>
      <c r="H43" s="100">
        <v>16</v>
      </c>
      <c r="I43" s="100">
        <v>16358.4</v>
      </c>
      <c r="J43" s="100">
        <v>17</v>
      </c>
      <c r="K43" s="100">
        <v>17380.8</v>
      </c>
      <c r="L43" s="100">
        <v>6.658094633320399</v>
      </c>
      <c r="M43" s="100">
        <v>6807.2359531067759</v>
      </c>
      <c r="N43" s="100">
        <v>13.292953253798256</v>
      </c>
      <c r="O43" s="100">
        <v>13590.715406683337</v>
      </c>
      <c r="P43" s="100">
        <v>15.92003508100251</v>
      </c>
      <c r="Q43" s="100">
        <v>16276.643866816967</v>
      </c>
      <c r="R43" s="100">
        <v>13</v>
      </c>
      <c r="S43" s="100">
        <v>13291.199999999999</v>
      </c>
      <c r="T43" s="100">
        <v>17</v>
      </c>
      <c r="U43" s="100">
        <v>17380.8</v>
      </c>
      <c r="V43" s="100">
        <v>12</v>
      </c>
      <c r="W43" s="100">
        <v>12268.8</v>
      </c>
      <c r="X43" s="100">
        <v>0.51681644246732394</v>
      </c>
      <c r="Y43" s="100">
        <v>528.39313077859197</v>
      </c>
      <c r="Z43" s="100">
        <v>12</v>
      </c>
      <c r="AA43" s="100">
        <v>12268.8</v>
      </c>
      <c r="AB43" s="100">
        <v>17</v>
      </c>
      <c r="AC43" s="100">
        <v>17380.8</v>
      </c>
      <c r="AD43" s="100">
        <v>13.612852096077672</v>
      </c>
      <c r="AE43" s="100">
        <v>13917.779983029812</v>
      </c>
      <c r="AF43" s="100">
        <v>12.161390608068679</v>
      </c>
      <c r="AG43" s="100">
        <v>12433.805757689417</v>
      </c>
      <c r="AH43" s="100">
        <v>3.5398997568236918</v>
      </c>
      <c r="AI43" s="100">
        <v>3619.1935113765426</v>
      </c>
      <c r="AJ43" s="100">
        <v>17</v>
      </c>
      <c r="AK43" s="100">
        <v>17380.8</v>
      </c>
      <c r="AL43" s="100">
        <v>15.087783621596417</v>
      </c>
      <c r="AM43" s="100">
        <v>15425.749974720176</v>
      </c>
      <c r="AN43" s="100">
        <v>12.477415187018108</v>
      </c>
      <c r="AO43" s="100">
        <v>12756.909287207314</v>
      </c>
      <c r="AP43" s="100">
        <v>10.492024388061244</v>
      </c>
      <c r="AQ43" s="100">
        <v>10727.045734353816</v>
      </c>
      <c r="AR43" s="100">
        <v>7.8455636241248277</v>
      </c>
      <c r="AS43" s="100">
        <v>8021.3042493052235</v>
      </c>
      <c r="AT43" s="100">
        <v>1.0215701874281362E-3</v>
      </c>
      <c r="AU43" s="100">
        <v>1.0444533596265264</v>
      </c>
      <c r="AV43" s="100">
        <v>13</v>
      </c>
      <c r="AW43" s="100">
        <v>13291.199999999999</v>
      </c>
      <c r="AX43" s="100">
        <v>3.7969450245264</v>
      </c>
      <c r="AY43" s="100">
        <v>3881.9965930757912</v>
      </c>
      <c r="AZ43" s="100">
        <v>21.848591264060051</v>
      </c>
      <c r="BA43" s="100">
        <v>22337.999708374995</v>
      </c>
      <c r="BB43" s="100">
        <v>4.1050710280196485</v>
      </c>
      <c r="BC43" s="100">
        <v>4197.024619047289</v>
      </c>
      <c r="BD43" s="100">
        <v>18.929542361088981</v>
      </c>
      <c r="BE43" s="100">
        <v>19353.564109977375</v>
      </c>
      <c r="BF43" s="100">
        <v>3.3730941995024408</v>
      </c>
      <c r="BG43" s="100">
        <v>3448.6515095712953</v>
      </c>
      <c r="BH43" s="100">
        <v>3.8535363189787901</v>
      </c>
      <c r="BI43" s="100">
        <v>3939.8555325239149</v>
      </c>
      <c r="BJ43" s="100">
        <v>12.7714584244373</v>
      </c>
      <c r="BK43" s="100">
        <v>13057.539093144696</v>
      </c>
      <c r="BL43" s="100">
        <v>14</v>
      </c>
      <c r="BM43" s="100">
        <v>14313.6</v>
      </c>
      <c r="BN43" s="100">
        <v>8.0891454464531058</v>
      </c>
      <c r="BO43" s="100">
        <v>8270.3423044536557</v>
      </c>
      <c r="BP43" s="100">
        <v>11</v>
      </c>
      <c r="BQ43" s="100">
        <v>11246.4</v>
      </c>
      <c r="BR43" s="100">
        <v>7.1590074990981138</v>
      </c>
      <c r="BS43" s="100">
        <v>7319.369267077911</v>
      </c>
      <c r="BT43" s="100">
        <v>15</v>
      </c>
      <c r="BU43" s="100">
        <v>15336</v>
      </c>
      <c r="BV43" s="100">
        <v>5.6817141193481069</v>
      </c>
      <c r="BW43" s="100">
        <v>5808.9845156215042</v>
      </c>
      <c r="BX43" s="100">
        <v>20.838842074357444</v>
      </c>
      <c r="BY43" s="100">
        <v>21305.632136823049</v>
      </c>
      <c r="BZ43" s="100">
        <v>13</v>
      </c>
      <c r="CA43" s="100">
        <v>13291.199999999999</v>
      </c>
      <c r="CB43" s="100">
        <v>3.5557720646428375</v>
      </c>
      <c r="CC43" s="100">
        <v>3635.4213588908369</v>
      </c>
      <c r="CD43" s="100">
        <v>8.0426009720062588</v>
      </c>
      <c r="CE43" s="100">
        <v>8222.7552337791985</v>
      </c>
      <c r="CF43" s="100">
        <v>13.082323161084368</v>
      </c>
      <c r="CG43" s="100">
        <v>13375.367199892657</v>
      </c>
      <c r="CH43" s="100">
        <v>11.223102875668825</v>
      </c>
      <c r="CI43" s="100">
        <v>11474.500380083808</v>
      </c>
      <c r="CJ43" s="100">
        <v>17</v>
      </c>
      <c r="CK43" s="100">
        <v>17380.8</v>
      </c>
      <c r="CL43" s="100">
        <v>11</v>
      </c>
      <c r="CM43" s="100">
        <v>11246.4</v>
      </c>
      <c r="CN43" s="100">
        <v>0.9093596813389192</v>
      </c>
      <c r="CO43" s="100">
        <v>929.729338200911</v>
      </c>
      <c r="CP43" s="100">
        <v>19.199891500537518</v>
      </c>
      <c r="CQ43" s="100">
        <v>19629.969070149557</v>
      </c>
      <c r="CR43" s="100">
        <v>3.533292925899838</v>
      </c>
      <c r="CS43" s="100">
        <v>3612.4386874399943</v>
      </c>
      <c r="CT43" s="100">
        <v>4.4746125647552555</v>
      </c>
      <c r="CU43" s="100">
        <v>4574.8438862057728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16</v>
      </c>
      <c r="G44" s="100">
        <v>16358.4</v>
      </c>
      <c r="H44" s="100">
        <v>18</v>
      </c>
      <c r="I44" s="100">
        <v>18403.2</v>
      </c>
      <c r="J44" s="100">
        <v>15</v>
      </c>
      <c r="K44" s="100">
        <v>15336</v>
      </c>
      <c r="L44" s="100">
        <v>6.658094633320399</v>
      </c>
      <c r="M44" s="100">
        <v>6807.2359531067759</v>
      </c>
      <c r="N44" s="100">
        <v>13.292953253798256</v>
      </c>
      <c r="O44" s="100">
        <v>13590.715406683337</v>
      </c>
      <c r="P44" s="100">
        <v>15.161938172383342</v>
      </c>
      <c r="Q44" s="100">
        <v>15501.565587444729</v>
      </c>
      <c r="R44" s="100">
        <v>13</v>
      </c>
      <c r="S44" s="100">
        <v>13291.199999999999</v>
      </c>
      <c r="T44" s="100">
        <v>16</v>
      </c>
      <c r="U44" s="100">
        <v>16358.4</v>
      </c>
      <c r="V44" s="100">
        <v>12</v>
      </c>
      <c r="W44" s="100">
        <v>12268.8</v>
      </c>
      <c r="X44" s="100">
        <v>0.48451541481311616</v>
      </c>
      <c r="Y44" s="100">
        <v>495.36856010492994</v>
      </c>
      <c r="Z44" s="100">
        <v>14</v>
      </c>
      <c r="AA44" s="100">
        <v>14313.6</v>
      </c>
      <c r="AB44" s="100">
        <v>18</v>
      </c>
      <c r="AC44" s="100">
        <v>18403.2</v>
      </c>
      <c r="AD44" s="100">
        <v>12.812096090426046</v>
      </c>
      <c r="AE44" s="100">
        <v>13099.087042851588</v>
      </c>
      <c r="AF44" s="100">
        <v>12.161390608068679</v>
      </c>
      <c r="AG44" s="100">
        <v>12433.805757689417</v>
      </c>
      <c r="AH44" s="100">
        <v>3.5398997568236918</v>
      </c>
      <c r="AI44" s="100">
        <v>3619.1935113765426</v>
      </c>
      <c r="AJ44" s="100">
        <v>19</v>
      </c>
      <c r="AK44" s="100">
        <v>19425.599999999999</v>
      </c>
      <c r="AL44" s="100">
        <v>13.312750254349782</v>
      </c>
      <c r="AM44" s="100">
        <v>13610.955860047216</v>
      </c>
      <c r="AN44" s="100">
        <v>13.790827311967382</v>
      </c>
      <c r="AO44" s="100">
        <v>14099.741843755452</v>
      </c>
      <c r="AP44" s="100">
        <v>11.074914631842425</v>
      </c>
      <c r="AQ44" s="100">
        <v>11322.992719595695</v>
      </c>
      <c r="AR44" s="100">
        <v>7.8455636241248277</v>
      </c>
      <c r="AS44" s="100">
        <v>8021.3042493052235</v>
      </c>
      <c r="AT44" s="100">
        <v>1.0215701874281362E-3</v>
      </c>
      <c r="AU44" s="100">
        <v>1.0444533596265264</v>
      </c>
      <c r="AV44" s="100">
        <v>12</v>
      </c>
      <c r="AW44" s="100">
        <v>12268.8</v>
      </c>
      <c r="AX44" s="100">
        <v>3.4792731861544581</v>
      </c>
      <c r="AY44" s="100">
        <v>3557.2089055243177</v>
      </c>
      <c r="AZ44" s="100">
        <v>19.848591264060051</v>
      </c>
      <c r="BA44" s="100">
        <v>20293.199708374996</v>
      </c>
      <c r="BB44" s="100">
        <v>3.8998174766186664</v>
      </c>
      <c r="BC44" s="100">
        <v>3987.1733880949246</v>
      </c>
      <c r="BD44" s="100">
        <v>20.929542361088981</v>
      </c>
      <c r="BE44" s="100">
        <v>21398.364109977374</v>
      </c>
      <c r="BF44" s="100">
        <v>3.8549647994313609</v>
      </c>
      <c r="BG44" s="100">
        <v>3941.3160109386235</v>
      </c>
      <c r="BH44" s="100">
        <v>3.8535363189787901</v>
      </c>
      <c r="BI44" s="100">
        <v>3939.8555325239149</v>
      </c>
      <c r="BJ44" s="100">
        <v>12.7714584244373</v>
      </c>
      <c r="BK44" s="100">
        <v>13057.539093144696</v>
      </c>
      <c r="BL44" s="100">
        <v>14</v>
      </c>
      <c r="BM44" s="100">
        <v>14313.6</v>
      </c>
      <c r="BN44" s="100">
        <v>7.5498690833562314</v>
      </c>
      <c r="BO44" s="100">
        <v>7718.9861508234108</v>
      </c>
      <c r="BP44" s="100">
        <v>10</v>
      </c>
      <c r="BQ44" s="100">
        <v>10224</v>
      </c>
      <c r="BR44" s="100">
        <v>6.7822176307245288</v>
      </c>
      <c r="BS44" s="100">
        <v>6934.1393056527577</v>
      </c>
      <c r="BT44" s="100">
        <v>16</v>
      </c>
      <c r="BU44" s="100">
        <v>16358.4</v>
      </c>
      <c r="BV44" s="100">
        <v>5.0008994109913036</v>
      </c>
      <c r="BW44" s="100">
        <v>5112.9195577975088</v>
      </c>
      <c r="BX44" s="100">
        <v>21.958676656408507</v>
      </c>
      <c r="BY44" s="100">
        <v>22450.551013512057</v>
      </c>
      <c r="BZ44" s="100">
        <v>13</v>
      </c>
      <c r="CA44" s="100">
        <v>13291.199999999999</v>
      </c>
      <c r="CB44" s="100">
        <v>3.3187205936666482</v>
      </c>
      <c r="CC44" s="100">
        <v>3393.059934964781</v>
      </c>
      <c r="CD44" s="100">
        <v>7.4880105190694435</v>
      </c>
      <c r="CE44" s="100">
        <v>7655.7419546965984</v>
      </c>
      <c r="CF44" s="100">
        <v>13.74115390679294</v>
      </c>
      <c r="CG44" s="100">
        <v>14048.955754305101</v>
      </c>
      <c r="CH44" s="100">
        <v>12.26772345080259</v>
      </c>
      <c r="CI44" s="100">
        <v>12542.520456100568</v>
      </c>
      <c r="CJ44" s="100">
        <v>17</v>
      </c>
      <c r="CK44" s="100">
        <v>17380.8</v>
      </c>
      <c r="CL44" s="100">
        <v>12</v>
      </c>
      <c r="CM44" s="100">
        <v>12268.8</v>
      </c>
      <c r="CN44" s="100">
        <v>0.84873570258299136</v>
      </c>
      <c r="CO44" s="100">
        <v>867.74738232085031</v>
      </c>
      <c r="CP44" s="100">
        <v>19.199891500537518</v>
      </c>
      <c r="CQ44" s="100">
        <v>19629.969070149557</v>
      </c>
      <c r="CR44" s="100">
        <v>3.3419140205440927</v>
      </c>
      <c r="CS44" s="100">
        <v>3416.7728946042803</v>
      </c>
      <c r="CT44" s="100">
        <v>4.4573214338033509</v>
      </c>
      <c r="CU44" s="100">
        <v>4557.1654339205461</v>
      </c>
    </row>
    <row r="45" spans="2:99">
      <c r="C45" s="99" t="s">
        <v>211</v>
      </c>
      <c r="D45" s="100">
        <v>14</v>
      </c>
      <c r="E45" s="100">
        <v>17488.8</v>
      </c>
      <c r="F45" s="100">
        <v>15</v>
      </c>
      <c r="G45" s="100">
        <v>18738</v>
      </c>
      <c r="H45" s="100">
        <v>18</v>
      </c>
      <c r="I45" s="100">
        <v>22485.600000000002</v>
      </c>
      <c r="J45" s="100">
        <v>14</v>
      </c>
      <c r="K45" s="100">
        <v>17488.8</v>
      </c>
      <c r="L45" s="100">
        <v>6.658094633320399</v>
      </c>
      <c r="M45" s="100">
        <v>8317.2918159438432</v>
      </c>
      <c r="N45" s="100">
        <v>11.631334097073474</v>
      </c>
      <c r="O45" s="100">
        <v>14529.862554064184</v>
      </c>
      <c r="P45" s="100">
        <v>15.161938172383342</v>
      </c>
      <c r="Q45" s="100">
        <v>18940.293164941271</v>
      </c>
      <c r="R45" s="100">
        <v>12</v>
      </c>
      <c r="S45" s="100">
        <v>14990.400000000001</v>
      </c>
      <c r="T45" s="100">
        <v>16</v>
      </c>
      <c r="U45" s="100">
        <v>19987.2</v>
      </c>
      <c r="V45" s="100">
        <v>12</v>
      </c>
      <c r="W45" s="100">
        <v>14990.400000000001</v>
      </c>
      <c r="X45" s="100">
        <v>0.54911747012153156</v>
      </c>
      <c r="Y45" s="100">
        <v>685.95754367581719</v>
      </c>
      <c r="Z45" s="100">
        <v>13</v>
      </c>
      <c r="AA45" s="100">
        <v>16239.6</v>
      </c>
      <c r="AB45" s="100">
        <v>19</v>
      </c>
      <c r="AC45" s="100">
        <v>23734.799999999999</v>
      </c>
      <c r="AD45" s="100">
        <v>12.011340084774417</v>
      </c>
      <c r="AE45" s="100">
        <v>15004.566033900202</v>
      </c>
      <c r="AF45" s="100">
        <v>11.225899022832628</v>
      </c>
      <c r="AG45" s="100">
        <v>14023.39305932252</v>
      </c>
      <c r="AH45" s="100">
        <v>3.5398997568236918</v>
      </c>
      <c r="AI45" s="100">
        <v>4422.0427762241561</v>
      </c>
      <c r="AJ45" s="100">
        <v>18</v>
      </c>
      <c r="AK45" s="100">
        <v>22485.600000000002</v>
      </c>
      <c r="AL45" s="100">
        <v>12.425233570726462</v>
      </c>
      <c r="AM45" s="100">
        <v>15521.601776551497</v>
      </c>
      <c r="AN45" s="100">
        <v>11.820709124543471</v>
      </c>
      <c r="AO45" s="100">
        <v>14766.429838379705</v>
      </c>
      <c r="AP45" s="100">
        <v>10.492024388061244</v>
      </c>
      <c r="AQ45" s="100">
        <v>13106.636865566106</v>
      </c>
      <c r="AR45" s="100">
        <v>7.8455636241248277</v>
      </c>
      <c r="AS45" s="100">
        <v>9800.6780792567351</v>
      </c>
      <c r="AT45" s="100">
        <v>9.4860088832612638E-4</v>
      </c>
      <c r="AU45" s="100">
        <v>1.184992229696997</v>
      </c>
      <c r="AV45" s="100">
        <v>14</v>
      </c>
      <c r="AW45" s="100">
        <v>17488.8</v>
      </c>
      <c r="AX45" s="100">
        <v>3.7969450245264</v>
      </c>
      <c r="AY45" s="100">
        <v>4743.1437246383794</v>
      </c>
      <c r="AZ45" s="100">
        <v>19.848591264060051</v>
      </c>
      <c r="BA45" s="100">
        <v>24794.860207063815</v>
      </c>
      <c r="BB45" s="100">
        <v>3.8998174766186664</v>
      </c>
      <c r="BC45" s="100">
        <v>4871.6519917920386</v>
      </c>
      <c r="BD45" s="100">
        <v>19.084466087937145</v>
      </c>
      <c r="BE45" s="100">
        <v>23840.315037051081</v>
      </c>
      <c r="BF45" s="100">
        <v>3.6140294994669011</v>
      </c>
      <c r="BG45" s="100">
        <v>4514.6456507340527</v>
      </c>
      <c r="BH45" s="100">
        <v>3.2159628219960168</v>
      </c>
      <c r="BI45" s="100">
        <v>4017.3807572374244</v>
      </c>
      <c r="BJ45" s="100">
        <v>12.642882020364416</v>
      </c>
      <c r="BK45" s="100">
        <v>15793.48821983923</v>
      </c>
      <c r="BL45" s="100">
        <v>13</v>
      </c>
      <c r="BM45" s="100">
        <v>16239.6</v>
      </c>
      <c r="BN45" s="100">
        <v>6.4713163571624843</v>
      </c>
      <c r="BO45" s="100">
        <v>8083.9683933673759</v>
      </c>
      <c r="BP45" s="100">
        <v>10</v>
      </c>
      <c r="BQ45" s="100">
        <v>12492</v>
      </c>
      <c r="BR45" s="100">
        <v>6.7822176307245288</v>
      </c>
      <c r="BS45" s="100">
        <v>8472.3462643010807</v>
      </c>
      <c r="BT45" s="100">
        <v>16</v>
      </c>
      <c r="BU45" s="100">
        <v>19987.2</v>
      </c>
      <c r="BV45" s="100">
        <v>5.3875435657603834</v>
      </c>
      <c r="BW45" s="100">
        <v>6730.1194223478715</v>
      </c>
      <c r="BX45" s="100">
        <v>18.958676656408507</v>
      </c>
      <c r="BY45" s="100">
        <v>23683.178879185507</v>
      </c>
      <c r="BZ45" s="100">
        <v>12</v>
      </c>
      <c r="CA45" s="100">
        <v>14990.400000000001</v>
      </c>
      <c r="CB45" s="100">
        <v>3.5557720646428375</v>
      </c>
      <c r="CC45" s="100">
        <v>4441.8704631518331</v>
      </c>
      <c r="CD45" s="100">
        <v>7.4880105190694435</v>
      </c>
      <c r="CE45" s="100">
        <v>9354.0227404215493</v>
      </c>
      <c r="CF45" s="100">
        <v>14.007809071414254</v>
      </c>
      <c r="CG45" s="100">
        <v>17498.555092010687</v>
      </c>
      <c r="CH45" s="100">
        <v>11.26772345080259</v>
      </c>
      <c r="CI45" s="100">
        <v>14075.640134742596</v>
      </c>
      <c r="CJ45" s="100">
        <v>17</v>
      </c>
      <c r="CK45" s="100">
        <v>21236.400000000001</v>
      </c>
      <c r="CL45" s="100">
        <v>12</v>
      </c>
      <c r="CM45" s="100">
        <v>14990.400000000001</v>
      </c>
      <c r="CN45" s="100">
        <v>0.96998366009484727</v>
      </c>
      <c r="CO45" s="100">
        <v>1211.7035881904833</v>
      </c>
      <c r="CP45" s="100">
        <v>20.199891500537518</v>
      </c>
      <c r="CQ45" s="100">
        <v>25233.704462471469</v>
      </c>
      <c r="CR45" s="100">
        <v>3.3419140205440927</v>
      </c>
      <c r="CS45" s="100">
        <v>4174.7189944636812</v>
      </c>
      <c r="CT45" s="100">
        <v>4.2363764617230988</v>
      </c>
      <c r="CU45" s="100">
        <v>5292.0814759844952</v>
      </c>
    </row>
    <row r="46" spans="2:99">
      <c r="C46" s="99" t="s">
        <v>212</v>
      </c>
      <c r="D46" s="100">
        <v>13</v>
      </c>
      <c r="E46" s="100">
        <v>15756</v>
      </c>
      <c r="F46" s="100">
        <v>14</v>
      </c>
      <c r="G46" s="100">
        <v>16968</v>
      </c>
      <c r="H46" s="100">
        <v>17</v>
      </c>
      <c r="I46" s="100">
        <v>20604</v>
      </c>
      <c r="J46" s="100">
        <v>17</v>
      </c>
      <c r="K46" s="100">
        <v>20604</v>
      </c>
      <c r="L46" s="100">
        <v>6.658094633320399</v>
      </c>
      <c r="M46" s="100">
        <v>8069.6106955843234</v>
      </c>
      <c r="N46" s="100">
        <v>12.462143675435865</v>
      </c>
      <c r="O46" s="100">
        <v>15104.118134628268</v>
      </c>
      <c r="P46" s="100">
        <v>15.92003508100251</v>
      </c>
      <c r="Q46" s="100">
        <v>19295.082518175041</v>
      </c>
      <c r="R46" s="100">
        <v>13</v>
      </c>
      <c r="S46" s="100">
        <v>15756</v>
      </c>
      <c r="T46" s="100">
        <v>15</v>
      </c>
      <c r="U46" s="100">
        <v>18180</v>
      </c>
      <c r="V46" s="100">
        <v>13</v>
      </c>
      <c r="W46" s="100">
        <v>15756</v>
      </c>
      <c r="X46" s="100">
        <v>0.45221438715890844</v>
      </c>
      <c r="Y46" s="100">
        <v>548.08383723659699</v>
      </c>
      <c r="Z46" s="100">
        <v>12</v>
      </c>
      <c r="AA46" s="100">
        <v>14544</v>
      </c>
      <c r="AB46" s="100">
        <v>18</v>
      </c>
      <c r="AC46" s="100">
        <v>21816</v>
      </c>
      <c r="AD46" s="100">
        <v>13.612852096077672</v>
      </c>
      <c r="AE46" s="100">
        <v>16498.776740446137</v>
      </c>
      <c r="AF46" s="100">
        <v>11.225899022832628</v>
      </c>
      <c r="AG46" s="100">
        <v>13605.789615673146</v>
      </c>
      <c r="AH46" s="100">
        <v>3.5398997568236918</v>
      </c>
      <c r="AI46" s="100">
        <v>4290.3585052703147</v>
      </c>
      <c r="AJ46" s="100">
        <v>20</v>
      </c>
      <c r="AK46" s="100">
        <v>24240</v>
      </c>
      <c r="AL46" s="100">
        <v>14.200266937973101</v>
      </c>
      <c r="AM46" s="100">
        <v>17210.723528823397</v>
      </c>
      <c r="AN46" s="100">
        <v>13.790827311967382</v>
      </c>
      <c r="AO46" s="100">
        <v>16714.482702104466</v>
      </c>
      <c r="AP46" s="100">
        <v>10.492024388061244</v>
      </c>
      <c r="AQ46" s="100">
        <v>12716.333558330229</v>
      </c>
      <c r="AR46" s="100">
        <v>8.5587966808634484</v>
      </c>
      <c r="AS46" s="100">
        <v>10373.2615772065</v>
      </c>
      <c r="AT46" s="100">
        <v>9.4860088832612638E-4</v>
      </c>
      <c r="AU46" s="100">
        <v>1.1497042766512651</v>
      </c>
      <c r="AV46" s="100">
        <v>13</v>
      </c>
      <c r="AW46" s="100">
        <v>15756</v>
      </c>
      <c r="AX46" s="100">
        <v>4.0994998269614449</v>
      </c>
      <c r="AY46" s="100">
        <v>4968.5937902772712</v>
      </c>
      <c r="AZ46" s="100">
        <v>20.848591264060051</v>
      </c>
      <c r="BA46" s="100">
        <v>25268.492612040784</v>
      </c>
      <c r="BB46" s="100">
        <v>3.6945639252176834</v>
      </c>
      <c r="BC46" s="100">
        <v>4477.8114773638326</v>
      </c>
      <c r="BD46" s="100">
        <v>18.929542361088981</v>
      </c>
      <c r="BE46" s="100">
        <v>22942.605341639843</v>
      </c>
      <c r="BF46" s="100">
        <v>3.6140294994669011</v>
      </c>
      <c r="BG46" s="100">
        <v>4380.2037533538842</v>
      </c>
      <c r="BH46" s="100">
        <v>3.8535363189787901</v>
      </c>
      <c r="BI46" s="100">
        <v>4670.4860186022934</v>
      </c>
      <c r="BJ46" s="100">
        <v>12.642882020364416</v>
      </c>
      <c r="BK46" s="100">
        <v>15323.173008681671</v>
      </c>
      <c r="BL46" s="100">
        <v>13</v>
      </c>
      <c r="BM46" s="100">
        <v>15756</v>
      </c>
      <c r="BN46" s="100">
        <v>6.4713163571624843</v>
      </c>
      <c r="BO46" s="100">
        <v>7843.2354248809306</v>
      </c>
      <c r="BP46" s="100">
        <v>10</v>
      </c>
      <c r="BQ46" s="100">
        <v>12120</v>
      </c>
      <c r="BR46" s="100">
        <v>7.912587235845284</v>
      </c>
      <c r="BS46" s="100">
        <v>9590.0557298444837</v>
      </c>
      <c r="BT46" s="100">
        <v>15</v>
      </c>
      <c r="BU46" s="100">
        <v>18180</v>
      </c>
      <c r="BV46" s="100">
        <v>5.6817141193481069</v>
      </c>
      <c r="BW46" s="100">
        <v>6886.2375126499055</v>
      </c>
      <c r="BX46" s="100">
        <v>18.838842074357444</v>
      </c>
      <c r="BY46" s="100">
        <v>22832.676594121222</v>
      </c>
      <c r="BZ46" s="100">
        <v>11</v>
      </c>
      <c r="CA46" s="100">
        <v>13332</v>
      </c>
      <c r="CB46" s="100">
        <v>4.0298750065952156</v>
      </c>
      <c r="CC46" s="100">
        <v>4884.2085079934013</v>
      </c>
      <c r="CD46" s="100">
        <v>7.3808479316269242</v>
      </c>
      <c r="CE46" s="100">
        <v>8945.5876931318326</v>
      </c>
      <c r="CF46" s="100">
        <v>14.66663981712283</v>
      </c>
      <c r="CG46" s="100">
        <v>17775.967458352869</v>
      </c>
      <c r="CH46" s="100">
        <v>10.223102875668825</v>
      </c>
      <c r="CI46" s="100">
        <v>12390.400685310617</v>
      </c>
      <c r="CJ46" s="100">
        <v>15</v>
      </c>
      <c r="CK46" s="100">
        <v>18180</v>
      </c>
      <c r="CL46" s="100">
        <v>12</v>
      </c>
      <c r="CM46" s="100">
        <v>14544</v>
      </c>
      <c r="CN46" s="100">
        <v>0.9093596813389192</v>
      </c>
      <c r="CO46" s="100">
        <v>1102.1439337827701</v>
      </c>
      <c r="CP46" s="100">
        <v>19.199891500537518</v>
      </c>
      <c r="CQ46" s="100">
        <v>23270.268498651472</v>
      </c>
      <c r="CR46" s="100">
        <v>3.533292925899838</v>
      </c>
      <c r="CS46" s="100">
        <v>4282.351026190604</v>
      </c>
      <c r="CT46" s="100">
        <v>4.0154314896428476</v>
      </c>
      <c r="CU46" s="100">
        <v>4866.7029654471316</v>
      </c>
    </row>
    <row r="47" spans="2:99">
      <c r="C47" s="99" t="s">
        <v>213</v>
      </c>
      <c r="D47" s="100">
        <v>13</v>
      </c>
      <c r="E47" s="100">
        <v>19858.8</v>
      </c>
      <c r="F47" s="100">
        <v>14</v>
      </c>
      <c r="G47" s="100">
        <v>21386.399999999998</v>
      </c>
      <c r="H47" s="100">
        <v>17</v>
      </c>
      <c r="I47" s="100">
        <v>25969.199999999997</v>
      </c>
      <c r="J47" s="100">
        <v>14</v>
      </c>
      <c r="K47" s="100">
        <v>21386.399999999998</v>
      </c>
      <c r="L47" s="100">
        <v>5.7069382571317702</v>
      </c>
      <c r="M47" s="100">
        <v>8717.9188815944908</v>
      </c>
      <c r="N47" s="100">
        <v>11.631334097073474</v>
      </c>
      <c r="O47" s="100">
        <v>17768.025966689438</v>
      </c>
      <c r="P47" s="100">
        <v>13.645744355145009</v>
      </c>
      <c r="Q47" s="100">
        <v>20845.239076919515</v>
      </c>
      <c r="R47" s="100">
        <v>12</v>
      </c>
      <c r="S47" s="100">
        <v>18331.199999999997</v>
      </c>
      <c r="T47" s="100">
        <v>16</v>
      </c>
      <c r="U47" s="100">
        <v>24441.599999999999</v>
      </c>
      <c r="V47" s="100">
        <v>12</v>
      </c>
      <c r="W47" s="100">
        <v>18331.199999999997</v>
      </c>
      <c r="X47" s="100">
        <v>0.51681644246732394</v>
      </c>
      <c r="Y47" s="100">
        <v>789.48879751308402</v>
      </c>
      <c r="Z47" s="100">
        <v>13</v>
      </c>
      <c r="AA47" s="100">
        <v>19858.8</v>
      </c>
      <c r="AB47" s="100">
        <v>18</v>
      </c>
      <c r="AC47" s="100">
        <v>27496.799999999999</v>
      </c>
      <c r="AD47" s="100">
        <v>13.612852096077672</v>
      </c>
      <c r="AE47" s="100">
        <v>20794.992861968251</v>
      </c>
      <c r="AF47" s="100">
        <v>11.225899022832628</v>
      </c>
      <c r="AG47" s="100">
        <v>17148.683347279122</v>
      </c>
      <c r="AH47" s="100">
        <v>3.2840096998659005</v>
      </c>
      <c r="AI47" s="100">
        <v>5016.6532175151497</v>
      </c>
      <c r="AJ47" s="100">
        <v>17</v>
      </c>
      <c r="AK47" s="100">
        <v>25969.199999999997</v>
      </c>
      <c r="AL47" s="100">
        <v>13.312750254349782</v>
      </c>
      <c r="AM47" s="100">
        <v>20336.557288544725</v>
      </c>
      <c r="AN47" s="100">
        <v>11.820709124543471</v>
      </c>
      <c r="AO47" s="100">
        <v>18057.315258652605</v>
      </c>
      <c r="AP47" s="100">
        <v>11.074914631842425</v>
      </c>
      <c r="AQ47" s="100">
        <v>16918.039591602486</v>
      </c>
      <c r="AR47" s="100">
        <v>7.8747936182594147</v>
      </c>
      <c r="AS47" s="100">
        <v>12029.534731253081</v>
      </c>
      <c r="AT47" s="100">
        <v>1.0215701874281362E-3</v>
      </c>
      <c r="AU47" s="100">
        <v>1.5605506183152209</v>
      </c>
      <c r="AV47" s="100">
        <v>12</v>
      </c>
      <c r="AW47" s="100">
        <v>18331.199999999997</v>
      </c>
      <c r="AX47" s="100">
        <v>3.4792731861544581</v>
      </c>
      <c r="AY47" s="100">
        <v>5314.9377191695503</v>
      </c>
      <c r="AZ47" s="100">
        <v>19.707159386716711</v>
      </c>
      <c r="BA47" s="100">
        <v>30104.656679148447</v>
      </c>
      <c r="BB47" s="100">
        <v>3.6945639252176834</v>
      </c>
      <c r="BC47" s="100">
        <v>5643.8158521625328</v>
      </c>
      <c r="BD47" s="100">
        <v>19.929542361088981</v>
      </c>
      <c r="BE47" s="100">
        <v>30444.368910799523</v>
      </c>
      <c r="BF47" s="100">
        <v>3.1321588995379805</v>
      </c>
      <c r="BG47" s="100">
        <v>4784.6859349342185</v>
      </c>
      <c r="BH47" s="100">
        <v>3.2159628219960168</v>
      </c>
      <c r="BI47" s="100">
        <v>4912.7048068811146</v>
      </c>
      <c r="BJ47" s="100">
        <v>12.642882020364416</v>
      </c>
      <c r="BK47" s="100">
        <v>19313.26657430868</v>
      </c>
      <c r="BL47" s="100">
        <v>14</v>
      </c>
      <c r="BM47" s="100">
        <v>21386.399999999998</v>
      </c>
      <c r="BN47" s="100">
        <v>6.4713163571624843</v>
      </c>
      <c r="BO47" s="100">
        <v>9885.5828672014104</v>
      </c>
      <c r="BP47" s="100">
        <v>11</v>
      </c>
      <c r="BQ47" s="100">
        <v>16803.599999999999</v>
      </c>
      <c r="BR47" s="100">
        <v>7.1590074990981138</v>
      </c>
      <c r="BS47" s="100">
        <v>10936.099855622278</v>
      </c>
      <c r="BT47" s="100">
        <v>16</v>
      </c>
      <c r="BU47" s="100">
        <v>24441.599999999999</v>
      </c>
      <c r="BV47" s="100">
        <v>5.1026203722907946</v>
      </c>
      <c r="BW47" s="100">
        <v>7794.762880711417</v>
      </c>
      <c r="BX47" s="100">
        <v>20.838842074357444</v>
      </c>
      <c r="BY47" s="100">
        <v>31833.415152788431</v>
      </c>
      <c r="BZ47" s="100">
        <v>11</v>
      </c>
      <c r="CA47" s="100">
        <v>16803.599999999999</v>
      </c>
      <c r="CB47" s="100">
        <v>3.5557720646428375</v>
      </c>
      <c r="CC47" s="100">
        <v>5431.7974059483986</v>
      </c>
      <c r="CD47" s="100">
        <v>7.3808479316269242</v>
      </c>
      <c r="CE47" s="100">
        <v>11274.983300353289</v>
      </c>
      <c r="CF47" s="100">
        <v>14.66663981712283</v>
      </c>
      <c r="CG47" s="100">
        <v>22404.758984636832</v>
      </c>
      <c r="CH47" s="100">
        <v>10.223102875668825</v>
      </c>
      <c r="CI47" s="100">
        <v>15616.811952871696</v>
      </c>
      <c r="CJ47" s="100">
        <v>15</v>
      </c>
      <c r="CK47" s="100">
        <v>22914</v>
      </c>
      <c r="CL47" s="100">
        <v>11</v>
      </c>
      <c r="CM47" s="100">
        <v>16803.599999999999</v>
      </c>
      <c r="CN47" s="100">
        <v>0.9093596813389192</v>
      </c>
      <c r="CO47" s="100">
        <v>1389.1378492133329</v>
      </c>
      <c r="CP47" s="100">
        <v>18.371304572042881</v>
      </c>
      <c r="CQ47" s="100">
        <v>28064.004864252704</v>
      </c>
      <c r="CR47" s="100">
        <v>3.5421401888494808</v>
      </c>
      <c r="CS47" s="100">
        <v>5410.9733524864669</v>
      </c>
      <c r="CT47" s="100">
        <v>4.6955575368355067</v>
      </c>
      <c r="CU47" s="100">
        <v>7172.9336932699198</v>
      </c>
    </row>
    <row r="48" spans="2:99">
      <c r="C48" s="99" t="s">
        <v>214</v>
      </c>
      <c r="D48" s="100">
        <v>16</v>
      </c>
      <c r="E48" s="100">
        <v>13881.6</v>
      </c>
      <c r="F48" s="100">
        <v>15</v>
      </c>
      <c r="G48" s="100">
        <v>13014</v>
      </c>
      <c r="H48" s="100">
        <v>18</v>
      </c>
      <c r="I48" s="100">
        <v>15616.800000000001</v>
      </c>
      <c r="J48" s="100">
        <v>17</v>
      </c>
      <c r="K48" s="100">
        <v>14749.2</v>
      </c>
      <c r="L48" s="100">
        <v>6.182516445226085</v>
      </c>
      <c r="M48" s="100">
        <v>5363.9512678781512</v>
      </c>
      <c r="N48" s="100">
        <v>13.292953253798256</v>
      </c>
      <c r="O48" s="100">
        <v>11532.966242995368</v>
      </c>
      <c r="P48" s="100">
        <v>14.403841263764175</v>
      </c>
      <c r="Q48" s="100">
        <v>12496.772680441798</v>
      </c>
      <c r="R48" s="100">
        <v>14</v>
      </c>
      <c r="S48" s="100">
        <v>12146.4</v>
      </c>
      <c r="T48" s="100">
        <v>15</v>
      </c>
      <c r="U48" s="100">
        <v>13014</v>
      </c>
      <c r="V48" s="100">
        <v>13</v>
      </c>
      <c r="W48" s="100">
        <v>11278.800000000001</v>
      </c>
      <c r="X48" s="100">
        <v>0.54911747012153156</v>
      </c>
      <c r="Y48" s="100">
        <v>476.41431707744078</v>
      </c>
      <c r="Z48" s="100">
        <v>14</v>
      </c>
      <c r="AA48" s="100">
        <v>12146.4</v>
      </c>
      <c r="AB48" s="100">
        <v>18</v>
      </c>
      <c r="AC48" s="100">
        <v>15616.800000000001</v>
      </c>
      <c r="AD48" s="100">
        <v>14.413608101729301</v>
      </c>
      <c r="AE48" s="100">
        <v>12505.246389060341</v>
      </c>
      <c r="AF48" s="100">
        <v>11.225899022832628</v>
      </c>
      <c r="AG48" s="100">
        <v>9739.5899922095887</v>
      </c>
      <c r="AH48" s="100">
        <v>3.7851495536351352</v>
      </c>
      <c r="AI48" s="100">
        <v>3283.9957527338433</v>
      </c>
      <c r="AJ48" s="100">
        <v>18</v>
      </c>
      <c r="AK48" s="100">
        <v>15616.800000000001</v>
      </c>
      <c r="AL48" s="100">
        <v>14.200266937973101</v>
      </c>
      <c r="AM48" s="100">
        <v>12320.151595385463</v>
      </c>
      <c r="AN48" s="100">
        <v>13.134121249492743</v>
      </c>
      <c r="AO48" s="100">
        <v>11395.163596059905</v>
      </c>
      <c r="AP48" s="100">
        <v>11.657804875623606</v>
      </c>
      <c r="AQ48" s="100">
        <v>10114.311510091042</v>
      </c>
      <c r="AR48" s="100">
        <v>9.2427997434674811</v>
      </c>
      <c r="AS48" s="100">
        <v>8019.0530574323866</v>
      </c>
      <c r="AT48" s="100">
        <v>9.4860088832612638E-4</v>
      </c>
      <c r="AU48" s="100">
        <v>0.82300613071174722</v>
      </c>
      <c r="AV48" s="100">
        <v>13</v>
      </c>
      <c r="AW48" s="100">
        <v>11278.800000000001</v>
      </c>
      <c r="AX48" s="100">
        <v>4.3869375934595931</v>
      </c>
      <c r="AY48" s="100">
        <v>3806.1070560855433</v>
      </c>
      <c r="AZ48" s="100">
        <v>18.848591264060051</v>
      </c>
      <c r="BA48" s="100">
        <v>16353.037780698502</v>
      </c>
      <c r="BB48" s="100">
        <v>4.5155781308216127</v>
      </c>
      <c r="BC48" s="100">
        <v>3917.7155863008315</v>
      </c>
      <c r="BD48" s="100">
        <v>19.929542361088981</v>
      </c>
      <c r="BE48" s="100">
        <v>17290.8709524808</v>
      </c>
      <c r="BF48" s="100">
        <v>4.0959000993958208</v>
      </c>
      <c r="BG48" s="100">
        <v>3553.6029262358143</v>
      </c>
      <c r="BH48" s="100">
        <v>3.8441712066180731</v>
      </c>
      <c r="BI48" s="100">
        <v>3335.2029388618403</v>
      </c>
      <c r="BJ48" s="100">
        <v>11.642882020364416</v>
      </c>
      <c r="BK48" s="100">
        <v>10101.364440868168</v>
      </c>
      <c r="BL48" s="100">
        <v>15</v>
      </c>
      <c r="BM48" s="100">
        <v>13014</v>
      </c>
      <c r="BN48" s="100">
        <v>6.4713163571624843</v>
      </c>
      <c r="BO48" s="100">
        <v>5614.5140714741719</v>
      </c>
      <c r="BP48" s="100">
        <v>11</v>
      </c>
      <c r="BQ48" s="100">
        <v>9543.6</v>
      </c>
      <c r="BR48" s="100">
        <v>7.912587235845284</v>
      </c>
      <c r="BS48" s="100">
        <v>6864.9606858193683</v>
      </c>
      <c r="BT48" s="100">
        <v>18</v>
      </c>
      <c r="BU48" s="100">
        <v>15616.800000000001</v>
      </c>
      <c r="BV48" s="100">
        <v>5.3967909258785181</v>
      </c>
      <c r="BW48" s="100">
        <v>4682.255807292202</v>
      </c>
      <c r="BX48" s="100">
        <v>20.958676656408507</v>
      </c>
      <c r="BY48" s="100">
        <v>18183.747867100021</v>
      </c>
      <c r="BZ48" s="100">
        <v>12</v>
      </c>
      <c r="CA48" s="100">
        <v>10411.200000000001</v>
      </c>
      <c r="CB48" s="100">
        <v>4.0298750065952156</v>
      </c>
      <c r="CC48" s="100">
        <v>3496.3195557220092</v>
      </c>
      <c r="CD48" s="100">
        <v>6.9431703124176254</v>
      </c>
      <c r="CE48" s="100">
        <v>6023.8945630535318</v>
      </c>
      <c r="CF48" s="100">
        <v>14.007809071414254</v>
      </c>
      <c r="CG48" s="100">
        <v>12153.175150359008</v>
      </c>
      <c r="CH48" s="100">
        <v>12.26772345080259</v>
      </c>
      <c r="CI48" s="100">
        <v>10643.476865916327</v>
      </c>
      <c r="CJ48" s="100">
        <v>15</v>
      </c>
      <c r="CK48" s="100">
        <v>13014</v>
      </c>
      <c r="CL48" s="100">
        <v>11</v>
      </c>
      <c r="CM48" s="100">
        <v>9543.6</v>
      </c>
      <c r="CN48" s="100">
        <v>0.96998366009484727</v>
      </c>
      <c r="CO48" s="100">
        <v>841.55782349828951</v>
      </c>
      <c r="CP48" s="100">
        <v>19.199891500537518</v>
      </c>
      <c r="CQ48" s="100">
        <v>16657.825865866351</v>
      </c>
      <c r="CR48" s="100">
        <v>3.533292925899838</v>
      </c>
      <c r="CS48" s="100">
        <v>3065.4849425106995</v>
      </c>
      <c r="CT48" s="100">
        <v>4.4659669992793036</v>
      </c>
      <c r="CU48" s="100">
        <v>3874.6729685747241</v>
      </c>
    </row>
    <row r="49" spans="2:99">
      <c r="B49" s="99" t="s">
        <v>129</v>
      </c>
      <c r="C49" s="99" t="s">
        <v>215</v>
      </c>
      <c r="D49" s="100">
        <v>5</v>
      </c>
      <c r="E49" s="100">
        <v>4926</v>
      </c>
      <c r="F49" s="100">
        <v>8.7466168626814778</v>
      </c>
      <c r="G49" s="100">
        <v>8617.1669331137909</v>
      </c>
      <c r="H49" s="100">
        <v>4.5338818406090482</v>
      </c>
      <c r="I49" s="100">
        <v>4466.7803893680339</v>
      </c>
      <c r="J49" s="100">
        <v>7</v>
      </c>
      <c r="K49" s="100">
        <v>6896.4</v>
      </c>
      <c r="L49" s="100">
        <v>6</v>
      </c>
      <c r="M49" s="100">
        <v>5911.2</v>
      </c>
      <c r="N49" s="100">
        <v>7</v>
      </c>
      <c r="O49" s="100">
        <v>6896.4</v>
      </c>
      <c r="P49" s="100">
        <v>6</v>
      </c>
      <c r="Q49" s="100">
        <v>5911.2</v>
      </c>
      <c r="R49" s="100">
        <v>3.7437046069364315</v>
      </c>
      <c r="S49" s="100">
        <v>3688.297778753772</v>
      </c>
      <c r="T49" s="100">
        <v>10</v>
      </c>
      <c r="U49" s="100">
        <v>9852</v>
      </c>
      <c r="V49" s="100">
        <v>5.0154492317299111</v>
      </c>
      <c r="W49" s="100">
        <v>4941.2205831003084</v>
      </c>
      <c r="X49" s="100">
        <v>6.0469903548614319</v>
      </c>
      <c r="Y49" s="100">
        <v>5957.494897609482</v>
      </c>
      <c r="Z49" s="100">
        <v>11</v>
      </c>
      <c r="AA49" s="100">
        <v>10837.199999999999</v>
      </c>
      <c r="AB49" s="100">
        <v>3.6477958188180013</v>
      </c>
      <c r="AC49" s="100">
        <v>3593.8084406994944</v>
      </c>
      <c r="AD49" s="100">
        <v>8.4125563981229412</v>
      </c>
      <c r="AE49" s="100">
        <v>8288.050563430721</v>
      </c>
      <c r="AF49" s="100">
        <v>6.5597468469403246</v>
      </c>
      <c r="AG49" s="100">
        <v>6462.6625936056071</v>
      </c>
      <c r="AH49" s="100">
        <v>6</v>
      </c>
      <c r="AI49" s="100">
        <v>5911.2</v>
      </c>
      <c r="AJ49" s="100">
        <v>9.672941724735395</v>
      </c>
      <c r="AK49" s="100">
        <v>9529.78218720931</v>
      </c>
      <c r="AL49" s="100">
        <v>2.7105339669294182</v>
      </c>
      <c r="AM49" s="100">
        <v>2670.4180642188626</v>
      </c>
      <c r="AN49" s="100">
        <v>4.3649664447236702</v>
      </c>
      <c r="AO49" s="100">
        <v>4300.3649413417597</v>
      </c>
      <c r="AP49" s="100">
        <v>6</v>
      </c>
      <c r="AQ49" s="100">
        <v>5911.2</v>
      </c>
      <c r="AR49" s="100">
        <v>9</v>
      </c>
      <c r="AS49" s="100">
        <v>8866.7999999999993</v>
      </c>
      <c r="AT49" s="100">
        <v>5.125804314561651</v>
      </c>
      <c r="AU49" s="100">
        <v>5049.9424107061386</v>
      </c>
      <c r="AV49" s="100">
        <v>7</v>
      </c>
      <c r="AW49" s="100">
        <v>6896.4</v>
      </c>
      <c r="AX49" s="100">
        <v>6.3617807792747607</v>
      </c>
      <c r="AY49" s="100">
        <v>6267.6264237414935</v>
      </c>
      <c r="AZ49" s="100">
        <v>8.1310727569976287</v>
      </c>
      <c r="BA49" s="100">
        <v>8010.732880194063</v>
      </c>
      <c r="BB49" s="100">
        <v>7</v>
      </c>
      <c r="BC49" s="100">
        <v>6896.4</v>
      </c>
      <c r="BD49" s="100">
        <v>6.7876650675963734</v>
      </c>
      <c r="BE49" s="100">
        <v>6687.207624595947</v>
      </c>
      <c r="BF49" s="100">
        <v>5.794302983731165</v>
      </c>
      <c r="BG49" s="100">
        <v>5708.5472995719438</v>
      </c>
      <c r="BH49" s="100">
        <v>5.4763639802658997</v>
      </c>
      <c r="BI49" s="100">
        <v>5395.3137933579637</v>
      </c>
      <c r="BJ49" s="100">
        <v>3.1268243656491874</v>
      </c>
      <c r="BK49" s="100">
        <v>3080.5473650375793</v>
      </c>
      <c r="BL49" s="100">
        <v>6.7241263148232324</v>
      </c>
      <c r="BM49" s="100">
        <v>6624.6092453638485</v>
      </c>
      <c r="BN49" s="100">
        <v>8</v>
      </c>
      <c r="BO49" s="100">
        <v>7881.5999999999995</v>
      </c>
      <c r="BP49" s="100">
        <v>9</v>
      </c>
      <c r="BQ49" s="100">
        <v>8866.7999999999993</v>
      </c>
      <c r="BR49" s="100">
        <v>4.8475385048478321</v>
      </c>
      <c r="BS49" s="100">
        <v>4775.7949349760838</v>
      </c>
      <c r="BT49" s="100">
        <v>8.142453649175474</v>
      </c>
      <c r="BU49" s="100">
        <v>8021.9453351676766</v>
      </c>
      <c r="BV49" s="100">
        <v>6.5854210028970392</v>
      </c>
      <c r="BW49" s="100">
        <v>6487.9567720541627</v>
      </c>
      <c r="BX49" s="100">
        <v>2.6801324006306877</v>
      </c>
      <c r="BY49" s="100">
        <v>2640.4664411013532</v>
      </c>
      <c r="BZ49" s="100">
        <v>8.2448599831779745</v>
      </c>
      <c r="CA49" s="100">
        <v>8122.8360554269402</v>
      </c>
      <c r="CB49" s="100">
        <v>10.330559506470767</v>
      </c>
      <c r="CC49" s="100">
        <v>10177.667225774998</v>
      </c>
      <c r="CD49" s="100">
        <v>7.9373293691571147E-4</v>
      </c>
      <c r="CE49" s="100">
        <v>0.78198568944935887</v>
      </c>
      <c r="CF49" s="100">
        <v>10.000248822459422</v>
      </c>
      <c r="CG49" s="100">
        <v>9852.2451398870217</v>
      </c>
      <c r="CH49" s="100">
        <v>9</v>
      </c>
      <c r="CI49" s="100">
        <v>8866.7999999999993</v>
      </c>
      <c r="CJ49" s="100">
        <v>7</v>
      </c>
      <c r="CK49" s="100">
        <v>6896.4</v>
      </c>
      <c r="CL49" s="100">
        <v>1.6176082555560931</v>
      </c>
      <c r="CM49" s="100">
        <v>1593.6676533738628</v>
      </c>
      <c r="CN49" s="100">
        <v>7.7012128171706404</v>
      </c>
      <c r="CO49" s="100">
        <v>7587.2348674765144</v>
      </c>
      <c r="CP49" s="100">
        <v>8</v>
      </c>
      <c r="CQ49" s="100">
        <v>7881.5999999999995</v>
      </c>
      <c r="CR49" s="100">
        <v>5.7268335051809878</v>
      </c>
      <c r="CS49" s="100">
        <v>5642.0763693043091</v>
      </c>
      <c r="CT49" s="100">
        <v>6</v>
      </c>
      <c r="CU49" s="100">
        <v>5911.2</v>
      </c>
    </row>
    <row r="50" spans="2:99">
      <c r="C50" s="99" t="s">
        <v>216</v>
      </c>
      <c r="D50" s="100">
        <v>6</v>
      </c>
      <c r="E50" s="100">
        <v>1692</v>
      </c>
      <c r="F50" s="100">
        <v>9</v>
      </c>
      <c r="G50" s="100">
        <v>2538</v>
      </c>
      <c r="H50" s="100">
        <v>8</v>
      </c>
      <c r="I50" s="100">
        <v>2256</v>
      </c>
      <c r="J50" s="100">
        <v>9</v>
      </c>
      <c r="K50" s="100">
        <v>2538</v>
      </c>
      <c r="L50" s="100">
        <v>3.3290473166601995</v>
      </c>
      <c r="M50" s="100">
        <v>938.79134329817623</v>
      </c>
      <c r="N50" s="100">
        <v>6.646476626899128</v>
      </c>
      <c r="O50" s="100">
        <v>1874.3064087855541</v>
      </c>
      <c r="P50" s="100">
        <v>5.3066783603341703</v>
      </c>
      <c r="Q50" s="100">
        <v>1496.4832976142361</v>
      </c>
      <c r="R50" s="100">
        <v>7</v>
      </c>
      <c r="S50" s="100">
        <v>1974</v>
      </c>
      <c r="T50" s="100">
        <v>11</v>
      </c>
      <c r="U50" s="100">
        <v>3102</v>
      </c>
      <c r="V50" s="100">
        <v>9</v>
      </c>
      <c r="W50" s="100">
        <v>2538</v>
      </c>
      <c r="X50" s="100">
        <v>0.32301027654207742</v>
      </c>
      <c r="Y50" s="100">
        <v>91.088897984865838</v>
      </c>
      <c r="Z50" s="100">
        <v>11</v>
      </c>
      <c r="AA50" s="100">
        <v>3102</v>
      </c>
      <c r="AB50" s="100">
        <v>6</v>
      </c>
      <c r="AC50" s="100">
        <v>1692</v>
      </c>
      <c r="AD50" s="100">
        <v>8.0075600565162777</v>
      </c>
      <c r="AE50" s="100">
        <v>2258.1319359375902</v>
      </c>
      <c r="AF50" s="100">
        <v>6.5484410966523665</v>
      </c>
      <c r="AG50" s="100">
        <v>1846.6603892559674</v>
      </c>
      <c r="AH50" s="100">
        <v>1.7167485776801035</v>
      </c>
      <c r="AI50" s="100">
        <v>484.12309890578916</v>
      </c>
      <c r="AJ50" s="100">
        <v>13</v>
      </c>
      <c r="AK50" s="100">
        <v>3666</v>
      </c>
      <c r="AL50" s="100">
        <v>5.3251001017399124</v>
      </c>
      <c r="AM50" s="100">
        <v>1501.6782286906553</v>
      </c>
      <c r="AN50" s="100">
        <v>5.9593966135709566</v>
      </c>
      <c r="AO50" s="100">
        <v>1680.5498450270097</v>
      </c>
      <c r="AP50" s="100">
        <v>4.2311055635927879</v>
      </c>
      <c r="AQ50" s="100">
        <v>1193.1717689331663</v>
      </c>
      <c r="AR50" s="100">
        <v>6.1560275634363011</v>
      </c>
      <c r="AS50" s="100">
        <v>1735.9997728890369</v>
      </c>
      <c r="AT50" s="100">
        <v>7.2969299102009725E-4</v>
      </c>
      <c r="AU50" s="100">
        <v>0.20577342346766742</v>
      </c>
      <c r="AV50" s="100">
        <v>8</v>
      </c>
      <c r="AW50" s="100">
        <v>2256</v>
      </c>
      <c r="AX50" s="100">
        <v>3.1918354196563099</v>
      </c>
      <c r="AY50" s="100">
        <v>900.09758834307934</v>
      </c>
      <c r="AZ50" s="100">
        <v>8.9900231414033946</v>
      </c>
      <c r="BA50" s="100">
        <v>2535.1865258757571</v>
      </c>
      <c r="BB50" s="100">
        <v>1.6420284112078596</v>
      </c>
      <c r="BC50" s="100">
        <v>463.05201196061643</v>
      </c>
      <c r="BD50" s="100">
        <v>11.084466087937145</v>
      </c>
      <c r="BE50" s="100">
        <v>3125.8194367982746</v>
      </c>
      <c r="BF50" s="100">
        <v>1.9274823997156805</v>
      </c>
      <c r="BG50" s="100">
        <v>543.55003671982195</v>
      </c>
      <c r="BH50" s="100">
        <v>2.1470969187842504</v>
      </c>
      <c r="BI50" s="100">
        <v>605.48133109715855</v>
      </c>
      <c r="BJ50" s="100">
        <v>8.5143056162915336</v>
      </c>
      <c r="BK50" s="100">
        <v>2401.0341837942124</v>
      </c>
      <c r="BL50" s="100">
        <v>6</v>
      </c>
      <c r="BM50" s="100">
        <v>1692</v>
      </c>
      <c r="BN50" s="100">
        <v>4.3142109047749893</v>
      </c>
      <c r="BO50" s="100">
        <v>1216.6074751465469</v>
      </c>
      <c r="BP50" s="100">
        <v>8</v>
      </c>
      <c r="BQ50" s="100">
        <v>2256</v>
      </c>
      <c r="BR50" s="100">
        <v>4.144688552109435</v>
      </c>
      <c r="BS50" s="100">
        <v>1168.8021716948606</v>
      </c>
      <c r="BT50" s="100">
        <v>9</v>
      </c>
      <c r="BU50" s="100">
        <v>2538</v>
      </c>
      <c r="BV50" s="100">
        <v>2.6475349822895136</v>
      </c>
      <c r="BW50" s="100">
        <v>746.60486500564286</v>
      </c>
      <c r="BX50" s="100">
        <v>7.5991729102553167</v>
      </c>
      <c r="BY50" s="100">
        <v>2142.9667606919993</v>
      </c>
      <c r="BZ50" s="100">
        <v>8</v>
      </c>
      <c r="CA50" s="100">
        <v>2256</v>
      </c>
      <c r="CB50" s="100">
        <v>2.3705147097618915</v>
      </c>
      <c r="CC50" s="100">
        <v>668.48514815285341</v>
      </c>
      <c r="CD50" s="100">
        <v>6.7142197681050915</v>
      </c>
      <c r="CE50" s="100">
        <v>1893.4099746056359</v>
      </c>
      <c r="CF50" s="100">
        <v>9.5137071020754771</v>
      </c>
      <c r="CG50" s="100">
        <v>2682.8654027852845</v>
      </c>
      <c r="CH50" s="100">
        <v>10.223102875668825</v>
      </c>
      <c r="CI50" s="100">
        <v>2882.9150109386087</v>
      </c>
      <c r="CJ50" s="100">
        <v>8</v>
      </c>
      <c r="CK50" s="100">
        <v>2256</v>
      </c>
      <c r="CL50" s="100">
        <v>6</v>
      </c>
      <c r="CM50" s="100">
        <v>1692</v>
      </c>
      <c r="CN50" s="100">
        <v>0.60623978755927954</v>
      </c>
      <c r="CO50" s="100">
        <v>170.95962009171683</v>
      </c>
      <c r="CP50" s="100">
        <v>10.028478429032159</v>
      </c>
      <c r="CQ50" s="100">
        <v>2828.0309169870688</v>
      </c>
      <c r="CR50" s="100">
        <v>1.7931882517988469</v>
      </c>
      <c r="CS50" s="100">
        <v>505.6790870072748</v>
      </c>
      <c r="CT50" s="100">
        <v>1.4553533146207933</v>
      </c>
      <c r="CU50" s="100">
        <v>410.40963472306373</v>
      </c>
    </row>
    <row r="51" spans="2:99">
      <c r="C51" s="99" t="s">
        <v>217</v>
      </c>
      <c r="D51" s="100">
        <v>7</v>
      </c>
      <c r="E51" s="100">
        <v>5980.8</v>
      </c>
      <c r="F51" s="100">
        <v>10</v>
      </c>
      <c r="G51" s="100">
        <v>8544</v>
      </c>
      <c r="H51" s="100">
        <v>7</v>
      </c>
      <c r="I51" s="100">
        <v>5980.8</v>
      </c>
      <c r="J51" s="100">
        <v>9</v>
      </c>
      <c r="K51" s="100">
        <v>7689.5999999999995</v>
      </c>
      <c r="L51" s="100">
        <v>3.3290473166601995</v>
      </c>
      <c r="M51" s="100">
        <v>2844.3380273544744</v>
      </c>
      <c r="N51" s="100">
        <v>5.8156670485367368</v>
      </c>
      <c r="O51" s="100">
        <v>4968.9059262697874</v>
      </c>
      <c r="P51" s="100">
        <v>4.5485814517150036</v>
      </c>
      <c r="Q51" s="100">
        <v>3886.3079923452988</v>
      </c>
      <c r="R51" s="100">
        <v>6</v>
      </c>
      <c r="S51" s="100">
        <v>5126.3999999999996</v>
      </c>
      <c r="T51" s="100">
        <v>11</v>
      </c>
      <c r="U51" s="100">
        <v>9398.4</v>
      </c>
      <c r="V51" s="100">
        <v>7</v>
      </c>
      <c r="W51" s="100">
        <v>5980.8</v>
      </c>
      <c r="X51" s="100">
        <v>0.2907092488878697</v>
      </c>
      <c r="Y51" s="100">
        <v>248.38198224979587</v>
      </c>
      <c r="Z51" s="100">
        <v>10</v>
      </c>
      <c r="AA51" s="100">
        <v>8544</v>
      </c>
      <c r="AB51" s="100">
        <v>6</v>
      </c>
      <c r="AC51" s="100">
        <v>5126.3999999999996</v>
      </c>
      <c r="AD51" s="100">
        <v>7.2068040508646503</v>
      </c>
      <c r="AE51" s="100">
        <v>6157.4933810587572</v>
      </c>
      <c r="AF51" s="100">
        <v>6.5484410966523665</v>
      </c>
      <c r="AG51" s="100">
        <v>5594.9880729797815</v>
      </c>
      <c r="AH51" s="100">
        <v>1.4714987808686599</v>
      </c>
      <c r="AI51" s="100">
        <v>1257.2485583741829</v>
      </c>
      <c r="AJ51" s="100">
        <v>11</v>
      </c>
      <c r="AK51" s="100">
        <v>9398.4</v>
      </c>
      <c r="AL51" s="100">
        <v>5.3251001017399124</v>
      </c>
      <c r="AM51" s="100">
        <v>4549.7655269265815</v>
      </c>
      <c r="AN51" s="100">
        <v>5.9103545622717357</v>
      </c>
      <c r="AO51" s="100">
        <v>5049.806938004971</v>
      </c>
      <c r="AP51" s="100">
        <v>3.6482153198116074</v>
      </c>
      <c r="AQ51" s="100">
        <v>3117.0351692470372</v>
      </c>
      <c r="AR51" s="100">
        <v>6.3898675165129983</v>
      </c>
      <c r="AS51" s="100">
        <v>5459.502806108706</v>
      </c>
      <c r="AT51" s="100">
        <v>6.5672369191808761E-4</v>
      </c>
      <c r="AU51" s="100">
        <v>0.56110472237481401</v>
      </c>
      <c r="AV51" s="100">
        <v>8</v>
      </c>
      <c r="AW51" s="100">
        <v>6835.2</v>
      </c>
      <c r="AX51" s="100">
        <v>3.0255480243504502</v>
      </c>
      <c r="AY51" s="100">
        <v>2585.0282320050246</v>
      </c>
      <c r="AZ51" s="100">
        <v>8.8485912640600528</v>
      </c>
      <c r="BA51" s="100">
        <v>7560.2363760129092</v>
      </c>
      <c r="BB51" s="100">
        <v>1.436774859806877</v>
      </c>
      <c r="BC51" s="100">
        <v>1227.5804402189956</v>
      </c>
      <c r="BD51" s="100">
        <v>10.929542361088982</v>
      </c>
      <c r="BE51" s="100">
        <v>9338.2009933144254</v>
      </c>
      <c r="BF51" s="100">
        <v>1.4456117997867604</v>
      </c>
      <c r="BG51" s="100">
        <v>1235.130721737808</v>
      </c>
      <c r="BH51" s="100">
        <v>2.0123726157639483</v>
      </c>
      <c r="BI51" s="100">
        <v>1719.3711629087175</v>
      </c>
      <c r="BJ51" s="100">
        <v>7.5143056162915336</v>
      </c>
      <c r="BK51" s="100">
        <v>6420.2227185594866</v>
      </c>
      <c r="BL51" s="100">
        <v>6</v>
      </c>
      <c r="BM51" s="100">
        <v>5126.3999999999996</v>
      </c>
      <c r="BN51" s="100">
        <v>4.8534872678718628</v>
      </c>
      <c r="BO51" s="100">
        <v>4146.8195216697195</v>
      </c>
      <c r="BP51" s="100">
        <v>9</v>
      </c>
      <c r="BQ51" s="100">
        <v>7689.5999999999995</v>
      </c>
      <c r="BR51" s="100">
        <v>3.3911088153622644</v>
      </c>
      <c r="BS51" s="100">
        <v>2897.3633718455185</v>
      </c>
      <c r="BT51" s="100">
        <v>8</v>
      </c>
      <c r="BU51" s="100">
        <v>6835.2</v>
      </c>
      <c r="BV51" s="100">
        <v>2.6475349822895136</v>
      </c>
      <c r="BW51" s="100">
        <v>2262.0538888681604</v>
      </c>
      <c r="BX51" s="100">
        <v>6.4793383282042534</v>
      </c>
      <c r="BY51" s="100">
        <v>5535.9466676177135</v>
      </c>
      <c r="BZ51" s="100">
        <v>9</v>
      </c>
      <c r="CA51" s="100">
        <v>7689.5999999999995</v>
      </c>
      <c r="CB51" s="100">
        <v>2.6075661807380808</v>
      </c>
      <c r="CC51" s="100">
        <v>2227.9045448226161</v>
      </c>
      <c r="CD51" s="100">
        <v>6.6070571806625722</v>
      </c>
      <c r="CE51" s="100">
        <v>5645.0696551581013</v>
      </c>
      <c r="CF51" s="100">
        <v>8.7215487740562452</v>
      </c>
      <c r="CG51" s="100">
        <v>7451.6912725536558</v>
      </c>
      <c r="CH51" s="100">
        <v>11.223102875668825</v>
      </c>
      <c r="CI51" s="100">
        <v>9589.019096971444</v>
      </c>
      <c r="CJ51" s="100">
        <v>8</v>
      </c>
      <c r="CK51" s="100">
        <v>6835.2</v>
      </c>
      <c r="CL51" s="100">
        <v>6</v>
      </c>
      <c r="CM51" s="100">
        <v>5126.3999999999996</v>
      </c>
      <c r="CN51" s="100">
        <v>0.54561580880335159</v>
      </c>
      <c r="CO51" s="100">
        <v>466.17414704158358</v>
      </c>
      <c r="CP51" s="100">
        <v>10.028478429032159</v>
      </c>
      <c r="CQ51" s="100">
        <v>8568.3319697650768</v>
      </c>
      <c r="CR51" s="100">
        <v>1.8020355147484897</v>
      </c>
      <c r="CS51" s="100">
        <v>1539.6591438011096</v>
      </c>
      <c r="CT51" s="100">
        <v>1.4639988800967454</v>
      </c>
      <c r="CU51" s="100">
        <v>1250.8406431546591</v>
      </c>
    </row>
    <row r="52" spans="2:99">
      <c r="C52" s="99" t="s">
        <v>218</v>
      </c>
      <c r="D52" s="100">
        <v>6</v>
      </c>
      <c r="E52" s="100">
        <v>3240</v>
      </c>
      <c r="F52" s="100">
        <v>10</v>
      </c>
      <c r="G52" s="100">
        <v>5400</v>
      </c>
      <c r="H52" s="100">
        <v>7</v>
      </c>
      <c r="I52" s="100">
        <v>3780</v>
      </c>
      <c r="J52" s="100">
        <v>8</v>
      </c>
      <c r="K52" s="100">
        <v>4320</v>
      </c>
      <c r="L52" s="100">
        <v>3.3290473166601995</v>
      </c>
      <c r="M52" s="100">
        <v>1797.6855509965078</v>
      </c>
      <c r="N52" s="100">
        <v>5.8156670485367368</v>
      </c>
      <c r="O52" s="100">
        <v>3140.4602062098379</v>
      </c>
      <c r="P52" s="100">
        <v>4.5485814517150036</v>
      </c>
      <c r="Q52" s="100">
        <v>2456.2339839261022</v>
      </c>
      <c r="R52" s="100">
        <v>7</v>
      </c>
      <c r="S52" s="100">
        <v>3780</v>
      </c>
      <c r="T52" s="100">
        <v>10</v>
      </c>
      <c r="U52" s="100">
        <v>5400</v>
      </c>
      <c r="V52" s="100">
        <v>8</v>
      </c>
      <c r="W52" s="100">
        <v>4320</v>
      </c>
      <c r="X52" s="100">
        <v>0.32301027654207742</v>
      </c>
      <c r="Y52" s="100">
        <v>174.4255493327218</v>
      </c>
      <c r="Z52" s="100">
        <v>11</v>
      </c>
      <c r="AA52" s="100">
        <v>5940</v>
      </c>
      <c r="AB52" s="100">
        <v>6</v>
      </c>
      <c r="AC52" s="100">
        <v>3240</v>
      </c>
      <c r="AD52" s="100">
        <v>7.2068040508646503</v>
      </c>
      <c r="AE52" s="100">
        <v>3891.674187466911</v>
      </c>
      <c r="AF52" s="100">
        <v>6.5484410966523665</v>
      </c>
      <c r="AG52" s="100">
        <v>3536.158192192278</v>
      </c>
      <c r="AH52" s="100">
        <v>1.4714987808686599</v>
      </c>
      <c r="AI52" s="100">
        <v>794.60934166907634</v>
      </c>
      <c r="AJ52" s="100">
        <v>10</v>
      </c>
      <c r="AK52" s="100">
        <v>5400</v>
      </c>
      <c r="AL52" s="100">
        <v>6.212616785363231</v>
      </c>
      <c r="AM52" s="100">
        <v>3354.8130640961449</v>
      </c>
      <c r="AN52" s="100">
        <v>5.3026905510963198</v>
      </c>
      <c r="AO52" s="100">
        <v>2863.4528975920125</v>
      </c>
      <c r="AP52" s="100">
        <v>4.0802317064682621</v>
      </c>
      <c r="AQ52" s="100">
        <v>2203.3251214928614</v>
      </c>
      <c r="AR52" s="100">
        <v>5.4720245008322683</v>
      </c>
      <c r="AS52" s="100">
        <v>2954.8932304494251</v>
      </c>
      <c r="AT52" s="100">
        <v>6.5672369191808761E-4</v>
      </c>
      <c r="AU52" s="100">
        <v>0.35463079363576733</v>
      </c>
      <c r="AV52" s="100">
        <v>7</v>
      </c>
      <c r="AW52" s="100">
        <v>3780</v>
      </c>
      <c r="AX52" s="100">
        <v>3.0255480243504502</v>
      </c>
      <c r="AY52" s="100">
        <v>1633.7959331492432</v>
      </c>
      <c r="AZ52" s="100">
        <v>8.9900231414033946</v>
      </c>
      <c r="BA52" s="100">
        <v>4854.6124963578332</v>
      </c>
      <c r="BB52" s="100">
        <v>1.436774859806877</v>
      </c>
      <c r="BC52" s="100">
        <v>775.85842429571358</v>
      </c>
      <c r="BD52" s="100">
        <v>11.084466087937145</v>
      </c>
      <c r="BE52" s="100">
        <v>5985.6116874860581</v>
      </c>
      <c r="BF52" s="100">
        <v>1.6865470997512204</v>
      </c>
      <c r="BG52" s="100">
        <v>910.73543386565905</v>
      </c>
      <c r="BH52" s="100">
        <v>2.3440128971773126</v>
      </c>
      <c r="BI52" s="100">
        <v>1265.7669644757489</v>
      </c>
      <c r="BJ52" s="100">
        <v>7.5143056162915336</v>
      </c>
      <c r="BK52" s="100">
        <v>4057.725032797428</v>
      </c>
      <c r="BL52" s="100">
        <v>7</v>
      </c>
      <c r="BM52" s="100">
        <v>3780</v>
      </c>
      <c r="BN52" s="100">
        <v>4.3142109047749893</v>
      </c>
      <c r="BO52" s="100">
        <v>2329.6738885784944</v>
      </c>
      <c r="BP52" s="100">
        <v>9</v>
      </c>
      <c r="BQ52" s="100">
        <v>4860</v>
      </c>
      <c r="BR52" s="100">
        <v>3.7678986837358495</v>
      </c>
      <c r="BS52" s="100">
        <v>2034.6652892173588</v>
      </c>
      <c r="BT52" s="100">
        <v>9</v>
      </c>
      <c r="BU52" s="100">
        <v>4860</v>
      </c>
      <c r="BV52" s="100">
        <v>2.9417055358772375</v>
      </c>
      <c r="BW52" s="100">
        <v>1588.5209893737083</v>
      </c>
      <c r="BX52" s="100">
        <v>7.5991729102553167</v>
      </c>
      <c r="BY52" s="100">
        <v>4103.5533715378706</v>
      </c>
      <c r="BZ52" s="100">
        <v>10</v>
      </c>
      <c r="CA52" s="100">
        <v>5400</v>
      </c>
      <c r="CB52" s="100">
        <v>2.3705147097618915</v>
      </c>
      <c r="CC52" s="100">
        <v>1280.0779432714214</v>
      </c>
      <c r="CD52" s="100">
        <v>6.7093446449625933</v>
      </c>
      <c r="CE52" s="100">
        <v>3623.0461082798006</v>
      </c>
      <c r="CF52" s="100">
        <v>9.5137071020754771</v>
      </c>
      <c r="CG52" s="100">
        <v>5137.4018351207578</v>
      </c>
      <c r="CH52" s="100">
        <v>11.223102875668825</v>
      </c>
      <c r="CI52" s="100">
        <v>6060.4755528611659</v>
      </c>
      <c r="CJ52" s="100">
        <v>7</v>
      </c>
      <c r="CK52" s="100">
        <v>3780</v>
      </c>
      <c r="CL52" s="100">
        <v>5</v>
      </c>
      <c r="CM52" s="100">
        <v>2700</v>
      </c>
      <c r="CN52" s="100">
        <v>0.54561580880335159</v>
      </c>
      <c r="CO52" s="100">
        <v>294.63253675380986</v>
      </c>
      <c r="CP52" s="100">
        <v>11.028478429032159</v>
      </c>
      <c r="CQ52" s="100">
        <v>5955.3783516773656</v>
      </c>
      <c r="CR52" s="100">
        <v>1.984567157154592</v>
      </c>
      <c r="CS52" s="100">
        <v>1071.6662648634797</v>
      </c>
      <c r="CT52" s="100">
        <v>1.6849438521769975</v>
      </c>
      <c r="CU52" s="100">
        <v>909.86968017557865</v>
      </c>
    </row>
    <row r="53" spans="2:99">
      <c r="C53" s="99" t="s">
        <v>219</v>
      </c>
      <c r="D53" s="100">
        <v>6</v>
      </c>
      <c r="E53" s="100">
        <v>2440.8000000000002</v>
      </c>
      <c r="F53" s="100">
        <v>8</v>
      </c>
      <c r="G53" s="100">
        <v>3254.4</v>
      </c>
      <c r="H53" s="100">
        <v>8</v>
      </c>
      <c r="I53" s="100">
        <v>3254.4</v>
      </c>
      <c r="J53" s="100">
        <v>8</v>
      </c>
      <c r="K53" s="100">
        <v>3254.4</v>
      </c>
      <c r="L53" s="100">
        <v>3.3290473166601995</v>
      </c>
      <c r="M53" s="100">
        <v>1354.2564484173693</v>
      </c>
      <c r="N53" s="100">
        <v>5.8156670485367368</v>
      </c>
      <c r="O53" s="100">
        <v>2365.8133553447447</v>
      </c>
      <c r="P53" s="100">
        <v>4.5485814517150036</v>
      </c>
      <c r="Q53" s="100">
        <v>1850.3629345576635</v>
      </c>
      <c r="R53" s="100">
        <v>6</v>
      </c>
      <c r="S53" s="100">
        <v>2440.8000000000002</v>
      </c>
      <c r="T53" s="100">
        <v>11</v>
      </c>
      <c r="U53" s="100">
        <v>4474.8</v>
      </c>
      <c r="V53" s="100">
        <v>8</v>
      </c>
      <c r="W53" s="100">
        <v>3254.4</v>
      </c>
      <c r="X53" s="100">
        <v>0.2907092488878697</v>
      </c>
      <c r="Y53" s="100">
        <v>118.2605224475854</v>
      </c>
      <c r="Z53" s="100">
        <v>11</v>
      </c>
      <c r="AA53" s="100">
        <v>4474.8</v>
      </c>
      <c r="AB53" s="100">
        <v>6</v>
      </c>
      <c r="AC53" s="100">
        <v>2440.8000000000002</v>
      </c>
      <c r="AD53" s="100">
        <v>7.2068040508646503</v>
      </c>
      <c r="AE53" s="100">
        <v>2931.72788789174</v>
      </c>
      <c r="AF53" s="100">
        <v>6.5484410966523665</v>
      </c>
      <c r="AG53" s="100">
        <v>2663.9058381181826</v>
      </c>
      <c r="AH53" s="100">
        <v>1.7167485776801035</v>
      </c>
      <c r="AI53" s="100">
        <v>698.37332140026615</v>
      </c>
      <c r="AJ53" s="100">
        <v>12</v>
      </c>
      <c r="AK53" s="100">
        <v>4881.6000000000004</v>
      </c>
      <c r="AL53" s="100">
        <v>6.212616785363231</v>
      </c>
      <c r="AM53" s="100">
        <v>2527.2925082857623</v>
      </c>
      <c r="AN53" s="100">
        <v>5.3026905510963198</v>
      </c>
      <c r="AO53" s="100">
        <v>2157.1345161859831</v>
      </c>
      <c r="AP53" s="100">
        <v>4.2311055635927879</v>
      </c>
      <c r="AQ53" s="100">
        <v>1721.2137432695461</v>
      </c>
      <c r="AR53" s="100">
        <v>6.1560275634363011</v>
      </c>
      <c r="AS53" s="100">
        <v>2504.2720128058872</v>
      </c>
      <c r="AT53" s="100">
        <v>6.5672369191808761E-4</v>
      </c>
      <c r="AU53" s="100">
        <v>0.26715519787227804</v>
      </c>
      <c r="AV53" s="100">
        <v>8</v>
      </c>
      <c r="AW53" s="100">
        <v>3254.4</v>
      </c>
      <c r="AX53" s="100">
        <v>3.2069524555932061</v>
      </c>
      <c r="AY53" s="100">
        <v>1304.5882589353162</v>
      </c>
      <c r="AZ53" s="100">
        <v>9.8485912640600528</v>
      </c>
      <c r="BA53" s="100">
        <v>4006.4069262196294</v>
      </c>
      <c r="BB53" s="100">
        <v>1.7266475581792713</v>
      </c>
      <c r="BC53" s="100">
        <v>702.40022666732762</v>
      </c>
      <c r="BD53" s="100">
        <v>11.929542361088982</v>
      </c>
      <c r="BE53" s="100">
        <v>4852.9378324909985</v>
      </c>
      <c r="BF53" s="100">
        <v>1.6865470997512204</v>
      </c>
      <c r="BG53" s="100">
        <v>686.08736017879653</v>
      </c>
      <c r="BH53" s="100">
        <v>2.1470969187842504</v>
      </c>
      <c r="BI53" s="100">
        <v>873.43902656143302</v>
      </c>
      <c r="BJ53" s="100">
        <v>7.5143056162915336</v>
      </c>
      <c r="BK53" s="100">
        <v>3056.8195247073959</v>
      </c>
      <c r="BL53" s="100">
        <v>6</v>
      </c>
      <c r="BM53" s="100">
        <v>2440.8000000000002</v>
      </c>
      <c r="BN53" s="100">
        <v>4.8534872678718628</v>
      </c>
      <c r="BO53" s="100">
        <v>1974.3986205702738</v>
      </c>
      <c r="BP53" s="100">
        <v>9</v>
      </c>
      <c r="BQ53" s="100">
        <v>3661.2000000000003</v>
      </c>
      <c r="BR53" s="100">
        <v>3.3911088153622644</v>
      </c>
      <c r="BS53" s="100">
        <v>1379.5030660893692</v>
      </c>
      <c r="BT53" s="100">
        <v>8</v>
      </c>
      <c r="BU53" s="100">
        <v>3254.4</v>
      </c>
      <c r="BV53" s="100">
        <v>2.4458380298831459</v>
      </c>
      <c r="BW53" s="100">
        <v>994.96691055646374</v>
      </c>
      <c r="BX53" s="100">
        <v>6.4793383282042534</v>
      </c>
      <c r="BY53" s="100">
        <v>2635.7948319134903</v>
      </c>
      <c r="BZ53" s="100">
        <v>10</v>
      </c>
      <c r="CA53" s="100">
        <v>4068</v>
      </c>
      <c r="CB53" s="100">
        <v>2.3705147097618915</v>
      </c>
      <c r="CC53" s="100">
        <v>964.32538393113748</v>
      </c>
      <c r="CD53" s="100">
        <v>6.7142197681050915</v>
      </c>
      <c r="CE53" s="100">
        <v>2731.3446016651515</v>
      </c>
      <c r="CF53" s="100">
        <v>9.5137071020754771</v>
      </c>
      <c r="CG53" s="100">
        <v>3870.176049124304</v>
      </c>
      <c r="CH53" s="100">
        <v>12.223102875668825</v>
      </c>
      <c r="CI53" s="100">
        <v>4972.3582498220785</v>
      </c>
      <c r="CJ53" s="100">
        <v>8</v>
      </c>
      <c r="CK53" s="100">
        <v>3254.4</v>
      </c>
      <c r="CL53" s="100">
        <v>6</v>
      </c>
      <c r="CM53" s="100">
        <v>2440.8000000000002</v>
      </c>
      <c r="CN53" s="100">
        <v>0.60623978755927954</v>
      </c>
      <c r="CO53" s="100">
        <v>246.61834557911493</v>
      </c>
      <c r="CP53" s="100">
        <v>11.028478429032159</v>
      </c>
      <c r="CQ53" s="100">
        <v>4486.3850249302823</v>
      </c>
      <c r="CR53" s="100">
        <v>1.6106566093927444</v>
      </c>
      <c r="CS53" s="100">
        <v>655.21510870096847</v>
      </c>
      <c r="CT53" s="100">
        <v>1.4467077491448412</v>
      </c>
      <c r="CU53" s="100">
        <v>588.52071235212145</v>
      </c>
    </row>
    <row r="54" spans="2:99">
      <c r="C54" s="99" t="s">
        <v>220</v>
      </c>
      <c r="D54" s="100">
        <v>6</v>
      </c>
      <c r="E54" s="100">
        <v>2008.8000000000002</v>
      </c>
      <c r="F54" s="100">
        <v>9</v>
      </c>
      <c r="G54" s="100">
        <v>3013.2000000000003</v>
      </c>
      <c r="H54" s="100">
        <v>9</v>
      </c>
      <c r="I54" s="100">
        <v>3013.2000000000003</v>
      </c>
      <c r="J54" s="100">
        <v>9</v>
      </c>
      <c r="K54" s="100">
        <v>3013.2000000000003</v>
      </c>
      <c r="L54" s="100">
        <v>3.3290473166601995</v>
      </c>
      <c r="M54" s="100">
        <v>1114.5650416178348</v>
      </c>
      <c r="N54" s="100">
        <v>5.8156670485367368</v>
      </c>
      <c r="O54" s="100">
        <v>1947.0853278500995</v>
      </c>
      <c r="P54" s="100">
        <v>4.5485814517150036</v>
      </c>
      <c r="Q54" s="100">
        <v>1522.8650700341832</v>
      </c>
      <c r="R54" s="100">
        <v>7</v>
      </c>
      <c r="S54" s="100">
        <v>2343.6</v>
      </c>
      <c r="T54" s="100">
        <v>11</v>
      </c>
      <c r="U54" s="100">
        <v>3682.8</v>
      </c>
      <c r="V54" s="100">
        <v>8</v>
      </c>
      <c r="W54" s="100">
        <v>2678.4</v>
      </c>
      <c r="X54" s="100">
        <v>0.2907092488878697</v>
      </c>
      <c r="Y54" s="100">
        <v>97.329456527658778</v>
      </c>
      <c r="Z54" s="100">
        <v>12</v>
      </c>
      <c r="AA54" s="100">
        <v>4017.6000000000004</v>
      </c>
      <c r="AB54" s="100">
        <v>6</v>
      </c>
      <c r="AC54" s="100">
        <v>2008.8000000000002</v>
      </c>
      <c r="AD54" s="100">
        <v>7.2068040508646503</v>
      </c>
      <c r="AE54" s="100">
        <v>2412.8379962294848</v>
      </c>
      <c r="AF54" s="100">
        <v>6.5484410966523665</v>
      </c>
      <c r="AG54" s="100">
        <v>2192.4180791592125</v>
      </c>
      <c r="AH54" s="100">
        <v>1.7167485776801035</v>
      </c>
      <c r="AI54" s="100">
        <v>574.76742380729866</v>
      </c>
      <c r="AJ54" s="100">
        <v>11</v>
      </c>
      <c r="AK54" s="100">
        <v>3682.8</v>
      </c>
      <c r="AL54" s="100">
        <v>6.212616785363231</v>
      </c>
      <c r="AM54" s="100">
        <v>2079.98409973961</v>
      </c>
      <c r="AN54" s="100">
        <v>5.9103545622717357</v>
      </c>
      <c r="AO54" s="100">
        <v>1978.7867074485771</v>
      </c>
      <c r="AP54" s="100">
        <v>3.4973414626870816</v>
      </c>
      <c r="AQ54" s="100">
        <v>1170.909921707635</v>
      </c>
      <c r="AR54" s="100">
        <v>5.4720245008322683</v>
      </c>
      <c r="AS54" s="100">
        <v>1832.0338028786434</v>
      </c>
      <c r="AT54" s="100">
        <v>7.2969299102009725E-4</v>
      </c>
      <c r="AU54" s="100">
        <v>0.24430121339352856</v>
      </c>
      <c r="AV54" s="100">
        <v>9</v>
      </c>
      <c r="AW54" s="100">
        <v>3013.2000000000003</v>
      </c>
      <c r="AX54" s="100">
        <v>3.4792731861544581</v>
      </c>
      <c r="AY54" s="100">
        <v>1164.8606627245126</v>
      </c>
      <c r="AZ54" s="100">
        <v>8.8485912640600528</v>
      </c>
      <c r="BA54" s="100">
        <v>2962.5083552073056</v>
      </c>
      <c r="BB54" s="100">
        <v>1.521394006778289</v>
      </c>
      <c r="BC54" s="100">
        <v>509.36271346937116</v>
      </c>
      <c r="BD54" s="100">
        <v>11.929542361088982</v>
      </c>
      <c r="BE54" s="100">
        <v>3994.0107824925913</v>
      </c>
      <c r="BF54" s="100">
        <v>1.6865470997512204</v>
      </c>
      <c r="BG54" s="100">
        <v>564.65596899670857</v>
      </c>
      <c r="BH54" s="100">
        <v>2.1470969187842504</v>
      </c>
      <c r="BI54" s="100">
        <v>718.84804840896709</v>
      </c>
      <c r="BJ54" s="100">
        <v>7.5143056162915336</v>
      </c>
      <c r="BK54" s="100">
        <v>2515.7895203344056</v>
      </c>
      <c r="BL54" s="100">
        <v>7</v>
      </c>
      <c r="BM54" s="100">
        <v>2343.6</v>
      </c>
      <c r="BN54" s="100">
        <v>4.3142109047749893</v>
      </c>
      <c r="BO54" s="100">
        <v>1444.3978109186664</v>
      </c>
      <c r="BP54" s="100">
        <v>9</v>
      </c>
      <c r="BQ54" s="100">
        <v>3013.2000000000003</v>
      </c>
      <c r="BR54" s="100">
        <v>3.3911088153622644</v>
      </c>
      <c r="BS54" s="100">
        <v>1135.3432313832861</v>
      </c>
      <c r="BT54" s="100">
        <v>8</v>
      </c>
      <c r="BU54" s="100">
        <v>2678.4</v>
      </c>
      <c r="BV54" s="100">
        <v>2.9417055358772375</v>
      </c>
      <c r="BW54" s="100">
        <v>984.88301341169915</v>
      </c>
      <c r="BX54" s="100">
        <v>6.4793383282042534</v>
      </c>
      <c r="BY54" s="100">
        <v>2169.2824722827841</v>
      </c>
      <c r="BZ54" s="100">
        <v>10</v>
      </c>
      <c r="CA54" s="100">
        <v>3348</v>
      </c>
      <c r="CB54" s="100">
        <v>2.3705147097618915</v>
      </c>
      <c r="CC54" s="100">
        <v>793.64832482828126</v>
      </c>
      <c r="CD54" s="100">
        <v>6.1645044383107761</v>
      </c>
      <c r="CE54" s="100">
        <v>2063.8760859464478</v>
      </c>
      <c r="CF54" s="100">
        <v>9.5137071020754771</v>
      </c>
      <c r="CG54" s="100">
        <v>3185.1891377748698</v>
      </c>
      <c r="CH54" s="100">
        <v>11.223102875668825</v>
      </c>
      <c r="CI54" s="100">
        <v>3757.4948427739228</v>
      </c>
      <c r="CJ54" s="100">
        <v>7</v>
      </c>
      <c r="CK54" s="100">
        <v>2343.6</v>
      </c>
      <c r="CL54" s="100">
        <v>6</v>
      </c>
      <c r="CM54" s="100">
        <v>2008.8000000000002</v>
      </c>
      <c r="CN54" s="100">
        <v>0.60623978755927954</v>
      </c>
      <c r="CO54" s="100">
        <v>202.96908087484681</v>
      </c>
      <c r="CP54" s="100">
        <v>10.028478429032159</v>
      </c>
      <c r="CQ54" s="100">
        <v>3357.5345780399671</v>
      </c>
      <c r="CR54" s="100">
        <v>1.7224101482017058</v>
      </c>
      <c r="CS54" s="100">
        <v>576.66291761793116</v>
      </c>
      <c r="CT54" s="100">
        <v>1.4553533146207933</v>
      </c>
      <c r="CU54" s="100">
        <v>487.25228973504164</v>
      </c>
    </row>
    <row r="55" spans="2:99">
      <c r="C55" s="99" t="s">
        <v>221</v>
      </c>
      <c r="D55" s="100">
        <v>6</v>
      </c>
      <c r="E55" s="100">
        <v>3981.6000000000004</v>
      </c>
      <c r="F55" s="100">
        <v>9</v>
      </c>
      <c r="G55" s="100">
        <v>5972.4000000000005</v>
      </c>
      <c r="H55" s="100">
        <v>8</v>
      </c>
      <c r="I55" s="100">
        <v>5308.8</v>
      </c>
      <c r="J55" s="100">
        <v>8</v>
      </c>
      <c r="K55" s="100">
        <v>5308.8</v>
      </c>
      <c r="L55" s="100">
        <v>3.3290473166601995</v>
      </c>
      <c r="M55" s="100">
        <v>2209.1557993357083</v>
      </c>
      <c r="N55" s="100">
        <v>4.9848574701743464</v>
      </c>
      <c r="O55" s="100">
        <v>3307.9514172076965</v>
      </c>
      <c r="P55" s="100">
        <v>5.3066783603341703</v>
      </c>
      <c r="Q55" s="100">
        <v>3521.5117599177556</v>
      </c>
      <c r="R55" s="100">
        <v>6</v>
      </c>
      <c r="S55" s="100">
        <v>3981.6000000000004</v>
      </c>
      <c r="T55" s="100">
        <v>12</v>
      </c>
      <c r="U55" s="100">
        <v>7963.2000000000007</v>
      </c>
      <c r="V55" s="100">
        <v>7</v>
      </c>
      <c r="W55" s="100">
        <v>4645.2</v>
      </c>
      <c r="X55" s="100">
        <v>0.2907092488878697</v>
      </c>
      <c r="Y55" s="100">
        <v>192.91465756199034</v>
      </c>
      <c r="Z55" s="100">
        <v>11</v>
      </c>
      <c r="AA55" s="100">
        <v>7299.6</v>
      </c>
      <c r="AB55" s="100">
        <v>5</v>
      </c>
      <c r="AC55" s="100">
        <v>3318</v>
      </c>
      <c r="AD55" s="100">
        <v>7.2068040508646503</v>
      </c>
      <c r="AE55" s="100">
        <v>4782.4351681537819</v>
      </c>
      <c r="AF55" s="100">
        <v>6.5484410966523665</v>
      </c>
      <c r="AG55" s="100">
        <v>4345.5455117385109</v>
      </c>
      <c r="AH55" s="100">
        <v>1.4714987808686599</v>
      </c>
      <c r="AI55" s="100">
        <v>976.48659098444273</v>
      </c>
      <c r="AJ55" s="100">
        <v>10</v>
      </c>
      <c r="AK55" s="100">
        <v>6636</v>
      </c>
      <c r="AL55" s="100">
        <v>5.3251001017399124</v>
      </c>
      <c r="AM55" s="100">
        <v>3533.736427514606</v>
      </c>
      <c r="AN55" s="100">
        <v>5.3026905510963198</v>
      </c>
      <c r="AO55" s="100">
        <v>3518.8654497075181</v>
      </c>
      <c r="AP55" s="100">
        <v>3.6482153198116074</v>
      </c>
      <c r="AQ55" s="100">
        <v>2420.9556862269828</v>
      </c>
      <c r="AR55" s="100">
        <v>5.4720245008322683</v>
      </c>
      <c r="AS55" s="100">
        <v>3631.2354587522932</v>
      </c>
      <c r="AT55" s="100">
        <v>7.2969299102009725E-4</v>
      </c>
      <c r="AU55" s="100">
        <v>0.48422426884093656</v>
      </c>
      <c r="AV55" s="100">
        <v>7</v>
      </c>
      <c r="AW55" s="100">
        <v>4645.2</v>
      </c>
      <c r="AX55" s="100">
        <v>3.4792731861544581</v>
      </c>
      <c r="AY55" s="100">
        <v>2308.8456863320985</v>
      </c>
      <c r="AZ55" s="100">
        <v>8.8485912640600528</v>
      </c>
      <c r="BA55" s="100">
        <v>5871.9251628302509</v>
      </c>
      <c r="BB55" s="100">
        <v>1.436774859806877</v>
      </c>
      <c r="BC55" s="100">
        <v>953.44379696784358</v>
      </c>
      <c r="BD55" s="100">
        <v>10.929542361088982</v>
      </c>
      <c r="BE55" s="100">
        <v>7252.8443108186493</v>
      </c>
      <c r="BF55" s="100">
        <v>1.6865470997512204</v>
      </c>
      <c r="BG55" s="100">
        <v>1119.1926553949099</v>
      </c>
      <c r="BH55" s="100">
        <v>2.1470969187842504</v>
      </c>
      <c r="BI55" s="100">
        <v>1424.8135153052285</v>
      </c>
      <c r="BJ55" s="100">
        <v>7.5143056162915336</v>
      </c>
      <c r="BK55" s="100">
        <v>4986.4932069710621</v>
      </c>
      <c r="BL55" s="100">
        <v>6</v>
      </c>
      <c r="BM55" s="100">
        <v>3981.6000000000004</v>
      </c>
      <c r="BN55" s="100">
        <v>4.8534872678718628</v>
      </c>
      <c r="BO55" s="100">
        <v>3220.7741509597681</v>
      </c>
      <c r="BP55" s="100">
        <v>8</v>
      </c>
      <c r="BQ55" s="100">
        <v>5308.8</v>
      </c>
      <c r="BR55" s="100">
        <v>3.3911088153622644</v>
      </c>
      <c r="BS55" s="100">
        <v>2250.3398098743987</v>
      </c>
      <c r="BT55" s="100">
        <v>8</v>
      </c>
      <c r="BU55" s="100">
        <v>5308.8</v>
      </c>
      <c r="BV55" s="100">
        <v>2.9417055358772375</v>
      </c>
      <c r="BW55" s="100">
        <v>1952.1157936081349</v>
      </c>
      <c r="BX55" s="100">
        <v>6.5991729102553167</v>
      </c>
      <c r="BY55" s="100">
        <v>4379.2111432454285</v>
      </c>
      <c r="BZ55" s="100">
        <v>10</v>
      </c>
      <c r="CA55" s="100">
        <v>6636</v>
      </c>
      <c r="CB55" s="100">
        <v>2.1334632387857027</v>
      </c>
      <c r="CC55" s="100">
        <v>1415.7662052581923</v>
      </c>
      <c r="CD55" s="100">
        <v>6.0622169740107532</v>
      </c>
      <c r="CE55" s="100">
        <v>4022.8871839535359</v>
      </c>
      <c r="CF55" s="100">
        <v>9.5137071020754771</v>
      </c>
      <c r="CG55" s="100">
        <v>6313.2960329372872</v>
      </c>
      <c r="CH55" s="100">
        <v>10.223102875668825</v>
      </c>
      <c r="CI55" s="100">
        <v>6784.0510682938329</v>
      </c>
      <c r="CJ55" s="100">
        <v>7</v>
      </c>
      <c r="CK55" s="100">
        <v>4645.2</v>
      </c>
      <c r="CL55" s="100">
        <v>6</v>
      </c>
      <c r="CM55" s="100">
        <v>3981.6000000000004</v>
      </c>
      <c r="CN55" s="100">
        <v>0.54561580880335159</v>
      </c>
      <c r="CO55" s="100">
        <v>362.07065072190414</v>
      </c>
      <c r="CP55" s="100">
        <v>10.028478429032159</v>
      </c>
      <c r="CQ55" s="100">
        <v>6654.8982855057411</v>
      </c>
      <c r="CR55" s="100">
        <v>1.5310312428459609</v>
      </c>
      <c r="CS55" s="100">
        <v>1015.9923327525797</v>
      </c>
      <c r="CT55" s="100">
        <v>1.6935894176529496</v>
      </c>
      <c r="CU55" s="100">
        <v>1123.8659375544973</v>
      </c>
    </row>
    <row r="56" spans="2:99">
      <c r="C56" s="99" t="s">
        <v>222</v>
      </c>
      <c r="D56" s="100">
        <v>3.6548003396501114</v>
      </c>
      <c r="E56" s="100">
        <v>3587.5520134005492</v>
      </c>
      <c r="F56" s="100">
        <v>6.8648277164979934</v>
      </c>
      <c r="G56" s="100">
        <v>6738.5148865144292</v>
      </c>
      <c r="H56" s="100">
        <v>7.8049079642550723</v>
      </c>
      <c r="I56" s="100">
        <v>7661.2976577127783</v>
      </c>
      <c r="J56" s="100">
        <v>5.1800968168778825</v>
      </c>
      <c r="K56" s="100">
        <v>5084.783035447329</v>
      </c>
      <c r="L56" s="100">
        <v>5.18817627454807</v>
      </c>
      <c r="M56" s="100">
        <v>5092.7138310963846</v>
      </c>
      <c r="N56" s="100">
        <v>0.4407073574262928</v>
      </c>
      <c r="O56" s="100">
        <v>432.59834204964898</v>
      </c>
      <c r="P56" s="100">
        <v>7.1452402888655406</v>
      </c>
      <c r="Q56" s="100">
        <v>7013.7678675504139</v>
      </c>
      <c r="R56" s="100">
        <v>1.5206990690683171</v>
      </c>
      <c r="S56" s="100">
        <v>1492.7182061974599</v>
      </c>
      <c r="T56" s="100">
        <v>11.678887838452219</v>
      </c>
      <c r="U56" s="100">
        <v>11463.996302224698</v>
      </c>
      <c r="V56" s="100">
        <v>2.1082972553886665</v>
      </c>
      <c r="W56" s="100">
        <v>2069.5045858895151</v>
      </c>
      <c r="X56" s="100">
        <v>9.4810103013392801</v>
      </c>
      <c r="Y56" s="100">
        <v>9306.5597117946363</v>
      </c>
      <c r="Z56" s="100">
        <v>11</v>
      </c>
      <c r="AA56" s="100">
        <v>10797.599999999999</v>
      </c>
      <c r="AB56" s="100">
        <v>3.9859795345534366</v>
      </c>
      <c r="AC56" s="100">
        <v>3912.637511117653</v>
      </c>
      <c r="AD56" s="100">
        <v>0.47456946990337284</v>
      </c>
      <c r="AE56" s="100">
        <v>465.83739165715076</v>
      </c>
      <c r="AF56" s="100">
        <v>6.1500095842107054</v>
      </c>
      <c r="AG56" s="100">
        <v>6036.8494078612275</v>
      </c>
      <c r="AH56" s="100">
        <v>6</v>
      </c>
      <c r="AI56" s="100">
        <v>5889.5999999999995</v>
      </c>
      <c r="AJ56" s="100">
        <v>10.066407348066962</v>
      </c>
      <c r="AK56" s="100">
        <v>9881.1854528625281</v>
      </c>
      <c r="AL56" s="100">
        <v>4.5285121635693821</v>
      </c>
      <c r="AM56" s="100">
        <v>4445.187539759705</v>
      </c>
      <c r="AN56" s="100">
        <v>4.8060481533558326</v>
      </c>
      <c r="AO56" s="100">
        <v>4717.6168673340844</v>
      </c>
      <c r="AP56" s="100">
        <v>5.130219489699261</v>
      </c>
      <c r="AQ56" s="100">
        <v>5035.8234510887942</v>
      </c>
      <c r="AR56" s="100">
        <v>5.754875525065013</v>
      </c>
      <c r="AS56" s="100">
        <v>5648.9858154038166</v>
      </c>
      <c r="AT56" s="100">
        <v>6.1421415151363492</v>
      </c>
      <c r="AU56" s="100">
        <v>6029.1261112578395</v>
      </c>
      <c r="AV56" s="100">
        <v>6.0404233646878946</v>
      </c>
      <c r="AW56" s="100">
        <v>5929.2795747776372</v>
      </c>
      <c r="AX56" s="100">
        <v>7.2897519460030011</v>
      </c>
      <c r="AY56" s="100">
        <v>7155.6205101965452</v>
      </c>
      <c r="AZ56" s="100">
        <v>5.3716339669679236</v>
      </c>
      <c r="BA56" s="100">
        <v>5272.7959019757136</v>
      </c>
      <c r="BB56" s="100">
        <v>0.62075385129070038</v>
      </c>
      <c r="BC56" s="100">
        <v>609.33198042695142</v>
      </c>
      <c r="BD56" s="100">
        <v>10.180011501052846</v>
      </c>
      <c r="BE56" s="100">
        <v>9992.6992894334726</v>
      </c>
      <c r="BF56" s="100">
        <v>1.7926674848766455</v>
      </c>
      <c r="BG56" s="100">
        <v>1759.6824031549152</v>
      </c>
      <c r="BH56" s="100">
        <v>7.2549815528095856</v>
      </c>
      <c r="BI56" s="100">
        <v>7121.4898922378889</v>
      </c>
      <c r="BJ56" s="100">
        <v>5.0760893140802086</v>
      </c>
      <c r="BK56" s="100">
        <v>4982.689270701132</v>
      </c>
      <c r="BL56" s="100">
        <v>4.5970381138297105</v>
      </c>
      <c r="BM56" s="100">
        <v>4512.4526125352431</v>
      </c>
      <c r="BN56" s="100">
        <v>0.43803022126732821</v>
      </c>
      <c r="BO56" s="100">
        <v>429.97046519600934</v>
      </c>
      <c r="BP56" s="100">
        <v>9.161632975884471</v>
      </c>
      <c r="BQ56" s="100">
        <v>8993.0589291281958</v>
      </c>
      <c r="BR56" s="100">
        <v>9</v>
      </c>
      <c r="BS56" s="100">
        <v>8834.4</v>
      </c>
      <c r="BT56" s="100">
        <v>6.3155009279444414</v>
      </c>
      <c r="BU56" s="100">
        <v>6199.2957108702631</v>
      </c>
      <c r="BV56" s="100">
        <v>5.7903555697818812</v>
      </c>
      <c r="BW56" s="100">
        <v>5683.8130272978942</v>
      </c>
      <c r="BX56" s="100">
        <v>6.3570683224699538</v>
      </c>
      <c r="BY56" s="100">
        <v>6240.0982653365063</v>
      </c>
      <c r="BZ56" s="100">
        <v>0.45013581284141069</v>
      </c>
      <c r="CA56" s="100">
        <v>441.85331388512867</v>
      </c>
      <c r="CB56" s="100">
        <v>10.221668784307122</v>
      </c>
      <c r="CC56" s="100">
        <v>10033.59007867587</v>
      </c>
      <c r="CD56" s="100">
        <v>10</v>
      </c>
      <c r="CE56" s="100">
        <v>9816</v>
      </c>
      <c r="CF56" s="100">
        <v>10.339068373876799</v>
      </c>
      <c r="CG56" s="100">
        <v>10148.829515797464</v>
      </c>
      <c r="CH56" s="100">
        <v>7.2458220962008237</v>
      </c>
      <c r="CI56" s="100">
        <v>7112.4989696307275</v>
      </c>
      <c r="CJ56" s="100">
        <v>4.764852863524645</v>
      </c>
      <c r="CK56" s="100">
        <v>4677.1795708357913</v>
      </c>
      <c r="CL56" s="100">
        <v>4.7993461066756824</v>
      </c>
      <c r="CM56" s="100">
        <v>4711.0381383128497</v>
      </c>
      <c r="CN56" s="100">
        <v>6.369055231066941</v>
      </c>
      <c r="CO56" s="100">
        <v>6251.8646148153084</v>
      </c>
      <c r="CP56" s="100">
        <v>0.52759397438845834</v>
      </c>
      <c r="CQ56" s="100">
        <v>517.88624525971068</v>
      </c>
      <c r="CR56" s="100">
        <v>8.1484672216082199</v>
      </c>
      <c r="CS56" s="100">
        <v>7998.5354247306277</v>
      </c>
      <c r="CT56" s="100">
        <v>1.7200508817225304</v>
      </c>
      <c r="CU56" s="100">
        <v>1688.4019454988356</v>
      </c>
    </row>
    <row r="57" spans="2:99">
      <c r="C57" s="99" t="s">
        <v>223</v>
      </c>
      <c r="D57" s="100">
        <v>6</v>
      </c>
      <c r="E57" s="100">
        <v>8467.2000000000007</v>
      </c>
      <c r="F57" s="100">
        <v>8</v>
      </c>
      <c r="G57" s="100">
        <v>11289.6</v>
      </c>
      <c r="H57" s="100">
        <v>7</v>
      </c>
      <c r="I57" s="100">
        <v>9878.4</v>
      </c>
      <c r="J57" s="100">
        <v>8</v>
      </c>
      <c r="K57" s="100">
        <v>11289.6</v>
      </c>
      <c r="L57" s="100">
        <v>2.8534691285658851</v>
      </c>
      <c r="M57" s="100">
        <v>4026.8156342321772</v>
      </c>
      <c r="N57" s="100">
        <v>4.9848574701743464</v>
      </c>
      <c r="O57" s="100">
        <v>7034.6308619100382</v>
      </c>
      <c r="P57" s="100">
        <v>3.7904845430958356</v>
      </c>
      <c r="Q57" s="100">
        <v>5349.1317872168438</v>
      </c>
      <c r="R57" s="100">
        <v>6</v>
      </c>
      <c r="S57" s="100">
        <v>8467.2000000000007</v>
      </c>
      <c r="T57" s="100">
        <v>10</v>
      </c>
      <c r="U57" s="100">
        <v>14112</v>
      </c>
      <c r="V57" s="100">
        <v>8</v>
      </c>
      <c r="W57" s="100">
        <v>11289.6</v>
      </c>
      <c r="X57" s="100">
        <v>0.25840822123366197</v>
      </c>
      <c r="Y57" s="100">
        <v>364.6656818049438</v>
      </c>
      <c r="Z57" s="100">
        <v>10</v>
      </c>
      <c r="AA57" s="100">
        <v>14112</v>
      </c>
      <c r="AB57" s="100">
        <v>5</v>
      </c>
      <c r="AC57" s="100">
        <v>7056</v>
      </c>
      <c r="AD57" s="100">
        <v>6.4060480452130228</v>
      </c>
      <c r="AE57" s="100">
        <v>9040.2150014046183</v>
      </c>
      <c r="AF57" s="100">
        <v>5.6129495114163142</v>
      </c>
      <c r="AG57" s="100">
        <v>7920.994350510703</v>
      </c>
      <c r="AH57" s="100">
        <v>1.2262489840572168</v>
      </c>
      <c r="AI57" s="100">
        <v>1730.4825663015445</v>
      </c>
      <c r="AJ57" s="100">
        <v>11</v>
      </c>
      <c r="AK57" s="100">
        <v>15523.2</v>
      </c>
      <c r="AL57" s="100">
        <v>4.437583418116593</v>
      </c>
      <c r="AM57" s="100">
        <v>6262.3177196461365</v>
      </c>
      <c r="AN57" s="100">
        <v>5.2945168758797827</v>
      </c>
      <c r="AO57" s="100">
        <v>7471.6222152415494</v>
      </c>
      <c r="AP57" s="100">
        <v>3.629356087671042</v>
      </c>
      <c r="AQ57" s="100">
        <v>5121.7473109213743</v>
      </c>
      <c r="AR57" s="100">
        <v>5.4720245008322683</v>
      </c>
      <c r="AS57" s="100">
        <v>7722.1209755744976</v>
      </c>
      <c r="AT57" s="100">
        <v>6.5672369191808761E-4</v>
      </c>
      <c r="AU57" s="100">
        <v>0.92676847403480522</v>
      </c>
      <c r="AV57" s="100">
        <v>7</v>
      </c>
      <c r="AW57" s="100">
        <v>9878.4</v>
      </c>
      <c r="AX57" s="100">
        <v>2.8741635812843684</v>
      </c>
      <c r="AY57" s="100">
        <v>4056.0196459085009</v>
      </c>
      <c r="AZ57" s="100">
        <v>8.8485912640600528</v>
      </c>
      <c r="BA57" s="100">
        <v>12487.131991841547</v>
      </c>
      <c r="BB57" s="100">
        <v>1.2315213084058947</v>
      </c>
      <c r="BC57" s="100">
        <v>1737.9228704223985</v>
      </c>
      <c r="BD57" s="100">
        <v>9.9295423610889824</v>
      </c>
      <c r="BE57" s="100">
        <v>14012.570179968772</v>
      </c>
      <c r="BF57" s="100">
        <v>1.4456117997867604</v>
      </c>
      <c r="BG57" s="100">
        <v>2040.0473718590763</v>
      </c>
      <c r="BH57" s="100">
        <v>2.1470969187842504</v>
      </c>
      <c r="BI57" s="100">
        <v>3029.9831717883344</v>
      </c>
      <c r="BJ57" s="100">
        <v>7.5143056162915336</v>
      </c>
      <c r="BK57" s="100">
        <v>10604.188085710613</v>
      </c>
      <c r="BL57" s="100">
        <v>5</v>
      </c>
      <c r="BM57" s="100">
        <v>7056</v>
      </c>
      <c r="BN57" s="100">
        <v>4.3142109047749893</v>
      </c>
      <c r="BO57" s="100">
        <v>6088.2144288184654</v>
      </c>
      <c r="BP57" s="100">
        <v>8</v>
      </c>
      <c r="BQ57" s="100">
        <v>11289.6</v>
      </c>
      <c r="BR57" s="100">
        <v>3.0143189469886797</v>
      </c>
      <c r="BS57" s="100">
        <v>4253.8068979904247</v>
      </c>
      <c r="BT57" s="100">
        <v>8</v>
      </c>
      <c r="BU57" s="100">
        <v>11289.6</v>
      </c>
      <c r="BV57" s="100">
        <v>2.6475349822895136</v>
      </c>
      <c r="BW57" s="100">
        <v>3736.2013670069618</v>
      </c>
      <c r="BX57" s="100">
        <v>6.5991729102553167</v>
      </c>
      <c r="BY57" s="100">
        <v>9312.7528109523028</v>
      </c>
      <c r="BZ57" s="100">
        <v>8</v>
      </c>
      <c r="CA57" s="100">
        <v>11289.6</v>
      </c>
      <c r="CB57" s="100">
        <v>2.1334632387857027</v>
      </c>
      <c r="CC57" s="100">
        <v>3010.7433225743835</v>
      </c>
      <c r="CD57" s="100">
        <v>6.0573418508682559</v>
      </c>
      <c r="CE57" s="100">
        <v>8548.1208199452831</v>
      </c>
      <c r="CF57" s="100">
        <v>7.929390446037015</v>
      </c>
      <c r="CG57" s="100">
        <v>11189.955797447436</v>
      </c>
      <c r="CH57" s="100">
        <v>9.1784823005350606</v>
      </c>
      <c r="CI57" s="100">
        <v>12952.674222515077</v>
      </c>
      <c r="CJ57" s="100">
        <v>7</v>
      </c>
      <c r="CK57" s="100">
        <v>9878.4</v>
      </c>
      <c r="CL57" s="100">
        <v>5</v>
      </c>
      <c r="CM57" s="100">
        <v>7056</v>
      </c>
      <c r="CN57" s="100">
        <v>0.54561580880335159</v>
      </c>
      <c r="CO57" s="100">
        <v>769.97302938328983</v>
      </c>
      <c r="CP57" s="100">
        <v>8.8570653575267997</v>
      </c>
      <c r="CQ57" s="100">
        <v>12499.09063254182</v>
      </c>
      <c r="CR57" s="100">
        <v>1.4104304410873567</v>
      </c>
      <c r="CS57" s="100">
        <v>1990.3994384624777</v>
      </c>
      <c r="CT57" s="100">
        <v>1.517213801335328</v>
      </c>
      <c r="CU57" s="100">
        <v>2141.0921164444148</v>
      </c>
    </row>
    <row r="58" spans="2:99">
      <c r="C58" s="99" t="s">
        <v>224</v>
      </c>
      <c r="D58" s="100">
        <v>6</v>
      </c>
      <c r="E58" s="100">
        <v>7063.2000000000007</v>
      </c>
      <c r="F58" s="100">
        <v>7.774770544605758</v>
      </c>
      <c r="G58" s="100">
        <v>9152.4598851098981</v>
      </c>
      <c r="H58" s="100">
        <v>5.1815792464103403</v>
      </c>
      <c r="I58" s="100">
        <v>6099.7550888742526</v>
      </c>
      <c r="J58" s="100">
        <v>8</v>
      </c>
      <c r="K58" s="100">
        <v>9417.6</v>
      </c>
      <c r="L58" s="100">
        <v>6</v>
      </c>
      <c r="M58" s="100">
        <v>7063.2000000000007</v>
      </c>
      <c r="N58" s="100">
        <v>7</v>
      </c>
      <c r="O58" s="100">
        <v>8240.4</v>
      </c>
      <c r="P58" s="100">
        <v>6</v>
      </c>
      <c r="Q58" s="100">
        <v>7063.2000000000007</v>
      </c>
      <c r="R58" s="100">
        <v>3.7437046069364315</v>
      </c>
      <c r="S58" s="100">
        <v>4407.0890632855671</v>
      </c>
      <c r="T58" s="100">
        <v>11</v>
      </c>
      <c r="U58" s="100">
        <v>12949.2</v>
      </c>
      <c r="V58" s="100">
        <v>4.3885180777636723</v>
      </c>
      <c r="W58" s="100">
        <v>5166.1634811433951</v>
      </c>
      <c r="X58" s="100">
        <v>6.0469903548614319</v>
      </c>
      <c r="Y58" s="100">
        <v>7118.5170457428776</v>
      </c>
      <c r="Z58" s="100">
        <v>10</v>
      </c>
      <c r="AA58" s="100">
        <v>11772</v>
      </c>
      <c r="AB58" s="100">
        <v>4.3773549825816014</v>
      </c>
      <c r="AC58" s="100">
        <v>5153.0222854950616</v>
      </c>
      <c r="AD58" s="100">
        <v>8.4125563981229412</v>
      </c>
      <c r="AE58" s="100">
        <v>9903.2613918703264</v>
      </c>
      <c r="AF58" s="100">
        <v>6.5597468469403246</v>
      </c>
      <c r="AG58" s="100">
        <v>7722.1339882181501</v>
      </c>
      <c r="AH58" s="100">
        <v>6</v>
      </c>
      <c r="AI58" s="100">
        <v>7063.2000000000007</v>
      </c>
      <c r="AJ58" s="100">
        <v>9.672941724735395</v>
      </c>
      <c r="AK58" s="100">
        <v>11386.986998358507</v>
      </c>
      <c r="AL58" s="100">
        <v>2.7105339669294182</v>
      </c>
      <c r="AM58" s="100">
        <v>3190.8405858693113</v>
      </c>
      <c r="AN58" s="100">
        <v>4.3649664447236702</v>
      </c>
      <c r="AO58" s="100">
        <v>5138.4384987287049</v>
      </c>
      <c r="AP58" s="100">
        <v>6.1615295110811585</v>
      </c>
      <c r="AQ58" s="100">
        <v>7253.35254044474</v>
      </c>
      <c r="AR58" s="100">
        <v>8</v>
      </c>
      <c r="AS58" s="100">
        <v>9417.6</v>
      </c>
      <c r="AT58" s="100">
        <v>5.9183423682182115</v>
      </c>
      <c r="AU58" s="100">
        <v>6967.0726358664788</v>
      </c>
      <c r="AV58" s="100">
        <v>8</v>
      </c>
      <c r="AW58" s="100">
        <v>9417.6</v>
      </c>
      <c r="AX58" s="100">
        <v>6.070646799444237</v>
      </c>
      <c r="AY58" s="100">
        <v>7146.3654123057559</v>
      </c>
      <c r="AZ58" s="100">
        <v>7.1497974365687185</v>
      </c>
      <c r="BA58" s="100">
        <v>8416.7415423286966</v>
      </c>
      <c r="BB58" s="100">
        <v>6</v>
      </c>
      <c r="BC58" s="100">
        <v>7063.2000000000007</v>
      </c>
      <c r="BD58" s="100">
        <v>6.7876650675963734</v>
      </c>
      <c r="BE58" s="100">
        <v>7990.4393175744508</v>
      </c>
      <c r="BF58" s="100">
        <v>4.9361978905942232</v>
      </c>
      <c r="BG58" s="100">
        <v>5810.8921568075202</v>
      </c>
      <c r="BH58" s="100">
        <v>4.519784295614536</v>
      </c>
      <c r="BI58" s="100">
        <v>5320.6900727974316</v>
      </c>
      <c r="BJ58" s="100">
        <v>3.130429648121821</v>
      </c>
      <c r="BK58" s="100">
        <v>3685.141781769008</v>
      </c>
      <c r="BL58" s="100">
        <v>6.7241263148232324</v>
      </c>
      <c r="BM58" s="100">
        <v>7915.6414978099092</v>
      </c>
      <c r="BN58" s="100">
        <v>7</v>
      </c>
      <c r="BO58" s="100">
        <v>8240.4</v>
      </c>
      <c r="BP58" s="100">
        <v>7</v>
      </c>
      <c r="BQ58" s="100">
        <v>8240.4</v>
      </c>
      <c r="BR58" s="100">
        <v>5.3861538942753686</v>
      </c>
      <c r="BS58" s="100">
        <v>6340.5803643409645</v>
      </c>
      <c r="BT58" s="100">
        <v>7.2534667900650236</v>
      </c>
      <c r="BU58" s="100">
        <v>8538.7811052645466</v>
      </c>
      <c r="BV58" s="100">
        <v>6.5854210028970392</v>
      </c>
      <c r="BW58" s="100">
        <v>7752.3576046103944</v>
      </c>
      <c r="BX58" s="100">
        <v>2.6801324006306877</v>
      </c>
      <c r="BY58" s="100">
        <v>3155.0518620224457</v>
      </c>
      <c r="BZ58" s="100">
        <v>9.3058934908139701</v>
      </c>
      <c r="CA58" s="100">
        <v>10954.897817386205</v>
      </c>
      <c r="CB58" s="100">
        <v>10.330559506470767</v>
      </c>
      <c r="CC58" s="100">
        <v>12161.134651017386</v>
      </c>
      <c r="CD58" s="100">
        <v>8.7007704925112003E-4</v>
      </c>
      <c r="CE58" s="100">
        <v>1.0242547023784185</v>
      </c>
      <c r="CF58" s="100">
        <v>9.0002484322758498</v>
      </c>
      <c r="CG58" s="100">
        <v>10595.092454475131</v>
      </c>
      <c r="CH58" s="100">
        <v>10</v>
      </c>
      <c r="CI58" s="100">
        <v>11772</v>
      </c>
      <c r="CJ58" s="100">
        <v>7</v>
      </c>
      <c r="CK58" s="100">
        <v>8240.4</v>
      </c>
      <c r="CL58" s="100">
        <v>1.6176082555560931</v>
      </c>
      <c r="CM58" s="100">
        <v>1904.248438440633</v>
      </c>
      <c r="CN58" s="100">
        <v>7.7012128171706404</v>
      </c>
      <c r="CO58" s="100">
        <v>9065.8677283732777</v>
      </c>
      <c r="CP58" s="100">
        <v>8</v>
      </c>
      <c r="CQ58" s="100">
        <v>9417.6</v>
      </c>
      <c r="CR58" s="100">
        <v>5.7268335051809878</v>
      </c>
      <c r="CS58" s="100">
        <v>6741.6284022990594</v>
      </c>
      <c r="CT58" s="100">
        <v>6</v>
      </c>
      <c r="CU58" s="100">
        <v>7063.2000000000007</v>
      </c>
    </row>
    <row r="59" spans="2:99">
      <c r="C59" s="99" t="s">
        <v>225</v>
      </c>
      <c r="D59" s="100">
        <v>6</v>
      </c>
      <c r="E59" s="100">
        <v>1821.6</v>
      </c>
      <c r="F59" s="100">
        <v>9</v>
      </c>
      <c r="G59" s="100">
        <v>2732.3999999999996</v>
      </c>
      <c r="H59" s="100">
        <v>8</v>
      </c>
      <c r="I59" s="100">
        <v>2428.7999999999997</v>
      </c>
      <c r="J59" s="100">
        <v>9</v>
      </c>
      <c r="K59" s="100">
        <v>2732.3999999999996</v>
      </c>
      <c r="L59" s="100">
        <v>3.3290473166601995</v>
      </c>
      <c r="M59" s="100">
        <v>1010.6987653380364</v>
      </c>
      <c r="N59" s="100">
        <v>5.8156670485367368</v>
      </c>
      <c r="O59" s="100">
        <v>1765.6365159357531</v>
      </c>
      <c r="P59" s="100">
        <v>4.5485814517150036</v>
      </c>
      <c r="Q59" s="100">
        <v>1380.9493287406749</v>
      </c>
      <c r="R59" s="100">
        <v>7</v>
      </c>
      <c r="S59" s="100">
        <v>2125.1999999999998</v>
      </c>
      <c r="T59" s="100">
        <v>12</v>
      </c>
      <c r="U59" s="100">
        <v>3643.2</v>
      </c>
      <c r="V59" s="100">
        <v>8</v>
      </c>
      <c r="W59" s="100">
        <v>2428.7999999999997</v>
      </c>
      <c r="X59" s="100">
        <v>0.32301027654207742</v>
      </c>
      <c r="Y59" s="100">
        <v>98.065919958174689</v>
      </c>
      <c r="Z59" s="100">
        <v>11</v>
      </c>
      <c r="AA59" s="100">
        <v>3339.5999999999995</v>
      </c>
      <c r="AB59" s="100">
        <v>5</v>
      </c>
      <c r="AC59" s="100">
        <v>1517.9999999999998</v>
      </c>
      <c r="AD59" s="100">
        <v>8.0075600565162777</v>
      </c>
      <c r="AE59" s="100">
        <v>2431.0952331583417</v>
      </c>
      <c r="AF59" s="100">
        <v>6.5484410966523665</v>
      </c>
      <c r="AG59" s="100">
        <v>1988.1067169436583</v>
      </c>
      <c r="AH59" s="100">
        <v>1.7167485776801035</v>
      </c>
      <c r="AI59" s="100">
        <v>521.20486818367931</v>
      </c>
      <c r="AJ59" s="100">
        <v>13</v>
      </c>
      <c r="AK59" s="100">
        <v>3946.7999999999997</v>
      </c>
      <c r="AL59" s="100">
        <v>5.3251001017399124</v>
      </c>
      <c r="AM59" s="100">
        <v>1616.7003908882373</v>
      </c>
      <c r="AN59" s="100">
        <v>5.3026905510963198</v>
      </c>
      <c r="AO59" s="100">
        <v>1609.8968513128425</v>
      </c>
      <c r="AP59" s="100">
        <v>3.4973414626870816</v>
      </c>
      <c r="AQ59" s="100">
        <v>1061.7928680717978</v>
      </c>
      <c r="AR59" s="100">
        <v>6.3898675165129983</v>
      </c>
      <c r="AS59" s="100">
        <v>1939.963778013346</v>
      </c>
      <c r="AT59" s="100">
        <v>7.2969299102009725E-4</v>
      </c>
      <c r="AU59" s="100">
        <v>0.2215347920737015</v>
      </c>
      <c r="AV59" s="100">
        <v>9</v>
      </c>
      <c r="AW59" s="100">
        <v>2732.3999999999996</v>
      </c>
      <c r="AX59" s="100">
        <v>3.2069524555932061</v>
      </c>
      <c r="AY59" s="100">
        <v>973.63076551809729</v>
      </c>
      <c r="AZ59" s="100">
        <v>8.9900231414033946</v>
      </c>
      <c r="BA59" s="100">
        <v>2729.3710257300704</v>
      </c>
      <c r="BB59" s="100">
        <v>1.436774859806877</v>
      </c>
      <c r="BC59" s="100">
        <v>436.20484743736779</v>
      </c>
      <c r="BD59" s="100">
        <v>11.929542361088982</v>
      </c>
      <c r="BE59" s="100">
        <v>3621.8090608266148</v>
      </c>
      <c r="BF59" s="100">
        <v>1.6865470997512204</v>
      </c>
      <c r="BG59" s="100">
        <v>512.03569948447046</v>
      </c>
      <c r="BH59" s="100">
        <v>2.1470969187842504</v>
      </c>
      <c r="BI59" s="100">
        <v>651.85862454289838</v>
      </c>
      <c r="BJ59" s="100">
        <v>8.5143056162915336</v>
      </c>
      <c r="BK59" s="100">
        <v>2584.9431851061095</v>
      </c>
      <c r="BL59" s="100">
        <v>6</v>
      </c>
      <c r="BM59" s="100">
        <v>1821.6</v>
      </c>
      <c r="BN59" s="100">
        <v>4.8534872678718628</v>
      </c>
      <c r="BO59" s="100">
        <v>1473.5187345258973</v>
      </c>
      <c r="BP59" s="100">
        <v>8</v>
      </c>
      <c r="BQ59" s="100">
        <v>2428.7999999999997</v>
      </c>
      <c r="BR59" s="100">
        <v>3.7678986837358495</v>
      </c>
      <c r="BS59" s="100">
        <v>1143.9340403822039</v>
      </c>
      <c r="BT59" s="100">
        <v>8</v>
      </c>
      <c r="BU59" s="100">
        <v>2428.7999999999997</v>
      </c>
      <c r="BV59" s="100">
        <v>2.9417055358772375</v>
      </c>
      <c r="BW59" s="100">
        <v>893.10180069232922</v>
      </c>
      <c r="BX59" s="100">
        <v>6.5991729102553167</v>
      </c>
      <c r="BY59" s="100">
        <v>2003.5088955535139</v>
      </c>
      <c r="BZ59" s="100">
        <v>10</v>
      </c>
      <c r="CA59" s="100">
        <v>3035.9999999999995</v>
      </c>
      <c r="CB59" s="100">
        <v>2.3705147097618915</v>
      </c>
      <c r="CC59" s="100">
        <v>719.68826588371019</v>
      </c>
      <c r="CD59" s="100">
        <v>6.7142197681050915</v>
      </c>
      <c r="CE59" s="100">
        <v>2038.4371215967055</v>
      </c>
      <c r="CF59" s="100">
        <v>8.7215487740562452</v>
      </c>
      <c r="CG59" s="100">
        <v>2647.8622078034759</v>
      </c>
      <c r="CH59" s="100">
        <v>10.223102875668825</v>
      </c>
      <c r="CI59" s="100">
        <v>3103.7340330530551</v>
      </c>
      <c r="CJ59" s="100">
        <v>8</v>
      </c>
      <c r="CK59" s="100">
        <v>2428.7999999999997</v>
      </c>
      <c r="CL59" s="100">
        <v>6</v>
      </c>
      <c r="CM59" s="100">
        <v>1821.6</v>
      </c>
      <c r="CN59" s="100">
        <v>0.60623978755927954</v>
      </c>
      <c r="CO59" s="100">
        <v>184.05439950299726</v>
      </c>
      <c r="CP59" s="100">
        <v>11.19989150053752</v>
      </c>
      <c r="CQ59" s="100">
        <v>3400.2870595631907</v>
      </c>
      <c r="CR59" s="100">
        <v>1.7224101482017058</v>
      </c>
      <c r="CS59" s="100">
        <v>522.92372099403781</v>
      </c>
      <c r="CT59" s="100">
        <v>1.6935894176529496</v>
      </c>
      <c r="CU59" s="100">
        <v>514.17374719943541</v>
      </c>
    </row>
    <row r="60" spans="2:99">
      <c r="C60" s="99" t="s">
        <v>226</v>
      </c>
      <c r="D60" s="100">
        <v>6</v>
      </c>
      <c r="E60" s="100">
        <v>3909.6000000000004</v>
      </c>
      <c r="F60" s="100">
        <v>9</v>
      </c>
      <c r="G60" s="100">
        <v>5864.4000000000005</v>
      </c>
      <c r="H60" s="100">
        <v>7</v>
      </c>
      <c r="I60" s="100">
        <v>4561.2</v>
      </c>
      <c r="J60" s="100">
        <v>8</v>
      </c>
      <c r="K60" s="100">
        <v>5212.8</v>
      </c>
      <c r="L60" s="100">
        <v>3.3290473166601995</v>
      </c>
      <c r="M60" s="100">
        <v>2169.2072315357859</v>
      </c>
      <c r="N60" s="100">
        <v>5.8156670485367368</v>
      </c>
      <c r="O60" s="100">
        <v>3789.4886488265379</v>
      </c>
      <c r="P60" s="100">
        <v>4.5485814517150036</v>
      </c>
      <c r="Q60" s="100">
        <v>2963.8556739374962</v>
      </c>
      <c r="R60" s="100">
        <v>7</v>
      </c>
      <c r="S60" s="100">
        <v>4561.2</v>
      </c>
      <c r="T60" s="100">
        <v>11</v>
      </c>
      <c r="U60" s="100">
        <v>7167.6</v>
      </c>
      <c r="V60" s="100">
        <v>9</v>
      </c>
      <c r="W60" s="100">
        <v>5864.4000000000005</v>
      </c>
      <c r="X60" s="100">
        <v>0.25840822123366197</v>
      </c>
      <c r="Y60" s="100">
        <v>168.37879695585414</v>
      </c>
      <c r="Z60" s="100">
        <v>11</v>
      </c>
      <c r="AA60" s="100">
        <v>7167.6</v>
      </c>
      <c r="AB60" s="100">
        <v>6</v>
      </c>
      <c r="AC60" s="100">
        <v>3909.6000000000004</v>
      </c>
      <c r="AD60" s="100">
        <v>7.2068040508646503</v>
      </c>
      <c r="AE60" s="100">
        <v>4695.9535195434064</v>
      </c>
      <c r="AF60" s="100">
        <v>5.6129495114163142</v>
      </c>
      <c r="AG60" s="100">
        <v>3657.3979016388703</v>
      </c>
      <c r="AH60" s="100">
        <v>1.4714987808686599</v>
      </c>
      <c r="AI60" s="100">
        <v>958.8286056140189</v>
      </c>
      <c r="AJ60" s="100">
        <v>11</v>
      </c>
      <c r="AK60" s="100">
        <v>7167.6</v>
      </c>
      <c r="AL60" s="100">
        <v>6.212616785363231</v>
      </c>
      <c r="AM60" s="100">
        <v>4048.1410973426814</v>
      </c>
      <c r="AN60" s="100">
        <v>5.3026905510963198</v>
      </c>
      <c r="AO60" s="100">
        <v>3455.2331630943622</v>
      </c>
      <c r="AP60" s="100">
        <v>3.6482153198116074</v>
      </c>
      <c r="AQ60" s="100">
        <v>2377.1771023892434</v>
      </c>
      <c r="AR60" s="100">
        <v>5.4720245008322683</v>
      </c>
      <c r="AS60" s="100">
        <v>3565.5711647423063</v>
      </c>
      <c r="AT60" s="100">
        <v>6.5672369191808761E-4</v>
      </c>
      <c r="AU60" s="100">
        <v>0.42792115765382588</v>
      </c>
      <c r="AV60" s="100">
        <v>8</v>
      </c>
      <c r="AW60" s="100">
        <v>5212.8</v>
      </c>
      <c r="AX60" s="100">
        <v>3.1918354196563099</v>
      </c>
      <c r="AY60" s="100">
        <v>2079.7999594480516</v>
      </c>
      <c r="AZ60" s="100">
        <v>8.8485912640600528</v>
      </c>
      <c r="BA60" s="100">
        <v>5765.7420676615302</v>
      </c>
      <c r="BB60" s="100">
        <v>1.436774859806877</v>
      </c>
      <c r="BC60" s="100">
        <v>936.20249865016115</v>
      </c>
      <c r="BD60" s="100">
        <v>9.9295423610889824</v>
      </c>
      <c r="BE60" s="100">
        <v>6470.0898024855815</v>
      </c>
      <c r="BF60" s="100">
        <v>1.4456117997867604</v>
      </c>
      <c r="BG60" s="100">
        <v>941.96064874105309</v>
      </c>
      <c r="BH60" s="100">
        <v>2.3533780095380297</v>
      </c>
      <c r="BI60" s="100">
        <v>1533.4611110149801</v>
      </c>
      <c r="BJ60" s="100">
        <v>7.5143056162915336</v>
      </c>
      <c r="BK60" s="100">
        <v>4896.3215395755633</v>
      </c>
      <c r="BL60" s="100">
        <v>6</v>
      </c>
      <c r="BM60" s="100">
        <v>3909.6000000000004</v>
      </c>
      <c r="BN60" s="100">
        <v>4.8534872678718628</v>
      </c>
      <c r="BO60" s="100">
        <v>3162.5323037453059</v>
      </c>
      <c r="BP60" s="100">
        <v>9</v>
      </c>
      <c r="BQ60" s="100">
        <v>5864.4000000000005</v>
      </c>
      <c r="BR60" s="100">
        <v>3.3911088153622644</v>
      </c>
      <c r="BS60" s="100">
        <v>2209.6465040900516</v>
      </c>
      <c r="BT60" s="100">
        <v>7</v>
      </c>
      <c r="BU60" s="100">
        <v>4561.2</v>
      </c>
      <c r="BV60" s="100">
        <v>2.3533644287017901</v>
      </c>
      <c r="BW60" s="100">
        <v>1533.4522617420864</v>
      </c>
      <c r="BX60" s="100">
        <v>6.5991729102553167</v>
      </c>
      <c r="BY60" s="100">
        <v>4300.021068322365</v>
      </c>
      <c r="BZ60" s="100">
        <v>9</v>
      </c>
      <c r="CA60" s="100">
        <v>5864.4000000000005</v>
      </c>
      <c r="CB60" s="100">
        <v>2.3705147097618915</v>
      </c>
      <c r="CC60" s="100">
        <v>1544.6273848808485</v>
      </c>
      <c r="CD60" s="100">
        <v>6.1547541920257798</v>
      </c>
      <c r="CE60" s="100">
        <v>4010.4378315239983</v>
      </c>
      <c r="CF60" s="100">
        <v>9.5137071020754771</v>
      </c>
      <c r="CG60" s="100">
        <v>6199.1315477123808</v>
      </c>
      <c r="CH60" s="100">
        <v>10.223102875668825</v>
      </c>
      <c r="CI60" s="100">
        <v>6661.3738337858067</v>
      </c>
      <c r="CJ60" s="100">
        <v>8</v>
      </c>
      <c r="CK60" s="100">
        <v>5212.8</v>
      </c>
      <c r="CL60" s="100">
        <v>6</v>
      </c>
      <c r="CM60" s="100">
        <v>3909.6000000000004</v>
      </c>
      <c r="CN60" s="100">
        <v>0.54561580880335159</v>
      </c>
      <c r="CO60" s="100">
        <v>355.52326101626392</v>
      </c>
      <c r="CP60" s="100">
        <v>11.028478429032159</v>
      </c>
      <c r="CQ60" s="100">
        <v>7186.1565443573554</v>
      </c>
      <c r="CR60" s="100">
        <v>1.8020355147484897</v>
      </c>
      <c r="CS60" s="100">
        <v>1174.206341410116</v>
      </c>
      <c r="CT60" s="100">
        <v>1.4553533146207933</v>
      </c>
      <c r="CU60" s="100">
        <v>948.30821980690894</v>
      </c>
    </row>
    <row r="61" spans="2:99">
      <c r="C61" s="99" t="s">
        <v>227</v>
      </c>
      <c r="D61" s="100">
        <v>6</v>
      </c>
      <c r="E61" s="100">
        <v>5709.5999999999995</v>
      </c>
      <c r="F61" s="100">
        <v>9</v>
      </c>
      <c r="G61" s="100">
        <v>8564.4</v>
      </c>
      <c r="H61" s="100">
        <v>7</v>
      </c>
      <c r="I61" s="100">
        <v>6661.1999999999989</v>
      </c>
      <c r="J61" s="100">
        <v>8</v>
      </c>
      <c r="K61" s="100">
        <v>7612.7999999999993</v>
      </c>
      <c r="L61" s="100">
        <v>3.3290473166601995</v>
      </c>
      <c r="M61" s="100">
        <v>3167.9214265338455</v>
      </c>
      <c r="N61" s="100">
        <v>4.9848574701743464</v>
      </c>
      <c r="O61" s="100">
        <v>4743.5903686179072</v>
      </c>
      <c r="P61" s="100">
        <v>4.5485814517150036</v>
      </c>
      <c r="Q61" s="100">
        <v>4328.4301094519969</v>
      </c>
      <c r="R61" s="100">
        <v>6</v>
      </c>
      <c r="S61" s="100">
        <v>5709.5999999999995</v>
      </c>
      <c r="T61" s="100">
        <v>11</v>
      </c>
      <c r="U61" s="100">
        <v>10467.599999999999</v>
      </c>
      <c r="V61" s="100">
        <v>8</v>
      </c>
      <c r="W61" s="100">
        <v>7612.7999999999993</v>
      </c>
      <c r="X61" s="100">
        <v>0.2907092488878697</v>
      </c>
      <c r="Y61" s="100">
        <v>276.63892124169678</v>
      </c>
      <c r="Z61" s="100">
        <v>11</v>
      </c>
      <c r="AA61" s="100">
        <v>10467.599999999999</v>
      </c>
      <c r="AB61" s="100">
        <v>6</v>
      </c>
      <c r="AC61" s="100">
        <v>5709.5999999999995</v>
      </c>
      <c r="AD61" s="100">
        <v>6.4060480452130228</v>
      </c>
      <c r="AE61" s="100">
        <v>6095.9953198247122</v>
      </c>
      <c r="AF61" s="100">
        <v>6.5484410966523665</v>
      </c>
      <c r="AG61" s="100">
        <v>6231.4965475743911</v>
      </c>
      <c r="AH61" s="100">
        <v>1.4714987808686599</v>
      </c>
      <c r="AI61" s="100">
        <v>1400.2782398746167</v>
      </c>
      <c r="AJ61" s="100">
        <v>11</v>
      </c>
      <c r="AK61" s="100">
        <v>10467.599999999999</v>
      </c>
      <c r="AL61" s="100">
        <v>5.3251001017399124</v>
      </c>
      <c r="AM61" s="100">
        <v>5067.3652568157004</v>
      </c>
      <c r="AN61" s="100">
        <v>5.2945168758797827</v>
      </c>
      <c r="AO61" s="100">
        <v>5038.2622590872006</v>
      </c>
      <c r="AP61" s="100">
        <v>3.6482153198116074</v>
      </c>
      <c r="AQ61" s="100">
        <v>3471.6416983327254</v>
      </c>
      <c r="AR61" s="100">
        <v>5.4720245008322683</v>
      </c>
      <c r="AS61" s="100">
        <v>5207.178514991986</v>
      </c>
      <c r="AT61" s="100">
        <v>6.5672369191808761E-4</v>
      </c>
      <c r="AU61" s="100">
        <v>0.62493826522925211</v>
      </c>
      <c r="AV61" s="100">
        <v>7</v>
      </c>
      <c r="AW61" s="100">
        <v>6661.1999999999989</v>
      </c>
      <c r="AX61" s="100">
        <v>2.8892806172212646</v>
      </c>
      <c r="AY61" s="100">
        <v>2749.4394353477551</v>
      </c>
      <c r="AZ61" s="100">
        <v>8.8485912640600528</v>
      </c>
      <c r="BA61" s="100">
        <v>8420.3194468795446</v>
      </c>
      <c r="BB61" s="100">
        <v>1.436774859806877</v>
      </c>
      <c r="BC61" s="100">
        <v>1367.2349565922241</v>
      </c>
      <c r="BD61" s="100">
        <v>10.929542361088982</v>
      </c>
      <c r="BE61" s="100">
        <v>10400.552510812275</v>
      </c>
      <c r="BF61" s="100">
        <v>1.4456117997867604</v>
      </c>
      <c r="BG61" s="100">
        <v>1375.644188677081</v>
      </c>
      <c r="BH61" s="100">
        <v>2.3533780095380297</v>
      </c>
      <c r="BI61" s="100">
        <v>2239.4745138763888</v>
      </c>
      <c r="BJ61" s="100">
        <v>7.5143056162915336</v>
      </c>
      <c r="BK61" s="100">
        <v>7150.6132244630226</v>
      </c>
      <c r="BL61" s="100">
        <v>6</v>
      </c>
      <c r="BM61" s="100">
        <v>5709.5999999999995</v>
      </c>
      <c r="BN61" s="100">
        <v>4.3142109047749893</v>
      </c>
      <c r="BO61" s="100">
        <v>4105.4030969838795</v>
      </c>
      <c r="BP61" s="100">
        <v>8</v>
      </c>
      <c r="BQ61" s="100">
        <v>7612.7999999999993</v>
      </c>
      <c r="BR61" s="100">
        <v>3.3911088153622644</v>
      </c>
      <c r="BS61" s="100">
        <v>3226.9791486987306</v>
      </c>
      <c r="BT61" s="100">
        <v>7</v>
      </c>
      <c r="BU61" s="100">
        <v>6661.1999999999989</v>
      </c>
      <c r="BV61" s="100">
        <v>2.6475349822895136</v>
      </c>
      <c r="BW61" s="100">
        <v>2519.3942891467009</v>
      </c>
      <c r="BX61" s="100">
        <v>6.4793383282042534</v>
      </c>
      <c r="BY61" s="100">
        <v>6165.7383531191672</v>
      </c>
      <c r="BZ61" s="100">
        <v>9</v>
      </c>
      <c r="CA61" s="100">
        <v>8564.4</v>
      </c>
      <c r="CB61" s="100">
        <v>2.1334632387857027</v>
      </c>
      <c r="CC61" s="100">
        <v>2030.2036180284745</v>
      </c>
      <c r="CD61" s="100">
        <v>6.6070571806625722</v>
      </c>
      <c r="CE61" s="100">
        <v>6287.2756131185033</v>
      </c>
      <c r="CF61" s="100">
        <v>7.929390446037015</v>
      </c>
      <c r="CG61" s="100">
        <v>7545.6079484488228</v>
      </c>
      <c r="CH61" s="100">
        <v>10.223102875668825</v>
      </c>
      <c r="CI61" s="100">
        <v>9728.3046964864534</v>
      </c>
      <c r="CJ61" s="100">
        <v>8</v>
      </c>
      <c r="CK61" s="100">
        <v>7612.7999999999993</v>
      </c>
      <c r="CL61" s="100">
        <v>6</v>
      </c>
      <c r="CM61" s="100">
        <v>5709.5999999999995</v>
      </c>
      <c r="CN61" s="100">
        <v>0.54561580880335159</v>
      </c>
      <c r="CO61" s="100">
        <v>519.20800365726927</v>
      </c>
      <c r="CP61" s="100">
        <v>9.0284784290321589</v>
      </c>
      <c r="CQ61" s="100">
        <v>8591.5000730670017</v>
      </c>
      <c r="CR61" s="100">
        <v>1.7224101482017058</v>
      </c>
      <c r="CS61" s="100">
        <v>1639.0454970287431</v>
      </c>
      <c r="CT61" s="100">
        <v>1.4467077491448412</v>
      </c>
      <c r="CU61" s="100">
        <v>1376.6870940862309</v>
      </c>
    </row>
    <row r="62" spans="2:99">
      <c r="C62" s="99" t="s">
        <v>228</v>
      </c>
      <c r="D62" s="100">
        <v>3.7518853732035145</v>
      </c>
      <c r="E62" s="100">
        <v>6262.6470649513067</v>
      </c>
      <c r="F62" s="100">
        <v>6.8618049464365152</v>
      </c>
      <c r="G62" s="100">
        <v>11453.724816591832</v>
      </c>
      <c r="H62" s="100">
        <v>6.8149822606631583</v>
      </c>
      <c r="I62" s="100">
        <v>11375.568389498943</v>
      </c>
      <c r="J62" s="100">
        <v>5.1800968168778825</v>
      </c>
      <c r="K62" s="100">
        <v>8646.6176067325614</v>
      </c>
      <c r="L62" s="100">
        <v>5.0627387384263303</v>
      </c>
      <c r="M62" s="100">
        <v>8450.7235021812303</v>
      </c>
      <c r="N62" s="100">
        <v>0.43900474066505624</v>
      </c>
      <c r="O62" s="100">
        <v>732.78671311811183</v>
      </c>
      <c r="P62" s="100">
        <v>5.1452402888655406</v>
      </c>
      <c r="Q62" s="100">
        <v>8588.4350901743601</v>
      </c>
      <c r="R62" s="100">
        <v>1.5206990690683171</v>
      </c>
      <c r="S62" s="100">
        <v>2538.3508860888351</v>
      </c>
      <c r="T62" s="100">
        <v>9.6788878384522192</v>
      </c>
      <c r="U62" s="100">
        <v>16155.999579944444</v>
      </c>
      <c r="V62" s="100">
        <v>2.1082972553886665</v>
      </c>
      <c r="W62" s="100">
        <v>3519.169778694762</v>
      </c>
      <c r="X62" s="100">
        <v>8.4810103013392801</v>
      </c>
      <c r="Y62" s="100">
        <v>14156.502394995527</v>
      </c>
      <c r="Z62" s="100">
        <v>10</v>
      </c>
      <c r="AA62" s="100">
        <v>16692</v>
      </c>
      <c r="AB62" s="100">
        <v>4.7831754414641239</v>
      </c>
      <c r="AC62" s="100">
        <v>7984.076446891916</v>
      </c>
      <c r="AD62" s="100">
        <v>0.47248383026462948</v>
      </c>
      <c r="AE62" s="100">
        <v>788.67000947771953</v>
      </c>
      <c r="AF62" s="100">
        <v>6.1500095842107054</v>
      </c>
      <c r="AG62" s="100">
        <v>10265.59599796451</v>
      </c>
      <c r="AH62" s="100">
        <v>6</v>
      </c>
      <c r="AI62" s="100">
        <v>10015.200000000001</v>
      </c>
      <c r="AJ62" s="100">
        <v>9.1157042899698659</v>
      </c>
      <c r="AK62" s="100">
        <v>15215.933600817702</v>
      </c>
      <c r="AL62" s="100">
        <v>4.4217784777590872</v>
      </c>
      <c r="AM62" s="100">
        <v>7380.8326350754687</v>
      </c>
      <c r="AN62" s="100">
        <v>4.8466234181599415</v>
      </c>
      <c r="AO62" s="100">
        <v>8089.9838095925743</v>
      </c>
      <c r="AP62" s="100">
        <v>4.3982339136941055</v>
      </c>
      <c r="AQ62" s="100">
        <v>7341.5320487382014</v>
      </c>
      <c r="AR62" s="100">
        <v>5.1522648016889834</v>
      </c>
      <c r="AS62" s="100">
        <v>8600.160406979252</v>
      </c>
      <c r="AT62" s="100">
        <v>6.1421415151363492</v>
      </c>
      <c r="AU62" s="100">
        <v>10252.462617065594</v>
      </c>
      <c r="AV62" s="100">
        <v>6.7988288278302296</v>
      </c>
      <c r="AW62" s="100">
        <v>11348.605079414219</v>
      </c>
      <c r="AX62" s="100">
        <v>6.6077597374307491</v>
      </c>
      <c r="AY62" s="100">
        <v>11029.672553719407</v>
      </c>
      <c r="AZ62" s="100">
        <v>4.6906084171309868</v>
      </c>
      <c r="BA62" s="100">
        <v>7829.563569875043</v>
      </c>
      <c r="BB62" s="100">
        <v>0.61964749571335787</v>
      </c>
      <c r="BC62" s="100">
        <v>1034.3155998447369</v>
      </c>
      <c r="BD62" s="100">
        <v>9.1800115010528458</v>
      </c>
      <c r="BE62" s="100">
        <v>15323.27519755741</v>
      </c>
      <c r="BF62" s="100">
        <v>1.6719408245905885</v>
      </c>
      <c r="BG62" s="100">
        <v>2790.8036244066102</v>
      </c>
      <c r="BH62" s="100">
        <v>7.2549815528095856</v>
      </c>
      <c r="BI62" s="100">
        <v>12110.01520794976</v>
      </c>
      <c r="BJ62" s="100">
        <v>4.4277335086689416</v>
      </c>
      <c r="BK62" s="100">
        <v>7390.7727726701978</v>
      </c>
      <c r="BL62" s="100">
        <v>4.5925620028287408</v>
      </c>
      <c r="BM62" s="100">
        <v>7665.9044951217347</v>
      </c>
      <c r="BN62" s="100">
        <v>0.38410321285379423</v>
      </c>
      <c r="BO62" s="100">
        <v>641.1450828955534</v>
      </c>
      <c r="BP62" s="100">
        <v>8.1293063807075772</v>
      </c>
      <c r="BQ62" s="100">
        <v>13569.438210677088</v>
      </c>
      <c r="BR62" s="100">
        <v>9</v>
      </c>
      <c r="BS62" s="100">
        <v>15022.800000000001</v>
      </c>
      <c r="BT62" s="100">
        <v>5.5723353336673336</v>
      </c>
      <c r="BU62" s="100">
        <v>9301.3421389575142</v>
      </c>
      <c r="BV62" s="100">
        <v>4.6060666997989905</v>
      </c>
      <c r="BW62" s="100">
        <v>7688.4465353044752</v>
      </c>
      <c r="BX62" s="100">
        <v>5.6424718834080556</v>
      </c>
      <c r="BY62" s="100">
        <v>9418.4140677847263</v>
      </c>
      <c r="BZ62" s="100">
        <v>0.4481601866692782</v>
      </c>
      <c r="CA62" s="100">
        <v>748.06898358835917</v>
      </c>
      <c r="CB62" s="100">
        <v>9.2216687843071217</v>
      </c>
      <c r="CC62" s="100">
        <v>15392.809534765447</v>
      </c>
      <c r="CD62" s="100">
        <v>10</v>
      </c>
      <c r="CE62" s="100">
        <v>16692</v>
      </c>
      <c r="CF62" s="100">
        <v>8.4592377604446547</v>
      </c>
      <c r="CG62" s="100">
        <v>14120.159669734217</v>
      </c>
      <c r="CH62" s="100">
        <v>6.5517500470833321</v>
      </c>
      <c r="CI62" s="100">
        <v>10936.181178591498</v>
      </c>
      <c r="CJ62" s="100">
        <v>4.764852863524645</v>
      </c>
      <c r="CK62" s="100">
        <v>7953.4923997953374</v>
      </c>
      <c r="CL62" s="100">
        <v>4.1064870617586715</v>
      </c>
      <c r="CM62" s="100">
        <v>6854.5482034875749</v>
      </c>
      <c r="CN62" s="100">
        <v>5.5960142570245317</v>
      </c>
      <c r="CO62" s="100">
        <v>9340.8669978253492</v>
      </c>
      <c r="CP62" s="100">
        <v>0.52759397438845834</v>
      </c>
      <c r="CQ62" s="100">
        <v>880.65986204921467</v>
      </c>
      <c r="CR62" s="100">
        <v>8.1855840270102753</v>
      </c>
      <c r="CS62" s="100">
        <v>13663.376857885552</v>
      </c>
      <c r="CT62" s="100">
        <v>1.5613486462754398</v>
      </c>
      <c r="CU62" s="100">
        <v>2606.2031603629644</v>
      </c>
    </row>
    <row r="63" spans="2:99">
      <c r="C63" s="99" t="s">
        <v>229</v>
      </c>
      <c r="D63" s="100">
        <v>6</v>
      </c>
      <c r="E63" s="100">
        <v>4773.6000000000004</v>
      </c>
      <c r="F63" s="100">
        <v>8</v>
      </c>
      <c r="G63" s="100">
        <v>6364.8</v>
      </c>
      <c r="H63" s="100">
        <v>9</v>
      </c>
      <c r="I63" s="100">
        <v>7160.4000000000005</v>
      </c>
      <c r="J63" s="100">
        <v>8</v>
      </c>
      <c r="K63" s="100">
        <v>6364.8</v>
      </c>
      <c r="L63" s="100">
        <v>2.8534691285658851</v>
      </c>
      <c r="M63" s="100">
        <v>2270.2200386870181</v>
      </c>
      <c r="N63" s="100">
        <v>5.8156670485367368</v>
      </c>
      <c r="O63" s="100">
        <v>4626.9447038158278</v>
      </c>
      <c r="P63" s="100">
        <v>4.5485814517150036</v>
      </c>
      <c r="Q63" s="100">
        <v>3618.8514029844569</v>
      </c>
      <c r="R63" s="100">
        <v>6</v>
      </c>
      <c r="S63" s="100">
        <v>4773.6000000000004</v>
      </c>
      <c r="T63" s="100">
        <v>10</v>
      </c>
      <c r="U63" s="100">
        <v>7956</v>
      </c>
      <c r="V63" s="100">
        <v>8</v>
      </c>
      <c r="W63" s="100">
        <v>6364.8</v>
      </c>
      <c r="X63" s="100">
        <v>0.25840822123366197</v>
      </c>
      <c r="Y63" s="100">
        <v>205.58958081350147</v>
      </c>
      <c r="Z63" s="100">
        <v>11</v>
      </c>
      <c r="AA63" s="100">
        <v>8751.6</v>
      </c>
      <c r="AB63" s="100">
        <v>5</v>
      </c>
      <c r="AC63" s="100">
        <v>3978</v>
      </c>
      <c r="AD63" s="100">
        <v>7.2068040508646503</v>
      </c>
      <c r="AE63" s="100">
        <v>5733.7333028679159</v>
      </c>
      <c r="AF63" s="100">
        <v>5.6129495114163142</v>
      </c>
      <c r="AG63" s="100">
        <v>4465.6626312828193</v>
      </c>
      <c r="AH63" s="100">
        <v>1.4714987808686599</v>
      </c>
      <c r="AI63" s="100">
        <v>1170.7244300591058</v>
      </c>
      <c r="AJ63" s="100">
        <v>11</v>
      </c>
      <c r="AK63" s="100">
        <v>8751.6</v>
      </c>
      <c r="AL63" s="100">
        <v>5.3251001017399124</v>
      </c>
      <c r="AM63" s="100">
        <v>4236.6496409442743</v>
      </c>
      <c r="AN63" s="100">
        <v>5.9593966135709566</v>
      </c>
      <c r="AO63" s="100">
        <v>4741.2959457570532</v>
      </c>
      <c r="AP63" s="100">
        <v>4.2311055635927879</v>
      </c>
      <c r="AQ63" s="100">
        <v>3366.2675863944223</v>
      </c>
      <c r="AR63" s="100">
        <v>6.1560275634363011</v>
      </c>
      <c r="AS63" s="100">
        <v>4897.7355294699209</v>
      </c>
      <c r="AT63" s="100">
        <v>6.5672369191808761E-4</v>
      </c>
      <c r="AU63" s="100">
        <v>0.52248936929003054</v>
      </c>
      <c r="AV63" s="100">
        <v>8</v>
      </c>
      <c r="AW63" s="100">
        <v>6364.8</v>
      </c>
      <c r="AX63" s="100">
        <v>3.3281028267854955</v>
      </c>
      <c r="AY63" s="100">
        <v>2647.8386089905403</v>
      </c>
      <c r="AZ63" s="100">
        <v>7.8485912640600528</v>
      </c>
      <c r="BA63" s="100">
        <v>6244.339209686178</v>
      </c>
      <c r="BB63" s="100">
        <v>1.436774859806877</v>
      </c>
      <c r="BC63" s="100">
        <v>1143.0980784623514</v>
      </c>
      <c r="BD63" s="100">
        <v>11.084466087937145</v>
      </c>
      <c r="BE63" s="100">
        <v>8818.8012195627925</v>
      </c>
      <c r="BF63" s="100">
        <v>1.6865470997512204</v>
      </c>
      <c r="BG63" s="100">
        <v>1341.816872562071</v>
      </c>
      <c r="BH63" s="100">
        <v>2.1470969187842504</v>
      </c>
      <c r="BI63" s="100">
        <v>1708.2303085847495</v>
      </c>
      <c r="BJ63" s="100">
        <v>7.5143056162915336</v>
      </c>
      <c r="BK63" s="100">
        <v>5978.381548321544</v>
      </c>
      <c r="BL63" s="100">
        <v>6</v>
      </c>
      <c r="BM63" s="100">
        <v>4773.6000000000004</v>
      </c>
      <c r="BN63" s="100">
        <v>4.8534872678718628</v>
      </c>
      <c r="BO63" s="100">
        <v>3861.434470318854</v>
      </c>
      <c r="BP63" s="100">
        <v>9</v>
      </c>
      <c r="BQ63" s="100">
        <v>7160.4000000000005</v>
      </c>
      <c r="BR63" s="100">
        <v>3.7678986837358495</v>
      </c>
      <c r="BS63" s="100">
        <v>2997.7401927802421</v>
      </c>
      <c r="BT63" s="100">
        <v>9</v>
      </c>
      <c r="BU63" s="100">
        <v>7160.4000000000005</v>
      </c>
      <c r="BV63" s="100">
        <v>2.3533644287017901</v>
      </c>
      <c r="BW63" s="100">
        <v>1872.3367394751442</v>
      </c>
      <c r="BX63" s="100">
        <v>6.5991729102553167</v>
      </c>
      <c r="BY63" s="100">
        <v>5250.3019673991303</v>
      </c>
      <c r="BZ63" s="100">
        <v>9</v>
      </c>
      <c r="CA63" s="100">
        <v>7160.4000000000005</v>
      </c>
      <c r="CB63" s="100">
        <v>2.1334632387857027</v>
      </c>
      <c r="CC63" s="100">
        <v>1697.383352777905</v>
      </c>
      <c r="CD63" s="100">
        <v>7.2541848516144132</v>
      </c>
      <c r="CE63" s="100">
        <v>5771.4294679444274</v>
      </c>
      <c r="CF63" s="100">
        <v>7.929390446037015</v>
      </c>
      <c r="CG63" s="100">
        <v>6308.6230388670492</v>
      </c>
      <c r="CH63" s="100">
        <v>9.2231028756688254</v>
      </c>
      <c r="CI63" s="100">
        <v>7337.9006478821175</v>
      </c>
      <c r="CJ63" s="100">
        <v>7</v>
      </c>
      <c r="CK63" s="100">
        <v>5569.2</v>
      </c>
      <c r="CL63" s="100">
        <v>6</v>
      </c>
      <c r="CM63" s="100">
        <v>4773.6000000000004</v>
      </c>
      <c r="CN63" s="100">
        <v>0.54561580880335159</v>
      </c>
      <c r="CO63" s="100">
        <v>434.09193748394654</v>
      </c>
      <c r="CP63" s="100">
        <v>10.028478429032159</v>
      </c>
      <c r="CQ63" s="100">
        <v>7978.657438137986</v>
      </c>
      <c r="CR63" s="100">
        <v>1.8020355147484897</v>
      </c>
      <c r="CS63" s="100">
        <v>1433.6994555338983</v>
      </c>
      <c r="CT63" s="100">
        <v>1.4467077491448412</v>
      </c>
      <c r="CU63" s="100">
        <v>1151.0006852196357</v>
      </c>
    </row>
    <row r="64" spans="2:99">
      <c r="C64" s="99" t="s">
        <v>230</v>
      </c>
      <c r="D64" s="100">
        <v>6</v>
      </c>
      <c r="E64" s="100">
        <v>6055.1999999999989</v>
      </c>
      <c r="F64" s="100">
        <v>8</v>
      </c>
      <c r="G64" s="100">
        <v>8073.5999999999985</v>
      </c>
      <c r="H64" s="100">
        <v>8</v>
      </c>
      <c r="I64" s="100">
        <v>8073.5999999999985</v>
      </c>
      <c r="J64" s="100">
        <v>8</v>
      </c>
      <c r="K64" s="100">
        <v>8073.5999999999985</v>
      </c>
      <c r="L64" s="100">
        <v>3.3290473166601995</v>
      </c>
      <c r="M64" s="100">
        <v>3359.6745519734727</v>
      </c>
      <c r="N64" s="100">
        <v>4.9848574701743464</v>
      </c>
      <c r="O64" s="100">
        <v>5030.7181588999492</v>
      </c>
      <c r="P64" s="100">
        <v>4.5485814517150036</v>
      </c>
      <c r="Q64" s="100">
        <v>4590.4284010707806</v>
      </c>
      <c r="R64" s="100">
        <v>6</v>
      </c>
      <c r="S64" s="100">
        <v>6055.1999999999989</v>
      </c>
      <c r="T64" s="100">
        <v>11</v>
      </c>
      <c r="U64" s="100">
        <v>11101.199999999997</v>
      </c>
      <c r="V64" s="100">
        <v>7</v>
      </c>
      <c r="W64" s="100">
        <v>7064.3999999999987</v>
      </c>
      <c r="X64" s="100">
        <v>0.2907092488878697</v>
      </c>
      <c r="Y64" s="100">
        <v>293.38377397763804</v>
      </c>
      <c r="Z64" s="100">
        <v>10</v>
      </c>
      <c r="AA64" s="100">
        <v>10091.999999999998</v>
      </c>
      <c r="AB64" s="100">
        <v>6</v>
      </c>
      <c r="AC64" s="100">
        <v>6055.1999999999989</v>
      </c>
      <c r="AD64" s="100">
        <v>7.2068040508646503</v>
      </c>
      <c r="AE64" s="100">
        <v>7273.1066481326034</v>
      </c>
      <c r="AF64" s="100">
        <v>5.6129495114163142</v>
      </c>
      <c r="AG64" s="100">
        <v>5664.5886469213428</v>
      </c>
      <c r="AH64" s="100">
        <v>1.4714987808686599</v>
      </c>
      <c r="AI64" s="100">
        <v>1485.0365696526512</v>
      </c>
      <c r="AJ64" s="100">
        <v>11</v>
      </c>
      <c r="AK64" s="100">
        <v>11101.199999999997</v>
      </c>
      <c r="AL64" s="100">
        <v>5.3251001017399124</v>
      </c>
      <c r="AM64" s="100">
        <v>5374.0910226759188</v>
      </c>
      <c r="AN64" s="100">
        <v>4.637810813405145</v>
      </c>
      <c r="AO64" s="100">
        <v>4680.4786728884719</v>
      </c>
      <c r="AP64" s="100">
        <v>3.0464658438898615</v>
      </c>
      <c r="AQ64" s="100">
        <v>3074.4933296536478</v>
      </c>
      <c r="AR64" s="100">
        <v>5.4720245008322683</v>
      </c>
      <c r="AS64" s="100">
        <v>5522.3671262399239</v>
      </c>
      <c r="AT64" s="100">
        <v>6.5672369191808761E-4</v>
      </c>
      <c r="AU64" s="100">
        <v>0.66276554988373393</v>
      </c>
      <c r="AV64" s="100">
        <v>8</v>
      </c>
      <c r="AW64" s="100">
        <v>8073.5999999999985</v>
      </c>
      <c r="AX64" s="100">
        <v>2.7229932219154054</v>
      </c>
      <c r="AY64" s="100">
        <v>2748.0447595570267</v>
      </c>
      <c r="AZ64" s="100">
        <v>8.9900231414033946</v>
      </c>
      <c r="BA64" s="100">
        <v>9072.7313543043037</v>
      </c>
      <c r="BB64" s="100">
        <v>1.436774859806877</v>
      </c>
      <c r="BC64" s="100">
        <v>1449.9931885171</v>
      </c>
      <c r="BD64" s="100">
        <v>11.084466087937145</v>
      </c>
      <c r="BE64" s="100">
        <v>11186.443175946164</v>
      </c>
      <c r="BF64" s="100">
        <v>1.6865470997512204</v>
      </c>
      <c r="BG64" s="100">
        <v>1702.0633330689313</v>
      </c>
      <c r="BH64" s="100">
        <v>1.9408158280304708</v>
      </c>
      <c r="BI64" s="100">
        <v>1958.6713336483508</v>
      </c>
      <c r="BJ64" s="100">
        <v>7.5143056162915336</v>
      </c>
      <c r="BK64" s="100">
        <v>7583.4372279614145</v>
      </c>
      <c r="BL64" s="100">
        <v>6</v>
      </c>
      <c r="BM64" s="100">
        <v>6055.1999999999989</v>
      </c>
      <c r="BN64" s="100">
        <v>4.8534872678718628</v>
      </c>
      <c r="BO64" s="100">
        <v>4898.1393507362827</v>
      </c>
      <c r="BP64" s="100">
        <v>8</v>
      </c>
      <c r="BQ64" s="100">
        <v>8073.5999999999985</v>
      </c>
      <c r="BR64" s="100">
        <v>3.3911088153622644</v>
      </c>
      <c r="BS64" s="100">
        <v>3422.3070164635965</v>
      </c>
      <c r="BT64" s="100">
        <v>7</v>
      </c>
      <c r="BU64" s="100">
        <v>7064.3999999999987</v>
      </c>
      <c r="BV64" s="100">
        <v>2.7400085834708694</v>
      </c>
      <c r="BW64" s="100">
        <v>2765.216662438801</v>
      </c>
      <c r="BX64" s="100">
        <v>7.5991729102553167</v>
      </c>
      <c r="BY64" s="100">
        <v>7669.0853010296642</v>
      </c>
      <c r="BZ64" s="100">
        <v>9</v>
      </c>
      <c r="CA64" s="100">
        <v>9082.7999999999993</v>
      </c>
      <c r="CB64" s="100">
        <v>2.3705147097618915</v>
      </c>
      <c r="CC64" s="100">
        <v>2392.3234450917003</v>
      </c>
      <c r="CD64" s="100">
        <v>6.1596293151682771</v>
      </c>
      <c r="CE64" s="100">
        <v>6216.2979048678244</v>
      </c>
      <c r="CF64" s="100">
        <v>9.5137071020754771</v>
      </c>
      <c r="CG64" s="100">
        <v>9601.2332074145706</v>
      </c>
      <c r="CH64" s="100">
        <v>10.223102875668825</v>
      </c>
      <c r="CI64" s="100">
        <v>10317.155422124977</v>
      </c>
      <c r="CJ64" s="100">
        <v>7</v>
      </c>
      <c r="CK64" s="100">
        <v>7064.3999999999987</v>
      </c>
      <c r="CL64" s="100">
        <v>6</v>
      </c>
      <c r="CM64" s="100">
        <v>6055.1999999999989</v>
      </c>
      <c r="CN64" s="100">
        <v>0.54561580880335159</v>
      </c>
      <c r="CO64" s="100">
        <v>550.63547424434228</v>
      </c>
      <c r="CP64" s="100">
        <v>10.028478429032159</v>
      </c>
      <c r="CQ64" s="100">
        <v>10120.740430579253</v>
      </c>
      <c r="CR64" s="100">
        <v>1.6018093464431016</v>
      </c>
      <c r="CS64" s="100">
        <v>1616.5459924303777</v>
      </c>
      <c r="CT64" s="100">
        <v>1.6849438521769975</v>
      </c>
      <c r="CU64" s="100">
        <v>1700.4453356170256</v>
      </c>
    </row>
    <row r="65" spans="2:99">
      <c r="C65" s="99" t="s">
        <v>231</v>
      </c>
      <c r="D65" s="100">
        <v>6</v>
      </c>
      <c r="E65" s="100">
        <v>6156</v>
      </c>
      <c r="F65" s="100">
        <v>8</v>
      </c>
      <c r="G65" s="100">
        <v>8208</v>
      </c>
      <c r="H65" s="100">
        <v>8</v>
      </c>
      <c r="I65" s="100">
        <v>8208</v>
      </c>
      <c r="J65" s="100">
        <v>8</v>
      </c>
      <c r="K65" s="100">
        <v>8208</v>
      </c>
      <c r="L65" s="100">
        <v>2.8534691285658851</v>
      </c>
      <c r="M65" s="100">
        <v>2927.659325908598</v>
      </c>
      <c r="N65" s="100">
        <v>4.9848574701743464</v>
      </c>
      <c r="O65" s="100">
        <v>5114.463764398879</v>
      </c>
      <c r="P65" s="100">
        <v>5.3066783603341703</v>
      </c>
      <c r="Q65" s="100">
        <v>5444.6519977028584</v>
      </c>
      <c r="R65" s="100">
        <v>6</v>
      </c>
      <c r="S65" s="100">
        <v>6156</v>
      </c>
      <c r="T65" s="100">
        <v>10</v>
      </c>
      <c r="U65" s="100">
        <v>10260</v>
      </c>
      <c r="V65" s="100">
        <v>8</v>
      </c>
      <c r="W65" s="100">
        <v>8208</v>
      </c>
      <c r="X65" s="100">
        <v>0.2907092488878697</v>
      </c>
      <c r="Y65" s="100">
        <v>298.26768935895433</v>
      </c>
      <c r="Z65" s="100">
        <v>11</v>
      </c>
      <c r="AA65" s="100">
        <v>11286</v>
      </c>
      <c r="AB65" s="100">
        <v>5</v>
      </c>
      <c r="AC65" s="100">
        <v>5130</v>
      </c>
      <c r="AD65" s="100">
        <v>7.2068040508646503</v>
      </c>
      <c r="AE65" s="100">
        <v>7394.1809561871314</v>
      </c>
      <c r="AF65" s="100">
        <v>5.6129495114163142</v>
      </c>
      <c r="AG65" s="100">
        <v>5758.8861987131386</v>
      </c>
      <c r="AH65" s="100">
        <v>1.4714987808686599</v>
      </c>
      <c r="AI65" s="100">
        <v>1509.757749171245</v>
      </c>
      <c r="AJ65" s="100">
        <v>11</v>
      </c>
      <c r="AK65" s="100">
        <v>11286</v>
      </c>
      <c r="AL65" s="100">
        <v>5.3251001017399124</v>
      </c>
      <c r="AM65" s="100">
        <v>5463.5527043851498</v>
      </c>
      <c r="AN65" s="100">
        <v>5.3026905510963198</v>
      </c>
      <c r="AO65" s="100">
        <v>5440.5605054248244</v>
      </c>
      <c r="AP65" s="100">
        <v>3.0653250760304269</v>
      </c>
      <c r="AQ65" s="100">
        <v>3145.0235280072179</v>
      </c>
      <c r="AR65" s="100">
        <v>6.3898675165129983</v>
      </c>
      <c r="AS65" s="100">
        <v>6556.0040719423359</v>
      </c>
      <c r="AT65" s="100">
        <v>6.5672369191808761E-4</v>
      </c>
      <c r="AU65" s="100">
        <v>0.67379850790795792</v>
      </c>
      <c r="AV65" s="100">
        <v>7</v>
      </c>
      <c r="AW65" s="100">
        <v>7182</v>
      </c>
      <c r="AX65" s="100">
        <v>3.1767183837194137</v>
      </c>
      <c r="AY65" s="100">
        <v>3259.3130616961184</v>
      </c>
      <c r="AZ65" s="100">
        <v>8.8485912640600528</v>
      </c>
      <c r="BA65" s="100">
        <v>9078.6546369256139</v>
      </c>
      <c r="BB65" s="100">
        <v>1.436774859806877</v>
      </c>
      <c r="BC65" s="100">
        <v>1474.1310061618558</v>
      </c>
      <c r="BD65" s="100">
        <v>11.084466087937145</v>
      </c>
      <c r="BE65" s="100">
        <v>11372.662206223511</v>
      </c>
      <c r="BF65" s="100">
        <v>1.6865470997512204</v>
      </c>
      <c r="BG65" s="100">
        <v>1730.3973243447522</v>
      </c>
      <c r="BH65" s="100">
        <v>2.3533780095380297</v>
      </c>
      <c r="BI65" s="100">
        <v>2414.5658377860186</v>
      </c>
      <c r="BJ65" s="100">
        <v>7.5143056162915336</v>
      </c>
      <c r="BK65" s="100">
        <v>7709.6775623151134</v>
      </c>
      <c r="BL65" s="100">
        <v>6</v>
      </c>
      <c r="BM65" s="100">
        <v>6156</v>
      </c>
      <c r="BN65" s="100">
        <v>4.3142109047749893</v>
      </c>
      <c r="BO65" s="100">
        <v>4426.3803882991388</v>
      </c>
      <c r="BP65" s="100">
        <v>8</v>
      </c>
      <c r="BQ65" s="100">
        <v>8208</v>
      </c>
      <c r="BR65" s="100">
        <v>3.3911088153622644</v>
      </c>
      <c r="BS65" s="100">
        <v>3479.2776445616832</v>
      </c>
      <c r="BT65" s="100">
        <v>7</v>
      </c>
      <c r="BU65" s="100">
        <v>7182</v>
      </c>
      <c r="BV65" s="100">
        <v>2.6475349822895136</v>
      </c>
      <c r="BW65" s="100">
        <v>2716.3708918290408</v>
      </c>
      <c r="BX65" s="100">
        <v>6.5991729102553167</v>
      </c>
      <c r="BY65" s="100">
        <v>6770.7514059219548</v>
      </c>
      <c r="BZ65" s="100">
        <v>9</v>
      </c>
      <c r="CA65" s="100">
        <v>9234</v>
      </c>
      <c r="CB65" s="100">
        <v>2.1334632387857027</v>
      </c>
      <c r="CC65" s="100">
        <v>2188.9332829941309</v>
      </c>
      <c r="CD65" s="100">
        <v>6.1547541920257798</v>
      </c>
      <c r="CE65" s="100">
        <v>6314.7778010184502</v>
      </c>
      <c r="CF65" s="100">
        <v>7.929390446037015</v>
      </c>
      <c r="CG65" s="100">
        <v>8135.5545976339772</v>
      </c>
      <c r="CH65" s="100">
        <v>10.223102875668825</v>
      </c>
      <c r="CI65" s="100">
        <v>10488.903550436215</v>
      </c>
      <c r="CJ65" s="100">
        <v>8</v>
      </c>
      <c r="CK65" s="100">
        <v>8208</v>
      </c>
      <c r="CL65" s="100">
        <v>6</v>
      </c>
      <c r="CM65" s="100">
        <v>6156</v>
      </c>
      <c r="CN65" s="100">
        <v>0.54561580880335159</v>
      </c>
      <c r="CO65" s="100">
        <v>559.80181983223872</v>
      </c>
      <c r="CP65" s="100">
        <v>10.028478429032159</v>
      </c>
      <c r="CQ65" s="100">
        <v>10289.218868186996</v>
      </c>
      <c r="CR65" s="100">
        <v>1.6018093464431016</v>
      </c>
      <c r="CS65" s="100">
        <v>1643.4563894506223</v>
      </c>
      <c r="CT65" s="100">
        <v>1.4553533146207933</v>
      </c>
      <c r="CU65" s="100">
        <v>1493.1925008009339</v>
      </c>
    </row>
    <row r="66" spans="2:99">
      <c r="C66" s="99" t="s">
        <v>232</v>
      </c>
      <c r="D66" s="100">
        <v>5</v>
      </c>
      <c r="E66" s="100">
        <v>5951.9999999999991</v>
      </c>
      <c r="F66" s="100">
        <v>8</v>
      </c>
      <c r="G66" s="100">
        <v>9523.1999999999989</v>
      </c>
      <c r="H66" s="100">
        <v>7</v>
      </c>
      <c r="I66" s="100">
        <v>8332.7999999999993</v>
      </c>
      <c r="J66" s="100">
        <v>8</v>
      </c>
      <c r="K66" s="100">
        <v>9523.1999999999989</v>
      </c>
      <c r="L66" s="100">
        <v>3.3290473166601995</v>
      </c>
      <c r="M66" s="100">
        <v>3962.897925752301</v>
      </c>
      <c r="N66" s="100">
        <v>4.9848574701743464</v>
      </c>
      <c r="O66" s="100">
        <v>5933.9743324955416</v>
      </c>
      <c r="P66" s="100">
        <v>4.5485814517150036</v>
      </c>
      <c r="Q66" s="100">
        <v>5414.6313601215397</v>
      </c>
      <c r="R66" s="100">
        <v>6</v>
      </c>
      <c r="S66" s="100">
        <v>7142.4</v>
      </c>
      <c r="T66" s="100">
        <v>10</v>
      </c>
      <c r="U66" s="100">
        <v>11903.999999999998</v>
      </c>
      <c r="V66" s="100">
        <v>8</v>
      </c>
      <c r="W66" s="100">
        <v>9523.1999999999989</v>
      </c>
      <c r="X66" s="100">
        <v>0.2907092488878697</v>
      </c>
      <c r="Y66" s="100">
        <v>346.06028987612007</v>
      </c>
      <c r="Z66" s="100">
        <v>10</v>
      </c>
      <c r="AA66" s="100">
        <v>11903.999999999998</v>
      </c>
      <c r="AB66" s="100">
        <v>6</v>
      </c>
      <c r="AC66" s="100">
        <v>7142.4</v>
      </c>
      <c r="AD66" s="100">
        <v>7.2068040508646503</v>
      </c>
      <c r="AE66" s="100">
        <v>8578.9795421492781</v>
      </c>
      <c r="AF66" s="100">
        <v>6.5484410966523665</v>
      </c>
      <c r="AG66" s="100">
        <v>7795.2642814549763</v>
      </c>
      <c r="AH66" s="100">
        <v>1.4714987808686599</v>
      </c>
      <c r="AI66" s="100">
        <v>1751.6721487460525</v>
      </c>
      <c r="AJ66" s="100">
        <v>10</v>
      </c>
      <c r="AK66" s="100">
        <v>11903.999999999998</v>
      </c>
      <c r="AL66" s="100">
        <v>5.3251001017399124</v>
      </c>
      <c r="AM66" s="100">
        <v>6338.9991611111909</v>
      </c>
      <c r="AN66" s="100">
        <v>5.2945168758797827</v>
      </c>
      <c r="AO66" s="100">
        <v>6302.5928890472924</v>
      </c>
      <c r="AP66" s="100">
        <v>3.4973414626870816</v>
      </c>
      <c r="AQ66" s="100">
        <v>4163.2352771827018</v>
      </c>
      <c r="AR66" s="100">
        <v>4.7880214382282347</v>
      </c>
      <c r="AS66" s="100">
        <v>5699.6607200668896</v>
      </c>
      <c r="AT66" s="100">
        <v>5.8375439281607776E-4</v>
      </c>
      <c r="AU66" s="100">
        <v>0.69490122920825892</v>
      </c>
      <c r="AV66" s="100">
        <v>8</v>
      </c>
      <c r="AW66" s="100">
        <v>9523.1999999999989</v>
      </c>
      <c r="AX66" s="100">
        <v>3.1767183837194137</v>
      </c>
      <c r="AY66" s="100">
        <v>3781.5655639795896</v>
      </c>
      <c r="AZ66" s="100">
        <v>8.8485912640600528</v>
      </c>
      <c r="BA66" s="100">
        <v>10533.363040737086</v>
      </c>
      <c r="BB66" s="100">
        <v>1.2315213084058947</v>
      </c>
      <c r="BC66" s="100">
        <v>1466.0029655263768</v>
      </c>
      <c r="BD66" s="100">
        <v>9.9295423610889824</v>
      </c>
      <c r="BE66" s="100">
        <v>11820.127226640323</v>
      </c>
      <c r="BF66" s="100">
        <v>1.4456117997867604</v>
      </c>
      <c r="BG66" s="100">
        <v>1720.8562864661594</v>
      </c>
      <c r="BH66" s="100">
        <v>2.1377318064235329</v>
      </c>
      <c r="BI66" s="100">
        <v>2544.7559423665734</v>
      </c>
      <c r="BJ66" s="100">
        <v>6.5143056162915336</v>
      </c>
      <c r="BK66" s="100">
        <v>7754.6294056334409</v>
      </c>
      <c r="BL66" s="100">
        <v>6</v>
      </c>
      <c r="BM66" s="100">
        <v>7142.4</v>
      </c>
      <c r="BN66" s="100">
        <v>4.3142109047749893</v>
      </c>
      <c r="BO66" s="100">
        <v>5135.6366610441464</v>
      </c>
      <c r="BP66" s="100">
        <v>7</v>
      </c>
      <c r="BQ66" s="100">
        <v>8332.7999999999993</v>
      </c>
      <c r="BR66" s="100">
        <v>3.3911088153622644</v>
      </c>
      <c r="BS66" s="100">
        <v>4036.7759338072392</v>
      </c>
      <c r="BT66" s="100">
        <v>8</v>
      </c>
      <c r="BU66" s="100">
        <v>9523.1999999999989</v>
      </c>
      <c r="BV66" s="100">
        <v>2.6475349822895136</v>
      </c>
      <c r="BW66" s="100">
        <v>3151.6256429174364</v>
      </c>
      <c r="BX66" s="100">
        <v>6.4793383282042534</v>
      </c>
      <c r="BY66" s="100">
        <v>7713.0043458943419</v>
      </c>
      <c r="BZ66" s="100">
        <v>8</v>
      </c>
      <c r="CA66" s="100">
        <v>9523.1999999999989</v>
      </c>
      <c r="CB66" s="100">
        <v>2.1334632387857027</v>
      </c>
      <c r="CC66" s="100">
        <v>2539.6746394505003</v>
      </c>
      <c r="CD66" s="100">
        <v>6.0573418508682559</v>
      </c>
      <c r="CE66" s="100">
        <v>7210.6597392735712</v>
      </c>
      <c r="CF66" s="100">
        <v>8.7215487740562452</v>
      </c>
      <c r="CG66" s="100">
        <v>10382.131660636553</v>
      </c>
      <c r="CH66" s="100">
        <v>10.223102875668825</v>
      </c>
      <c r="CI66" s="100">
        <v>12169.581663196168</v>
      </c>
      <c r="CJ66" s="100">
        <v>7</v>
      </c>
      <c r="CK66" s="100">
        <v>8332.7999999999993</v>
      </c>
      <c r="CL66" s="100">
        <v>6</v>
      </c>
      <c r="CM66" s="100">
        <v>7142.4</v>
      </c>
      <c r="CN66" s="100">
        <v>0.48499183004742363</v>
      </c>
      <c r="CO66" s="100">
        <v>577.33427448845305</v>
      </c>
      <c r="CP66" s="100">
        <v>10.028478429032159</v>
      </c>
      <c r="CQ66" s="100">
        <v>11937.900721919881</v>
      </c>
      <c r="CR66" s="100">
        <v>1.6018093464431016</v>
      </c>
      <c r="CS66" s="100">
        <v>1906.7938460058679</v>
      </c>
      <c r="CT66" s="100">
        <v>1.4467077491448412</v>
      </c>
      <c r="CU66" s="100">
        <v>1722.1609045820187</v>
      </c>
    </row>
    <row r="67" spans="2:99">
      <c r="C67" s="99" t="s">
        <v>233</v>
      </c>
      <c r="D67" s="100">
        <v>5</v>
      </c>
      <c r="E67" s="100">
        <v>5616</v>
      </c>
      <c r="F67" s="100">
        <v>9</v>
      </c>
      <c r="G67" s="100">
        <v>10108.800000000001</v>
      </c>
      <c r="H67" s="100">
        <v>8</v>
      </c>
      <c r="I67" s="100">
        <v>8985.6</v>
      </c>
      <c r="J67" s="100">
        <v>8</v>
      </c>
      <c r="K67" s="100">
        <v>8985.6</v>
      </c>
      <c r="L67" s="100">
        <v>3.3290473166601995</v>
      </c>
      <c r="M67" s="100">
        <v>3739.185946072736</v>
      </c>
      <c r="N67" s="100">
        <v>5.8156670485367368</v>
      </c>
      <c r="O67" s="100">
        <v>6532.1572289164633</v>
      </c>
      <c r="P67" s="100">
        <v>3.7904845430958356</v>
      </c>
      <c r="Q67" s="100">
        <v>4257.4722388052423</v>
      </c>
      <c r="R67" s="100">
        <v>7</v>
      </c>
      <c r="S67" s="100">
        <v>7862.4000000000005</v>
      </c>
      <c r="T67" s="100">
        <v>11</v>
      </c>
      <c r="U67" s="100">
        <v>12355.2</v>
      </c>
      <c r="V67" s="100">
        <v>8</v>
      </c>
      <c r="W67" s="100">
        <v>8985.6</v>
      </c>
      <c r="X67" s="100">
        <v>0.2907092488878697</v>
      </c>
      <c r="Y67" s="100">
        <v>326.52462835085527</v>
      </c>
      <c r="Z67" s="100">
        <v>10</v>
      </c>
      <c r="AA67" s="100">
        <v>11232</v>
      </c>
      <c r="AB67" s="100">
        <v>6</v>
      </c>
      <c r="AC67" s="100">
        <v>6739.2000000000007</v>
      </c>
      <c r="AD67" s="100">
        <v>7.2068040508646503</v>
      </c>
      <c r="AE67" s="100">
        <v>8094.682309931176</v>
      </c>
      <c r="AF67" s="100">
        <v>5.6129495114163142</v>
      </c>
      <c r="AG67" s="100">
        <v>6304.464891222804</v>
      </c>
      <c r="AH67" s="100">
        <v>1.4714987808686599</v>
      </c>
      <c r="AI67" s="100">
        <v>1652.787430671679</v>
      </c>
      <c r="AJ67" s="100">
        <v>10</v>
      </c>
      <c r="AK67" s="100">
        <v>11232</v>
      </c>
      <c r="AL67" s="100">
        <v>5.3251001017399124</v>
      </c>
      <c r="AM67" s="100">
        <v>5981.1524342742696</v>
      </c>
      <c r="AN67" s="100">
        <v>5.2945168758797827</v>
      </c>
      <c r="AO67" s="100">
        <v>5946.8013549881725</v>
      </c>
      <c r="AP67" s="100">
        <v>3.4973414626870816</v>
      </c>
      <c r="AQ67" s="100">
        <v>3928.2139308901301</v>
      </c>
      <c r="AR67" s="100">
        <v>5.4720245008322683</v>
      </c>
      <c r="AS67" s="100">
        <v>6146.1779193348038</v>
      </c>
      <c r="AT67" s="100">
        <v>5.8375439281607776E-4</v>
      </c>
      <c r="AU67" s="100">
        <v>0.65567293401101856</v>
      </c>
      <c r="AV67" s="100">
        <v>7</v>
      </c>
      <c r="AW67" s="100">
        <v>7862.4000000000005</v>
      </c>
      <c r="AX67" s="100">
        <v>3.4792731861544581</v>
      </c>
      <c r="AY67" s="100">
        <v>3907.9196426886874</v>
      </c>
      <c r="AZ67" s="100">
        <v>8.8485912640600528</v>
      </c>
      <c r="BA67" s="100">
        <v>9938.737707792252</v>
      </c>
      <c r="BB67" s="100">
        <v>1.436774859806877</v>
      </c>
      <c r="BC67" s="100">
        <v>1613.7855225350843</v>
      </c>
      <c r="BD67" s="100">
        <v>10.929542361088982</v>
      </c>
      <c r="BE67" s="100">
        <v>12276.061979975146</v>
      </c>
      <c r="BF67" s="100">
        <v>1.6865470997512204</v>
      </c>
      <c r="BG67" s="100">
        <v>1894.3297024405708</v>
      </c>
      <c r="BH67" s="100">
        <v>2.1470969187842504</v>
      </c>
      <c r="BI67" s="100">
        <v>2411.6192591784702</v>
      </c>
      <c r="BJ67" s="100">
        <v>6.5143056162915336</v>
      </c>
      <c r="BK67" s="100">
        <v>7316.8680682186505</v>
      </c>
      <c r="BL67" s="100">
        <v>6</v>
      </c>
      <c r="BM67" s="100">
        <v>6739.2000000000007</v>
      </c>
      <c r="BN67" s="100">
        <v>4.3142109047749893</v>
      </c>
      <c r="BO67" s="100">
        <v>4845.7216882432685</v>
      </c>
      <c r="BP67" s="100">
        <v>8</v>
      </c>
      <c r="BQ67" s="100">
        <v>8985.6</v>
      </c>
      <c r="BR67" s="100">
        <v>3.3911088153622644</v>
      </c>
      <c r="BS67" s="100">
        <v>3808.8934214148953</v>
      </c>
      <c r="BT67" s="100">
        <v>8</v>
      </c>
      <c r="BU67" s="100">
        <v>8985.6</v>
      </c>
      <c r="BV67" s="100">
        <v>2.3533644287017901</v>
      </c>
      <c r="BW67" s="100">
        <v>2643.2989263178506</v>
      </c>
      <c r="BX67" s="100">
        <v>6.4793383282042534</v>
      </c>
      <c r="BY67" s="100">
        <v>7277.592810239018</v>
      </c>
      <c r="BZ67" s="100">
        <v>8</v>
      </c>
      <c r="CA67" s="100">
        <v>8985.6</v>
      </c>
      <c r="CB67" s="100">
        <v>2.1334632387857027</v>
      </c>
      <c r="CC67" s="100">
        <v>2396.3059098041012</v>
      </c>
      <c r="CD67" s="100">
        <v>6.7093446449625933</v>
      </c>
      <c r="CE67" s="100">
        <v>7535.9359052219852</v>
      </c>
      <c r="CF67" s="100">
        <v>8.8548763563669013</v>
      </c>
      <c r="CG67" s="100">
        <v>9945.7971234713041</v>
      </c>
      <c r="CH67" s="100">
        <v>10.223102875668825</v>
      </c>
      <c r="CI67" s="100">
        <v>11482.589149951225</v>
      </c>
      <c r="CJ67" s="100">
        <v>6</v>
      </c>
      <c r="CK67" s="100">
        <v>6739.2000000000007</v>
      </c>
      <c r="CL67" s="100">
        <v>5</v>
      </c>
      <c r="CM67" s="100">
        <v>5616</v>
      </c>
      <c r="CN67" s="100">
        <v>0.54561580880335159</v>
      </c>
      <c r="CO67" s="100">
        <v>612.83567644792458</v>
      </c>
      <c r="CP67" s="100">
        <v>10.028478429032159</v>
      </c>
      <c r="CQ67" s="100">
        <v>11263.986971488921</v>
      </c>
      <c r="CR67" s="100">
        <v>1.6018093464431016</v>
      </c>
      <c r="CS67" s="100">
        <v>1799.1522579248917</v>
      </c>
      <c r="CT67" s="100">
        <v>1.4467077491448412</v>
      </c>
      <c r="CU67" s="100">
        <v>1624.9421438394857</v>
      </c>
    </row>
    <row r="68" spans="2:99">
      <c r="C68" s="99" t="s">
        <v>234</v>
      </c>
      <c r="D68" s="100">
        <v>5</v>
      </c>
      <c r="E68" s="100">
        <v>5166</v>
      </c>
      <c r="F68" s="100">
        <v>9</v>
      </c>
      <c r="G68" s="100">
        <v>9298.8000000000011</v>
      </c>
      <c r="H68" s="100">
        <v>8</v>
      </c>
      <c r="I68" s="100">
        <v>8265.6</v>
      </c>
      <c r="J68" s="100">
        <v>8</v>
      </c>
      <c r="K68" s="100">
        <v>8265.6</v>
      </c>
      <c r="L68" s="100">
        <v>3.3290473166601995</v>
      </c>
      <c r="M68" s="100">
        <v>3439.5716875733183</v>
      </c>
      <c r="N68" s="100">
        <v>4.9848574701743464</v>
      </c>
      <c r="O68" s="100">
        <v>5150.3547381841354</v>
      </c>
      <c r="P68" s="100">
        <v>4.5485814517150036</v>
      </c>
      <c r="Q68" s="100">
        <v>4699.5943559119423</v>
      </c>
      <c r="R68" s="100">
        <v>7</v>
      </c>
      <c r="S68" s="100">
        <v>7232.4000000000005</v>
      </c>
      <c r="T68" s="100">
        <v>10</v>
      </c>
      <c r="U68" s="100">
        <v>10332</v>
      </c>
      <c r="V68" s="100">
        <v>7</v>
      </c>
      <c r="W68" s="100">
        <v>7232.4000000000005</v>
      </c>
      <c r="X68" s="100">
        <v>0.2907092488878697</v>
      </c>
      <c r="Y68" s="100">
        <v>300.36079595094697</v>
      </c>
      <c r="Z68" s="100">
        <v>10</v>
      </c>
      <c r="AA68" s="100">
        <v>10332</v>
      </c>
      <c r="AB68" s="100">
        <v>6</v>
      </c>
      <c r="AC68" s="100">
        <v>6199.2000000000007</v>
      </c>
      <c r="AD68" s="100">
        <v>8.0075600565162777</v>
      </c>
      <c r="AE68" s="100">
        <v>8273.4110503926186</v>
      </c>
      <c r="AF68" s="100">
        <v>5.6129495114163142</v>
      </c>
      <c r="AG68" s="100">
        <v>5799.2994351953357</v>
      </c>
      <c r="AH68" s="100">
        <v>1.4714987808686599</v>
      </c>
      <c r="AI68" s="100">
        <v>1520.3525403934996</v>
      </c>
      <c r="AJ68" s="100">
        <v>10</v>
      </c>
      <c r="AK68" s="100">
        <v>10332</v>
      </c>
      <c r="AL68" s="100">
        <v>5.3251001017399124</v>
      </c>
      <c r="AM68" s="100">
        <v>5501.8934251176779</v>
      </c>
      <c r="AN68" s="100">
        <v>5.9593966135709566</v>
      </c>
      <c r="AO68" s="100">
        <v>6157.2485811415127</v>
      </c>
      <c r="AP68" s="100">
        <v>3.6482153198116074</v>
      </c>
      <c r="AQ68" s="100">
        <v>3769.336068429353</v>
      </c>
      <c r="AR68" s="100">
        <v>4.7880214382282347</v>
      </c>
      <c r="AS68" s="100">
        <v>4946.9837499774121</v>
      </c>
      <c r="AT68" s="100">
        <v>7.2969299102009725E-4</v>
      </c>
      <c r="AU68" s="100">
        <v>0.75391879832196451</v>
      </c>
      <c r="AV68" s="100">
        <v>8</v>
      </c>
      <c r="AW68" s="100">
        <v>8265.6</v>
      </c>
      <c r="AX68" s="100">
        <v>3.0255480243504502</v>
      </c>
      <c r="AY68" s="100">
        <v>3125.9962187588853</v>
      </c>
      <c r="AZ68" s="100">
        <v>8.9900231414033946</v>
      </c>
      <c r="BA68" s="100">
        <v>9288.4919096979884</v>
      </c>
      <c r="BB68" s="100">
        <v>1.2315213084058947</v>
      </c>
      <c r="BC68" s="100">
        <v>1272.4078158449704</v>
      </c>
      <c r="BD68" s="100">
        <v>10.929542361088982</v>
      </c>
      <c r="BE68" s="100">
        <v>11292.403167477138</v>
      </c>
      <c r="BF68" s="100">
        <v>1.6865470997512204</v>
      </c>
      <c r="BG68" s="100">
        <v>1742.540463462961</v>
      </c>
      <c r="BH68" s="100">
        <v>2.1470969187842504</v>
      </c>
      <c r="BI68" s="100">
        <v>2218.3805364878876</v>
      </c>
      <c r="BJ68" s="100">
        <v>8.5143056162915336</v>
      </c>
      <c r="BK68" s="100">
        <v>8796.9805627524129</v>
      </c>
      <c r="BL68" s="100">
        <v>6</v>
      </c>
      <c r="BM68" s="100">
        <v>6199.2000000000007</v>
      </c>
      <c r="BN68" s="100">
        <v>4.3142109047749893</v>
      </c>
      <c r="BO68" s="100">
        <v>4457.4427068135192</v>
      </c>
      <c r="BP68" s="100">
        <v>8</v>
      </c>
      <c r="BQ68" s="100">
        <v>8265.6</v>
      </c>
      <c r="BR68" s="100">
        <v>3.3911088153622644</v>
      </c>
      <c r="BS68" s="100">
        <v>3503.6936280322916</v>
      </c>
      <c r="BT68" s="100">
        <v>8</v>
      </c>
      <c r="BU68" s="100">
        <v>8265.6</v>
      </c>
      <c r="BV68" s="100">
        <v>2.6475349822895136</v>
      </c>
      <c r="BW68" s="100">
        <v>2735.4331437015258</v>
      </c>
      <c r="BX68" s="100">
        <v>7.4793383282042534</v>
      </c>
      <c r="BY68" s="100">
        <v>7727.6523607006347</v>
      </c>
      <c r="BZ68" s="100">
        <v>8</v>
      </c>
      <c r="CA68" s="100">
        <v>8265.6</v>
      </c>
      <c r="CB68" s="100">
        <v>2.1334632387857027</v>
      </c>
      <c r="CC68" s="100">
        <v>2204.2942183133882</v>
      </c>
      <c r="CD68" s="100">
        <v>6.7142197681050915</v>
      </c>
      <c r="CE68" s="100">
        <v>6937.1318644061812</v>
      </c>
      <c r="CF68" s="100">
        <v>8.7215487740562452</v>
      </c>
      <c r="CG68" s="100">
        <v>9011.1041933549131</v>
      </c>
      <c r="CH68" s="100">
        <v>9.2231028756688254</v>
      </c>
      <c r="CI68" s="100">
        <v>9529.3098911410307</v>
      </c>
      <c r="CJ68" s="100">
        <v>8</v>
      </c>
      <c r="CK68" s="100">
        <v>8265.6</v>
      </c>
      <c r="CL68" s="100">
        <v>6</v>
      </c>
      <c r="CM68" s="100">
        <v>6199.2000000000007</v>
      </c>
      <c r="CN68" s="100">
        <v>0.48499183004742363</v>
      </c>
      <c r="CO68" s="100">
        <v>501.09355880499811</v>
      </c>
      <c r="CP68" s="100">
        <v>9.0284784290321589</v>
      </c>
      <c r="CQ68" s="100">
        <v>9328.2239128760266</v>
      </c>
      <c r="CR68" s="100">
        <v>1.6106566093927444</v>
      </c>
      <c r="CS68" s="100">
        <v>1664.1304088245836</v>
      </c>
      <c r="CT68" s="100">
        <v>1.4553533146207933</v>
      </c>
      <c r="CU68" s="100">
        <v>1503.6710446662037</v>
      </c>
    </row>
    <row r="69" spans="2:99">
      <c r="C69" s="99" t="s">
        <v>235</v>
      </c>
      <c r="D69" s="100">
        <v>6</v>
      </c>
      <c r="E69" s="100">
        <v>4550.3999999999996</v>
      </c>
      <c r="F69" s="100">
        <v>10</v>
      </c>
      <c r="G69" s="100">
        <v>7584</v>
      </c>
      <c r="H69" s="100">
        <v>8</v>
      </c>
      <c r="I69" s="100">
        <v>6067.2</v>
      </c>
      <c r="J69" s="100">
        <v>7</v>
      </c>
      <c r="K69" s="100">
        <v>5308.8</v>
      </c>
      <c r="L69" s="100">
        <v>3.3290473166601995</v>
      </c>
      <c r="M69" s="100">
        <v>2524.7494849550953</v>
      </c>
      <c r="N69" s="100">
        <v>6.646476626899128</v>
      </c>
      <c r="O69" s="100">
        <v>5040.6878738402984</v>
      </c>
      <c r="P69" s="100">
        <v>4.5485814517150036</v>
      </c>
      <c r="Q69" s="100">
        <v>3449.6441729806588</v>
      </c>
      <c r="R69" s="100">
        <v>6</v>
      </c>
      <c r="S69" s="100">
        <v>4550.3999999999996</v>
      </c>
      <c r="T69" s="100">
        <v>11</v>
      </c>
      <c r="U69" s="100">
        <v>8342.4</v>
      </c>
      <c r="V69" s="100">
        <v>8</v>
      </c>
      <c r="W69" s="100">
        <v>6067.2</v>
      </c>
      <c r="X69" s="100">
        <v>0.2907092488878697</v>
      </c>
      <c r="Y69" s="100">
        <v>220.47389435656038</v>
      </c>
      <c r="Z69" s="100">
        <v>11</v>
      </c>
      <c r="AA69" s="100">
        <v>8342.4</v>
      </c>
      <c r="AB69" s="100">
        <v>5</v>
      </c>
      <c r="AC69" s="100">
        <v>3792</v>
      </c>
      <c r="AD69" s="100">
        <v>6.4060480452130228</v>
      </c>
      <c r="AE69" s="100">
        <v>4858.3468374895565</v>
      </c>
      <c r="AF69" s="100">
        <v>5.6129495114163142</v>
      </c>
      <c r="AG69" s="100">
        <v>4256.8609094581325</v>
      </c>
      <c r="AH69" s="100">
        <v>1.7167485776801035</v>
      </c>
      <c r="AI69" s="100">
        <v>1301.9821213125904</v>
      </c>
      <c r="AJ69" s="100">
        <v>11</v>
      </c>
      <c r="AK69" s="100">
        <v>8342.4</v>
      </c>
      <c r="AL69" s="100">
        <v>5.3251001017399124</v>
      </c>
      <c r="AM69" s="100">
        <v>4038.5559171595496</v>
      </c>
      <c r="AN69" s="100">
        <v>5.2945168758797827</v>
      </c>
      <c r="AO69" s="100">
        <v>4015.3615986672271</v>
      </c>
      <c r="AP69" s="100">
        <v>3.4973414626870816</v>
      </c>
      <c r="AQ69" s="100">
        <v>2652.3837653018827</v>
      </c>
      <c r="AR69" s="100">
        <v>5.4720245008322683</v>
      </c>
      <c r="AS69" s="100">
        <v>4149.9833814311924</v>
      </c>
      <c r="AT69" s="100">
        <v>5.8375439281607776E-4</v>
      </c>
      <c r="AU69" s="100">
        <v>0.44271933151171333</v>
      </c>
      <c r="AV69" s="100">
        <v>8</v>
      </c>
      <c r="AW69" s="100">
        <v>6067.2</v>
      </c>
      <c r="AX69" s="100">
        <v>3.2069524555932061</v>
      </c>
      <c r="AY69" s="100">
        <v>2432.1527423218872</v>
      </c>
      <c r="AZ69" s="100">
        <v>9.8485912640600528</v>
      </c>
      <c r="BA69" s="100">
        <v>7469.1716146631434</v>
      </c>
      <c r="BB69" s="100">
        <v>1.3161404553773064</v>
      </c>
      <c r="BC69" s="100">
        <v>998.16092135814915</v>
      </c>
      <c r="BD69" s="100">
        <v>10.929542361088982</v>
      </c>
      <c r="BE69" s="100">
        <v>8288.9649266498836</v>
      </c>
      <c r="BF69" s="100">
        <v>1.4456117997867604</v>
      </c>
      <c r="BG69" s="100">
        <v>1096.351988958279</v>
      </c>
      <c r="BH69" s="100">
        <v>2.2186537065177276</v>
      </c>
      <c r="BI69" s="100">
        <v>1682.6269710230447</v>
      </c>
      <c r="BJ69" s="100">
        <v>8.5143056162915336</v>
      </c>
      <c r="BK69" s="100">
        <v>6457.2493793954991</v>
      </c>
      <c r="BL69" s="100">
        <v>6</v>
      </c>
      <c r="BM69" s="100">
        <v>4550.3999999999996</v>
      </c>
      <c r="BN69" s="100">
        <v>4.3142109047749893</v>
      </c>
      <c r="BO69" s="100">
        <v>3271.8975501813516</v>
      </c>
      <c r="BP69" s="100">
        <v>9</v>
      </c>
      <c r="BQ69" s="100">
        <v>6825.5999999999995</v>
      </c>
      <c r="BR69" s="100">
        <v>3.3911088153622644</v>
      </c>
      <c r="BS69" s="100">
        <v>2571.8169255707412</v>
      </c>
      <c r="BT69" s="100">
        <v>7</v>
      </c>
      <c r="BU69" s="100">
        <v>5308.8</v>
      </c>
      <c r="BV69" s="100">
        <v>2.7400085834708694</v>
      </c>
      <c r="BW69" s="100">
        <v>2078.0225097043071</v>
      </c>
      <c r="BX69" s="100">
        <v>7.5991729102553167</v>
      </c>
      <c r="BY69" s="100">
        <v>5763.2127351376321</v>
      </c>
      <c r="BZ69" s="100">
        <v>10</v>
      </c>
      <c r="CA69" s="100">
        <v>7584</v>
      </c>
      <c r="CB69" s="100">
        <v>2.3705147097618915</v>
      </c>
      <c r="CC69" s="100">
        <v>1797.7983558834185</v>
      </c>
      <c r="CD69" s="100">
        <v>7.2639350978994086</v>
      </c>
      <c r="CE69" s="100">
        <v>5508.968378246911</v>
      </c>
      <c r="CF69" s="100">
        <v>8.8548763563669013</v>
      </c>
      <c r="CG69" s="100">
        <v>6715.5382286686581</v>
      </c>
      <c r="CH69" s="100">
        <v>10.178482300535061</v>
      </c>
      <c r="CI69" s="100">
        <v>7719.3609767257894</v>
      </c>
      <c r="CJ69" s="100">
        <v>7</v>
      </c>
      <c r="CK69" s="100">
        <v>5308.8</v>
      </c>
      <c r="CL69" s="100">
        <v>6</v>
      </c>
      <c r="CM69" s="100">
        <v>4550.3999999999996</v>
      </c>
      <c r="CN69" s="100">
        <v>0.54561580880335159</v>
      </c>
      <c r="CO69" s="100">
        <v>413.79502939646181</v>
      </c>
      <c r="CP69" s="100">
        <v>10.028478429032159</v>
      </c>
      <c r="CQ69" s="100">
        <v>7605.5980405779892</v>
      </c>
      <c r="CR69" s="100">
        <v>1.6106566093927444</v>
      </c>
      <c r="CS69" s="100">
        <v>1221.5219725634572</v>
      </c>
      <c r="CT69" s="100">
        <v>1.7468043388915324</v>
      </c>
      <c r="CU69" s="100">
        <v>1324.7764106153381</v>
      </c>
    </row>
    <row r="70" spans="2:99">
      <c r="C70" s="99" t="s">
        <v>236</v>
      </c>
      <c r="D70" s="100">
        <v>6</v>
      </c>
      <c r="E70" s="100">
        <v>3211.2</v>
      </c>
      <c r="F70" s="100">
        <v>9</v>
      </c>
      <c r="G70" s="100">
        <v>4816.7999999999993</v>
      </c>
      <c r="H70" s="100">
        <v>7</v>
      </c>
      <c r="I70" s="100">
        <v>3746.3999999999996</v>
      </c>
      <c r="J70" s="100">
        <v>9</v>
      </c>
      <c r="K70" s="100">
        <v>4816.7999999999993</v>
      </c>
      <c r="L70" s="100">
        <v>2.8534691285658851</v>
      </c>
      <c r="M70" s="100">
        <v>1527.1766776084614</v>
      </c>
      <c r="N70" s="100">
        <v>5.8156670485367368</v>
      </c>
      <c r="O70" s="100">
        <v>3112.545004376861</v>
      </c>
      <c r="P70" s="100">
        <v>5.3066783603341703</v>
      </c>
      <c r="Q70" s="100">
        <v>2840.1342584508475</v>
      </c>
      <c r="R70" s="100">
        <v>6</v>
      </c>
      <c r="S70" s="100">
        <v>3211.2</v>
      </c>
      <c r="T70" s="100">
        <v>12</v>
      </c>
      <c r="U70" s="100">
        <v>6422.4</v>
      </c>
      <c r="V70" s="100">
        <v>8</v>
      </c>
      <c r="W70" s="100">
        <v>4281.5999999999995</v>
      </c>
      <c r="X70" s="100">
        <v>0.2907092488878697</v>
      </c>
      <c r="Y70" s="100">
        <v>155.58759000478784</v>
      </c>
      <c r="Z70" s="100">
        <v>11</v>
      </c>
      <c r="AA70" s="100">
        <v>5887.1999999999989</v>
      </c>
      <c r="AB70" s="100">
        <v>5</v>
      </c>
      <c r="AC70" s="100">
        <v>2675.9999999999995</v>
      </c>
      <c r="AD70" s="100">
        <v>7.2068040508646503</v>
      </c>
      <c r="AE70" s="100">
        <v>3857.0815280227603</v>
      </c>
      <c r="AF70" s="100">
        <v>6.5484410966523665</v>
      </c>
      <c r="AG70" s="100">
        <v>3504.7256749283461</v>
      </c>
      <c r="AH70" s="100">
        <v>1.7167485776801035</v>
      </c>
      <c r="AI70" s="100">
        <v>918.80383877439124</v>
      </c>
      <c r="AJ70" s="100">
        <v>12</v>
      </c>
      <c r="AK70" s="100">
        <v>6422.4</v>
      </c>
      <c r="AL70" s="100">
        <v>5.3251001017399124</v>
      </c>
      <c r="AM70" s="100">
        <v>2849.9935744512009</v>
      </c>
      <c r="AN70" s="100">
        <v>5.9512229383544204</v>
      </c>
      <c r="AO70" s="100">
        <v>3185.0945166072852</v>
      </c>
      <c r="AP70" s="100">
        <v>3.4973414626870816</v>
      </c>
      <c r="AQ70" s="100">
        <v>1871.7771508301257</v>
      </c>
      <c r="AR70" s="100">
        <v>6.1560275634363011</v>
      </c>
      <c r="AS70" s="100">
        <v>3294.7059519511081</v>
      </c>
      <c r="AT70" s="100">
        <v>6.5672369191808761E-4</v>
      </c>
      <c r="AU70" s="100">
        <v>0.35147851991456047</v>
      </c>
      <c r="AV70" s="100">
        <v>8</v>
      </c>
      <c r="AW70" s="100">
        <v>4281.5999999999995</v>
      </c>
      <c r="AX70" s="100">
        <v>3.3281028267854955</v>
      </c>
      <c r="AY70" s="100">
        <v>1781.200632895597</v>
      </c>
      <c r="AZ70" s="100">
        <v>8.9900231414033946</v>
      </c>
      <c r="BA70" s="100">
        <v>4811.460385279096</v>
      </c>
      <c r="BB70" s="100">
        <v>1.436774859806877</v>
      </c>
      <c r="BC70" s="100">
        <v>768.96190496864051</v>
      </c>
      <c r="BD70" s="100">
        <v>11.084466087937145</v>
      </c>
      <c r="BE70" s="100">
        <v>5932.406250263959</v>
      </c>
      <c r="BF70" s="100">
        <v>1.4456117997867604</v>
      </c>
      <c r="BG70" s="100">
        <v>773.691435245874</v>
      </c>
      <c r="BH70" s="100">
        <v>2.3440128971773126</v>
      </c>
      <c r="BI70" s="100">
        <v>1254.5157025692977</v>
      </c>
      <c r="BJ70" s="100">
        <v>8.5143056162915336</v>
      </c>
      <c r="BK70" s="100">
        <v>4556.8563658392286</v>
      </c>
      <c r="BL70" s="100">
        <v>6</v>
      </c>
      <c r="BM70" s="100">
        <v>3211.2</v>
      </c>
      <c r="BN70" s="100">
        <v>4.3142109047749893</v>
      </c>
      <c r="BO70" s="100">
        <v>2308.9656762355739</v>
      </c>
      <c r="BP70" s="100">
        <v>8</v>
      </c>
      <c r="BQ70" s="100">
        <v>4281.5999999999995</v>
      </c>
      <c r="BR70" s="100">
        <v>3.3911088153622644</v>
      </c>
      <c r="BS70" s="100">
        <v>1814.9214379818836</v>
      </c>
      <c r="BT70" s="100">
        <v>9</v>
      </c>
      <c r="BU70" s="100">
        <v>4816.7999999999993</v>
      </c>
      <c r="BV70" s="100">
        <v>2.9417055358772375</v>
      </c>
      <c r="BW70" s="100">
        <v>1574.4008028014973</v>
      </c>
      <c r="BX70" s="100">
        <v>7.4793383282042534</v>
      </c>
      <c r="BY70" s="100">
        <v>4002.9418732549161</v>
      </c>
      <c r="BZ70" s="100">
        <v>9</v>
      </c>
      <c r="CA70" s="100">
        <v>4816.7999999999993</v>
      </c>
      <c r="CB70" s="100">
        <v>2.3705147097618915</v>
      </c>
      <c r="CC70" s="100">
        <v>1268.6994726645642</v>
      </c>
      <c r="CD70" s="100">
        <v>6.6119323038050695</v>
      </c>
      <c r="CE70" s="100">
        <v>3538.7061689964726</v>
      </c>
      <c r="CF70" s="100">
        <v>9.6470346843861314</v>
      </c>
      <c r="CG70" s="100">
        <v>5163.0929630834571</v>
      </c>
      <c r="CH70" s="100">
        <v>10.223102875668825</v>
      </c>
      <c r="CI70" s="100">
        <v>5471.4046590579546</v>
      </c>
      <c r="CJ70" s="100">
        <v>8</v>
      </c>
      <c r="CK70" s="100">
        <v>4281.5999999999995</v>
      </c>
      <c r="CL70" s="100">
        <v>5</v>
      </c>
      <c r="CM70" s="100">
        <v>2675.9999999999995</v>
      </c>
      <c r="CN70" s="100">
        <v>0.60623978755927954</v>
      </c>
      <c r="CO70" s="100">
        <v>324.45953430172636</v>
      </c>
      <c r="CP70" s="100">
        <v>11.028478429032159</v>
      </c>
      <c r="CQ70" s="100">
        <v>5902.441655218011</v>
      </c>
      <c r="CR70" s="100">
        <v>1.8020355147484897</v>
      </c>
      <c r="CS70" s="100">
        <v>964.4494074933915</v>
      </c>
      <c r="CT70" s="100">
        <v>1.6849438521769975</v>
      </c>
      <c r="CU70" s="100">
        <v>901.78194968512889</v>
      </c>
    </row>
    <row r="71" spans="2:99">
      <c r="B71" s="99" t="s">
        <v>130</v>
      </c>
      <c r="C71" s="99" t="s">
        <v>237</v>
      </c>
      <c r="D71" s="100">
        <v>6</v>
      </c>
      <c r="E71" s="100">
        <v>3384</v>
      </c>
      <c r="F71" s="100">
        <v>4.8592315903785988</v>
      </c>
      <c r="G71" s="100">
        <v>2740.6066169735295</v>
      </c>
      <c r="H71" s="100">
        <v>3.8861844348077552</v>
      </c>
      <c r="I71" s="100">
        <v>2191.808021231574</v>
      </c>
      <c r="J71" s="100">
        <v>7</v>
      </c>
      <c r="K71" s="100">
        <v>3948</v>
      </c>
      <c r="L71" s="100">
        <v>6</v>
      </c>
      <c r="M71" s="100">
        <v>3384</v>
      </c>
      <c r="N71" s="100">
        <v>7</v>
      </c>
      <c r="O71" s="100">
        <v>3948</v>
      </c>
      <c r="P71" s="100">
        <v>5</v>
      </c>
      <c r="Q71" s="100">
        <v>2820</v>
      </c>
      <c r="R71" s="100">
        <v>4.3676553747591704</v>
      </c>
      <c r="S71" s="100">
        <v>2463.357631364172</v>
      </c>
      <c r="T71" s="100">
        <v>7</v>
      </c>
      <c r="U71" s="100">
        <v>3948</v>
      </c>
      <c r="V71" s="100">
        <v>3.7615869237974335</v>
      </c>
      <c r="W71" s="100">
        <v>2121.5350250217525</v>
      </c>
      <c r="X71" s="100">
        <v>6.0469903548614319</v>
      </c>
      <c r="Y71" s="100">
        <v>3410.5025601418474</v>
      </c>
      <c r="Z71" s="100">
        <v>5</v>
      </c>
      <c r="AA71" s="100">
        <v>2820</v>
      </c>
      <c r="AB71" s="100">
        <v>6.5660324738724025</v>
      </c>
      <c r="AC71" s="100">
        <v>3703.2423152640349</v>
      </c>
      <c r="AD71" s="100">
        <v>7.4778279094426141</v>
      </c>
      <c r="AE71" s="100">
        <v>4217.4949409256342</v>
      </c>
      <c r="AF71" s="100">
        <v>5.6226401545202789</v>
      </c>
      <c r="AG71" s="100">
        <v>3171.1690471494371</v>
      </c>
      <c r="AH71" s="100">
        <v>5</v>
      </c>
      <c r="AI71" s="100">
        <v>2820</v>
      </c>
      <c r="AJ71" s="100">
        <v>6.1555083702861602</v>
      </c>
      <c r="AK71" s="100">
        <v>3471.7067208413941</v>
      </c>
      <c r="AL71" s="100">
        <v>3.4513582703518901</v>
      </c>
      <c r="AM71" s="100">
        <v>1946.5660644784659</v>
      </c>
      <c r="AN71" s="100">
        <v>3.7083793501882525</v>
      </c>
      <c r="AO71" s="100">
        <v>2091.5259535061746</v>
      </c>
      <c r="AP71" s="100">
        <v>5</v>
      </c>
      <c r="AQ71" s="100">
        <v>2820</v>
      </c>
      <c r="AR71" s="100">
        <v>6</v>
      </c>
      <c r="AS71" s="100">
        <v>3384</v>
      </c>
      <c r="AT71" s="100">
        <v>5.766529853881857</v>
      </c>
      <c r="AU71" s="100">
        <v>3252.3228375893673</v>
      </c>
      <c r="AV71" s="100">
        <v>6</v>
      </c>
      <c r="AW71" s="100">
        <v>3384</v>
      </c>
      <c r="AX71" s="100">
        <v>4.6267496576543721</v>
      </c>
      <c r="AY71" s="100">
        <v>2609.4868069170657</v>
      </c>
      <c r="AZ71" s="100">
        <v>5</v>
      </c>
      <c r="BA71" s="100">
        <v>2820</v>
      </c>
      <c r="BB71" s="100">
        <v>5</v>
      </c>
      <c r="BC71" s="100">
        <v>2820</v>
      </c>
      <c r="BD71" s="100">
        <v>3.7709250375535408</v>
      </c>
      <c r="BE71" s="100">
        <v>2126.8017211801971</v>
      </c>
      <c r="BF71" s="100">
        <v>5.794302983731165</v>
      </c>
      <c r="BG71" s="100">
        <v>3267.9868828243771</v>
      </c>
      <c r="BH71" s="100">
        <v>3.8859654740853946</v>
      </c>
      <c r="BI71" s="100">
        <v>2191.6845273841627</v>
      </c>
      <c r="BJ71" s="100">
        <v>4.0128953001974352</v>
      </c>
      <c r="BK71" s="100">
        <v>2263.2729493113534</v>
      </c>
      <c r="BL71" s="100">
        <v>5.4344757888939395</v>
      </c>
      <c r="BM71" s="100">
        <v>3065.0443449361819</v>
      </c>
      <c r="BN71" s="100">
        <v>6</v>
      </c>
      <c r="BO71" s="100">
        <v>3384</v>
      </c>
      <c r="BP71" s="100">
        <v>6</v>
      </c>
      <c r="BQ71" s="100">
        <v>3384</v>
      </c>
      <c r="BR71" s="100">
        <v>3.7703077259927582</v>
      </c>
      <c r="BS71" s="100">
        <v>2126.4535574599158</v>
      </c>
      <c r="BT71" s="100">
        <v>7.1927931112729899</v>
      </c>
      <c r="BU71" s="100">
        <v>4056.7353147579665</v>
      </c>
      <c r="BV71" s="100">
        <v>5.8537075581307016</v>
      </c>
      <c r="BW71" s="100">
        <v>3301.4910627857157</v>
      </c>
      <c r="BX71" s="100">
        <v>4.466887334384479</v>
      </c>
      <c r="BY71" s="100">
        <v>2519.3244565928462</v>
      </c>
      <c r="BZ71" s="100">
        <v>6.3051675381799761</v>
      </c>
      <c r="CA71" s="100">
        <v>3556.1144915335067</v>
      </c>
      <c r="CB71" s="100">
        <v>8.4102968885778804</v>
      </c>
      <c r="CC71" s="100">
        <v>4743.4074451579245</v>
      </c>
      <c r="CD71" s="100">
        <v>4.1537813230107102E-4</v>
      </c>
      <c r="CE71" s="100">
        <v>0.23427326661780407</v>
      </c>
      <c r="CF71" s="100">
        <v>5.0002453108072666</v>
      </c>
      <c r="CG71" s="100">
        <v>2820.1383552952984</v>
      </c>
      <c r="CH71" s="100">
        <v>9</v>
      </c>
      <c r="CI71" s="100">
        <v>5076</v>
      </c>
      <c r="CJ71" s="100">
        <v>7</v>
      </c>
      <c r="CK71" s="100">
        <v>3948</v>
      </c>
      <c r="CL71" s="100">
        <v>2.9116948600009676</v>
      </c>
      <c r="CM71" s="100">
        <v>1642.1959010405458</v>
      </c>
      <c r="CN71" s="100">
        <v>8.5569031301896015</v>
      </c>
      <c r="CO71" s="100">
        <v>4826.0933654269356</v>
      </c>
      <c r="CP71" s="100">
        <v>7</v>
      </c>
      <c r="CQ71" s="100">
        <v>3948</v>
      </c>
      <c r="CR71" s="100">
        <v>6.4426876933286108</v>
      </c>
      <c r="CS71" s="100">
        <v>3633.6758590373365</v>
      </c>
      <c r="CT71" s="100">
        <v>5</v>
      </c>
      <c r="CU71" s="100">
        <v>2820</v>
      </c>
    </row>
    <row r="72" spans="2:99">
      <c r="C72" s="99" t="s">
        <v>238</v>
      </c>
      <c r="D72" s="100">
        <v>6</v>
      </c>
      <c r="E72" s="100">
        <v>446.4</v>
      </c>
      <c r="F72" s="100">
        <v>4.8592315903785988</v>
      </c>
      <c r="G72" s="100">
        <v>361.52683032416769</v>
      </c>
      <c r="H72" s="100">
        <v>3.8861844348077552</v>
      </c>
      <c r="I72" s="100">
        <v>289.13212194969697</v>
      </c>
      <c r="J72" s="100">
        <v>7</v>
      </c>
      <c r="K72" s="100">
        <v>520.79999999999995</v>
      </c>
      <c r="L72" s="100">
        <v>7</v>
      </c>
      <c r="M72" s="100">
        <v>520.79999999999995</v>
      </c>
      <c r="N72" s="100">
        <v>8</v>
      </c>
      <c r="O72" s="100">
        <v>595.19999999999993</v>
      </c>
      <c r="P72" s="100">
        <v>6</v>
      </c>
      <c r="Q72" s="100">
        <v>446.4</v>
      </c>
      <c r="R72" s="100">
        <v>5.6155569104046474</v>
      </c>
      <c r="S72" s="100">
        <v>417.79743413410574</v>
      </c>
      <c r="T72" s="100">
        <v>7</v>
      </c>
      <c r="U72" s="100">
        <v>520.79999999999995</v>
      </c>
      <c r="V72" s="100">
        <v>4.3885180777636723</v>
      </c>
      <c r="W72" s="100">
        <v>326.50574498561718</v>
      </c>
      <c r="X72" s="100">
        <v>6.7188781720682575</v>
      </c>
      <c r="Y72" s="100">
        <v>499.8845360018783</v>
      </c>
      <c r="Z72" s="100">
        <v>5</v>
      </c>
      <c r="AA72" s="100">
        <v>371.99999999999994</v>
      </c>
      <c r="AB72" s="100">
        <v>7.2955916376360026</v>
      </c>
      <c r="AC72" s="100">
        <v>542.79201784011855</v>
      </c>
      <c r="AD72" s="100">
        <v>8.4125563981229412</v>
      </c>
      <c r="AE72" s="100">
        <v>625.89419602034673</v>
      </c>
      <c r="AF72" s="100">
        <v>5.6226401545202789</v>
      </c>
      <c r="AG72" s="100">
        <v>418.32442749630872</v>
      </c>
      <c r="AH72" s="100">
        <v>5</v>
      </c>
      <c r="AI72" s="100">
        <v>371.99999999999994</v>
      </c>
      <c r="AJ72" s="100">
        <v>6.1555083702861602</v>
      </c>
      <c r="AK72" s="100">
        <v>457.96982274929024</v>
      </c>
      <c r="AL72" s="100">
        <v>3.9444094518307322</v>
      </c>
      <c r="AM72" s="100">
        <v>293.46406321620645</v>
      </c>
      <c r="AN72" s="100">
        <v>4.2381478287865741</v>
      </c>
      <c r="AO72" s="100">
        <v>315.31819846172107</v>
      </c>
      <c r="AP72" s="100">
        <v>5</v>
      </c>
      <c r="AQ72" s="100">
        <v>371.99999999999994</v>
      </c>
      <c r="AR72" s="100">
        <v>7</v>
      </c>
      <c r="AS72" s="100">
        <v>520.79999999999995</v>
      </c>
      <c r="AT72" s="100">
        <v>5.766529853881857</v>
      </c>
      <c r="AU72" s="100">
        <v>429.02982112881011</v>
      </c>
      <c r="AV72" s="100">
        <v>6</v>
      </c>
      <c r="AW72" s="100">
        <v>446.4</v>
      </c>
      <c r="AX72" s="100">
        <v>4.6267496576543721</v>
      </c>
      <c r="AY72" s="100">
        <v>344.23017452948523</v>
      </c>
      <c r="AZ72" s="100">
        <v>5</v>
      </c>
      <c r="BA72" s="100">
        <v>371.99999999999994</v>
      </c>
      <c r="BB72" s="100">
        <v>6</v>
      </c>
      <c r="BC72" s="100">
        <v>446.4</v>
      </c>
      <c r="BD72" s="100">
        <v>3.7709250375535408</v>
      </c>
      <c r="BE72" s="100">
        <v>280.55682279398343</v>
      </c>
      <c r="BF72" s="100">
        <v>5.794302983731165</v>
      </c>
      <c r="BG72" s="100">
        <v>431.09614198959861</v>
      </c>
      <c r="BH72" s="100">
        <v>3.909821893831448</v>
      </c>
      <c r="BI72" s="100">
        <v>290.89074890105968</v>
      </c>
      <c r="BJ72" s="100">
        <v>4.0928897494391467</v>
      </c>
      <c r="BK72" s="100">
        <v>304.5109973582725</v>
      </c>
      <c r="BL72" s="100">
        <v>6.4344757888939395</v>
      </c>
      <c r="BM72" s="100">
        <v>478.72499869370904</v>
      </c>
      <c r="BN72" s="100">
        <v>5</v>
      </c>
      <c r="BO72" s="100">
        <v>371.99999999999994</v>
      </c>
      <c r="BP72" s="100">
        <v>6</v>
      </c>
      <c r="BQ72" s="100">
        <v>446.4</v>
      </c>
      <c r="BR72" s="100">
        <v>3.7703077259927582</v>
      </c>
      <c r="BS72" s="100">
        <v>280.51089481386117</v>
      </c>
      <c r="BT72" s="100">
        <v>8.0817799703834403</v>
      </c>
      <c r="BU72" s="100">
        <v>601.28442979652789</v>
      </c>
      <c r="BV72" s="100">
        <v>6.5854210028970392</v>
      </c>
      <c r="BW72" s="100">
        <v>489.95532261553967</v>
      </c>
      <c r="BX72" s="100">
        <v>4.466887334384479</v>
      </c>
      <c r="BY72" s="100">
        <v>332.33641767820518</v>
      </c>
      <c r="BZ72" s="100">
        <v>6.3051675381799761</v>
      </c>
      <c r="CA72" s="100">
        <v>469.1044648405902</v>
      </c>
      <c r="CB72" s="100">
        <v>10.403484148171401</v>
      </c>
      <c r="CC72" s="100">
        <v>774.01922062395215</v>
      </c>
      <c r="CD72" s="100">
        <v>4.9172224463647969E-4</v>
      </c>
      <c r="CE72" s="100">
        <v>3.6584135000954088E-2</v>
      </c>
      <c r="CF72" s="100">
        <v>6.0002453108072666</v>
      </c>
      <c r="CG72" s="100">
        <v>446.41825112406059</v>
      </c>
      <c r="CH72" s="100">
        <v>9</v>
      </c>
      <c r="CI72" s="100">
        <v>669.59999999999991</v>
      </c>
      <c r="CJ72" s="100">
        <v>7</v>
      </c>
      <c r="CK72" s="100">
        <v>520.79999999999995</v>
      </c>
      <c r="CL72" s="100">
        <v>3.2352165111121862</v>
      </c>
      <c r="CM72" s="100">
        <v>240.70010842674662</v>
      </c>
      <c r="CN72" s="100">
        <v>7.7012128171706404</v>
      </c>
      <c r="CO72" s="100">
        <v>572.97023359749562</v>
      </c>
      <c r="CP72" s="100">
        <v>8</v>
      </c>
      <c r="CQ72" s="100">
        <v>595.19999999999993</v>
      </c>
      <c r="CR72" s="100">
        <v>6.4426876933286108</v>
      </c>
      <c r="CS72" s="100">
        <v>479.33596438364862</v>
      </c>
      <c r="CT72" s="100">
        <v>6</v>
      </c>
      <c r="CU72" s="100">
        <v>446.4</v>
      </c>
    </row>
    <row r="73" spans="2:99">
      <c r="C73" s="99" t="s">
        <v>239</v>
      </c>
      <c r="D73" s="100">
        <v>6</v>
      </c>
      <c r="E73" s="100">
        <v>3355.2</v>
      </c>
      <c r="F73" s="100">
        <v>4.8592315903785988</v>
      </c>
      <c r="G73" s="100">
        <v>2717.2823053397119</v>
      </c>
      <c r="H73" s="100">
        <v>3.8861844348077552</v>
      </c>
      <c r="I73" s="100">
        <v>2173.1543359444963</v>
      </c>
      <c r="J73" s="100">
        <v>7</v>
      </c>
      <c r="K73" s="100">
        <v>3914.3999999999996</v>
      </c>
      <c r="L73" s="100">
        <v>7</v>
      </c>
      <c r="M73" s="100">
        <v>3914.3999999999996</v>
      </c>
      <c r="N73" s="100">
        <v>7</v>
      </c>
      <c r="O73" s="100">
        <v>3914.3999999999996</v>
      </c>
      <c r="P73" s="100">
        <v>6</v>
      </c>
      <c r="Q73" s="100">
        <v>3355.2</v>
      </c>
      <c r="R73" s="100">
        <v>4.9916061425819089</v>
      </c>
      <c r="S73" s="100">
        <v>2791.3061549318031</v>
      </c>
      <c r="T73" s="100">
        <v>7</v>
      </c>
      <c r="U73" s="100">
        <v>3914.3999999999996</v>
      </c>
      <c r="V73" s="100">
        <v>3.7615869237974335</v>
      </c>
      <c r="W73" s="100">
        <v>2103.4794077875245</v>
      </c>
      <c r="X73" s="100">
        <v>5.3751025376546062</v>
      </c>
      <c r="Y73" s="100">
        <v>3005.7573390564553</v>
      </c>
      <c r="Z73" s="100">
        <v>5</v>
      </c>
      <c r="AA73" s="100">
        <v>2795.9999999999995</v>
      </c>
      <c r="AB73" s="100">
        <v>6.5660324738724025</v>
      </c>
      <c r="AC73" s="100">
        <v>3671.725359389447</v>
      </c>
      <c r="AD73" s="100">
        <v>7.4778279094426141</v>
      </c>
      <c r="AE73" s="100">
        <v>4181.601366960309</v>
      </c>
      <c r="AF73" s="100">
        <v>5.6226401545202789</v>
      </c>
      <c r="AG73" s="100">
        <v>3144.1803744077397</v>
      </c>
      <c r="AH73" s="100">
        <v>5</v>
      </c>
      <c r="AI73" s="100">
        <v>2795.9999999999995</v>
      </c>
      <c r="AJ73" s="100">
        <v>6.1555083702861602</v>
      </c>
      <c r="AK73" s="100">
        <v>3442.1602806640203</v>
      </c>
      <c r="AL73" s="100">
        <v>3.4513582703518901</v>
      </c>
      <c r="AM73" s="100">
        <v>1929.9995447807767</v>
      </c>
      <c r="AN73" s="100">
        <v>3.7083793501882525</v>
      </c>
      <c r="AO73" s="100">
        <v>2073.7257326252707</v>
      </c>
      <c r="AP73" s="100">
        <v>4</v>
      </c>
      <c r="AQ73" s="100">
        <v>2236.7999999999997</v>
      </c>
      <c r="AR73" s="100">
        <v>7</v>
      </c>
      <c r="AS73" s="100">
        <v>3914.3999999999996</v>
      </c>
      <c r="AT73" s="100">
        <v>5.766529853881857</v>
      </c>
      <c r="AU73" s="100">
        <v>3224.643494290734</v>
      </c>
      <c r="AV73" s="100">
        <v>6</v>
      </c>
      <c r="AW73" s="100">
        <v>3355.2</v>
      </c>
      <c r="AX73" s="100">
        <v>4.6267496576543721</v>
      </c>
      <c r="AY73" s="100">
        <v>2587.2784085603244</v>
      </c>
      <c r="AZ73" s="100">
        <v>5</v>
      </c>
      <c r="BA73" s="100">
        <v>2795.9999999999995</v>
      </c>
      <c r="BB73" s="100">
        <v>5</v>
      </c>
      <c r="BC73" s="100">
        <v>2795.9999999999995</v>
      </c>
      <c r="BD73" s="100">
        <v>3.7709250375535408</v>
      </c>
      <c r="BE73" s="100">
        <v>2108.7012809999396</v>
      </c>
      <c r="BF73" s="100">
        <v>5.794302983731165</v>
      </c>
      <c r="BG73" s="100">
        <v>3240.174228502467</v>
      </c>
      <c r="BH73" s="100">
        <v>3.4076756317597132</v>
      </c>
      <c r="BI73" s="100">
        <v>1905.5722132800313</v>
      </c>
      <c r="BJ73" s="100">
        <v>4.0165005826700702</v>
      </c>
      <c r="BK73" s="100">
        <v>2246.0271258291032</v>
      </c>
      <c r="BL73" s="100">
        <v>6.4344757888939395</v>
      </c>
      <c r="BM73" s="100">
        <v>3598.1588611494903</v>
      </c>
      <c r="BN73" s="100">
        <v>5</v>
      </c>
      <c r="BO73" s="100">
        <v>2795.9999999999995</v>
      </c>
      <c r="BP73" s="100">
        <v>6</v>
      </c>
      <c r="BQ73" s="100">
        <v>3355.2</v>
      </c>
      <c r="BR73" s="100">
        <v>3.7703077259927582</v>
      </c>
      <c r="BS73" s="100">
        <v>2108.3560803751502</v>
      </c>
      <c r="BT73" s="100">
        <v>8.0817799703834403</v>
      </c>
      <c r="BU73" s="100">
        <v>4519.331359438419</v>
      </c>
      <c r="BV73" s="100">
        <v>5.8537075581307016</v>
      </c>
      <c r="BW73" s="100">
        <v>3273.3932665066882</v>
      </c>
      <c r="BX73" s="100">
        <v>4.466887334384479</v>
      </c>
      <c r="BY73" s="100">
        <v>2497.8833973878004</v>
      </c>
      <c r="BZ73" s="100">
        <v>5.2441340305439814</v>
      </c>
      <c r="CA73" s="100">
        <v>2932.519749880194</v>
      </c>
      <c r="CB73" s="100">
        <v>9.4068905183746416</v>
      </c>
      <c r="CC73" s="100">
        <v>5260.333177875099</v>
      </c>
      <c r="CD73" s="100">
        <v>4.9172224463647969E-4</v>
      </c>
      <c r="CE73" s="100">
        <v>0.27497107920071939</v>
      </c>
      <c r="CF73" s="100">
        <v>6.0002044256727221</v>
      </c>
      <c r="CG73" s="100">
        <v>3355.314314836186</v>
      </c>
      <c r="CH73" s="100">
        <v>8</v>
      </c>
      <c r="CI73" s="100">
        <v>4473.5999999999995</v>
      </c>
      <c r="CJ73" s="100">
        <v>7</v>
      </c>
      <c r="CK73" s="100">
        <v>3914.3999999999996</v>
      </c>
      <c r="CL73" s="100">
        <v>2.9116948600009676</v>
      </c>
      <c r="CM73" s="100">
        <v>1628.2197657125409</v>
      </c>
      <c r="CN73" s="100">
        <v>7.7012128171706404</v>
      </c>
      <c r="CO73" s="100">
        <v>4306.5182073618216</v>
      </c>
      <c r="CP73" s="100">
        <v>6</v>
      </c>
      <c r="CQ73" s="100">
        <v>3355.2</v>
      </c>
      <c r="CR73" s="100">
        <v>5.7268335051809878</v>
      </c>
      <c r="CS73" s="100">
        <v>3202.445296097208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5</v>
      </c>
      <c r="E74" s="100">
        <v>2016</v>
      </c>
      <c r="F74" s="100">
        <v>4.8592315903785988</v>
      </c>
      <c r="G74" s="100">
        <v>1959.242177240651</v>
      </c>
      <c r="H74" s="100">
        <v>3.8861844348077552</v>
      </c>
      <c r="I74" s="100">
        <v>1566.9095641144868</v>
      </c>
      <c r="J74" s="100">
        <v>7</v>
      </c>
      <c r="K74" s="100">
        <v>2822.4</v>
      </c>
      <c r="L74" s="100">
        <v>7</v>
      </c>
      <c r="M74" s="100">
        <v>2822.4</v>
      </c>
      <c r="N74" s="100">
        <v>7</v>
      </c>
      <c r="O74" s="100">
        <v>2822.4</v>
      </c>
      <c r="P74" s="100">
        <v>5</v>
      </c>
      <c r="Q74" s="100">
        <v>2016</v>
      </c>
      <c r="R74" s="100">
        <v>4.9916061425819089</v>
      </c>
      <c r="S74" s="100">
        <v>2012.6155966890256</v>
      </c>
      <c r="T74" s="100">
        <v>7</v>
      </c>
      <c r="U74" s="100">
        <v>2822.4</v>
      </c>
      <c r="V74" s="100">
        <v>4.3885180777636723</v>
      </c>
      <c r="W74" s="100">
        <v>1769.4504889543127</v>
      </c>
      <c r="X74" s="100">
        <v>6.7188781720682575</v>
      </c>
      <c r="Y74" s="100">
        <v>2709.0516789779213</v>
      </c>
      <c r="Z74" s="100">
        <v>5</v>
      </c>
      <c r="AA74" s="100">
        <v>2016</v>
      </c>
      <c r="AB74" s="100">
        <v>6.5660324738724025</v>
      </c>
      <c r="AC74" s="100">
        <v>2647.4242934653525</v>
      </c>
      <c r="AD74" s="100">
        <v>7.4778279094426141</v>
      </c>
      <c r="AE74" s="100">
        <v>3015.0602130872621</v>
      </c>
      <c r="AF74" s="100">
        <v>6.5597468469403246</v>
      </c>
      <c r="AG74" s="100">
        <v>2644.8899286863389</v>
      </c>
      <c r="AH74" s="100">
        <v>4</v>
      </c>
      <c r="AI74" s="100">
        <v>1612.8</v>
      </c>
      <c r="AJ74" s="100">
        <v>6.1555083702861602</v>
      </c>
      <c r="AK74" s="100">
        <v>2481.9009748993799</v>
      </c>
      <c r="AL74" s="100">
        <v>3.9444094518307322</v>
      </c>
      <c r="AM74" s="100">
        <v>1590.3858909781511</v>
      </c>
      <c r="AN74" s="100">
        <v>3.7083793501882525</v>
      </c>
      <c r="AO74" s="100">
        <v>1495.2185539959034</v>
      </c>
      <c r="AP74" s="100">
        <v>4</v>
      </c>
      <c r="AQ74" s="100">
        <v>1612.8</v>
      </c>
      <c r="AR74" s="100">
        <v>6</v>
      </c>
      <c r="AS74" s="100">
        <v>2419.1999999999998</v>
      </c>
      <c r="AT74" s="100">
        <v>6.4072553932020631</v>
      </c>
      <c r="AU74" s="100">
        <v>2583.4053745390715</v>
      </c>
      <c r="AV74" s="100">
        <v>6</v>
      </c>
      <c r="AW74" s="100">
        <v>2419.1999999999998</v>
      </c>
      <c r="AX74" s="100">
        <v>4.6267496576543721</v>
      </c>
      <c r="AY74" s="100">
        <v>1865.5054619662428</v>
      </c>
      <c r="AZ74" s="100">
        <v>5</v>
      </c>
      <c r="BA74" s="100">
        <v>2016</v>
      </c>
      <c r="BB74" s="100">
        <v>6</v>
      </c>
      <c r="BC74" s="100">
        <v>2419.1999999999998</v>
      </c>
      <c r="BD74" s="100">
        <v>4.525110045064249</v>
      </c>
      <c r="BE74" s="100">
        <v>1824.5243701699051</v>
      </c>
      <c r="BF74" s="100">
        <v>6.5461917427543916</v>
      </c>
      <c r="BG74" s="100">
        <v>2639.4245106785706</v>
      </c>
      <c r="BH74" s="100">
        <v>3.8859654740853946</v>
      </c>
      <c r="BI74" s="100">
        <v>1566.821279151231</v>
      </c>
      <c r="BJ74" s="100">
        <v>4.0165005826700702</v>
      </c>
      <c r="BK74" s="100">
        <v>1619.4530349325723</v>
      </c>
      <c r="BL74" s="100">
        <v>6.5793010518585859</v>
      </c>
      <c r="BM74" s="100">
        <v>2652.7741841093816</v>
      </c>
      <c r="BN74" s="100">
        <v>5</v>
      </c>
      <c r="BO74" s="100">
        <v>2016</v>
      </c>
      <c r="BP74" s="100">
        <v>6</v>
      </c>
      <c r="BQ74" s="100">
        <v>2419.1999999999998</v>
      </c>
      <c r="BR74" s="100">
        <v>3.7703077259927582</v>
      </c>
      <c r="BS74" s="100">
        <v>1520.18807512028</v>
      </c>
      <c r="BT74" s="100">
        <v>7.1927931112729899</v>
      </c>
      <c r="BU74" s="100">
        <v>2900.1341824652695</v>
      </c>
      <c r="BV74" s="100">
        <v>5.8537075581307016</v>
      </c>
      <c r="BW74" s="100">
        <v>2360.2148874382988</v>
      </c>
      <c r="BX74" s="100">
        <v>4.0201986009460313</v>
      </c>
      <c r="BY74" s="100">
        <v>1620.9440759014399</v>
      </c>
      <c r="BZ74" s="100">
        <v>5.3051675381799761</v>
      </c>
      <c r="CA74" s="100">
        <v>2139.0435513941661</v>
      </c>
      <c r="CB74" s="100">
        <v>9.4068905183746416</v>
      </c>
      <c r="CC74" s="100">
        <v>3792.8582570086555</v>
      </c>
      <c r="CD74" s="100">
        <v>4.1201237523866827E-4</v>
      </c>
      <c r="CE74" s="100">
        <v>0.16612338969623106</v>
      </c>
      <c r="CF74" s="100">
        <v>5.0002453108072666</v>
      </c>
      <c r="CG74" s="100">
        <v>2016.0989093174899</v>
      </c>
      <c r="CH74" s="100">
        <v>9</v>
      </c>
      <c r="CI74" s="100">
        <v>3628.7999999999997</v>
      </c>
      <c r="CJ74" s="100">
        <v>7</v>
      </c>
      <c r="CK74" s="100">
        <v>2822.4</v>
      </c>
      <c r="CL74" s="100">
        <v>2.5881732088897489</v>
      </c>
      <c r="CM74" s="100">
        <v>1043.5514378243467</v>
      </c>
      <c r="CN74" s="100">
        <v>8.5569031301896015</v>
      </c>
      <c r="CO74" s="100">
        <v>3450.1433420924473</v>
      </c>
      <c r="CP74" s="100">
        <v>7</v>
      </c>
      <c r="CQ74" s="100">
        <v>2822.4</v>
      </c>
      <c r="CR74" s="100">
        <v>7.1585418814762338</v>
      </c>
      <c r="CS74" s="100">
        <v>2886.3240866112174</v>
      </c>
      <c r="CT74" s="100">
        <v>5</v>
      </c>
      <c r="CU74" s="100">
        <v>2016</v>
      </c>
    </row>
    <row r="75" spans="2:99">
      <c r="C75" s="99" t="s">
        <v>241</v>
      </c>
      <c r="D75" s="100">
        <v>5</v>
      </c>
      <c r="E75" s="100">
        <v>3215.9999999999995</v>
      </c>
      <c r="F75" s="100">
        <v>4.8592315903785988</v>
      </c>
      <c r="G75" s="100">
        <v>3125.4577589315145</v>
      </c>
      <c r="H75" s="100">
        <v>3.8861844348077552</v>
      </c>
      <c r="I75" s="100">
        <v>2499.593828468348</v>
      </c>
      <c r="J75" s="100">
        <v>7</v>
      </c>
      <c r="K75" s="100">
        <v>4502.3999999999996</v>
      </c>
      <c r="L75" s="100">
        <v>6</v>
      </c>
      <c r="M75" s="100">
        <v>3859.2</v>
      </c>
      <c r="N75" s="100">
        <v>7</v>
      </c>
      <c r="O75" s="100">
        <v>4502.3999999999996</v>
      </c>
      <c r="P75" s="100">
        <v>5</v>
      </c>
      <c r="Q75" s="100">
        <v>3215.9999999999995</v>
      </c>
      <c r="R75" s="100">
        <v>4.9916061425819089</v>
      </c>
      <c r="S75" s="100">
        <v>3210.6010709086836</v>
      </c>
      <c r="T75" s="100">
        <v>7</v>
      </c>
      <c r="U75" s="100">
        <v>4502.3999999999996</v>
      </c>
      <c r="V75" s="100">
        <v>3.7615869237974335</v>
      </c>
      <c r="W75" s="100">
        <v>2419.452709386509</v>
      </c>
      <c r="X75" s="100">
        <v>5.3751025376546062</v>
      </c>
      <c r="Y75" s="100">
        <v>3457.2659522194422</v>
      </c>
      <c r="Z75" s="100">
        <v>5</v>
      </c>
      <c r="AA75" s="100">
        <v>3215.9999999999995</v>
      </c>
      <c r="AB75" s="100">
        <v>6.5660324738724025</v>
      </c>
      <c r="AC75" s="100">
        <v>4223.2720871947286</v>
      </c>
      <c r="AD75" s="100">
        <v>7.4778279094426141</v>
      </c>
      <c r="AE75" s="100">
        <v>4809.7389113534891</v>
      </c>
      <c r="AF75" s="100">
        <v>5.6226401545202789</v>
      </c>
      <c r="AG75" s="100">
        <v>3616.4821473874431</v>
      </c>
      <c r="AH75" s="100">
        <v>5</v>
      </c>
      <c r="AI75" s="100">
        <v>3215.9999999999995</v>
      </c>
      <c r="AJ75" s="100">
        <v>6.1555083702861602</v>
      </c>
      <c r="AK75" s="100">
        <v>3959.2229837680579</v>
      </c>
      <c r="AL75" s="100">
        <v>3.9444094518307322</v>
      </c>
      <c r="AM75" s="100">
        <v>2537.0441594175268</v>
      </c>
      <c r="AN75" s="100">
        <v>3.7083793501882525</v>
      </c>
      <c r="AO75" s="100">
        <v>2385.2295980410836</v>
      </c>
      <c r="AP75" s="100">
        <v>4</v>
      </c>
      <c r="AQ75" s="100">
        <v>2572.7999999999997</v>
      </c>
      <c r="AR75" s="100">
        <v>7</v>
      </c>
      <c r="AS75" s="100">
        <v>4502.3999999999996</v>
      </c>
      <c r="AT75" s="100">
        <v>5.125804314561651</v>
      </c>
      <c r="AU75" s="100">
        <v>3296.9173351260533</v>
      </c>
      <c r="AV75" s="100">
        <v>6</v>
      </c>
      <c r="AW75" s="100">
        <v>3859.2</v>
      </c>
      <c r="AX75" s="100">
        <v>4.6267496576543721</v>
      </c>
      <c r="AY75" s="100">
        <v>2975.9253798032919</v>
      </c>
      <c r="AZ75" s="100">
        <v>5</v>
      </c>
      <c r="BA75" s="100">
        <v>3215.9999999999995</v>
      </c>
      <c r="BB75" s="100">
        <v>5</v>
      </c>
      <c r="BC75" s="100">
        <v>3215.9999999999995</v>
      </c>
      <c r="BD75" s="100">
        <v>4.525110045064249</v>
      </c>
      <c r="BE75" s="100">
        <v>2910.5507809853248</v>
      </c>
      <c r="BF75" s="100">
        <v>6.5461917427543916</v>
      </c>
      <c r="BG75" s="100">
        <v>4210.5105289396242</v>
      </c>
      <c r="BH75" s="100">
        <v>3.8859654740853946</v>
      </c>
      <c r="BI75" s="100">
        <v>2499.4529929317255</v>
      </c>
      <c r="BJ75" s="100">
        <v>4.0128953001974352</v>
      </c>
      <c r="BK75" s="100">
        <v>2581.0942570869902</v>
      </c>
      <c r="BL75" s="100">
        <v>6.4344757888939395</v>
      </c>
      <c r="BM75" s="100">
        <v>4138.6548274165816</v>
      </c>
      <c r="BN75" s="100">
        <v>5</v>
      </c>
      <c r="BO75" s="100">
        <v>3215.9999999999995</v>
      </c>
      <c r="BP75" s="100">
        <v>5</v>
      </c>
      <c r="BQ75" s="100">
        <v>3215.9999999999995</v>
      </c>
      <c r="BR75" s="100">
        <v>3.7703077259927582</v>
      </c>
      <c r="BS75" s="100">
        <v>2425.0619293585419</v>
      </c>
      <c r="BT75" s="100">
        <v>8.9707668294938916</v>
      </c>
      <c r="BU75" s="100">
        <v>5769.9972247304704</v>
      </c>
      <c r="BV75" s="100">
        <v>5.8537075581307016</v>
      </c>
      <c r="BW75" s="100">
        <v>3765.1047013896668</v>
      </c>
      <c r="BX75" s="100">
        <v>4.466887334384479</v>
      </c>
      <c r="BY75" s="100">
        <v>2873.1019334760967</v>
      </c>
      <c r="BZ75" s="100">
        <v>5.3051675381799761</v>
      </c>
      <c r="CA75" s="100">
        <v>3412.2837605573604</v>
      </c>
      <c r="CB75" s="100">
        <v>9.4068905183746416</v>
      </c>
      <c r="CC75" s="100">
        <v>6050.5119814185691</v>
      </c>
      <c r="CD75" s="100">
        <v>4.9172224463647969E-4</v>
      </c>
      <c r="CE75" s="100">
        <v>0.31627574775018369</v>
      </c>
      <c r="CF75" s="100">
        <v>5.0002453108072666</v>
      </c>
      <c r="CG75" s="100">
        <v>3216.1577839112338</v>
      </c>
      <c r="CH75" s="100">
        <v>8</v>
      </c>
      <c r="CI75" s="100">
        <v>5145.5999999999995</v>
      </c>
      <c r="CJ75" s="100">
        <v>8</v>
      </c>
      <c r="CK75" s="100">
        <v>5145.5999999999995</v>
      </c>
      <c r="CL75" s="100">
        <v>2.5881732088897489</v>
      </c>
      <c r="CM75" s="100">
        <v>1664.7130079578862</v>
      </c>
      <c r="CN75" s="100">
        <v>7.7012128171706404</v>
      </c>
      <c r="CO75" s="100">
        <v>4953.4200840041558</v>
      </c>
      <c r="CP75" s="100">
        <v>7</v>
      </c>
      <c r="CQ75" s="100">
        <v>4502.3999999999996</v>
      </c>
      <c r="CR75" s="100">
        <v>6.4426876933286108</v>
      </c>
      <c r="CS75" s="100">
        <v>4143.9367243489623</v>
      </c>
      <c r="CT75" s="100">
        <v>5</v>
      </c>
      <c r="CU75" s="100">
        <v>3215.9999999999995</v>
      </c>
    </row>
    <row r="76" spans="2:99">
      <c r="C76" s="99" t="s">
        <v>242</v>
      </c>
      <c r="D76" s="100">
        <v>6</v>
      </c>
      <c r="E76" s="100">
        <v>4672.7999999999993</v>
      </c>
      <c r="F76" s="100">
        <v>4.8592315903785988</v>
      </c>
      <c r="G76" s="100">
        <v>3784.3695625868527</v>
      </c>
      <c r="H76" s="100">
        <v>3.8861844348077552</v>
      </c>
      <c r="I76" s="100">
        <v>3026.5604378282796</v>
      </c>
      <c r="J76" s="100">
        <v>7</v>
      </c>
      <c r="K76" s="100">
        <v>5451.5999999999995</v>
      </c>
      <c r="L76" s="100">
        <v>7</v>
      </c>
      <c r="M76" s="100">
        <v>5451.5999999999995</v>
      </c>
      <c r="N76" s="100">
        <v>6</v>
      </c>
      <c r="O76" s="100">
        <v>4672.7999999999993</v>
      </c>
      <c r="P76" s="100">
        <v>5</v>
      </c>
      <c r="Q76" s="100">
        <v>3894</v>
      </c>
      <c r="R76" s="100">
        <v>4.3676553747591704</v>
      </c>
      <c r="S76" s="100">
        <v>3401.5300058624416</v>
      </c>
      <c r="T76" s="100">
        <v>7</v>
      </c>
      <c r="U76" s="100">
        <v>5451.5999999999995</v>
      </c>
      <c r="V76" s="100">
        <v>4.3885180777636723</v>
      </c>
      <c r="W76" s="100">
        <v>3417.7778789623476</v>
      </c>
      <c r="X76" s="100">
        <v>5.3751025376546062</v>
      </c>
      <c r="Y76" s="100">
        <v>4186.1298563254068</v>
      </c>
      <c r="Z76" s="100">
        <v>5</v>
      </c>
      <c r="AA76" s="100">
        <v>3894</v>
      </c>
      <c r="AB76" s="100">
        <v>5.8364733101088015</v>
      </c>
      <c r="AC76" s="100">
        <v>4545.4454139127347</v>
      </c>
      <c r="AD76" s="100">
        <v>8.4125563981229412</v>
      </c>
      <c r="AE76" s="100">
        <v>6551.698922858146</v>
      </c>
      <c r="AF76" s="100">
        <v>6.5597468469403246</v>
      </c>
      <c r="AG76" s="100">
        <v>5108.7308443971242</v>
      </c>
      <c r="AH76" s="100">
        <v>5</v>
      </c>
      <c r="AI76" s="100">
        <v>3894</v>
      </c>
      <c r="AJ76" s="100">
        <v>6.1555083702861602</v>
      </c>
      <c r="AK76" s="100">
        <v>4793.9099187788615</v>
      </c>
      <c r="AL76" s="100">
        <v>3.4513582703518901</v>
      </c>
      <c r="AM76" s="100">
        <v>2687.9178209500519</v>
      </c>
      <c r="AN76" s="100">
        <v>3.7083793501882525</v>
      </c>
      <c r="AO76" s="100">
        <v>2888.085837926611</v>
      </c>
      <c r="AP76" s="100">
        <v>5</v>
      </c>
      <c r="AQ76" s="100">
        <v>3894</v>
      </c>
      <c r="AR76" s="100">
        <v>6</v>
      </c>
      <c r="AS76" s="100">
        <v>4672.7999999999993</v>
      </c>
      <c r="AT76" s="100">
        <v>5.125804314561651</v>
      </c>
      <c r="AU76" s="100">
        <v>3991.9764001806134</v>
      </c>
      <c r="AV76" s="100">
        <v>6</v>
      </c>
      <c r="AW76" s="100">
        <v>4672.7999999999993</v>
      </c>
      <c r="AX76" s="100">
        <v>5.2050933648611686</v>
      </c>
      <c r="AY76" s="100">
        <v>4053.7267125538779</v>
      </c>
      <c r="AZ76" s="100">
        <v>5</v>
      </c>
      <c r="BA76" s="100">
        <v>3894</v>
      </c>
      <c r="BB76" s="100">
        <v>5</v>
      </c>
      <c r="BC76" s="100">
        <v>3894</v>
      </c>
      <c r="BD76" s="100">
        <v>4.525110045064249</v>
      </c>
      <c r="BE76" s="100">
        <v>3524.1557030960371</v>
      </c>
      <c r="BF76" s="100">
        <v>5.794302983731165</v>
      </c>
      <c r="BG76" s="100">
        <v>4512.6031637298311</v>
      </c>
      <c r="BH76" s="100">
        <v>3.8859654740853946</v>
      </c>
      <c r="BI76" s="100">
        <v>3026.389911217705</v>
      </c>
      <c r="BJ76" s="100">
        <v>3.617067622489436</v>
      </c>
      <c r="BK76" s="100">
        <v>2816.9722643947725</v>
      </c>
      <c r="BL76" s="100">
        <v>6.5793010518585859</v>
      </c>
      <c r="BM76" s="100">
        <v>5123.9596591874661</v>
      </c>
      <c r="BN76" s="100">
        <v>5</v>
      </c>
      <c r="BO76" s="100">
        <v>3894</v>
      </c>
      <c r="BP76" s="100">
        <v>6</v>
      </c>
      <c r="BQ76" s="100">
        <v>4672.7999999999993</v>
      </c>
      <c r="BR76" s="100">
        <v>3.7703077259927582</v>
      </c>
      <c r="BS76" s="100">
        <v>2936.3156570031601</v>
      </c>
      <c r="BT76" s="100">
        <v>7.1927931112729899</v>
      </c>
      <c r="BU76" s="100">
        <v>5601.7472750594043</v>
      </c>
      <c r="BV76" s="100">
        <v>5.8537075581307016</v>
      </c>
      <c r="BW76" s="100">
        <v>4558.8674462721901</v>
      </c>
      <c r="BX76" s="100">
        <v>3.5735098675075836</v>
      </c>
      <c r="BY76" s="100">
        <v>2783.049484814906</v>
      </c>
      <c r="BZ76" s="100">
        <v>5.2441340305439814</v>
      </c>
      <c r="CA76" s="100">
        <v>4084.1315829876526</v>
      </c>
      <c r="CB76" s="100">
        <v>9.4068905183746416</v>
      </c>
      <c r="CC76" s="100">
        <v>7326.0863357101707</v>
      </c>
      <c r="CD76" s="100">
        <v>4.9172224463647969E-4</v>
      </c>
      <c r="CE76" s="100">
        <v>0.38295328412289037</v>
      </c>
      <c r="CF76" s="100">
        <v>5.0002453108072666</v>
      </c>
      <c r="CG76" s="100">
        <v>3894.1910480566989</v>
      </c>
      <c r="CH76" s="100">
        <v>8</v>
      </c>
      <c r="CI76" s="100">
        <v>6230.4</v>
      </c>
      <c r="CJ76" s="100">
        <v>7</v>
      </c>
      <c r="CK76" s="100">
        <v>5451.5999999999995</v>
      </c>
      <c r="CL76" s="100">
        <v>2.5881732088897489</v>
      </c>
      <c r="CM76" s="100">
        <v>2015.6692950833362</v>
      </c>
      <c r="CN76" s="100">
        <v>7.7012128171706404</v>
      </c>
      <c r="CO76" s="100">
        <v>5997.7045420124941</v>
      </c>
      <c r="CP76" s="100">
        <v>7</v>
      </c>
      <c r="CQ76" s="100">
        <v>5451.5999999999995</v>
      </c>
      <c r="CR76" s="100">
        <v>7.1585418814762338</v>
      </c>
      <c r="CS76" s="100">
        <v>5575.0724172936907</v>
      </c>
      <c r="CT76" s="100">
        <v>5</v>
      </c>
      <c r="CU76" s="100">
        <v>3894</v>
      </c>
    </row>
    <row r="77" spans="2:99">
      <c r="C77" s="99" t="s">
        <v>243</v>
      </c>
      <c r="D77" s="100">
        <v>5</v>
      </c>
      <c r="E77" s="100">
        <v>1392</v>
      </c>
      <c r="F77" s="100">
        <v>5.8310779084543185</v>
      </c>
      <c r="G77" s="100">
        <v>1623.372089713682</v>
      </c>
      <c r="H77" s="100">
        <v>3.8861844348077552</v>
      </c>
      <c r="I77" s="100">
        <v>1081.913746650479</v>
      </c>
      <c r="J77" s="100">
        <v>7</v>
      </c>
      <c r="K77" s="100">
        <v>1948.7999999999997</v>
      </c>
      <c r="L77" s="100">
        <v>7</v>
      </c>
      <c r="M77" s="100">
        <v>1948.7999999999997</v>
      </c>
      <c r="N77" s="100">
        <v>7</v>
      </c>
      <c r="O77" s="100">
        <v>1948.7999999999997</v>
      </c>
      <c r="P77" s="100">
        <v>5</v>
      </c>
      <c r="Q77" s="100">
        <v>1392</v>
      </c>
      <c r="R77" s="100">
        <v>4.9916061425819089</v>
      </c>
      <c r="S77" s="100">
        <v>1389.6631500948033</v>
      </c>
      <c r="T77" s="100">
        <v>8</v>
      </c>
      <c r="U77" s="100">
        <v>2227.1999999999998</v>
      </c>
      <c r="V77" s="100">
        <v>4.3885180777636723</v>
      </c>
      <c r="W77" s="100">
        <v>1221.7634328494062</v>
      </c>
      <c r="X77" s="100">
        <v>6.7188781720682575</v>
      </c>
      <c r="Y77" s="100">
        <v>1870.5356831038027</v>
      </c>
      <c r="Z77" s="100">
        <v>5</v>
      </c>
      <c r="AA77" s="100">
        <v>1392</v>
      </c>
      <c r="AB77" s="100">
        <v>6.5660324738724025</v>
      </c>
      <c r="AC77" s="100">
        <v>1827.9834407260767</v>
      </c>
      <c r="AD77" s="100">
        <v>8.4125563981229412</v>
      </c>
      <c r="AE77" s="100">
        <v>2342.0557012374265</v>
      </c>
      <c r="AF77" s="100">
        <v>5.6226401545202789</v>
      </c>
      <c r="AG77" s="100">
        <v>1565.3430190184456</v>
      </c>
      <c r="AH77" s="100">
        <v>5</v>
      </c>
      <c r="AI77" s="100">
        <v>1392</v>
      </c>
      <c r="AJ77" s="100">
        <v>7.034866708898468</v>
      </c>
      <c r="AK77" s="100">
        <v>1958.5068917573333</v>
      </c>
      <c r="AL77" s="100">
        <v>3.4513582703518901</v>
      </c>
      <c r="AM77" s="100">
        <v>960.85814246596613</v>
      </c>
      <c r="AN77" s="100">
        <v>4.2381478287865741</v>
      </c>
      <c r="AO77" s="100">
        <v>1179.9003555341822</v>
      </c>
      <c r="AP77" s="100">
        <v>5</v>
      </c>
      <c r="AQ77" s="100">
        <v>1392</v>
      </c>
      <c r="AR77" s="100">
        <v>6</v>
      </c>
      <c r="AS77" s="100">
        <v>1670.3999999999999</v>
      </c>
      <c r="AT77" s="100">
        <v>5.766529853881857</v>
      </c>
      <c r="AU77" s="100">
        <v>1605.4019113207089</v>
      </c>
      <c r="AV77" s="100">
        <v>6</v>
      </c>
      <c r="AW77" s="100">
        <v>1670.3999999999999</v>
      </c>
      <c r="AX77" s="100">
        <v>4.6267496576543721</v>
      </c>
      <c r="AY77" s="100">
        <v>1288.0871046909772</v>
      </c>
      <c r="AZ77" s="100">
        <v>5</v>
      </c>
      <c r="BA77" s="100">
        <v>1392</v>
      </c>
      <c r="BB77" s="100">
        <v>5</v>
      </c>
      <c r="BC77" s="100">
        <v>1392</v>
      </c>
      <c r="BD77" s="100">
        <v>4.525110045064249</v>
      </c>
      <c r="BE77" s="100">
        <v>1259.7906365458869</v>
      </c>
      <c r="BF77" s="100">
        <v>5.794302983731165</v>
      </c>
      <c r="BG77" s="100">
        <v>1613.1339506707561</v>
      </c>
      <c r="BH77" s="100">
        <v>3.4076756317597132</v>
      </c>
      <c r="BI77" s="100">
        <v>948.69689588190408</v>
      </c>
      <c r="BJ77" s="100">
        <v>3.6934567892585135</v>
      </c>
      <c r="BK77" s="100">
        <v>1028.25837012957</v>
      </c>
      <c r="BL77" s="100">
        <v>5.5793010518585859</v>
      </c>
      <c r="BM77" s="100">
        <v>1553.2774128374301</v>
      </c>
      <c r="BN77" s="100">
        <v>5</v>
      </c>
      <c r="BO77" s="100">
        <v>1392</v>
      </c>
      <c r="BP77" s="100">
        <v>6</v>
      </c>
      <c r="BQ77" s="100">
        <v>1670.3999999999999</v>
      </c>
      <c r="BR77" s="100">
        <v>3.7703077259927582</v>
      </c>
      <c r="BS77" s="100">
        <v>1049.6536709163838</v>
      </c>
      <c r="BT77" s="100">
        <v>7.2130176708703342</v>
      </c>
      <c r="BU77" s="100">
        <v>2008.1041195703008</v>
      </c>
      <c r="BV77" s="100">
        <v>5.8537075581307016</v>
      </c>
      <c r="BW77" s="100">
        <v>1629.6721841835872</v>
      </c>
      <c r="BX77" s="100">
        <v>4.0201986009460313</v>
      </c>
      <c r="BY77" s="100">
        <v>1119.223290503375</v>
      </c>
      <c r="BZ77" s="100">
        <v>6.3051675381799761</v>
      </c>
      <c r="CA77" s="100">
        <v>1755.3586426293052</v>
      </c>
      <c r="CB77" s="100">
        <v>10.476408789872034</v>
      </c>
      <c r="CC77" s="100">
        <v>2916.6322071003738</v>
      </c>
      <c r="CD77" s="100">
        <v>4.9172224463647969E-4</v>
      </c>
      <c r="CE77" s="100">
        <v>0.13689547290679593</v>
      </c>
      <c r="CF77" s="100">
        <v>5.0002453108072666</v>
      </c>
      <c r="CG77" s="100">
        <v>1392.0682945287429</v>
      </c>
      <c r="CH77" s="100">
        <v>8</v>
      </c>
      <c r="CI77" s="100">
        <v>2227.1999999999998</v>
      </c>
      <c r="CJ77" s="100">
        <v>7</v>
      </c>
      <c r="CK77" s="100">
        <v>1948.7999999999997</v>
      </c>
      <c r="CL77" s="100">
        <v>2.5881732088897489</v>
      </c>
      <c r="CM77" s="100">
        <v>720.54742135490608</v>
      </c>
      <c r="CN77" s="100">
        <v>8.5569031301896015</v>
      </c>
      <c r="CO77" s="100">
        <v>2382.241831444785</v>
      </c>
      <c r="CP77" s="100">
        <v>7</v>
      </c>
      <c r="CQ77" s="100">
        <v>1948.7999999999997</v>
      </c>
      <c r="CR77" s="100">
        <v>6.4426876933286108</v>
      </c>
      <c r="CS77" s="100">
        <v>1793.6442538226852</v>
      </c>
      <c r="CT77" s="100">
        <v>6</v>
      </c>
      <c r="CU77" s="100">
        <v>1670.3999999999999</v>
      </c>
    </row>
    <row r="78" spans="2:99">
      <c r="C78" s="99" t="s">
        <v>244</v>
      </c>
      <c r="D78" s="100">
        <v>6</v>
      </c>
      <c r="E78" s="100">
        <v>3312</v>
      </c>
      <c r="F78" s="100">
        <v>4.8592315903785988</v>
      </c>
      <c r="G78" s="100">
        <v>2682.2958378889866</v>
      </c>
      <c r="H78" s="100">
        <v>3.8861844348077552</v>
      </c>
      <c r="I78" s="100">
        <v>2145.1738080138807</v>
      </c>
      <c r="J78" s="100">
        <v>8</v>
      </c>
      <c r="K78" s="100">
        <v>4416</v>
      </c>
      <c r="L78" s="100">
        <v>7</v>
      </c>
      <c r="M78" s="100">
        <v>3864</v>
      </c>
      <c r="N78" s="100">
        <v>7</v>
      </c>
      <c r="O78" s="100">
        <v>3864</v>
      </c>
      <c r="P78" s="100">
        <v>6</v>
      </c>
      <c r="Q78" s="100">
        <v>3312</v>
      </c>
      <c r="R78" s="100">
        <v>4.3676553747591704</v>
      </c>
      <c r="S78" s="100">
        <v>2410.945766867062</v>
      </c>
      <c r="T78" s="100">
        <v>8</v>
      </c>
      <c r="U78" s="100">
        <v>4416</v>
      </c>
      <c r="V78" s="100">
        <v>3.7615869237974335</v>
      </c>
      <c r="W78" s="100">
        <v>2076.3959819361835</v>
      </c>
      <c r="X78" s="100">
        <v>5.3751025376546062</v>
      </c>
      <c r="Y78" s="100">
        <v>2967.0566007853427</v>
      </c>
      <c r="Z78" s="100">
        <v>5</v>
      </c>
      <c r="AA78" s="100">
        <v>2760</v>
      </c>
      <c r="AB78" s="100">
        <v>7.2955916376360026</v>
      </c>
      <c r="AC78" s="100">
        <v>4027.1665839750735</v>
      </c>
      <c r="AD78" s="100">
        <v>7.4778279094426141</v>
      </c>
      <c r="AE78" s="100">
        <v>4127.7610060123234</v>
      </c>
      <c r="AF78" s="100">
        <v>6.5597468469403246</v>
      </c>
      <c r="AG78" s="100">
        <v>3620.9802595110591</v>
      </c>
      <c r="AH78" s="100">
        <v>4</v>
      </c>
      <c r="AI78" s="100">
        <v>2208</v>
      </c>
      <c r="AJ78" s="100">
        <v>7.034866708898468</v>
      </c>
      <c r="AK78" s="100">
        <v>3883.2464233119545</v>
      </c>
      <c r="AL78" s="100">
        <v>3.9444094518307322</v>
      </c>
      <c r="AM78" s="100">
        <v>2177.3140174105642</v>
      </c>
      <c r="AN78" s="100">
        <v>3.7083793501882525</v>
      </c>
      <c r="AO78" s="100">
        <v>2047.0254013039153</v>
      </c>
      <c r="AP78" s="100">
        <v>5</v>
      </c>
      <c r="AQ78" s="100">
        <v>2760</v>
      </c>
      <c r="AR78" s="100">
        <v>6</v>
      </c>
      <c r="AS78" s="100">
        <v>3312</v>
      </c>
      <c r="AT78" s="100">
        <v>5.766529853881857</v>
      </c>
      <c r="AU78" s="100">
        <v>3183.124479342785</v>
      </c>
      <c r="AV78" s="100">
        <v>6</v>
      </c>
      <c r="AW78" s="100">
        <v>3312</v>
      </c>
      <c r="AX78" s="100">
        <v>4.6267496576543721</v>
      </c>
      <c r="AY78" s="100">
        <v>2553.9658110252135</v>
      </c>
      <c r="AZ78" s="100">
        <v>5</v>
      </c>
      <c r="BA78" s="100">
        <v>2760</v>
      </c>
      <c r="BB78" s="100">
        <v>5</v>
      </c>
      <c r="BC78" s="100">
        <v>2760</v>
      </c>
      <c r="BD78" s="100">
        <v>3.7709250375535408</v>
      </c>
      <c r="BE78" s="100">
        <v>2081.5506207295543</v>
      </c>
      <c r="BF78" s="100">
        <v>5.794302983731165</v>
      </c>
      <c r="BG78" s="100">
        <v>3198.4552470196031</v>
      </c>
      <c r="BH78" s="100">
        <v>3.8859654740853946</v>
      </c>
      <c r="BI78" s="100">
        <v>2145.0529416951376</v>
      </c>
      <c r="BJ78" s="100">
        <v>3.617067622489436</v>
      </c>
      <c r="BK78" s="100">
        <v>1996.6213276141686</v>
      </c>
      <c r="BL78" s="100">
        <v>6.5793010518585859</v>
      </c>
      <c r="BM78" s="100">
        <v>3631.7741806259396</v>
      </c>
      <c r="BN78" s="100">
        <v>5</v>
      </c>
      <c r="BO78" s="100">
        <v>2760</v>
      </c>
      <c r="BP78" s="100">
        <v>5</v>
      </c>
      <c r="BQ78" s="100">
        <v>2760</v>
      </c>
      <c r="BR78" s="100">
        <v>3.2316923365652213</v>
      </c>
      <c r="BS78" s="100">
        <v>1783.8941697840021</v>
      </c>
      <c r="BT78" s="100">
        <v>8.9707668294938916</v>
      </c>
      <c r="BU78" s="100">
        <v>4951.8632898806281</v>
      </c>
      <c r="BV78" s="100">
        <v>5.1219941133643641</v>
      </c>
      <c r="BW78" s="100">
        <v>2827.3407505771288</v>
      </c>
      <c r="BX78" s="100">
        <v>3.5735098675075836</v>
      </c>
      <c r="BY78" s="100">
        <v>1972.5774468641862</v>
      </c>
      <c r="BZ78" s="100">
        <v>6.2441340305439814</v>
      </c>
      <c r="CA78" s="100">
        <v>3446.7619848602776</v>
      </c>
      <c r="CB78" s="100">
        <v>8.4102968885778804</v>
      </c>
      <c r="CC78" s="100">
        <v>4642.4838824949902</v>
      </c>
      <c r="CD78" s="100">
        <v>4.1201237523866827E-4</v>
      </c>
      <c r="CE78" s="100">
        <v>0.22743083113174489</v>
      </c>
      <c r="CF78" s="100">
        <v>5.0002453108072666</v>
      </c>
      <c r="CG78" s="100">
        <v>2760.1354115656113</v>
      </c>
      <c r="CH78" s="100">
        <v>8</v>
      </c>
      <c r="CI78" s="100">
        <v>4416</v>
      </c>
      <c r="CJ78" s="100">
        <v>8</v>
      </c>
      <c r="CK78" s="100">
        <v>4416</v>
      </c>
      <c r="CL78" s="100">
        <v>2.9116948600009676</v>
      </c>
      <c r="CM78" s="100">
        <v>1607.255562720534</v>
      </c>
      <c r="CN78" s="100">
        <v>6.8455225041516812</v>
      </c>
      <c r="CO78" s="100">
        <v>3778.7284222917278</v>
      </c>
      <c r="CP78" s="100">
        <v>6</v>
      </c>
      <c r="CQ78" s="100">
        <v>3312</v>
      </c>
      <c r="CR78" s="100">
        <v>6.4426876933286108</v>
      </c>
      <c r="CS78" s="100">
        <v>3556.3636067173929</v>
      </c>
      <c r="CT78" s="100">
        <v>6</v>
      </c>
      <c r="CU78" s="100">
        <v>3312</v>
      </c>
    </row>
    <row r="79" spans="2:99">
      <c r="C79" s="99" t="s">
        <v>245</v>
      </c>
      <c r="D79" s="100">
        <v>6</v>
      </c>
      <c r="E79" s="100">
        <v>4543.2</v>
      </c>
      <c r="F79" s="100">
        <v>4.8592315903785988</v>
      </c>
      <c r="G79" s="100">
        <v>3679.4101602346745</v>
      </c>
      <c r="H79" s="100">
        <v>3.8861844348077552</v>
      </c>
      <c r="I79" s="100">
        <v>2942.6188540364319</v>
      </c>
      <c r="J79" s="100">
        <v>8</v>
      </c>
      <c r="K79" s="100">
        <v>6057.5999999999995</v>
      </c>
      <c r="L79" s="100">
        <v>7</v>
      </c>
      <c r="M79" s="100">
        <v>5300.4</v>
      </c>
      <c r="N79" s="100">
        <v>7</v>
      </c>
      <c r="O79" s="100">
        <v>5300.4</v>
      </c>
      <c r="P79" s="100">
        <v>5</v>
      </c>
      <c r="Q79" s="100">
        <v>3785.9999999999995</v>
      </c>
      <c r="R79" s="100">
        <v>4.9916061425819089</v>
      </c>
      <c r="S79" s="100">
        <v>3779.6441711630209</v>
      </c>
      <c r="T79" s="100">
        <v>7</v>
      </c>
      <c r="U79" s="100">
        <v>5300.4</v>
      </c>
      <c r="V79" s="100">
        <v>3.7615869237974335</v>
      </c>
      <c r="W79" s="100">
        <v>2848.2736186994166</v>
      </c>
      <c r="X79" s="100">
        <v>5.3751025376546062</v>
      </c>
      <c r="Y79" s="100">
        <v>4070.0276415120675</v>
      </c>
      <c r="Z79" s="100">
        <v>5</v>
      </c>
      <c r="AA79" s="100">
        <v>3785.9999999999995</v>
      </c>
      <c r="AB79" s="100">
        <v>6.5660324738724025</v>
      </c>
      <c r="AC79" s="100">
        <v>4971.7997892161829</v>
      </c>
      <c r="AD79" s="100">
        <v>7.4778279094426141</v>
      </c>
      <c r="AE79" s="100">
        <v>5662.2112930299472</v>
      </c>
      <c r="AF79" s="100">
        <v>5.6226401545202789</v>
      </c>
      <c r="AG79" s="100">
        <v>4257.4631250027551</v>
      </c>
      <c r="AH79" s="100">
        <v>5</v>
      </c>
      <c r="AI79" s="100">
        <v>3785.9999999999995</v>
      </c>
      <c r="AJ79" s="100">
        <v>6.1555083702861602</v>
      </c>
      <c r="AK79" s="100">
        <v>4660.9509379806805</v>
      </c>
      <c r="AL79" s="100">
        <v>3.9444094518307322</v>
      </c>
      <c r="AM79" s="100">
        <v>2986.7068369262302</v>
      </c>
      <c r="AN79" s="100">
        <v>3.1786108715899308</v>
      </c>
      <c r="AO79" s="100">
        <v>2406.8441519678954</v>
      </c>
      <c r="AP79" s="100">
        <v>4</v>
      </c>
      <c r="AQ79" s="100">
        <v>3028.7999999999997</v>
      </c>
      <c r="AR79" s="100">
        <v>6</v>
      </c>
      <c r="AS79" s="100">
        <v>4543.2</v>
      </c>
      <c r="AT79" s="100">
        <v>5.766529853881857</v>
      </c>
      <c r="AU79" s="100">
        <v>4366.4164053593413</v>
      </c>
      <c r="AV79" s="100">
        <v>6</v>
      </c>
      <c r="AW79" s="100">
        <v>4543.2</v>
      </c>
      <c r="AX79" s="100">
        <v>4.0484059504475756</v>
      </c>
      <c r="AY79" s="100">
        <v>3065.452985678904</v>
      </c>
      <c r="AZ79" s="100">
        <v>5</v>
      </c>
      <c r="BA79" s="100">
        <v>3785.9999999999995</v>
      </c>
      <c r="BB79" s="100">
        <v>5</v>
      </c>
      <c r="BC79" s="100">
        <v>3785.9999999999995</v>
      </c>
      <c r="BD79" s="100">
        <v>4.525110045064249</v>
      </c>
      <c r="BE79" s="100">
        <v>3426.4133261226489</v>
      </c>
      <c r="BF79" s="100">
        <v>5.794302983731165</v>
      </c>
      <c r="BG79" s="100">
        <v>4387.446219281238</v>
      </c>
      <c r="BH79" s="100">
        <v>3.4076756317597132</v>
      </c>
      <c r="BI79" s="100">
        <v>2580.2919883684544</v>
      </c>
      <c r="BJ79" s="100">
        <v>3.6934567892585135</v>
      </c>
      <c r="BK79" s="100">
        <v>2796.6854808265462</v>
      </c>
      <c r="BL79" s="100">
        <v>6.4344757888939395</v>
      </c>
      <c r="BM79" s="100">
        <v>4872.1850673504905</v>
      </c>
      <c r="BN79" s="100">
        <v>5</v>
      </c>
      <c r="BO79" s="100">
        <v>3785.9999999999995</v>
      </c>
      <c r="BP79" s="100">
        <v>6</v>
      </c>
      <c r="BQ79" s="100">
        <v>4543.2</v>
      </c>
      <c r="BR79" s="100">
        <v>3.7703077259927582</v>
      </c>
      <c r="BS79" s="100">
        <v>2854.8770101217165</v>
      </c>
      <c r="BT79" s="100">
        <v>7.1927931112729899</v>
      </c>
      <c r="BU79" s="100">
        <v>5446.3829438559078</v>
      </c>
      <c r="BV79" s="100">
        <v>5.1219941133643641</v>
      </c>
      <c r="BW79" s="100">
        <v>3878.3739426394959</v>
      </c>
      <c r="BX79" s="100">
        <v>4.0201986009460313</v>
      </c>
      <c r="BY79" s="100">
        <v>3044.0943806363348</v>
      </c>
      <c r="BZ79" s="100">
        <v>5.2441340305439814</v>
      </c>
      <c r="CA79" s="100">
        <v>3970.8582879279024</v>
      </c>
      <c r="CB79" s="100">
        <v>8.4102968885778804</v>
      </c>
      <c r="CC79" s="100">
        <v>6368.2768040311703</v>
      </c>
      <c r="CD79" s="100">
        <v>4.8835648757407694E-4</v>
      </c>
      <c r="CE79" s="100">
        <v>0.36978353239109102</v>
      </c>
      <c r="CF79" s="100">
        <v>5.0002453108072666</v>
      </c>
      <c r="CG79" s="100">
        <v>3786.1857493432622</v>
      </c>
      <c r="CH79" s="100">
        <v>9</v>
      </c>
      <c r="CI79" s="100">
        <v>6814.7999999999993</v>
      </c>
      <c r="CJ79" s="100">
        <v>7</v>
      </c>
      <c r="CK79" s="100">
        <v>5300.4</v>
      </c>
      <c r="CL79" s="100">
        <v>2.9116948600009676</v>
      </c>
      <c r="CM79" s="100">
        <v>2204.7353479927324</v>
      </c>
      <c r="CN79" s="100">
        <v>7.7012128171706404</v>
      </c>
      <c r="CO79" s="100">
        <v>5831.3583451616087</v>
      </c>
      <c r="CP79" s="100">
        <v>7</v>
      </c>
      <c r="CQ79" s="100">
        <v>5300.4</v>
      </c>
      <c r="CR79" s="100">
        <v>6.4426876933286108</v>
      </c>
      <c r="CS79" s="100">
        <v>4878.4031213884236</v>
      </c>
      <c r="CT79" s="100">
        <v>5</v>
      </c>
      <c r="CU79" s="100">
        <v>3785.9999999999995</v>
      </c>
    </row>
    <row r="80" spans="2:99">
      <c r="C80" s="99" t="s">
        <v>246</v>
      </c>
      <c r="D80" s="100">
        <v>5</v>
      </c>
      <c r="E80" s="100">
        <v>4025.9999999999995</v>
      </c>
      <c r="F80" s="100">
        <v>4.8592315903785988</v>
      </c>
      <c r="G80" s="100">
        <v>3912.6532765728475</v>
      </c>
      <c r="H80" s="100">
        <v>3.2384870290064627</v>
      </c>
      <c r="I80" s="100">
        <v>2607.6297557560033</v>
      </c>
      <c r="J80" s="100">
        <v>7</v>
      </c>
      <c r="K80" s="100">
        <v>5636.4</v>
      </c>
      <c r="L80" s="100">
        <v>6</v>
      </c>
      <c r="M80" s="100">
        <v>4831.2</v>
      </c>
      <c r="N80" s="100">
        <v>7</v>
      </c>
      <c r="O80" s="100">
        <v>5636.4</v>
      </c>
      <c r="P80" s="100">
        <v>5</v>
      </c>
      <c r="Q80" s="100">
        <v>4025.9999999999995</v>
      </c>
      <c r="R80" s="100">
        <v>4.9916061425819089</v>
      </c>
      <c r="S80" s="100">
        <v>4019.2412660069526</v>
      </c>
      <c r="T80" s="100">
        <v>7</v>
      </c>
      <c r="U80" s="100">
        <v>5636.4</v>
      </c>
      <c r="V80" s="100">
        <v>4.3885180777636723</v>
      </c>
      <c r="W80" s="100">
        <v>3533.6347562153087</v>
      </c>
      <c r="X80" s="100">
        <v>6.0469903548614319</v>
      </c>
      <c r="Y80" s="100">
        <v>4869.0366337344249</v>
      </c>
      <c r="Z80" s="100">
        <v>4</v>
      </c>
      <c r="AA80" s="100">
        <v>3220.7999999999997</v>
      </c>
      <c r="AB80" s="100">
        <v>5.8364733101088015</v>
      </c>
      <c r="AC80" s="100">
        <v>4699.5283092996069</v>
      </c>
      <c r="AD80" s="100">
        <v>8.4125563981229412</v>
      </c>
      <c r="AE80" s="100">
        <v>6773.7904117685921</v>
      </c>
      <c r="AF80" s="100">
        <v>6.5597468469403246</v>
      </c>
      <c r="AG80" s="100">
        <v>5281.9081611563488</v>
      </c>
      <c r="AH80" s="100">
        <v>5</v>
      </c>
      <c r="AI80" s="100">
        <v>4025.9999999999995</v>
      </c>
      <c r="AJ80" s="100">
        <v>5.2761500316738514</v>
      </c>
      <c r="AK80" s="100">
        <v>4248.3560055037851</v>
      </c>
      <c r="AL80" s="100">
        <v>3.9444094518307322</v>
      </c>
      <c r="AM80" s="100">
        <v>3176.0384906141053</v>
      </c>
      <c r="AN80" s="100">
        <v>3.1786108715899308</v>
      </c>
      <c r="AO80" s="100">
        <v>2559.417473804212</v>
      </c>
      <c r="AP80" s="100">
        <v>5</v>
      </c>
      <c r="AQ80" s="100">
        <v>4025.9999999999995</v>
      </c>
      <c r="AR80" s="100">
        <v>7</v>
      </c>
      <c r="AS80" s="100">
        <v>5636.4</v>
      </c>
      <c r="AT80" s="100">
        <v>5.766529853881857</v>
      </c>
      <c r="AU80" s="100">
        <v>4643.2098383456705</v>
      </c>
      <c r="AV80" s="100">
        <v>6</v>
      </c>
      <c r="AW80" s="100">
        <v>4831.2</v>
      </c>
      <c r="AX80" s="100">
        <v>4.6267496576543721</v>
      </c>
      <c r="AY80" s="100">
        <v>3725.4588243433</v>
      </c>
      <c r="AZ80" s="100">
        <v>5</v>
      </c>
      <c r="BA80" s="100">
        <v>4025.9999999999995</v>
      </c>
      <c r="BB80" s="100">
        <v>5</v>
      </c>
      <c r="BC80" s="100">
        <v>4025.9999999999995</v>
      </c>
      <c r="BD80" s="100">
        <v>4.525110045064249</v>
      </c>
      <c r="BE80" s="100">
        <v>3643.618608285733</v>
      </c>
      <c r="BF80" s="100">
        <v>5.794302983731165</v>
      </c>
      <c r="BG80" s="100">
        <v>4665.5727625003337</v>
      </c>
      <c r="BH80" s="100">
        <v>3.8859654740853946</v>
      </c>
      <c r="BI80" s="100">
        <v>3128.9793997335596</v>
      </c>
      <c r="BJ80" s="100">
        <v>3.617067622489436</v>
      </c>
      <c r="BK80" s="100">
        <v>2912.4628496284936</v>
      </c>
      <c r="BL80" s="100">
        <v>5.4344757888939395</v>
      </c>
      <c r="BM80" s="100">
        <v>4375.8399052174</v>
      </c>
      <c r="BN80" s="100">
        <v>5</v>
      </c>
      <c r="BO80" s="100">
        <v>4025.9999999999995</v>
      </c>
      <c r="BP80" s="100">
        <v>6</v>
      </c>
      <c r="BQ80" s="100">
        <v>4831.2</v>
      </c>
      <c r="BR80" s="100">
        <v>3.7703077259927582</v>
      </c>
      <c r="BS80" s="100">
        <v>3035.8517809693685</v>
      </c>
      <c r="BT80" s="100">
        <v>8.0817799703834403</v>
      </c>
      <c r="BU80" s="100">
        <v>6507.4492321527459</v>
      </c>
      <c r="BV80" s="100">
        <v>5.8537075581307016</v>
      </c>
      <c r="BW80" s="100">
        <v>4713.4053258068407</v>
      </c>
      <c r="BX80" s="100">
        <v>3.5735098675075836</v>
      </c>
      <c r="BY80" s="100">
        <v>2877.3901453171061</v>
      </c>
      <c r="BZ80" s="100">
        <v>5.3051675381799761</v>
      </c>
      <c r="CA80" s="100">
        <v>4271.7209017425166</v>
      </c>
      <c r="CB80" s="100">
        <v>8.4102968885778804</v>
      </c>
      <c r="CC80" s="100">
        <v>6771.9710546829083</v>
      </c>
      <c r="CD80" s="100">
        <v>4.1201237523866827E-4</v>
      </c>
      <c r="CE80" s="100">
        <v>0.33175236454217566</v>
      </c>
      <c r="CF80" s="100">
        <v>5.0002453108072666</v>
      </c>
      <c r="CG80" s="100">
        <v>4026.1975242620106</v>
      </c>
      <c r="CH80" s="100">
        <v>9</v>
      </c>
      <c r="CI80" s="100">
        <v>7246.7999999999993</v>
      </c>
      <c r="CJ80" s="100">
        <v>8</v>
      </c>
      <c r="CK80" s="100">
        <v>6441.5999999999995</v>
      </c>
      <c r="CL80" s="100">
        <v>2.9116948600009676</v>
      </c>
      <c r="CM80" s="100">
        <v>2344.4967012727789</v>
      </c>
      <c r="CN80" s="100">
        <v>6.8455225041516812</v>
      </c>
      <c r="CO80" s="100">
        <v>5512.0147203429333</v>
      </c>
      <c r="CP80" s="100">
        <v>6</v>
      </c>
      <c r="CQ80" s="100">
        <v>4831.2</v>
      </c>
      <c r="CR80" s="100">
        <v>7.1585418814762338</v>
      </c>
      <c r="CS80" s="100">
        <v>5764.0579229646628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5</v>
      </c>
      <c r="E81" s="100">
        <v>3768</v>
      </c>
      <c r="F81" s="100">
        <v>4.8592315903785988</v>
      </c>
      <c r="G81" s="100">
        <v>3661.9169265093119</v>
      </c>
      <c r="H81" s="100">
        <v>3.2384870290064627</v>
      </c>
      <c r="I81" s="100">
        <v>2440.5238250592702</v>
      </c>
      <c r="J81" s="100">
        <v>7</v>
      </c>
      <c r="K81" s="100">
        <v>5275.2</v>
      </c>
      <c r="L81" s="100">
        <v>7</v>
      </c>
      <c r="M81" s="100">
        <v>5275.2</v>
      </c>
      <c r="N81" s="100">
        <v>7</v>
      </c>
      <c r="O81" s="100">
        <v>5275.2</v>
      </c>
      <c r="P81" s="100">
        <v>5</v>
      </c>
      <c r="Q81" s="100">
        <v>3768</v>
      </c>
      <c r="R81" s="100">
        <v>4.3676553747591704</v>
      </c>
      <c r="S81" s="100">
        <v>3291.465090418511</v>
      </c>
      <c r="T81" s="100">
        <v>8</v>
      </c>
      <c r="U81" s="100">
        <v>6028.8</v>
      </c>
      <c r="V81" s="100">
        <v>3.7615869237974335</v>
      </c>
      <c r="W81" s="100">
        <v>2834.7319057737459</v>
      </c>
      <c r="X81" s="100">
        <v>5.3751025376546062</v>
      </c>
      <c r="Y81" s="100">
        <v>4050.6772723765112</v>
      </c>
      <c r="Z81" s="100">
        <v>4</v>
      </c>
      <c r="AA81" s="100">
        <v>3014.4</v>
      </c>
      <c r="AB81" s="100">
        <v>6.5660324738724025</v>
      </c>
      <c r="AC81" s="100">
        <v>4948.1620723102424</v>
      </c>
      <c r="AD81" s="100">
        <v>7.4778279094426141</v>
      </c>
      <c r="AE81" s="100">
        <v>5635.291112555954</v>
      </c>
      <c r="AF81" s="100">
        <v>5.6226401545202789</v>
      </c>
      <c r="AG81" s="100">
        <v>4237.2216204464821</v>
      </c>
      <c r="AH81" s="100">
        <v>5</v>
      </c>
      <c r="AI81" s="100">
        <v>3768</v>
      </c>
      <c r="AJ81" s="100">
        <v>6.1555083702861602</v>
      </c>
      <c r="AK81" s="100">
        <v>4638.79110784765</v>
      </c>
      <c r="AL81" s="100">
        <v>3.9444094518307322</v>
      </c>
      <c r="AM81" s="100">
        <v>2972.5069628996398</v>
      </c>
      <c r="AN81" s="100">
        <v>3.7083793501882525</v>
      </c>
      <c r="AO81" s="100">
        <v>2794.6346783018671</v>
      </c>
      <c r="AP81" s="100">
        <v>5</v>
      </c>
      <c r="AQ81" s="100">
        <v>3768</v>
      </c>
      <c r="AR81" s="100">
        <v>6</v>
      </c>
      <c r="AS81" s="100">
        <v>4521.6000000000004</v>
      </c>
      <c r="AT81" s="100">
        <v>6.4072553932020631</v>
      </c>
      <c r="AU81" s="100">
        <v>4828.5076643170751</v>
      </c>
      <c r="AV81" s="100">
        <v>5</v>
      </c>
      <c r="AW81" s="100">
        <v>3768</v>
      </c>
      <c r="AX81" s="100">
        <v>4.6267496576543721</v>
      </c>
      <c r="AY81" s="100">
        <v>3486.7185420083347</v>
      </c>
      <c r="AZ81" s="100">
        <v>5</v>
      </c>
      <c r="BA81" s="100">
        <v>3768</v>
      </c>
      <c r="BB81" s="100">
        <v>5</v>
      </c>
      <c r="BC81" s="100">
        <v>3768</v>
      </c>
      <c r="BD81" s="100">
        <v>3.7709250375535408</v>
      </c>
      <c r="BE81" s="100">
        <v>2841.7691083003483</v>
      </c>
      <c r="BF81" s="100">
        <v>6.5461917427543916</v>
      </c>
      <c r="BG81" s="100">
        <v>4933.21009733971</v>
      </c>
      <c r="BH81" s="100">
        <v>3.9008771579553807</v>
      </c>
      <c r="BI81" s="100">
        <v>2939.701026235175</v>
      </c>
      <c r="BJ81" s="100">
        <v>3.6134623400168016</v>
      </c>
      <c r="BK81" s="100">
        <v>2723.1052194366616</v>
      </c>
      <c r="BL81" s="100">
        <v>5.5793010518585859</v>
      </c>
      <c r="BM81" s="100">
        <v>4204.5612726806303</v>
      </c>
      <c r="BN81" s="100">
        <v>5</v>
      </c>
      <c r="BO81" s="100">
        <v>3768</v>
      </c>
      <c r="BP81" s="100">
        <v>5</v>
      </c>
      <c r="BQ81" s="100">
        <v>3768</v>
      </c>
      <c r="BR81" s="100">
        <v>3.7703077259927582</v>
      </c>
      <c r="BS81" s="100">
        <v>2841.3039023081428</v>
      </c>
      <c r="BT81" s="100">
        <v>8.0817799703834403</v>
      </c>
      <c r="BU81" s="100">
        <v>6090.4293856809609</v>
      </c>
      <c r="BV81" s="100">
        <v>5.8537075581307016</v>
      </c>
      <c r="BW81" s="100">
        <v>4411.3540158072965</v>
      </c>
      <c r="BX81" s="100">
        <v>4.466887334384479</v>
      </c>
      <c r="BY81" s="100">
        <v>3366.2462951921434</v>
      </c>
      <c r="BZ81" s="100">
        <v>6.3051675381799761</v>
      </c>
      <c r="CA81" s="100">
        <v>4751.5742567724301</v>
      </c>
      <c r="CB81" s="100">
        <v>9.4798151600752742</v>
      </c>
      <c r="CC81" s="100">
        <v>7143.9887046327267</v>
      </c>
      <c r="CD81" s="100">
        <v>4.9508800169888244E-4</v>
      </c>
      <c r="CE81" s="100">
        <v>0.37309831808027782</v>
      </c>
      <c r="CF81" s="100">
        <v>5.0002044256727221</v>
      </c>
      <c r="CG81" s="100">
        <v>3768.1540551869634</v>
      </c>
      <c r="CH81" s="100">
        <v>9</v>
      </c>
      <c r="CI81" s="100">
        <v>6782.4000000000005</v>
      </c>
      <c r="CJ81" s="100">
        <v>7</v>
      </c>
      <c r="CK81" s="100">
        <v>5275.2</v>
      </c>
      <c r="CL81" s="100">
        <v>2.9116948600009676</v>
      </c>
      <c r="CM81" s="100">
        <v>2194.2532464967294</v>
      </c>
      <c r="CN81" s="100">
        <v>8.5569031301896015</v>
      </c>
      <c r="CO81" s="100">
        <v>6448.4821989108841</v>
      </c>
      <c r="CP81" s="100">
        <v>6</v>
      </c>
      <c r="CQ81" s="100">
        <v>4521.6000000000004</v>
      </c>
      <c r="CR81" s="100">
        <v>7.1585418814762338</v>
      </c>
      <c r="CS81" s="100">
        <v>5394.6771618804896</v>
      </c>
      <c r="CT81" s="100">
        <v>6</v>
      </c>
      <c r="CU81" s="100">
        <v>4521.6000000000004</v>
      </c>
    </row>
    <row r="82" spans="2:99">
      <c r="C82" s="99" t="s">
        <v>248</v>
      </c>
      <c r="D82" s="100">
        <v>6</v>
      </c>
      <c r="E82" s="100">
        <v>3052.7999999999993</v>
      </c>
      <c r="F82" s="100">
        <v>5.8310779084543185</v>
      </c>
      <c r="G82" s="100">
        <v>2966.8524398215568</v>
      </c>
      <c r="H82" s="100">
        <v>3.8861844348077552</v>
      </c>
      <c r="I82" s="100">
        <v>1977.2906404301855</v>
      </c>
      <c r="J82" s="100">
        <v>8</v>
      </c>
      <c r="K82" s="100">
        <v>4070.3999999999992</v>
      </c>
      <c r="L82" s="100">
        <v>7</v>
      </c>
      <c r="M82" s="100">
        <v>3561.5999999999995</v>
      </c>
      <c r="N82" s="100">
        <v>7</v>
      </c>
      <c r="O82" s="100">
        <v>3561.5999999999995</v>
      </c>
      <c r="P82" s="100">
        <v>6</v>
      </c>
      <c r="Q82" s="100">
        <v>3052.7999999999993</v>
      </c>
      <c r="R82" s="100">
        <v>4.9916061425819089</v>
      </c>
      <c r="S82" s="100">
        <v>2539.7292053456749</v>
      </c>
      <c r="T82" s="100">
        <v>7</v>
      </c>
      <c r="U82" s="100">
        <v>3561.5999999999995</v>
      </c>
      <c r="V82" s="100">
        <v>3.7615869237974335</v>
      </c>
      <c r="W82" s="100">
        <v>1913.8954268281338</v>
      </c>
      <c r="X82" s="100">
        <v>6.0469903548614319</v>
      </c>
      <c r="Y82" s="100">
        <v>3076.7086925534959</v>
      </c>
      <c r="Z82" s="100">
        <v>4</v>
      </c>
      <c r="AA82" s="100">
        <v>2035.1999999999996</v>
      </c>
      <c r="AB82" s="100">
        <v>6.5660324738724025</v>
      </c>
      <c r="AC82" s="100">
        <v>3340.7973227062776</v>
      </c>
      <c r="AD82" s="100">
        <v>8.4125563981229412</v>
      </c>
      <c r="AE82" s="100">
        <v>4280.3086953649517</v>
      </c>
      <c r="AF82" s="100">
        <v>5.6226401545202789</v>
      </c>
      <c r="AG82" s="100">
        <v>2860.7993106199174</v>
      </c>
      <c r="AH82" s="100">
        <v>4</v>
      </c>
      <c r="AI82" s="100">
        <v>2035.1999999999996</v>
      </c>
      <c r="AJ82" s="100">
        <v>6.1555083702861602</v>
      </c>
      <c r="AK82" s="100">
        <v>3131.9226588015977</v>
      </c>
      <c r="AL82" s="100">
        <v>3.9444094518307322</v>
      </c>
      <c r="AM82" s="100">
        <v>2006.9155290914762</v>
      </c>
      <c r="AN82" s="100">
        <v>3.7083793501882525</v>
      </c>
      <c r="AO82" s="100">
        <v>1886.8234133757826</v>
      </c>
      <c r="AP82" s="100">
        <v>5</v>
      </c>
      <c r="AQ82" s="100">
        <v>2543.9999999999995</v>
      </c>
      <c r="AR82" s="100">
        <v>6</v>
      </c>
      <c r="AS82" s="100">
        <v>3052.7999999999993</v>
      </c>
      <c r="AT82" s="100">
        <v>6.4072553932020631</v>
      </c>
      <c r="AU82" s="100">
        <v>3260.011544061209</v>
      </c>
      <c r="AV82" s="100">
        <v>6</v>
      </c>
      <c r="AW82" s="100">
        <v>3052.7999999999993</v>
      </c>
      <c r="AX82" s="100">
        <v>5.0001223032435256</v>
      </c>
      <c r="AY82" s="100">
        <v>2544.0622278903052</v>
      </c>
      <c r="AZ82" s="100">
        <v>5</v>
      </c>
      <c r="BA82" s="100">
        <v>2543.9999999999995</v>
      </c>
      <c r="BB82" s="100">
        <v>5</v>
      </c>
      <c r="BC82" s="100">
        <v>2543.9999999999995</v>
      </c>
      <c r="BD82" s="100">
        <v>4.525110045064249</v>
      </c>
      <c r="BE82" s="100">
        <v>2302.3759909286896</v>
      </c>
      <c r="BF82" s="100">
        <v>6.5461917427543916</v>
      </c>
      <c r="BG82" s="100">
        <v>3330.702358713434</v>
      </c>
      <c r="BH82" s="100">
        <v>3.8859654740853946</v>
      </c>
      <c r="BI82" s="100">
        <v>1977.1792332146483</v>
      </c>
      <c r="BJ82" s="100">
        <v>4.0128953001974352</v>
      </c>
      <c r="BK82" s="100">
        <v>2041.7611287404545</v>
      </c>
      <c r="BL82" s="100">
        <v>5.5793010518585859</v>
      </c>
      <c r="BM82" s="100">
        <v>2838.748375185648</v>
      </c>
      <c r="BN82" s="100">
        <v>5</v>
      </c>
      <c r="BO82" s="100">
        <v>2543.9999999999995</v>
      </c>
      <c r="BP82" s="100">
        <v>6</v>
      </c>
      <c r="BQ82" s="100">
        <v>3052.7999999999993</v>
      </c>
      <c r="BR82" s="100">
        <v>3.2316923365652213</v>
      </c>
      <c r="BS82" s="100">
        <v>1644.2850608443841</v>
      </c>
      <c r="BT82" s="100">
        <v>8.0817799703834403</v>
      </c>
      <c r="BU82" s="100">
        <v>4112.0096489310936</v>
      </c>
      <c r="BV82" s="100">
        <v>5.8537075581307016</v>
      </c>
      <c r="BW82" s="100">
        <v>2978.3664055769004</v>
      </c>
      <c r="BX82" s="100">
        <v>4.0201986009460313</v>
      </c>
      <c r="BY82" s="100">
        <v>2045.4770481613402</v>
      </c>
      <c r="BZ82" s="100">
        <v>5.3051675381799761</v>
      </c>
      <c r="CA82" s="100">
        <v>2699.2692434259711</v>
      </c>
      <c r="CB82" s="100">
        <v>10.403484148171401</v>
      </c>
      <c r="CC82" s="100">
        <v>5293.2927345896078</v>
      </c>
      <c r="CD82" s="100">
        <v>4.1201237523866827E-4</v>
      </c>
      <c r="CE82" s="100">
        <v>0.20963189652143438</v>
      </c>
      <c r="CF82" s="100">
        <v>5.0002453108072666</v>
      </c>
      <c r="CG82" s="100">
        <v>2544.1248141387368</v>
      </c>
      <c r="CH82" s="100">
        <v>9</v>
      </c>
      <c r="CI82" s="100">
        <v>4579.1999999999989</v>
      </c>
      <c r="CJ82" s="100">
        <v>7</v>
      </c>
      <c r="CK82" s="100">
        <v>3561.5999999999995</v>
      </c>
      <c r="CL82" s="100">
        <v>3.2352165111121862</v>
      </c>
      <c r="CM82" s="100">
        <v>1646.07816085388</v>
      </c>
      <c r="CN82" s="100">
        <v>8.5569031301896015</v>
      </c>
      <c r="CO82" s="100">
        <v>4353.7523126404685</v>
      </c>
      <c r="CP82" s="100">
        <v>6</v>
      </c>
      <c r="CQ82" s="100">
        <v>3052.7999999999993</v>
      </c>
      <c r="CR82" s="100">
        <v>7.1585418814762338</v>
      </c>
      <c r="CS82" s="100">
        <v>3642.2661092951071</v>
      </c>
      <c r="CT82" s="100">
        <v>5</v>
      </c>
      <c r="CU82" s="100">
        <v>2543.9999999999995</v>
      </c>
    </row>
    <row r="83" spans="2:99">
      <c r="C83" s="99" t="s">
        <v>249</v>
      </c>
      <c r="D83" s="100">
        <v>5</v>
      </c>
      <c r="E83" s="100">
        <v>4302</v>
      </c>
      <c r="F83" s="100">
        <v>4.8592315903785988</v>
      </c>
      <c r="G83" s="100">
        <v>4180.8828603617467</v>
      </c>
      <c r="H83" s="100">
        <v>3.8861844348077552</v>
      </c>
      <c r="I83" s="100">
        <v>3343.6730877085924</v>
      </c>
      <c r="J83" s="100">
        <v>7</v>
      </c>
      <c r="K83" s="100">
        <v>6022.8</v>
      </c>
      <c r="L83" s="100">
        <v>7</v>
      </c>
      <c r="M83" s="100">
        <v>6022.8</v>
      </c>
      <c r="N83" s="100">
        <v>7</v>
      </c>
      <c r="O83" s="100">
        <v>6022.8</v>
      </c>
      <c r="P83" s="100">
        <v>5</v>
      </c>
      <c r="Q83" s="100">
        <v>4302</v>
      </c>
      <c r="R83" s="100">
        <v>4.3676553747591704</v>
      </c>
      <c r="S83" s="100">
        <v>3757.9306844427902</v>
      </c>
      <c r="T83" s="100">
        <v>7</v>
      </c>
      <c r="U83" s="100">
        <v>6022.8</v>
      </c>
      <c r="V83" s="100">
        <v>3.7615869237974335</v>
      </c>
      <c r="W83" s="100">
        <v>3236.4693892353116</v>
      </c>
      <c r="X83" s="100">
        <v>5.3751025376546062</v>
      </c>
      <c r="Y83" s="100">
        <v>4624.7382233980234</v>
      </c>
      <c r="Z83" s="100">
        <v>5</v>
      </c>
      <c r="AA83" s="100">
        <v>4302</v>
      </c>
      <c r="AB83" s="100">
        <v>5.8364733101088015</v>
      </c>
      <c r="AC83" s="100">
        <v>5021.7016360176131</v>
      </c>
      <c r="AD83" s="100">
        <v>7.4778279094426141</v>
      </c>
      <c r="AE83" s="100">
        <v>6433.9231332844247</v>
      </c>
      <c r="AF83" s="100">
        <v>5.6226401545202789</v>
      </c>
      <c r="AG83" s="100">
        <v>4837.7195889492477</v>
      </c>
      <c r="AH83" s="100">
        <v>4</v>
      </c>
      <c r="AI83" s="100">
        <v>3441.6</v>
      </c>
      <c r="AJ83" s="100">
        <v>6.1555083702861602</v>
      </c>
      <c r="AK83" s="100">
        <v>5296.1994017942125</v>
      </c>
      <c r="AL83" s="100">
        <v>3.7702197477476638</v>
      </c>
      <c r="AM83" s="100">
        <v>3243.8970709620899</v>
      </c>
      <c r="AN83" s="100">
        <v>3.7083793501882525</v>
      </c>
      <c r="AO83" s="100">
        <v>3190.6895929019724</v>
      </c>
      <c r="AP83" s="100">
        <v>4</v>
      </c>
      <c r="AQ83" s="100">
        <v>3441.6</v>
      </c>
      <c r="AR83" s="100">
        <v>6</v>
      </c>
      <c r="AS83" s="100">
        <v>5162.3999999999996</v>
      </c>
      <c r="AT83" s="100">
        <v>5.766529853881857</v>
      </c>
      <c r="AU83" s="100">
        <v>4961.5222862799501</v>
      </c>
      <c r="AV83" s="100">
        <v>5</v>
      </c>
      <c r="AW83" s="100">
        <v>4302</v>
      </c>
      <c r="AX83" s="100">
        <v>4.6267496576543721</v>
      </c>
      <c r="AY83" s="100">
        <v>3980.8554054458218</v>
      </c>
      <c r="AZ83" s="100">
        <v>5</v>
      </c>
      <c r="BA83" s="100">
        <v>4302</v>
      </c>
      <c r="BB83" s="100">
        <v>5</v>
      </c>
      <c r="BC83" s="100">
        <v>4302</v>
      </c>
      <c r="BD83" s="100">
        <v>4.525110045064249</v>
      </c>
      <c r="BE83" s="100">
        <v>3893.4046827732795</v>
      </c>
      <c r="BF83" s="100">
        <v>6.5461917427543916</v>
      </c>
      <c r="BG83" s="100">
        <v>5632.3433754658781</v>
      </c>
      <c r="BH83" s="100">
        <v>3.8859654740853946</v>
      </c>
      <c r="BI83" s="100">
        <v>3343.4846939030735</v>
      </c>
      <c r="BJ83" s="100">
        <v>4.0128953001974352</v>
      </c>
      <c r="BK83" s="100">
        <v>3452.6951162898731</v>
      </c>
      <c r="BL83" s="100">
        <v>5.5793010518585859</v>
      </c>
      <c r="BM83" s="100">
        <v>4800.4306250191275</v>
      </c>
      <c r="BN83" s="100">
        <v>5</v>
      </c>
      <c r="BO83" s="100">
        <v>4302</v>
      </c>
      <c r="BP83" s="100">
        <v>5</v>
      </c>
      <c r="BQ83" s="100">
        <v>4302</v>
      </c>
      <c r="BR83" s="100">
        <v>3.2316923365652213</v>
      </c>
      <c r="BS83" s="100">
        <v>2780.5480863807161</v>
      </c>
      <c r="BT83" s="100">
        <v>8.0817799703834403</v>
      </c>
      <c r="BU83" s="100">
        <v>6953.5634865179118</v>
      </c>
      <c r="BV83" s="100">
        <v>5.8537075581307016</v>
      </c>
      <c r="BW83" s="100">
        <v>5036.5299830156555</v>
      </c>
      <c r="BX83" s="100">
        <v>4.0201986009460313</v>
      </c>
      <c r="BY83" s="100">
        <v>3458.9788762539652</v>
      </c>
      <c r="BZ83" s="100">
        <v>6.3051675381799761</v>
      </c>
      <c r="CA83" s="100">
        <v>5424.9661498500509</v>
      </c>
      <c r="CB83" s="100">
        <v>9.4068905183746416</v>
      </c>
      <c r="CC83" s="100">
        <v>8093.6886020095417</v>
      </c>
      <c r="CD83" s="100">
        <v>4.9172224463647969E-4</v>
      </c>
      <c r="CE83" s="100">
        <v>0.42307781928522709</v>
      </c>
      <c r="CF83" s="100">
        <v>5.0002044256727221</v>
      </c>
      <c r="CG83" s="100">
        <v>4302.1758878488099</v>
      </c>
      <c r="CH83" s="100">
        <v>7</v>
      </c>
      <c r="CI83" s="100">
        <v>6022.8</v>
      </c>
      <c r="CJ83" s="100">
        <v>8</v>
      </c>
      <c r="CK83" s="100">
        <v>6883.2</v>
      </c>
      <c r="CL83" s="100">
        <v>2.9116948600009676</v>
      </c>
      <c r="CM83" s="100">
        <v>2505.2222575448322</v>
      </c>
      <c r="CN83" s="100">
        <v>7.7012128171706404</v>
      </c>
      <c r="CO83" s="100">
        <v>6626.1235078936188</v>
      </c>
      <c r="CP83" s="100">
        <v>7</v>
      </c>
      <c r="CQ83" s="100">
        <v>6022.8</v>
      </c>
      <c r="CR83" s="100">
        <v>7.1585418814762338</v>
      </c>
      <c r="CS83" s="100">
        <v>6159.2094348221517</v>
      </c>
      <c r="CT83" s="100">
        <v>5</v>
      </c>
      <c r="CU83" s="100">
        <v>4302</v>
      </c>
    </row>
    <row r="84" spans="2:99">
      <c r="C84" s="99" t="s">
        <v>250</v>
      </c>
      <c r="D84" s="100">
        <v>5</v>
      </c>
      <c r="E84" s="100">
        <v>3905.9999999999995</v>
      </c>
      <c r="F84" s="100">
        <v>4.8592315903785988</v>
      </c>
      <c r="G84" s="100">
        <v>3796.0317184037608</v>
      </c>
      <c r="H84" s="100">
        <v>3.8861844348077552</v>
      </c>
      <c r="I84" s="100">
        <v>3035.887280471818</v>
      </c>
      <c r="J84" s="100">
        <v>8</v>
      </c>
      <c r="K84" s="100">
        <v>6249.5999999999995</v>
      </c>
      <c r="L84" s="100">
        <v>7</v>
      </c>
      <c r="M84" s="100">
        <v>5468.4</v>
      </c>
      <c r="N84" s="100">
        <v>7</v>
      </c>
      <c r="O84" s="100">
        <v>5468.4</v>
      </c>
      <c r="P84" s="100">
        <v>5</v>
      </c>
      <c r="Q84" s="100">
        <v>3905.9999999999995</v>
      </c>
      <c r="R84" s="100">
        <v>4.9916061425819089</v>
      </c>
      <c r="S84" s="100">
        <v>3899.4427185849868</v>
      </c>
      <c r="T84" s="100">
        <v>8</v>
      </c>
      <c r="U84" s="100">
        <v>6249.5999999999995</v>
      </c>
      <c r="V84" s="100">
        <v>3.7615869237974335</v>
      </c>
      <c r="W84" s="100">
        <v>2938.5517048705547</v>
      </c>
      <c r="X84" s="100">
        <v>6.0469903548614319</v>
      </c>
      <c r="Y84" s="100">
        <v>4723.9088652177497</v>
      </c>
      <c r="Z84" s="100">
        <v>5</v>
      </c>
      <c r="AA84" s="100">
        <v>3905.9999999999995</v>
      </c>
      <c r="AB84" s="100">
        <v>5.8364733101088015</v>
      </c>
      <c r="AC84" s="100">
        <v>4559.4529498569955</v>
      </c>
      <c r="AD84" s="100">
        <v>8.4125563981229412</v>
      </c>
      <c r="AE84" s="100">
        <v>6571.889058213641</v>
      </c>
      <c r="AF84" s="100">
        <v>5.6226401545202789</v>
      </c>
      <c r="AG84" s="100">
        <v>4392.4064887112418</v>
      </c>
      <c r="AH84" s="100">
        <v>4</v>
      </c>
      <c r="AI84" s="100">
        <v>3124.7999999999997</v>
      </c>
      <c r="AJ84" s="100">
        <v>6.1555083702861602</v>
      </c>
      <c r="AK84" s="100">
        <v>4808.6831388675482</v>
      </c>
      <c r="AL84" s="100">
        <v>3.4513582703518901</v>
      </c>
      <c r="AM84" s="100">
        <v>2696.2010807988963</v>
      </c>
      <c r="AN84" s="100">
        <v>3.7083793501882525</v>
      </c>
      <c r="AO84" s="100">
        <v>2896.9859483670625</v>
      </c>
      <c r="AP84" s="100">
        <v>5</v>
      </c>
      <c r="AQ84" s="100">
        <v>3905.9999999999995</v>
      </c>
      <c r="AR84" s="100">
        <v>7</v>
      </c>
      <c r="AS84" s="100">
        <v>5468.4</v>
      </c>
      <c r="AT84" s="100">
        <v>5.766529853881857</v>
      </c>
      <c r="AU84" s="100">
        <v>4504.8131218525059</v>
      </c>
      <c r="AV84" s="100">
        <v>5</v>
      </c>
      <c r="AW84" s="100">
        <v>3905.9999999999995</v>
      </c>
      <c r="AX84" s="100">
        <v>4.6267496576543721</v>
      </c>
      <c r="AY84" s="100">
        <v>3614.4168325595952</v>
      </c>
      <c r="AZ84" s="100">
        <v>5</v>
      </c>
      <c r="BA84" s="100">
        <v>3905.9999999999995</v>
      </c>
      <c r="BB84" s="100">
        <v>5</v>
      </c>
      <c r="BC84" s="100">
        <v>3905.9999999999995</v>
      </c>
      <c r="BD84" s="100">
        <v>4.525110045064249</v>
      </c>
      <c r="BE84" s="100">
        <v>3535.0159672041909</v>
      </c>
      <c r="BF84" s="100">
        <v>5.794302983731165</v>
      </c>
      <c r="BG84" s="100">
        <v>4526.5094908907859</v>
      </c>
      <c r="BH84" s="100">
        <v>3.4076756317597132</v>
      </c>
      <c r="BI84" s="100">
        <v>2662.0762035306875</v>
      </c>
      <c r="BJ84" s="100">
        <v>3.2140293798361679</v>
      </c>
      <c r="BK84" s="100">
        <v>2510.799751528014</v>
      </c>
      <c r="BL84" s="100">
        <v>6.5793010518585859</v>
      </c>
      <c r="BM84" s="100">
        <v>5139.7499817119269</v>
      </c>
      <c r="BN84" s="100">
        <v>5</v>
      </c>
      <c r="BO84" s="100">
        <v>3905.9999999999995</v>
      </c>
      <c r="BP84" s="100">
        <v>5</v>
      </c>
      <c r="BQ84" s="100">
        <v>3905.9999999999995</v>
      </c>
      <c r="BR84" s="100">
        <v>3.7703077259927582</v>
      </c>
      <c r="BS84" s="100">
        <v>2945.3643955455423</v>
      </c>
      <c r="BT84" s="100">
        <v>7.1927931112729899</v>
      </c>
      <c r="BU84" s="100">
        <v>5619.0099785264592</v>
      </c>
      <c r="BV84" s="100">
        <v>5.8537075581307016</v>
      </c>
      <c r="BW84" s="100">
        <v>4572.9163444117039</v>
      </c>
      <c r="BX84" s="100">
        <v>3.5735098675075836</v>
      </c>
      <c r="BY84" s="100">
        <v>2791.6259084969242</v>
      </c>
      <c r="BZ84" s="100">
        <v>6.3051675381799761</v>
      </c>
      <c r="CA84" s="100">
        <v>4925.5968808261969</v>
      </c>
      <c r="CB84" s="100">
        <v>8.4102968885778804</v>
      </c>
      <c r="CC84" s="100">
        <v>6570.1239293570397</v>
      </c>
      <c r="CD84" s="100">
        <v>4.8835648757407694E-4</v>
      </c>
      <c r="CE84" s="100">
        <v>0.38150408809286884</v>
      </c>
      <c r="CF84" s="100">
        <v>5.0002453108072666</v>
      </c>
      <c r="CG84" s="100">
        <v>3906.1916368026364</v>
      </c>
      <c r="CH84" s="100">
        <v>9</v>
      </c>
      <c r="CI84" s="100">
        <v>7030.7999999999993</v>
      </c>
      <c r="CJ84" s="100">
        <v>7</v>
      </c>
      <c r="CK84" s="100">
        <v>5468.4</v>
      </c>
      <c r="CL84" s="100">
        <v>2.5881732088897489</v>
      </c>
      <c r="CM84" s="100">
        <v>2021.8809107846716</v>
      </c>
      <c r="CN84" s="100">
        <v>7.7012128171706404</v>
      </c>
      <c r="CO84" s="100">
        <v>6016.1874527737036</v>
      </c>
      <c r="CP84" s="100">
        <v>6</v>
      </c>
      <c r="CQ84" s="100">
        <v>4687.2</v>
      </c>
      <c r="CR84" s="100">
        <v>6.4426876933286108</v>
      </c>
      <c r="CS84" s="100">
        <v>5033.0276260283099</v>
      </c>
      <c r="CT84" s="100">
        <v>5</v>
      </c>
      <c r="CU84" s="100">
        <v>3905.9999999999995</v>
      </c>
    </row>
    <row r="85" spans="2:99">
      <c r="C85" s="99" t="s">
        <v>251</v>
      </c>
      <c r="D85" s="100">
        <v>6</v>
      </c>
      <c r="E85" s="100">
        <v>900</v>
      </c>
      <c r="F85" s="100">
        <v>4.8592315903785988</v>
      </c>
      <c r="G85" s="100">
        <v>728.88473855678978</v>
      </c>
      <c r="H85" s="100">
        <v>3.8861844348077552</v>
      </c>
      <c r="I85" s="100">
        <v>582.92766522116324</v>
      </c>
      <c r="J85" s="100">
        <v>7</v>
      </c>
      <c r="K85" s="100">
        <v>1050</v>
      </c>
      <c r="L85" s="100">
        <v>8</v>
      </c>
      <c r="M85" s="100">
        <v>1200</v>
      </c>
      <c r="N85" s="100">
        <v>7</v>
      </c>
      <c r="O85" s="100">
        <v>1050</v>
      </c>
      <c r="P85" s="100">
        <v>5</v>
      </c>
      <c r="Q85" s="100">
        <v>750</v>
      </c>
      <c r="R85" s="100">
        <v>4.9916061425819089</v>
      </c>
      <c r="S85" s="100">
        <v>748.74092138728633</v>
      </c>
      <c r="T85" s="100">
        <v>7</v>
      </c>
      <c r="U85" s="100">
        <v>1050</v>
      </c>
      <c r="V85" s="100">
        <v>3.7615869237974335</v>
      </c>
      <c r="W85" s="100">
        <v>564.23803856961501</v>
      </c>
      <c r="X85" s="100">
        <v>6.7188781720682575</v>
      </c>
      <c r="Y85" s="100">
        <v>1007.8317258102386</v>
      </c>
      <c r="Z85" s="100">
        <v>5</v>
      </c>
      <c r="AA85" s="100">
        <v>750</v>
      </c>
      <c r="AB85" s="100">
        <v>6.5660324738724025</v>
      </c>
      <c r="AC85" s="100">
        <v>984.9048710808604</v>
      </c>
      <c r="AD85" s="100">
        <v>8.4125563981229412</v>
      </c>
      <c r="AE85" s="100">
        <v>1261.8834597184411</v>
      </c>
      <c r="AF85" s="100">
        <v>5.6226401545202789</v>
      </c>
      <c r="AG85" s="100">
        <v>843.39602317804179</v>
      </c>
      <c r="AH85" s="100">
        <v>5</v>
      </c>
      <c r="AI85" s="100">
        <v>750</v>
      </c>
      <c r="AJ85" s="100">
        <v>6.1555083702861602</v>
      </c>
      <c r="AK85" s="100">
        <v>923.32625554292406</v>
      </c>
      <c r="AL85" s="100">
        <v>3.9444094518307322</v>
      </c>
      <c r="AM85" s="100">
        <v>591.66141777460984</v>
      </c>
      <c r="AN85" s="100">
        <v>3.1786108715899308</v>
      </c>
      <c r="AO85" s="100">
        <v>476.79163073848963</v>
      </c>
      <c r="AP85" s="100">
        <v>5</v>
      </c>
      <c r="AQ85" s="100">
        <v>750</v>
      </c>
      <c r="AR85" s="100">
        <v>6</v>
      </c>
      <c r="AS85" s="100">
        <v>900</v>
      </c>
      <c r="AT85" s="100">
        <v>5.766529853881857</v>
      </c>
      <c r="AU85" s="100">
        <v>864.97947808227855</v>
      </c>
      <c r="AV85" s="100">
        <v>6</v>
      </c>
      <c r="AW85" s="100">
        <v>900</v>
      </c>
      <c r="AX85" s="100">
        <v>4.6267496576543721</v>
      </c>
      <c r="AY85" s="100">
        <v>694.01244864815578</v>
      </c>
      <c r="AZ85" s="100">
        <v>6</v>
      </c>
      <c r="BA85" s="100">
        <v>900</v>
      </c>
      <c r="BB85" s="100">
        <v>5</v>
      </c>
      <c r="BC85" s="100">
        <v>750</v>
      </c>
      <c r="BD85" s="100">
        <v>3.7709250375535408</v>
      </c>
      <c r="BE85" s="100">
        <v>565.63875563303111</v>
      </c>
      <c r="BF85" s="100">
        <v>6.5461917427543916</v>
      </c>
      <c r="BG85" s="100">
        <v>981.92876141315878</v>
      </c>
      <c r="BH85" s="100">
        <v>3.9008771579553807</v>
      </c>
      <c r="BI85" s="100">
        <v>585.13157369330713</v>
      </c>
      <c r="BJ85" s="100">
        <v>4.0165005826700702</v>
      </c>
      <c r="BK85" s="100">
        <v>602.47508740051057</v>
      </c>
      <c r="BL85" s="100">
        <v>6.5793010518585859</v>
      </c>
      <c r="BM85" s="100">
        <v>986.89515777878785</v>
      </c>
      <c r="BN85" s="100">
        <v>5</v>
      </c>
      <c r="BO85" s="100">
        <v>750</v>
      </c>
      <c r="BP85" s="100">
        <v>6</v>
      </c>
      <c r="BQ85" s="100">
        <v>900</v>
      </c>
      <c r="BR85" s="100">
        <v>3.7703077259927582</v>
      </c>
      <c r="BS85" s="100">
        <v>565.54615889891375</v>
      </c>
      <c r="BT85" s="100">
        <v>8.1020045299807855</v>
      </c>
      <c r="BU85" s="100">
        <v>1215.3006794971179</v>
      </c>
      <c r="BV85" s="100">
        <v>6.5854210028970392</v>
      </c>
      <c r="BW85" s="100">
        <v>987.81315043455584</v>
      </c>
      <c r="BX85" s="100">
        <v>4.0201986009460313</v>
      </c>
      <c r="BY85" s="100">
        <v>603.02979014190464</v>
      </c>
      <c r="BZ85" s="100">
        <v>6.2441340305439814</v>
      </c>
      <c r="CA85" s="100">
        <v>936.62010458159716</v>
      </c>
      <c r="CB85" s="100">
        <v>10.476408789872034</v>
      </c>
      <c r="CC85" s="100">
        <v>1571.4613184808049</v>
      </c>
      <c r="CD85" s="100">
        <v>4.9172224463647969E-4</v>
      </c>
      <c r="CE85" s="100">
        <v>7.3758336695471952E-2</v>
      </c>
      <c r="CF85" s="100">
        <v>5.0002453108072666</v>
      </c>
      <c r="CG85" s="100">
        <v>750.03679662109005</v>
      </c>
      <c r="CH85" s="100">
        <v>9</v>
      </c>
      <c r="CI85" s="100">
        <v>1350</v>
      </c>
      <c r="CJ85" s="100">
        <v>7</v>
      </c>
      <c r="CK85" s="100">
        <v>1050</v>
      </c>
      <c r="CL85" s="100">
        <v>3.2352165111121862</v>
      </c>
      <c r="CM85" s="100">
        <v>485.28247666682796</v>
      </c>
      <c r="CN85" s="100">
        <v>7.7012128171706404</v>
      </c>
      <c r="CO85" s="100">
        <v>1155.181922575596</v>
      </c>
      <c r="CP85" s="100">
        <v>7</v>
      </c>
      <c r="CQ85" s="100">
        <v>1050</v>
      </c>
      <c r="CR85" s="100">
        <v>6.4426876933286108</v>
      </c>
      <c r="CS85" s="100">
        <v>966.40315399929159</v>
      </c>
      <c r="CT85" s="100">
        <v>6</v>
      </c>
      <c r="CU85" s="100">
        <v>900</v>
      </c>
    </row>
    <row r="86" spans="2:99">
      <c r="C86" s="99" t="s">
        <v>252</v>
      </c>
      <c r="D86" s="100">
        <v>6</v>
      </c>
      <c r="E86" s="100">
        <v>3240</v>
      </c>
      <c r="F86" s="100">
        <v>5.8310779084543185</v>
      </c>
      <c r="G86" s="100">
        <v>3148.7820705653321</v>
      </c>
      <c r="H86" s="100">
        <v>3.8861844348077552</v>
      </c>
      <c r="I86" s="100">
        <v>2098.5395947961879</v>
      </c>
      <c r="J86" s="100">
        <v>8</v>
      </c>
      <c r="K86" s="100">
        <v>4320</v>
      </c>
      <c r="L86" s="100">
        <v>6</v>
      </c>
      <c r="M86" s="100">
        <v>3240</v>
      </c>
      <c r="N86" s="100">
        <v>6</v>
      </c>
      <c r="O86" s="100">
        <v>3240</v>
      </c>
      <c r="P86" s="100">
        <v>5</v>
      </c>
      <c r="Q86" s="100">
        <v>2700</v>
      </c>
      <c r="R86" s="100">
        <v>4.3676553747591704</v>
      </c>
      <c r="S86" s="100">
        <v>2358.5339023699521</v>
      </c>
      <c r="T86" s="100">
        <v>8</v>
      </c>
      <c r="U86" s="100">
        <v>4320</v>
      </c>
      <c r="V86" s="100">
        <v>4.3885180777636723</v>
      </c>
      <c r="W86" s="100">
        <v>2369.7997619923831</v>
      </c>
      <c r="X86" s="100">
        <v>6.0469903548614319</v>
      </c>
      <c r="Y86" s="100">
        <v>3265.3747916251732</v>
      </c>
      <c r="Z86" s="100">
        <v>5</v>
      </c>
      <c r="AA86" s="100">
        <v>2700</v>
      </c>
      <c r="AB86" s="100">
        <v>6.5660324738724025</v>
      </c>
      <c r="AC86" s="100">
        <v>3545.6575358910973</v>
      </c>
      <c r="AD86" s="100">
        <v>7.4778279094426141</v>
      </c>
      <c r="AE86" s="100">
        <v>4038.0270710990117</v>
      </c>
      <c r="AF86" s="100">
        <v>5.6226401545202789</v>
      </c>
      <c r="AG86" s="100">
        <v>3036.2256834409504</v>
      </c>
      <c r="AH86" s="100">
        <v>4</v>
      </c>
      <c r="AI86" s="100">
        <v>2160</v>
      </c>
      <c r="AJ86" s="100">
        <v>6.1555083702861602</v>
      </c>
      <c r="AK86" s="100">
        <v>3323.9745199545264</v>
      </c>
      <c r="AL86" s="100">
        <v>3.4513582703518901</v>
      </c>
      <c r="AM86" s="100">
        <v>1863.7334659900207</v>
      </c>
      <c r="AN86" s="100">
        <v>3.7083793501882525</v>
      </c>
      <c r="AO86" s="100">
        <v>2002.5248491016564</v>
      </c>
      <c r="AP86" s="100">
        <v>5</v>
      </c>
      <c r="AQ86" s="100">
        <v>2700</v>
      </c>
      <c r="AR86" s="100">
        <v>6</v>
      </c>
      <c r="AS86" s="100">
        <v>3240</v>
      </c>
      <c r="AT86" s="100">
        <v>5.766529853881857</v>
      </c>
      <c r="AU86" s="100">
        <v>3113.9261210962027</v>
      </c>
      <c r="AV86" s="100">
        <v>6</v>
      </c>
      <c r="AW86" s="100">
        <v>3240</v>
      </c>
      <c r="AX86" s="100">
        <v>4.6267496576543721</v>
      </c>
      <c r="AY86" s="100">
        <v>2498.4448151333609</v>
      </c>
      <c r="AZ86" s="100">
        <v>5</v>
      </c>
      <c r="BA86" s="100">
        <v>2700</v>
      </c>
      <c r="BB86" s="100">
        <v>5</v>
      </c>
      <c r="BC86" s="100">
        <v>2700</v>
      </c>
      <c r="BD86" s="100">
        <v>4.525110045064249</v>
      </c>
      <c r="BE86" s="100">
        <v>2443.5594243346945</v>
      </c>
      <c r="BF86" s="100">
        <v>6.5461917427543916</v>
      </c>
      <c r="BG86" s="100">
        <v>3534.9435410873716</v>
      </c>
      <c r="BH86" s="100">
        <v>3.8859654740853946</v>
      </c>
      <c r="BI86" s="100">
        <v>2098.421356006113</v>
      </c>
      <c r="BJ86" s="100">
        <v>3.6134623400168016</v>
      </c>
      <c r="BK86" s="100">
        <v>1951.2696636090729</v>
      </c>
      <c r="BL86" s="100">
        <v>6.4344757888939395</v>
      </c>
      <c r="BM86" s="100">
        <v>3474.6169260027273</v>
      </c>
      <c r="BN86" s="100">
        <v>5</v>
      </c>
      <c r="BO86" s="100">
        <v>2700</v>
      </c>
      <c r="BP86" s="100">
        <v>6</v>
      </c>
      <c r="BQ86" s="100">
        <v>3240</v>
      </c>
      <c r="BR86" s="100">
        <v>3.2316923365652213</v>
      </c>
      <c r="BS86" s="100">
        <v>1745.1138617452195</v>
      </c>
      <c r="BT86" s="100">
        <v>8.0817799703834403</v>
      </c>
      <c r="BU86" s="100">
        <v>4364.1611840070582</v>
      </c>
      <c r="BV86" s="100">
        <v>5.8537075581307016</v>
      </c>
      <c r="BW86" s="100">
        <v>3161.002081390579</v>
      </c>
      <c r="BX86" s="100">
        <v>4.0201986009460313</v>
      </c>
      <c r="BY86" s="100">
        <v>2170.9072445108568</v>
      </c>
      <c r="BZ86" s="100">
        <v>6.3051675381799761</v>
      </c>
      <c r="CA86" s="100">
        <v>3404.7904706171871</v>
      </c>
      <c r="CB86" s="100">
        <v>8.4102968885778804</v>
      </c>
      <c r="CC86" s="100">
        <v>4541.560319832055</v>
      </c>
      <c r="CD86" s="100">
        <v>4.9172224463647969E-4</v>
      </c>
      <c r="CE86" s="100">
        <v>0.26553001210369903</v>
      </c>
      <c r="CF86" s="100">
        <v>5.0002453108072666</v>
      </c>
      <c r="CG86" s="100">
        <v>2700.1324678359238</v>
      </c>
      <c r="CH86" s="100">
        <v>9</v>
      </c>
      <c r="CI86" s="100">
        <v>4860</v>
      </c>
      <c r="CJ86" s="100">
        <v>8</v>
      </c>
      <c r="CK86" s="100">
        <v>4320</v>
      </c>
      <c r="CL86" s="100">
        <v>2.9116948600009676</v>
      </c>
      <c r="CM86" s="100">
        <v>1572.3152244005225</v>
      </c>
      <c r="CN86" s="100">
        <v>7.7012128171706404</v>
      </c>
      <c r="CO86" s="100">
        <v>4158.6549212721457</v>
      </c>
      <c r="CP86" s="100">
        <v>7</v>
      </c>
      <c r="CQ86" s="100">
        <v>3780</v>
      </c>
      <c r="CR86" s="100">
        <v>7.1585418814762338</v>
      </c>
      <c r="CS86" s="100">
        <v>3865.6126159971664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3.7493358766742761</v>
      </c>
      <c r="E87" s="100">
        <v>4026.7867315481726</v>
      </c>
      <c r="F87" s="100">
        <v>5.0963737269102003</v>
      </c>
      <c r="G87" s="100">
        <v>5473.5053827015554</v>
      </c>
      <c r="H87" s="100">
        <v>4.2685632971020731</v>
      </c>
      <c r="I87" s="100">
        <v>4584.436981087626</v>
      </c>
      <c r="J87" s="100">
        <v>5.1800968168778825</v>
      </c>
      <c r="K87" s="100">
        <v>5563.4239813268459</v>
      </c>
      <c r="L87" s="100">
        <v>4.0726051565465786</v>
      </c>
      <c r="M87" s="100">
        <v>4373.9779381310254</v>
      </c>
      <c r="N87" s="100">
        <v>0.25572447112642216</v>
      </c>
      <c r="O87" s="100">
        <v>274.64808198977738</v>
      </c>
      <c r="P87" s="100">
        <v>7.1452402888655406</v>
      </c>
      <c r="Q87" s="100">
        <v>7673.9880702415903</v>
      </c>
      <c r="R87" s="100">
        <v>1.7741489139130369</v>
      </c>
      <c r="S87" s="100">
        <v>1905.4359335426016</v>
      </c>
      <c r="T87" s="100">
        <v>7.1880537172913828</v>
      </c>
      <c r="U87" s="100">
        <v>7719.9696923709453</v>
      </c>
      <c r="V87" s="100">
        <v>1.5812229415415</v>
      </c>
      <c r="W87" s="100">
        <v>1698.233439215571</v>
      </c>
      <c r="X87" s="100">
        <v>8.4810103013392801</v>
      </c>
      <c r="Y87" s="100">
        <v>9108.6050636383861</v>
      </c>
      <c r="Z87" s="100">
        <v>5</v>
      </c>
      <c r="AA87" s="100">
        <v>5370</v>
      </c>
      <c r="AB87" s="100">
        <v>3.9859795345534366</v>
      </c>
      <c r="AC87" s="100">
        <v>4280.9420201103912</v>
      </c>
      <c r="AD87" s="100">
        <v>0.35592710242752967</v>
      </c>
      <c r="AE87" s="100">
        <v>382.26570800716689</v>
      </c>
      <c r="AF87" s="100">
        <v>5.1500095842107054</v>
      </c>
      <c r="AG87" s="100">
        <v>5531.1102934422979</v>
      </c>
      <c r="AH87" s="100">
        <v>7</v>
      </c>
      <c r="AI87" s="100">
        <v>7518</v>
      </c>
      <c r="AJ87" s="100">
        <v>4.017977593403522</v>
      </c>
      <c r="AK87" s="100">
        <v>4315.3079353153826</v>
      </c>
      <c r="AL87" s="100">
        <v>3.0581630428962199</v>
      </c>
      <c r="AM87" s="100">
        <v>3284.4671080705402</v>
      </c>
      <c r="AN87" s="100">
        <v>4.0361838211410879</v>
      </c>
      <c r="AO87" s="100">
        <v>4334.8614239055287</v>
      </c>
      <c r="AP87" s="100">
        <v>3.543197332077562</v>
      </c>
      <c r="AQ87" s="100">
        <v>3805.3939346513016</v>
      </c>
      <c r="AR87" s="100">
        <v>5.7302089812292207</v>
      </c>
      <c r="AS87" s="100">
        <v>6154.2444458401833</v>
      </c>
      <c r="AT87" s="100">
        <v>3.7733457823876653</v>
      </c>
      <c r="AU87" s="100">
        <v>4052.5733702843527</v>
      </c>
      <c r="AV87" s="100">
        <v>5.276576144004852</v>
      </c>
      <c r="AW87" s="100">
        <v>5667.0427786612108</v>
      </c>
      <c r="AX87" s="100">
        <v>4.5669375228949249</v>
      </c>
      <c r="AY87" s="100">
        <v>4904.8908995891497</v>
      </c>
      <c r="AZ87" s="100">
        <v>5.7445563026522475</v>
      </c>
      <c r="BA87" s="100">
        <v>6169.6534690485141</v>
      </c>
      <c r="BB87" s="100">
        <v>0.3594580103547253</v>
      </c>
      <c r="BC87" s="100">
        <v>386.05790312097497</v>
      </c>
      <c r="BD87" s="100">
        <v>4.1800115010528467</v>
      </c>
      <c r="BE87" s="100">
        <v>4489.3323521307575</v>
      </c>
      <c r="BF87" s="100">
        <v>1.7658393381464104</v>
      </c>
      <c r="BG87" s="100">
        <v>1896.5114491692448</v>
      </c>
      <c r="BH87" s="100">
        <v>3.8642237160196879</v>
      </c>
      <c r="BI87" s="100">
        <v>4150.1762710051453</v>
      </c>
      <c r="BJ87" s="100">
        <v>3.2006838226196184</v>
      </c>
      <c r="BK87" s="100">
        <v>3437.5344254934703</v>
      </c>
      <c r="BL87" s="100">
        <v>5.3903743593035154</v>
      </c>
      <c r="BM87" s="100">
        <v>5789.2620618919755</v>
      </c>
      <c r="BN87" s="100">
        <v>0.32951478904435461</v>
      </c>
      <c r="BO87" s="100">
        <v>353.89888343363685</v>
      </c>
      <c r="BP87" s="100">
        <v>6.1616329758844719</v>
      </c>
      <c r="BQ87" s="100">
        <v>6617.5938160999231</v>
      </c>
      <c r="BR87" s="100">
        <v>5</v>
      </c>
      <c r="BS87" s="100">
        <v>5370</v>
      </c>
      <c r="BT87" s="100">
        <v>5.4930118678685673</v>
      </c>
      <c r="BU87" s="100">
        <v>5899.4947460908415</v>
      </c>
      <c r="BV87" s="100">
        <v>3.9370796556643999</v>
      </c>
      <c r="BW87" s="100">
        <v>4228.4235501835656</v>
      </c>
      <c r="BX87" s="100">
        <v>5.7656439969568449</v>
      </c>
      <c r="BY87" s="100">
        <v>6192.3016527316513</v>
      </c>
      <c r="BZ87" s="100">
        <v>0.34105920543228974</v>
      </c>
      <c r="CA87" s="100">
        <v>366.29758663427918</v>
      </c>
      <c r="CB87" s="100">
        <v>6.1773350274456975</v>
      </c>
      <c r="CC87" s="100">
        <v>6634.4578194766791</v>
      </c>
      <c r="CD87" s="100">
        <v>5</v>
      </c>
      <c r="CE87" s="100">
        <v>5370</v>
      </c>
      <c r="CF87" s="100">
        <v>4.6995765335803634</v>
      </c>
      <c r="CG87" s="100">
        <v>5047.3451970653105</v>
      </c>
      <c r="CH87" s="100">
        <v>5.1636059488483497</v>
      </c>
      <c r="CI87" s="100">
        <v>5545.7127890631273</v>
      </c>
      <c r="CJ87" s="100">
        <v>5.5956456899686957</v>
      </c>
      <c r="CK87" s="100">
        <v>6009.7234710263792</v>
      </c>
      <c r="CL87" s="100">
        <v>4.0001361180311532</v>
      </c>
      <c r="CM87" s="100">
        <v>4296.1461907654584</v>
      </c>
      <c r="CN87" s="100">
        <v>5.0766521796328092</v>
      </c>
      <c r="CO87" s="100">
        <v>5452.3244409256367</v>
      </c>
      <c r="CP87" s="100">
        <v>0.33351209682628463</v>
      </c>
      <c r="CQ87" s="100">
        <v>358.19199199142969</v>
      </c>
      <c r="CR87" s="100">
        <v>6.2227008324123299</v>
      </c>
      <c r="CS87" s="100">
        <v>6683.1806940108427</v>
      </c>
      <c r="CT87" s="100">
        <v>1.5471294338858106</v>
      </c>
      <c r="CU87" s="100">
        <v>1661.6170119933606</v>
      </c>
    </row>
    <row r="88" spans="2:99">
      <c r="C88" s="99" t="s">
        <v>254</v>
      </c>
      <c r="D88" s="100">
        <v>3.7467863801450374</v>
      </c>
      <c r="E88" s="100">
        <v>3718.3108036559352</v>
      </c>
      <c r="F88" s="100">
        <v>5.982112106734836</v>
      </c>
      <c r="G88" s="100">
        <v>5936.6480547236515</v>
      </c>
      <c r="H88" s="100">
        <v>4.143416945451972</v>
      </c>
      <c r="I88" s="100">
        <v>4111.9269766665366</v>
      </c>
      <c r="J88" s="100">
        <v>4.59254292622773</v>
      </c>
      <c r="K88" s="100">
        <v>4557.6395999883989</v>
      </c>
      <c r="L88" s="100">
        <v>4.0726051565465786</v>
      </c>
      <c r="M88" s="100">
        <v>4041.6533573568245</v>
      </c>
      <c r="N88" s="100">
        <v>0.31625035538555468</v>
      </c>
      <c r="O88" s="100">
        <v>313.84685268462448</v>
      </c>
      <c r="P88" s="100">
        <v>7.1089302166491555</v>
      </c>
      <c r="Q88" s="100">
        <v>7054.9023470026214</v>
      </c>
      <c r="R88" s="100">
        <v>2.027598758757756</v>
      </c>
      <c r="S88" s="100">
        <v>2012.189008191197</v>
      </c>
      <c r="T88" s="100">
        <v>8.1880537172913819</v>
      </c>
      <c r="U88" s="100">
        <v>8125.8245090399669</v>
      </c>
      <c r="V88" s="100">
        <v>1.5812229415415</v>
      </c>
      <c r="W88" s="100">
        <v>1569.2056471857845</v>
      </c>
      <c r="X88" s="100">
        <v>7.481010301339281</v>
      </c>
      <c r="Y88" s="100">
        <v>7424.1546230491022</v>
      </c>
      <c r="Z88" s="100">
        <v>5</v>
      </c>
      <c r="AA88" s="100">
        <v>4962</v>
      </c>
      <c r="AB88" s="100">
        <v>3.9859795345534366</v>
      </c>
      <c r="AC88" s="100">
        <v>3955.6860900908305</v>
      </c>
      <c r="AD88" s="100">
        <v>0.35801274206627293</v>
      </c>
      <c r="AE88" s="100">
        <v>355.29184522656925</v>
      </c>
      <c r="AF88" s="100">
        <v>5.1500095842107054</v>
      </c>
      <c r="AG88" s="100">
        <v>5110.8695113707035</v>
      </c>
      <c r="AH88" s="100">
        <v>6</v>
      </c>
      <c r="AI88" s="100">
        <v>5954.4</v>
      </c>
      <c r="AJ88" s="100">
        <v>4.0144317360372304</v>
      </c>
      <c r="AK88" s="100">
        <v>3983.9220548433473</v>
      </c>
      <c r="AL88" s="100">
        <v>3.683026878842639</v>
      </c>
      <c r="AM88" s="100">
        <v>3655.0358745634348</v>
      </c>
      <c r="AN88" s="100">
        <v>4.0384621964683349</v>
      </c>
      <c r="AO88" s="100">
        <v>4007.7698837751755</v>
      </c>
      <c r="AP88" s="100">
        <v>3.543197332077562</v>
      </c>
      <c r="AQ88" s="100">
        <v>3516.2690323537727</v>
      </c>
      <c r="AR88" s="100">
        <v>5.1275982578531893</v>
      </c>
      <c r="AS88" s="100">
        <v>5088.628511093505</v>
      </c>
      <c r="AT88" s="100">
        <v>3.893329937176512</v>
      </c>
      <c r="AU88" s="100">
        <v>3863.7406296539702</v>
      </c>
      <c r="AV88" s="100">
        <v>5.2711343864641451</v>
      </c>
      <c r="AW88" s="100">
        <v>5231.0737651270174</v>
      </c>
      <c r="AX88" s="100">
        <v>5.1327608691922864</v>
      </c>
      <c r="AY88" s="100">
        <v>5093.7518865864249</v>
      </c>
      <c r="AZ88" s="100">
        <v>5.1662318241995147</v>
      </c>
      <c r="BA88" s="100">
        <v>5126.9684623355979</v>
      </c>
      <c r="BB88" s="100">
        <v>0.3594580103547253</v>
      </c>
      <c r="BC88" s="100">
        <v>356.72612947602937</v>
      </c>
      <c r="BD88" s="100">
        <v>4.210013417894988</v>
      </c>
      <c r="BE88" s="100">
        <v>4178.0173159189862</v>
      </c>
      <c r="BF88" s="100">
        <v>1.7658393381464104</v>
      </c>
      <c r="BG88" s="100">
        <v>1752.4189591764975</v>
      </c>
      <c r="BH88" s="100">
        <v>4.4257683989573424</v>
      </c>
      <c r="BI88" s="100">
        <v>4392.1325591252662</v>
      </c>
      <c r="BJ88" s="100">
        <v>3.2006838226196184</v>
      </c>
      <c r="BK88" s="100">
        <v>3176.3586255677092</v>
      </c>
      <c r="BL88" s="100">
        <v>6.0475879117700204</v>
      </c>
      <c r="BM88" s="100">
        <v>6001.6262436405677</v>
      </c>
      <c r="BN88" s="100">
        <v>0.32951478904435461</v>
      </c>
      <c r="BO88" s="100">
        <v>327.01047664761751</v>
      </c>
      <c r="BP88" s="100">
        <v>6.1616329758844719</v>
      </c>
      <c r="BQ88" s="100">
        <v>6114.8045652677501</v>
      </c>
      <c r="BR88" s="100">
        <v>5</v>
      </c>
      <c r="BS88" s="100">
        <v>4962</v>
      </c>
      <c r="BT88" s="100">
        <v>4.7234051183252035</v>
      </c>
      <c r="BU88" s="100">
        <v>4687.5072394259314</v>
      </c>
      <c r="BV88" s="100">
        <v>3.8602370465212541</v>
      </c>
      <c r="BW88" s="100">
        <v>3830.8992449676925</v>
      </c>
      <c r="BX88" s="100">
        <v>4.9278754443461583</v>
      </c>
      <c r="BY88" s="100">
        <v>4890.423590969127</v>
      </c>
      <c r="BZ88" s="100">
        <v>0.28701480827076242</v>
      </c>
      <c r="CA88" s="100">
        <v>284.83349572790462</v>
      </c>
      <c r="CB88" s="100">
        <v>6.2216687843071217</v>
      </c>
      <c r="CC88" s="100">
        <v>6174.3841015463877</v>
      </c>
      <c r="CD88" s="100">
        <v>5</v>
      </c>
      <c r="CE88" s="100">
        <v>4962</v>
      </c>
      <c r="CF88" s="100">
        <v>4.6995765335803634</v>
      </c>
      <c r="CG88" s="100">
        <v>4663.8597519251525</v>
      </c>
      <c r="CH88" s="100">
        <v>4.469533899730858</v>
      </c>
      <c r="CI88" s="100">
        <v>4435.5654420929031</v>
      </c>
      <c r="CJ88" s="100">
        <v>5.5910709059777126</v>
      </c>
      <c r="CK88" s="100">
        <v>5548.5787670922819</v>
      </c>
      <c r="CL88" s="100">
        <v>4.0008790589054275</v>
      </c>
      <c r="CM88" s="100">
        <v>3970.472378057746</v>
      </c>
      <c r="CN88" s="100">
        <v>5.2007925864103886</v>
      </c>
      <c r="CO88" s="100">
        <v>5161.2665627536699</v>
      </c>
      <c r="CP88" s="100">
        <v>0.33430491005438945</v>
      </c>
      <c r="CQ88" s="100">
        <v>331.76419273797609</v>
      </c>
      <c r="CR88" s="100">
        <v>6.2227008324123299</v>
      </c>
      <c r="CS88" s="100">
        <v>6175.4083060859957</v>
      </c>
      <c r="CT88" s="100">
        <v>1.5471294338858106</v>
      </c>
      <c r="CU88" s="100">
        <v>1535.3712501882783</v>
      </c>
    </row>
    <row r="89" spans="2:99">
      <c r="C89" s="99" t="s">
        <v>255</v>
      </c>
      <c r="D89" s="100">
        <v>4.2820466830507113</v>
      </c>
      <c r="E89" s="100">
        <v>4547.5335773998559</v>
      </c>
      <c r="F89" s="100">
        <v>5.0752143364798572</v>
      </c>
      <c r="G89" s="100">
        <v>5389.8776253416081</v>
      </c>
      <c r="H89" s="100">
        <v>4.2925228432342522</v>
      </c>
      <c r="I89" s="100">
        <v>4558.6592595147758</v>
      </c>
      <c r="J89" s="100">
        <v>5.2760299552132173</v>
      </c>
      <c r="K89" s="100">
        <v>5603.1438124364367</v>
      </c>
      <c r="L89" s="100">
        <v>4.9373012023045906</v>
      </c>
      <c r="M89" s="100">
        <v>5243.413876847475</v>
      </c>
      <c r="N89" s="100">
        <v>0.25402185436518565</v>
      </c>
      <c r="O89" s="100">
        <v>269.77120933582717</v>
      </c>
      <c r="P89" s="100">
        <v>8.1452402888655406</v>
      </c>
      <c r="Q89" s="100">
        <v>8650.2451867752043</v>
      </c>
      <c r="R89" s="100">
        <v>1.7741489139130369</v>
      </c>
      <c r="S89" s="100">
        <v>1884.1461465756452</v>
      </c>
      <c r="T89" s="100">
        <v>8.0183317576783288</v>
      </c>
      <c r="U89" s="100">
        <v>8515.4683266543852</v>
      </c>
      <c r="V89" s="100">
        <v>1.4211981691738584</v>
      </c>
      <c r="W89" s="100">
        <v>1509.3124556626376</v>
      </c>
      <c r="X89" s="100">
        <v>7.481010301339281</v>
      </c>
      <c r="Y89" s="100">
        <v>7944.8329400223165</v>
      </c>
      <c r="Z89" s="100">
        <v>6</v>
      </c>
      <c r="AA89" s="100">
        <v>6372</v>
      </c>
      <c r="AB89" s="100">
        <v>3.9859795345534366</v>
      </c>
      <c r="AC89" s="100">
        <v>4233.1102656957501</v>
      </c>
      <c r="AD89" s="100">
        <v>0.41524828616545123</v>
      </c>
      <c r="AE89" s="100">
        <v>440.99367990770918</v>
      </c>
      <c r="AF89" s="100">
        <v>5.1500095842107054</v>
      </c>
      <c r="AG89" s="100">
        <v>5469.3101784317696</v>
      </c>
      <c r="AH89" s="100">
        <v>7</v>
      </c>
      <c r="AI89" s="100">
        <v>7434</v>
      </c>
      <c r="AJ89" s="100">
        <v>4.017977593403522</v>
      </c>
      <c r="AK89" s="100">
        <v>4267.0922041945405</v>
      </c>
      <c r="AL89" s="100">
        <v>3.6866039174225058</v>
      </c>
      <c r="AM89" s="100">
        <v>3915.173360302701</v>
      </c>
      <c r="AN89" s="100">
        <v>4.1180051758803407</v>
      </c>
      <c r="AO89" s="100">
        <v>4373.3214967849217</v>
      </c>
      <c r="AP89" s="100">
        <v>4.2751829080827175</v>
      </c>
      <c r="AQ89" s="100">
        <v>4540.2442483838458</v>
      </c>
      <c r="AR89" s="100">
        <v>5.7302089812292207</v>
      </c>
      <c r="AS89" s="100">
        <v>6085.4819380654326</v>
      </c>
      <c r="AT89" s="100">
        <v>3.8989288975237297</v>
      </c>
      <c r="AU89" s="100">
        <v>4140.6624891702013</v>
      </c>
      <c r="AV89" s="100">
        <v>5.2656926289234391</v>
      </c>
      <c r="AW89" s="100">
        <v>5592.165571916692</v>
      </c>
      <c r="AX89" s="100">
        <v>4.4559230718009646</v>
      </c>
      <c r="AY89" s="100">
        <v>4732.190302252624</v>
      </c>
      <c r="AZ89" s="100">
        <v>4.6906084171309868</v>
      </c>
      <c r="BA89" s="100">
        <v>4981.426138993108</v>
      </c>
      <c r="BB89" s="100">
        <v>0.44766297957739287</v>
      </c>
      <c r="BC89" s="100">
        <v>475.41808431119125</v>
      </c>
      <c r="BD89" s="100">
        <v>5.1800115010528467</v>
      </c>
      <c r="BE89" s="100">
        <v>5501.1722141181235</v>
      </c>
      <c r="BF89" s="100">
        <v>1.7792534115115279</v>
      </c>
      <c r="BG89" s="100">
        <v>1889.5671230252426</v>
      </c>
      <c r="BH89" s="100">
        <v>3.8642237160196879</v>
      </c>
      <c r="BI89" s="100">
        <v>4103.8055864129083</v>
      </c>
      <c r="BJ89" s="100">
        <v>3.2006838226196184</v>
      </c>
      <c r="BK89" s="100">
        <v>3399.1262196220346</v>
      </c>
      <c r="BL89" s="100">
        <v>5.3903743593035154</v>
      </c>
      <c r="BM89" s="100">
        <v>5724.5775695803331</v>
      </c>
      <c r="BN89" s="100">
        <v>0.38476462824969981</v>
      </c>
      <c r="BO89" s="100">
        <v>408.62003520118122</v>
      </c>
      <c r="BP89" s="100">
        <v>6.1293063807075772</v>
      </c>
      <c r="BQ89" s="100">
        <v>6509.3233763114467</v>
      </c>
      <c r="BR89" s="100">
        <v>5</v>
      </c>
      <c r="BS89" s="100">
        <v>5310</v>
      </c>
      <c r="BT89" s="100">
        <v>4.7234051183252035</v>
      </c>
      <c r="BU89" s="100">
        <v>5016.2562356613662</v>
      </c>
      <c r="BV89" s="100">
        <v>3.9370796556643999</v>
      </c>
      <c r="BW89" s="100">
        <v>4181.1785943155928</v>
      </c>
      <c r="BX89" s="100">
        <v>5.7656439969568449</v>
      </c>
      <c r="BY89" s="100">
        <v>6123.1139247681695</v>
      </c>
      <c r="BZ89" s="100">
        <v>0.34105920543228974</v>
      </c>
      <c r="CA89" s="100">
        <v>362.20487616909168</v>
      </c>
      <c r="CB89" s="100">
        <v>7.2216687843071217</v>
      </c>
      <c r="CC89" s="100">
        <v>7669.4122489341635</v>
      </c>
      <c r="CD89" s="100">
        <v>5</v>
      </c>
      <c r="CE89" s="100">
        <v>5310</v>
      </c>
      <c r="CF89" s="100">
        <v>4.6995765335803634</v>
      </c>
      <c r="CG89" s="100">
        <v>4990.9502786623461</v>
      </c>
      <c r="CH89" s="100">
        <v>5.1636059488483497</v>
      </c>
      <c r="CI89" s="100">
        <v>5483.7495176769471</v>
      </c>
      <c r="CJ89" s="100">
        <v>5.5910709059777126</v>
      </c>
      <c r="CK89" s="100">
        <v>5937.7173021483304</v>
      </c>
      <c r="CL89" s="100">
        <v>4.0005075884682899</v>
      </c>
      <c r="CM89" s="100">
        <v>4248.5390589533235</v>
      </c>
      <c r="CN89" s="100">
        <v>5.844295070579693</v>
      </c>
      <c r="CO89" s="100">
        <v>6206.6413649556343</v>
      </c>
      <c r="CP89" s="100">
        <v>0.39767751386160588</v>
      </c>
      <c r="CQ89" s="100">
        <v>422.33351972102543</v>
      </c>
      <c r="CR89" s="100">
        <v>6.1855840270102753</v>
      </c>
      <c r="CS89" s="100">
        <v>6569.0902366849123</v>
      </c>
      <c r="CT89" s="100">
        <v>1.5329102214961809</v>
      </c>
      <c r="CU89" s="100">
        <v>1627.9506552289442</v>
      </c>
    </row>
    <row r="90" spans="2:99">
      <c r="C90" s="99" t="s">
        <v>256</v>
      </c>
      <c r="D90" s="100">
        <v>3.7467863801450374</v>
      </c>
      <c r="E90" s="100">
        <v>4154.4367383048175</v>
      </c>
      <c r="F90" s="100">
        <v>5.1857539975294005</v>
      </c>
      <c r="G90" s="100">
        <v>5749.9640324605989</v>
      </c>
      <c r="H90" s="100">
        <v>4.1194573993197938</v>
      </c>
      <c r="I90" s="100">
        <v>4567.6543643657869</v>
      </c>
      <c r="J90" s="100">
        <v>4.59254292622773</v>
      </c>
      <c r="K90" s="100">
        <v>5092.2115966013071</v>
      </c>
      <c r="L90" s="100">
        <v>4.0726051565465786</v>
      </c>
      <c r="M90" s="100">
        <v>4515.704597578846</v>
      </c>
      <c r="N90" s="100">
        <v>0.25402185436518565</v>
      </c>
      <c r="O90" s="100">
        <v>281.65943212011786</v>
      </c>
      <c r="P90" s="100">
        <v>7.1452402888655406</v>
      </c>
      <c r="Q90" s="100">
        <v>7922.6424322941111</v>
      </c>
      <c r="R90" s="100">
        <v>1.7741489139130369</v>
      </c>
      <c r="S90" s="100">
        <v>1967.1763157467751</v>
      </c>
      <c r="T90" s="100">
        <v>7.1880537172913828</v>
      </c>
      <c r="U90" s="100">
        <v>7970.1139617326853</v>
      </c>
      <c r="V90" s="100">
        <v>1.3176857846179166</v>
      </c>
      <c r="W90" s="100">
        <v>1461.049997984346</v>
      </c>
      <c r="X90" s="100">
        <v>7.481010301339281</v>
      </c>
      <c r="Y90" s="100">
        <v>8294.9442221249938</v>
      </c>
      <c r="Z90" s="100">
        <v>5</v>
      </c>
      <c r="AA90" s="100">
        <v>5544</v>
      </c>
      <c r="AB90" s="100">
        <v>3.9859795345534366</v>
      </c>
      <c r="AC90" s="100">
        <v>4419.6541079128501</v>
      </c>
      <c r="AD90" s="100">
        <v>0.41316264652670803</v>
      </c>
      <c r="AE90" s="100">
        <v>458.11474246881386</v>
      </c>
      <c r="AF90" s="100">
        <v>5.1800115010528467</v>
      </c>
      <c r="AG90" s="100">
        <v>5743.5967523673962</v>
      </c>
      <c r="AH90" s="100">
        <v>6</v>
      </c>
      <c r="AI90" s="100">
        <v>6652.7999999999993</v>
      </c>
      <c r="AJ90" s="100">
        <v>3.9174866276285334</v>
      </c>
      <c r="AK90" s="100">
        <v>4343.709172714518</v>
      </c>
      <c r="AL90" s="100">
        <v>3.1577426515467808</v>
      </c>
      <c r="AM90" s="100">
        <v>3501.3050520350703</v>
      </c>
      <c r="AN90" s="100">
        <v>4.0361838211410879</v>
      </c>
      <c r="AO90" s="100">
        <v>4475.320620881238</v>
      </c>
      <c r="AP90" s="100">
        <v>3.543197332077562</v>
      </c>
      <c r="AQ90" s="100">
        <v>3928.6972018076008</v>
      </c>
      <c r="AR90" s="100">
        <v>4.524987534477158</v>
      </c>
      <c r="AS90" s="100">
        <v>5017.306178228273</v>
      </c>
      <c r="AT90" s="100">
        <v>3.893329937176512</v>
      </c>
      <c r="AU90" s="100">
        <v>4316.9242343413162</v>
      </c>
      <c r="AV90" s="100">
        <v>5.2711343864641451</v>
      </c>
      <c r="AW90" s="100">
        <v>5844.6338077114442</v>
      </c>
      <c r="AX90" s="100">
        <v>5.2489297314671752</v>
      </c>
      <c r="AY90" s="100">
        <v>5820.0132862508035</v>
      </c>
      <c r="AZ90" s="100">
        <v>4.6906084171309868</v>
      </c>
      <c r="BA90" s="100">
        <v>5200.9466129148377</v>
      </c>
      <c r="BB90" s="100">
        <v>0.3594580103547253</v>
      </c>
      <c r="BC90" s="100">
        <v>398.56704188131937</v>
      </c>
      <c r="BD90" s="100">
        <v>4.1800115010528467</v>
      </c>
      <c r="BE90" s="100">
        <v>4634.796752367396</v>
      </c>
      <c r="BF90" s="100">
        <v>1.752425264781293</v>
      </c>
      <c r="BG90" s="100">
        <v>1943.0891335894976</v>
      </c>
      <c r="BH90" s="100">
        <v>3.8681339057688486</v>
      </c>
      <c r="BI90" s="100">
        <v>4288.9868747164992</v>
      </c>
      <c r="BJ90" s="100">
        <v>3.3182996320425504</v>
      </c>
      <c r="BK90" s="100">
        <v>3679.33063200878</v>
      </c>
      <c r="BL90" s="100">
        <v>5.381422137301576</v>
      </c>
      <c r="BM90" s="100">
        <v>5966.9208658399875</v>
      </c>
      <c r="BN90" s="100">
        <v>0.33017620444026019</v>
      </c>
      <c r="BO90" s="100">
        <v>366.09937548336046</v>
      </c>
      <c r="BP90" s="100">
        <v>5.1616329758844719</v>
      </c>
      <c r="BQ90" s="100">
        <v>5723.2186436607026</v>
      </c>
      <c r="BR90" s="100">
        <v>5</v>
      </c>
      <c r="BS90" s="100">
        <v>5544</v>
      </c>
      <c r="BT90" s="100">
        <v>4.7234051183252035</v>
      </c>
      <c r="BU90" s="100">
        <v>5237.3115951989857</v>
      </c>
      <c r="BV90" s="100">
        <v>3.8602370465212541</v>
      </c>
      <c r="BW90" s="100">
        <v>4280.2308371827667</v>
      </c>
      <c r="BX90" s="100">
        <v>5.7656439969568449</v>
      </c>
      <c r="BY90" s="100">
        <v>6392.9460638257497</v>
      </c>
      <c r="BZ90" s="100">
        <v>0.34105920543228974</v>
      </c>
      <c r="CA90" s="100">
        <v>378.16644698332283</v>
      </c>
      <c r="CB90" s="100">
        <v>6.1773350274456975</v>
      </c>
      <c r="CC90" s="100">
        <v>6849.4290784317891</v>
      </c>
      <c r="CD90" s="100">
        <v>5</v>
      </c>
      <c r="CE90" s="100">
        <v>5544</v>
      </c>
      <c r="CF90" s="100">
        <v>4.6995765335803634</v>
      </c>
      <c r="CG90" s="100">
        <v>5210.8904604339068</v>
      </c>
      <c r="CH90" s="100">
        <v>4.469533899730858</v>
      </c>
      <c r="CI90" s="100">
        <v>4955.8191880215754</v>
      </c>
      <c r="CJ90" s="100">
        <v>5.5910709059777126</v>
      </c>
      <c r="CK90" s="100">
        <v>6199.3794205480872</v>
      </c>
      <c r="CL90" s="100">
        <v>4.0005075884682899</v>
      </c>
      <c r="CM90" s="100">
        <v>4435.7628140936395</v>
      </c>
      <c r="CN90" s="100">
        <v>5.2007925864103886</v>
      </c>
      <c r="CO90" s="100">
        <v>5766.6388198118384</v>
      </c>
      <c r="CP90" s="100">
        <v>0.39926314031781568</v>
      </c>
      <c r="CQ90" s="100">
        <v>442.70296998439403</v>
      </c>
      <c r="CR90" s="100">
        <v>6.2227008324123299</v>
      </c>
      <c r="CS90" s="100">
        <v>6899.7306829787913</v>
      </c>
      <c r="CT90" s="100">
        <v>1.5471294338858106</v>
      </c>
      <c r="CU90" s="100">
        <v>1715.4571162925868</v>
      </c>
    </row>
    <row r="91" spans="2:99">
      <c r="C91" s="99" t="s">
        <v>257</v>
      </c>
      <c r="D91" s="100">
        <v>4.3765822200748756</v>
      </c>
      <c r="E91" s="100">
        <v>4973.5480348930878</v>
      </c>
      <c r="F91" s="100">
        <v>5.0963737269102003</v>
      </c>
      <c r="G91" s="100">
        <v>5791.5191032607509</v>
      </c>
      <c r="H91" s="100">
        <v>4.2685632971020731</v>
      </c>
      <c r="I91" s="100">
        <v>4850.7953308267952</v>
      </c>
      <c r="J91" s="100">
        <v>5.1800968168778825</v>
      </c>
      <c r="K91" s="100">
        <v>5886.6620227000249</v>
      </c>
      <c r="L91" s="100">
        <v>4.8118636661828518</v>
      </c>
      <c r="M91" s="100">
        <v>5468.2018702501919</v>
      </c>
      <c r="N91" s="100">
        <v>0.31454773862431823</v>
      </c>
      <c r="O91" s="100">
        <v>357.45205017267517</v>
      </c>
      <c r="P91" s="100">
        <v>7.1452402888655406</v>
      </c>
      <c r="Q91" s="100">
        <v>8119.8510642667998</v>
      </c>
      <c r="R91" s="100">
        <v>1.7741489139130369</v>
      </c>
      <c r="S91" s="100">
        <v>2016.1428257707748</v>
      </c>
      <c r="T91" s="100">
        <v>7.018331757678328</v>
      </c>
      <c r="U91" s="100">
        <v>7975.6322094256511</v>
      </c>
      <c r="V91" s="100">
        <v>1.5812229415415</v>
      </c>
      <c r="W91" s="100">
        <v>1796.9017507677604</v>
      </c>
      <c r="X91" s="100">
        <v>8.4810103013392801</v>
      </c>
      <c r="Y91" s="100">
        <v>9637.8201064419573</v>
      </c>
      <c r="Z91" s="100">
        <v>5</v>
      </c>
      <c r="AA91" s="100">
        <v>5681.9999999999991</v>
      </c>
      <c r="AB91" s="100">
        <v>3.1887836276427493</v>
      </c>
      <c r="AC91" s="100">
        <v>3623.7337144532198</v>
      </c>
      <c r="AD91" s="100">
        <v>0.35592710242752967</v>
      </c>
      <c r="AE91" s="100">
        <v>404.47555919864465</v>
      </c>
      <c r="AF91" s="100">
        <v>5.1500095842107054</v>
      </c>
      <c r="AG91" s="100">
        <v>5852.4708914970452</v>
      </c>
      <c r="AH91" s="100">
        <v>7</v>
      </c>
      <c r="AI91" s="100">
        <v>7954.7999999999993</v>
      </c>
      <c r="AJ91" s="100">
        <v>4.0144317360372304</v>
      </c>
      <c r="AK91" s="100">
        <v>4562.0002248327082</v>
      </c>
      <c r="AL91" s="100">
        <v>3.1577426515467808</v>
      </c>
      <c r="AM91" s="100">
        <v>3588.4587492177611</v>
      </c>
      <c r="AN91" s="100">
        <v>4.0361838211410879</v>
      </c>
      <c r="AO91" s="100">
        <v>4586.7192943447317</v>
      </c>
      <c r="AP91" s="100">
        <v>4.2751829080827175</v>
      </c>
      <c r="AQ91" s="100">
        <v>4858.3178567451996</v>
      </c>
      <c r="AR91" s="100">
        <v>5.8068870989404555</v>
      </c>
      <c r="AS91" s="100">
        <v>6598.9464992359326</v>
      </c>
      <c r="AT91" s="100">
        <v>3.893329937176512</v>
      </c>
      <c r="AU91" s="100">
        <v>4424.3801406073881</v>
      </c>
      <c r="AV91" s="100">
        <v>5.4065678959210413</v>
      </c>
      <c r="AW91" s="100">
        <v>6144.0237569246701</v>
      </c>
      <c r="AX91" s="100">
        <v>4.5772463452567829</v>
      </c>
      <c r="AY91" s="100">
        <v>5201.5827467498075</v>
      </c>
      <c r="AZ91" s="100">
        <v>5.2689328955837187</v>
      </c>
      <c r="BA91" s="100">
        <v>5987.6153425413368</v>
      </c>
      <c r="BB91" s="100">
        <v>0.3594580103547253</v>
      </c>
      <c r="BC91" s="100">
        <v>408.48808296710979</v>
      </c>
      <c r="BD91" s="100">
        <v>5.1800115010528467</v>
      </c>
      <c r="BE91" s="100">
        <v>5886.5650697964538</v>
      </c>
      <c r="BF91" s="100">
        <v>1.752425264781293</v>
      </c>
      <c r="BG91" s="100">
        <v>1991.4560708974611</v>
      </c>
      <c r="BH91" s="100">
        <v>3.8681339057688486</v>
      </c>
      <c r="BI91" s="100">
        <v>4395.747370515719</v>
      </c>
      <c r="BJ91" s="100">
        <v>3.2006838226196184</v>
      </c>
      <c r="BK91" s="100">
        <v>3637.2570960249341</v>
      </c>
      <c r="BL91" s="100">
        <v>5.3858982483025448</v>
      </c>
      <c r="BM91" s="100">
        <v>6120.534769371011</v>
      </c>
      <c r="BN91" s="100">
        <v>0.27558778063082057</v>
      </c>
      <c r="BO91" s="100">
        <v>313.17795390886448</v>
      </c>
      <c r="BP91" s="100">
        <v>6.1616329758844719</v>
      </c>
      <c r="BQ91" s="100">
        <v>7002.0797137951131</v>
      </c>
      <c r="BR91" s="100">
        <v>5</v>
      </c>
      <c r="BS91" s="100">
        <v>5681.9999999999991</v>
      </c>
      <c r="BT91" s="100">
        <v>4.7234051183252035</v>
      </c>
      <c r="BU91" s="100">
        <v>5367.6775764647609</v>
      </c>
      <c r="BV91" s="100">
        <v>4.5292240906558456</v>
      </c>
      <c r="BW91" s="100">
        <v>5147.0102566213027</v>
      </c>
      <c r="BX91" s="100">
        <v>5.8888161105056316</v>
      </c>
      <c r="BY91" s="100">
        <v>6692.0506279785986</v>
      </c>
      <c r="BZ91" s="100">
        <v>0.34105920543228974</v>
      </c>
      <c r="CA91" s="100">
        <v>387.57968105325403</v>
      </c>
      <c r="CB91" s="100">
        <v>6.1773350274456975</v>
      </c>
      <c r="CC91" s="100">
        <v>7019.9235251892896</v>
      </c>
      <c r="CD91" s="100">
        <v>5</v>
      </c>
      <c r="CE91" s="100">
        <v>5681.9999999999991</v>
      </c>
      <c r="CF91" s="100">
        <v>4.6995765335803634</v>
      </c>
      <c r="CG91" s="100">
        <v>5340.5987727607244</v>
      </c>
      <c r="CH91" s="100">
        <v>5.1636059488483497</v>
      </c>
      <c r="CI91" s="100">
        <v>5867.9218002712641</v>
      </c>
      <c r="CJ91" s="100">
        <v>5.7052901661180497</v>
      </c>
      <c r="CK91" s="100">
        <v>6483.4917447765511</v>
      </c>
      <c r="CL91" s="100">
        <v>4.0005075884682899</v>
      </c>
      <c r="CM91" s="100">
        <v>4546.1768235353638</v>
      </c>
      <c r="CN91" s="100">
        <v>5.2061906695059159</v>
      </c>
      <c r="CO91" s="100">
        <v>5916.3150768265223</v>
      </c>
      <c r="CP91" s="100">
        <v>0.39926314031781568</v>
      </c>
      <c r="CQ91" s="100">
        <v>453.72263265716566</v>
      </c>
      <c r="CR91" s="100">
        <v>5.2227008324123299</v>
      </c>
      <c r="CS91" s="100">
        <v>5935.0772259533705</v>
      </c>
      <c r="CT91" s="100">
        <v>1.5613486462754398</v>
      </c>
      <c r="CU91" s="100">
        <v>1774.3166016274095</v>
      </c>
    </row>
    <row r="92" spans="2:99">
      <c r="C92" s="99" t="s">
        <v>258</v>
      </c>
      <c r="D92" s="100">
        <v>4.3791317166041139</v>
      </c>
      <c r="E92" s="100">
        <v>3436.7425711909086</v>
      </c>
      <c r="F92" s="100">
        <v>5.8473902851934705</v>
      </c>
      <c r="G92" s="100">
        <v>4589.031895819835</v>
      </c>
      <c r="H92" s="100">
        <v>4.143416945451972</v>
      </c>
      <c r="I92" s="100">
        <v>3251.7536187907076</v>
      </c>
      <c r="J92" s="100">
        <v>4.6884760645630648</v>
      </c>
      <c r="K92" s="100">
        <v>3679.516015469093</v>
      </c>
      <c r="L92" s="100">
        <v>4.8118636661828518</v>
      </c>
      <c r="M92" s="100">
        <v>3776.350605220302</v>
      </c>
      <c r="N92" s="100">
        <v>0.25402185436518565</v>
      </c>
      <c r="O92" s="100">
        <v>199.35635130579769</v>
      </c>
      <c r="P92" s="100">
        <v>8.1452402888655406</v>
      </c>
      <c r="Q92" s="100">
        <v>6392.3845787016762</v>
      </c>
      <c r="R92" s="100">
        <v>2.027598758757756</v>
      </c>
      <c r="S92" s="100">
        <v>1591.2595058730867</v>
      </c>
      <c r="T92" s="100">
        <v>7.1880537172913828</v>
      </c>
      <c r="U92" s="100">
        <v>5641.1845573302771</v>
      </c>
      <c r="V92" s="100">
        <v>1.5812229415415</v>
      </c>
      <c r="W92" s="100">
        <v>1240.943764521769</v>
      </c>
      <c r="X92" s="100">
        <v>7.481010301339281</v>
      </c>
      <c r="Y92" s="100">
        <v>5871.0968844910676</v>
      </c>
      <c r="Z92" s="100">
        <v>5</v>
      </c>
      <c r="AA92" s="100">
        <v>3924</v>
      </c>
      <c r="AB92" s="100">
        <v>3.9859795345534366</v>
      </c>
      <c r="AC92" s="100">
        <v>3128.1967387175368</v>
      </c>
      <c r="AD92" s="100">
        <v>0.35592710242752967</v>
      </c>
      <c r="AE92" s="100">
        <v>279.33158998512528</v>
      </c>
      <c r="AF92" s="100">
        <v>5.1500095842107054</v>
      </c>
      <c r="AG92" s="100">
        <v>4041.7275216885614</v>
      </c>
      <c r="AH92" s="100">
        <v>6</v>
      </c>
      <c r="AI92" s="100">
        <v>4708.7999999999993</v>
      </c>
      <c r="AJ92" s="100">
        <v>4.017977593403522</v>
      </c>
      <c r="AK92" s="100">
        <v>3153.308815303084</v>
      </c>
      <c r="AL92" s="100">
        <v>3.7897605646529335</v>
      </c>
      <c r="AM92" s="100">
        <v>2974.2040911396221</v>
      </c>
      <c r="AN92" s="100">
        <v>4.0361838211410879</v>
      </c>
      <c r="AO92" s="100">
        <v>3167.5970628315254</v>
      </c>
      <c r="AP92" s="100">
        <v>4.3982339136941055</v>
      </c>
      <c r="AQ92" s="100">
        <v>3451.7339754671339</v>
      </c>
      <c r="AR92" s="100">
        <v>5.204276375564425</v>
      </c>
      <c r="AS92" s="100">
        <v>4084.3160995429607</v>
      </c>
      <c r="AT92" s="100">
        <v>3.893329937176512</v>
      </c>
      <c r="AU92" s="100">
        <v>3055.4853346961263</v>
      </c>
      <c r="AV92" s="100">
        <v>5.2711343864641451</v>
      </c>
      <c r="AW92" s="100">
        <v>4136.7862664970608</v>
      </c>
      <c r="AX92" s="100">
        <v>5.2489297314671752</v>
      </c>
      <c r="AY92" s="100">
        <v>4119.3600532554392</v>
      </c>
      <c r="AZ92" s="100">
        <v>5.1699647727218903</v>
      </c>
      <c r="BA92" s="100">
        <v>4057.3883536321391</v>
      </c>
      <c r="BB92" s="100">
        <v>0.36056436593206792</v>
      </c>
      <c r="BC92" s="100">
        <v>282.9709143834869</v>
      </c>
      <c r="BD92" s="100">
        <v>5.210013417894988</v>
      </c>
      <c r="BE92" s="100">
        <v>4088.8185303639862</v>
      </c>
      <c r="BF92" s="100">
        <v>1.752425264781293</v>
      </c>
      <c r="BG92" s="100">
        <v>1375.3033478003588</v>
      </c>
      <c r="BH92" s="100">
        <v>3.8681339057688486</v>
      </c>
      <c r="BI92" s="100">
        <v>3035.7114892473924</v>
      </c>
      <c r="BJ92" s="100">
        <v>3.2006838226196184</v>
      </c>
      <c r="BK92" s="100">
        <v>2511.8966639918763</v>
      </c>
      <c r="BL92" s="100">
        <v>5.3858982483025448</v>
      </c>
      <c r="BM92" s="100">
        <v>4226.8529452678367</v>
      </c>
      <c r="BN92" s="100">
        <v>0.38344179745788864</v>
      </c>
      <c r="BO92" s="100">
        <v>300.92512264495099</v>
      </c>
      <c r="BP92" s="100">
        <v>6.1616329758844719</v>
      </c>
      <c r="BQ92" s="100">
        <v>4835.6495594741336</v>
      </c>
      <c r="BR92" s="100">
        <v>5</v>
      </c>
      <c r="BS92" s="100">
        <v>3924</v>
      </c>
      <c r="BT92" s="100">
        <v>4.7234051183252035</v>
      </c>
      <c r="BU92" s="100">
        <v>3706.9283368616193</v>
      </c>
      <c r="BV92" s="100">
        <v>3.9370796556643999</v>
      </c>
      <c r="BW92" s="100">
        <v>3089.820113765421</v>
      </c>
      <c r="BX92" s="100">
        <v>5.7656439969568449</v>
      </c>
      <c r="BY92" s="100">
        <v>4524.8774088117316</v>
      </c>
      <c r="BZ92" s="100">
        <v>0.34105920543228974</v>
      </c>
      <c r="CA92" s="100">
        <v>267.66326442326096</v>
      </c>
      <c r="CB92" s="100">
        <v>6.1773350274456975</v>
      </c>
      <c r="CC92" s="100">
        <v>4847.9725295393828</v>
      </c>
      <c r="CD92" s="100">
        <v>5</v>
      </c>
      <c r="CE92" s="100">
        <v>3924</v>
      </c>
      <c r="CF92" s="100">
        <v>4.6995765335803634</v>
      </c>
      <c r="CG92" s="100">
        <v>3688.2276635538692</v>
      </c>
      <c r="CH92" s="100">
        <v>4.469533899730858</v>
      </c>
      <c r="CI92" s="100">
        <v>3507.6902045087772</v>
      </c>
      <c r="CJ92" s="100">
        <v>5.7007153821270666</v>
      </c>
      <c r="CK92" s="100">
        <v>4473.9214318933218</v>
      </c>
      <c r="CL92" s="100">
        <v>4.0005075884682899</v>
      </c>
      <c r="CM92" s="100">
        <v>3139.5983554299137</v>
      </c>
      <c r="CN92" s="100">
        <v>5.844295070579693</v>
      </c>
      <c r="CO92" s="100">
        <v>4586.6027713909425</v>
      </c>
      <c r="CP92" s="100">
        <v>0.39847032708971081</v>
      </c>
      <c r="CQ92" s="100">
        <v>312.719512700005</v>
      </c>
      <c r="CR92" s="100">
        <v>6.2598176378143853</v>
      </c>
      <c r="CS92" s="100">
        <v>4912.7048821567296</v>
      </c>
      <c r="CT92" s="100">
        <v>1.5471294338858106</v>
      </c>
      <c r="CU92" s="100">
        <v>1214.1871797135841</v>
      </c>
    </row>
    <row r="93" spans="2:99">
      <c r="C93" s="99" t="s">
        <v>259</v>
      </c>
      <c r="D93" s="100">
        <v>3.7493358766742761</v>
      </c>
      <c r="E93" s="100">
        <v>2600.5393640612779</v>
      </c>
      <c r="F93" s="100">
        <v>5.8715724456852927</v>
      </c>
      <c r="G93" s="100">
        <v>4072.5226483273191</v>
      </c>
      <c r="H93" s="100">
        <v>4.2925228432342522</v>
      </c>
      <c r="I93" s="100">
        <v>2977.2938440672774</v>
      </c>
      <c r="J93" s="100">
        <v>4.6884760645630648</v>
      </c>
      <c r="K93" s="100">
        <v>3251.9269983809418</v>
      </c>
      <c r="L93" s="100">
        <v>4.8118636661828518</v>
      </c>
      <c r="M93" s="100">
        <v>3337.5086388644263</v>
      </c>
      <c r="N93" s="100">
        <v>0.31625035538555468</v>
      </c>
      <c r="O93" s="100">
        <v>219.35124649542072</v>
      </c>
      <c r="P93" s="100">
        <v>7.1452402888655406</v>
      </c>
      <c r="Q93" s="100">
        <v>4955.9386643571388</v>
      </c>
      <c r="R93" s="100">
        <v>2.027598758757756</v>
      </c>
      <c r="S93" s="100">
        <v>1406.3424990743795</v>
      </c>
      <c r="T93" s="100">
        <v>7.1880537172913828</v>
      </c>
      <c r="U93" s="100">
        <v>4985.6340583133033</v>
      </c>
      <c r="V93" s="100">
        <v>1.6847353260974416</v>
      </c>
      <c r="W93" s="100">
        <v>1168.5324221811854</v>
      </c>
      <c r="X93" s="100">
        <v>7.481010301339281</v>
      </c>
      <c r="Y93" s="100">
        <v>5188.8287450089256</v>
      </c>
      <c r="Z93" s="100">
        <v>6</v>
      </c>
      <c r="AA93" s="100">
        <v>4161.6000000000004</v>
      </c>
      <c r="AB93" s="100">
        <v>3.9859795345534366</v>
      </c>
      <c r="AC93" s="100">
        <v>2764.6754051662638</v>
      </c>
      <c r="AD93" s="100">
        <v>0.35801274206627293</v>
      </c>
      <c r="AE93" s="100">
        <v>248.31763789716692</v>
      </c>
      <c r="AF93" s="100">
        <v>5.1500095842107054</v>
      </c>
      <c r="AG93" s="100">
        <v>3572.0466476085453</v>
      </c>
      <c r="AH93" s="100">
        <v>6</v>
      </c>
      <c r="AI93" s="100">
        <v>4161.6000000000004</v>
      </c>
      <c r="AJ93" s="100">
        <v>3.9174866276285334</v>
      </c>
      <c r="AK93" s="100">
        <v>2717.1687249231509</v>
      </c>
      <c r="AL93" s="100">
        <v>3.7897605646529335</v>
      </c>
      <c r="AM93" s="100">
        <v>2628.577927643275</v>
      </c>
      <c r="AN93" s="100">
        <v>4.6406966623818926</v>
      </c>
      <c r="AO93" s="100">
        <v>3218.7872050280807</v>
      </c>
      <c r="AP93" s="100">
        <v>4.2751829080827175</v>
      </c>
      <c r="AQ93" s="100">
        <v>2965.2668650461728</v>
      </c>
      <c r="AR93" s="100">
        <v>5.1275982578531893</v>
      </c>
      <c r="AS93" s="100">
        <v>3556.5021516469724</v>
      </c>
      <c r="AT93" s="100">
        <v>3.893329937176512</v>
      </c>
      <c r="AU93" s="100">
        <v>2700.4136444256287</v>
      </c>
      <c r="AV93" s="100">
        <v>6.0295398496064809</v>
      </c>
      <c r="AW93" s="100">
        <v>4182.088839687055</v>
      </c>
      <c r="AX93" s="100">
        <v>5.1379152803732167</v>
      </c>
      <c r="AY93" s="100">
        <v>3563.6580384668632</v>
      </c>
      <c r="AZ93" s="100">
        <v>5.2689328955837187</v>
      </c>
      <c r="BA93" s="100">
        <v>3654.5318563768674</v>
      </c>
      <c r="BB93" s="100">
        <v>0.44876933515473538</v>
      </c>
      <c r="BC93" s="100">
        <v>311.2664108633245</v>
      </c>
      <c r="BD93" s="100">
        <v>5.1800115010528467</v>
      </c>
      <c r="BE93" s="100">
        <v>3592.8559771302544</v>
      </c>
      <c r="BF93" s="100">
        <v>1.7658393381464104</v>
      </c>
      <c r="BG93" s="100">
        <v>1224.7861649383503</v>
      </c>
      <c r="BH93" s="100">
        <v>4.5431573213274996</v>
      </c>
      <c r="BI93" s="100">
        <v>3151.1339180727537</v>
      </c>
      <c r="BJ93" s="100">
        <v>3.8538350164958577</v>
      </c>
      <c r="BK93" s="100">
        <v>2673.0199674415271</v>
      </c>
      <c r="BL93" s="100">
        <v>6.0475879117700204</v>
      </c>
      <c r="BM93" s="100">
        <v>4194.6069756036859</v>
      </c>
      <c r="BN93" s="100">
        <v>0.32951478904435461</v>
      </c>
      <c r="BO93" s="100">
        <v>228.55145768116435</v>
      </c>
      <c r="BP93" s="100">
        <v>6.1293063807075772</v>
      </c>
      <c r="BQ93" s="100">
        <v>4251.286905658776</v>
      </c>
      <c r="BR93" s="100">
        <v>5</v>
      </c>
      <c r="BS93" s="100">
        <v>3468</v>
      </c>
      <c r="BT93" s="100">
        <v>4.7234051183252035</v>
      </c>
      <c r="BU93" s="100">
        <v>3276.1537900703611</v>
      </c>
      <c r="BV93" s="100">
        <v>4.4523814815126999</v>
      </c>
      <c r="BW93" s="100">
        <v>3088.1717955772087</v>
      </c>
      <c r="BX93" s="100">
        <v>5.7656439969568449</v>
      </c>
      <c r="BY93" s="100">
        <v>3999.0506762892678</v>
      </c>
      <c r="BZ93" s="100">
        <v>0.34204701851835601</v>
      </c>
      <c r="CA93" s="100">
        <v>237.24381204433172</v>
      </c>
      <c r="CB93" s="100">
        <v>6.2216687843071217</v>
      </c>
      <c r="CC93" s="100">
        <v>4315.3494687954199</v>
      </c>
      <c r="CD93" s="100">
        <v>6</v>
      </c>
      <c r="CE93" s="100">
        <v>4161.6000000000004</v>
      </c>
      <c r="CF93" s="100">
        <v>4.6995765335803634</v>
      </c>
      <c r="CG93" s="100">
        <v>3259.6262836913402</v>
      </c>
      <c r="CH93" s="100">
        <v>4.469533899730858</v>
      </c>
      <c r="CI93" s="100">
        <v>3100.0687128533232</v>
      </c>
      <c r="CJ93" s="100">
        <v>6.3167940402633924</v>
      </c>
      <c r="CK93" s="100">
        <v>4381.3283463266889</v>
      </c>
      <c r="CL93" s="100">
        <v>4.6933666333852999</v>
      </c>
      <c r="CM93" s="100">
        <v>3255.3190969160441</v>
      </c>
      <c r="CN93" s="100">
        <v>5.2061906695059159</v>
      </c>
      <c r="CO93" s="100">
        <v>3611.0138483693036</v>
      </c>
      <c r="CP93" s="100">
        <v>0.39926314031781568</v>
      </c>
      <c r="CQ93" s="100">
        <v>276.92891412443697</v>
      </c>
      <c r="CR93" s="100">
        <v>6.2227008324123299</v>
      </c>
      <c r="CS93" s="100">
        <v>4316.0652973611923</v>
      </c>
      <c r="CT93" s="100">
        <v>1.5471294338858106</v>
      </c>
      <c r="CU93" s="100">
        <v>1073.0889753431982</v>
      </c>
    </row>
    <row r="94" spans="2:99">
      <c r="C94" s="99" t="s">
        <v>260</v>
      </c>
      <c r="D94" s="100">
        <v>3.7467863801450374</v>
      </c>
      <c r="E94" s="100">
        <v>4469.1667942370004</v>
      </c>
      <c r="F94" s="100">
        <v>5.0752143364798572</v>
      </c>
      <c r="G94" s="100">
        <v>6053.7156605531736</v>
      </c>
      <c r="H94" s="100">
        <v>4.143416945451972</v>
      </c>
      <c r="I94" s="100">
        <v>4942.2677325351124</v>
      </c>
      <c r="J94" s="100">
        <v>4.59254292622773</v>
      </c>
      <c r="K94" s="100">
        <v>5477.9852024044358</v>
      </c>
      <c r="L94" s="100">
        <v>4.0726051565465786</v>
      </c>
      <c r="M94" s="100">
        <v>4857.8034307287589</v>
      </c>
      <c r="N94" s="100">
        <v>0.31625035538555468</v>
      </c>
      <c r="O94" s="100">
        <v>377.22342390388962</v>
      </c>
      <c r="P94" s="100">
        <v>7.1452402888655406</v>
      </c>
      <c r="Q94" s="100">
        <v>8522.8426165588171</v>
      </c>
      <c r="R94" s="100">
        <v>1.7741489139130369</v>
      </c>
      <c r="S94" s="100">
        <v>2116.2048245154701</v>
      </c>
      <c r="T94" s="100">
        <v>7.018331757678328</v>
      </c>
      <c r="U94" s="100">
        <v>8371.466120558709</v>
      </c>
      <c r="V94" s="100">
        <v>1.3176857846179166</v>
      </c>
      <c r="W94" s="100">
        <v>1571.735603892251</v>
      </c>
      <c r="X94" s="100">
        <v>7.481010301339281</v>
      </c>
      <c r="Y94" s="100">
        <v>8923.3490874374947</v>
      </c>
      <c r="Z94" s="100">
        <v>5</v>
      </c>
      <c r="AA94" s="100">
        <v>5964</v>
      </c>
      <c r="AB94" s="100">
        <v>3.1887836276427493</v>
      </c>
      <c r="AC94" s="100">
        <v>3803.5811110522714</v>
      </c>
      <c r="AD94" s="100">
        <v>0.35801274206627293</v>
      </c>
      <c r="AE94" s="100">
        <v>427.03759873665035</v>
      </c>
      <c r="AF94" s="100">
        <v>5.1500095842107054</v>
      </c>
      <c r="AG94" s="100">
        <v>6142.9314320465292</v>
      </c>
      <c r="AH94" s="100">
        <v>7</v>
      </c>
      <c r="AI94" s="100">
        <v>8349.6</v>
      </c>
      <c r="AJ94" s="100">
        <v>3.9174866276285334</v>
      </c>
      <c r="AK94" s="100">
        <v>4672.7780494353146</v>
      </c>
      <c r="AL94" s="100">
        <v>3.683026878842639</v>
      </c>
      <c r="AM94" s="100">
        <v>4393.1144610834999</v>
      </c>
      <c r="AN94" s="100">
        <v>4.1202835512075877</v>
      </c>
      <c r="AO94" s="100">
        <v>4914.6742198804104</v>
      </c>
      <c r="AP94" s="100">
        <v>3.543197332077562</v>
      </c>
      <c r="AQ94" s="100">
        <v>4226.3257777021163</v>
      </c>
      <c r="AR94" s="100">
        <v>5.7302089812292207</v>
      </c>
      <c r="AS94" s="100">
        <v>6834.993272810214</v>
      </c>
      <c r="AT94" s="100">
        <v>3.7733457823876653</v>
      </c>
      <c r="AU94" s="100">
        <v>4500.8468492320071</v>
      </c>
      <c r="AV94" s="100">
        <v>5.2711343864641451</v>
      </c>
      <c r="AW94" s="100">
        <v>6287.4090961744323</v>
      </c>
      <c r="AX94" s="100">
        <v>5.1327608691922864</v>
      </c>
      <c r="AY94" s="100">
        <v>6122.3571647725594</v>
      </c>
      <c r="AZ94" s="100">
        <v>5.2651999470613431</v>
      </c>
      <c r="BA94" s="100">
        <v>6280.33049685477</v>
      </c>
      <c r="BB94" s="100">
        <v>0.36056436593206792</v>
      </c>
      <c r="BC94" s="100">
        <v>430.0811756837706</v>
      </c>
      <c r="BD94" s="100">
        <v>5.210013417894988</v>
      </c>
      <c r="BE94" s="100">
        <v>6214.5040048651417</v>
      </c>
      <c r="BF94" s="100">
        <v>1.7658393381464104</v>
      </c>
      <c r="BG94" s="100">
        <v>2106.2931625410383</v>
      </c>
      <c r="BH94" s="100">
        <v>3.8642237160196879</v>
      </c>
      <c r="BI94" s="100">
        <v>4609.2460484682833</v>
      </c>
      <c r="BJ94" s="100">
        <v>3.2006838226196184</v>
      </c>
      <c r="BK94" s="100">
        <v>3817.7756636206805</v>
      </c>
      <c r="BL94" s="100">
        <v>6.0475879117700204</v>
      </c>
      <c r="BM94" s="100">
        <v>7213.5628611592801</v>
      </c>
      <c r="BN94" s="100">
        <v>0.32951478904435461</v>
      </c>
      <c r="BO94" s="100">
        <v>393.04524037210615</v>
      </c>
      <c r="BP94" s="100">
        <v>6.1616329758844719</v>
      </c>
      <c r="BQ94" s="100">
        <v>7349.5958136349982</v>
      </c>
      <c r="BR94" s="100">
        <v>4</v>
      </c>
      <c r="BS94" s="100">
        <v>4771.2</v>
      </c>
      <c r="BT94" s="100">
        <v>4.7234051183252035</v>
      </c>
      <c r="BU94" s="100">
        <v>5634.0776251383022</v>
      </c>
      <c r="BV94" s="100">
        <v>4.4523814815126999</v>
      </c>
      <c r="BW94" s="100">
        <v>5310.8006311483477</v>
      </c>
      <c r="BX94" s="100">
        <v>5.7656439969568449</v>
      </c>
      <c r="BY94" s="100">
        <v>6877.2601595701244</v>
      </c>
      <c r="BZ94" s="100">
        <v>0.34204701851835601</v>
      </c>
      <c r="CA94" s="100">
        <v>407.993683688695</v>
      </c>
      <c r="CB94" s="100">
        <v>7.2216687843071217</v>
      </c>
      <c r="CC94" s="100">
        <v>8614.0065259215353</v>
      </c>
      <c r="CD94" s="100">
        <v>5</v>
      </c>
      <c r="CE94" s="100">
        <v>5964</v>
      </c>
      <c r="CF94" s="100">
        <v>4.6995765335803634</v>
      </c>
      <c r="CG94" s="100">
        <v>5605.6548892546571</v>
      </c>
      <c r="CH94" s="100">
        <v>5.1636059488483497</v>
      </c>
      <c r="CI94" s="100">
        <v>6159.1491757863114</v>
      </c>
      <c r="CJ94" s="100">
        <v>5.5910709059777126</v>
      </c>
      <c r="CK94" s="100">
        <v>6669.0293766502155</v>
      </c>
      <c r="CL94" s="100">
        <v>4.0005075884682899</v>
      </c>
      <c r="CM94" s="100">
        <v>4771.805451524976</v>
      </c>
      <c r="CN94" s="100">
        <v>5.1953945033148639</v>
      </c>
      <c r="CO94" s="100">
        <v>6197.066563553969</v>
      </c>
      <c r="CP94" s="100">
        <v>0.33430491005438945</v>
      </c>
      <c r="CQ94" s="100">
        <v>398.7588967128757</v>
      </c>
      <c r="CR94" s="100">
        <v>6.2227008324123299</v>
      </c>
      <c r="CS94" s="100">
        <v>7422.4375529014269</v>
      </c>
      <c r="CT94" s="100">
        <v>1.5471294338858106</v>
      </c>
      <c r="CU94" s="100">
        <v>1845.4159887389949</v>
      </c>
    </row>
    <row r="95" spans="2:99">
      <c r="B95" s="99" t="s">
        <v>132</v>
      </c>
      <c r="C95" s="99" t="s">
        <v>261</v>
      </c>
      <c r="D95" s="100">
        <v>8.7698561204083116</v>
      </c>
      <c r="E95" s="100">
        <v>2883.5286923902531</v>
      </c>
      <c r="F95" s="100">
        <v>6.9783901476090131</v>
      </c>
      <c r="G95" s="100">
        <v>2294.4946805338436</v>
      </c>
      <c r="H95" s="100">
        <v>7.414068023584738</v>
      </c>
      <c r="I95" s="100">
        <v>2437.7455661546619</v>
      </c>
      <c r="J95" s="100">
        <v>7.8181117944844916</v>
      </c>
      <c r="K95" s="100">
        <v>2570.5951580265009</v>
      </c>
      <c r="L95" s="100">
        <v>6.6533265867264486</v>
      </c>
      <c r="M95" s="100">
        <v>2187.6137817156564</v>
      </c>
      <c r="N95" s="100">
        <v>0.62909547724863646</v>
      </c>
      <c r="O95" s="100">
        <v>206.84659291935168</v>
      </c>
      <c r="P95" s="100">
        <v>11.290480577731081</v>
      </c>
      <c r="Q95" s="100">
        <v>3712.3100139579797</v>
      </c>
      <c r="R95" s="100">
        <v>2.5344984484471951</v>
      </c>
      <c r="S95" s="100">
        <v>833.34308984943777</v>
      </c>
      <c r="T95" s="100">
        <v>11.357775676904438</v>
      </c>
      <c r="U95" s="100">
        <v>3734.4366425661797</v>
      </c>
      <c r="V95" s="100">
        <v>2.4868481729299625</v>
      </c>
      <c r="W95" s="100">
        <v>817.67567925937169</v>
      </c>
      <c r="X95" s="100">
        <v>10.443030904017842</v>
      </c>
      <c r="Y95" s="100">
        <v>3433.6685612410665</v>
      </c>
      <c r="Z95" s="100">
        <v>6</v>
      </c>
      <c r="AA95" s="100">
        <v>1972.8000000000002</v>
      </c>
      <c r="AB95" s="100">
        <v>9.5663508829282478</v>
      </c>
      <c r="AC95" s="100">
        <v>3145.416170306808</v>
      </c>
      <c r="AD95" s="100">
        <v>0.59112619774047281</v>
      </c>
      <c r="AE95" s="100">
        <v>194.36229381706747</v>
      </c>
      <c r="AF95" s="100">
        <v>11.330021085263551</v>
      </c>
      <c r="AG95" s="100">
        <v>3725.3109328346559</v>
      </c>
      <c r="AH95" s="100">
        <v>6</v>
      </c>
      <c r="AI95" s="100">
        <v>1972.8000000000002</v>
      </c>
      <c r="AJ95" s="100">
        <v>9.3523330155431665</v>
      </c>
      <c r="AK95" s="100">
        <v>3075.0470955105934</v>
      </c>
      <c r="AL95" s="100">
        <v>7.8412594448629989</v>
      </c>
      <c r="AM95" s="100">
        <v>2578.2061054709543</v>
      </c>
      <c r="AN95" s="100">
        <v>8.3515886429773118</v>
      </c>
      <c r="AO95" s="100">
        <v>2746.0023458109404</v>
      </c>
      <c r="AP95" s="100">
        <v>8.3042638049426607</v>
      </c>
      <c r="AQ95" s="100">
        <v>2730.4419390651469</v>
      </c>
      <c r="AR95" s="100">
        <v>6.5628540577389582</v>
      </c>
      <c r="AS95" s="100">
        <v>2157.8664141845697</v>
      </c>
      <c r="AT95" s="100">
        <v>7.7474671519224918</v>
      </c>
      <c r="AU95" s="100">
        <v>2547.3671995521154</v>
      </c>
      <c r="AV95" s="100">
        <v>6.6631733365653076</v>
      </c>
      <c r="AW95" s="100">
        <v>2190.8513930626732</v>
      </c>
      <c r="AX95" s="100">
        <v>6.4110606226817737</v>
      </c>
      <c r="AY95" s="100">
        <v>2107.9567327377672</v>
      </c>
      <c r="AZ95" s="100">
        <v>7.2858789054379054</v>
      </c>
      <c r="BA95" s="100">
        <v>2395.5969841079832</v>
      </c>
      <c r="BB95" s="100">
        <v>0.61743478455867284</v>
      </c>
      <c r="BC95" s="100">
        <v>203.01255716289162</v>
      </c>
      <c r="BD95" s="100">
        <v>9.3000191684214109</v>
      </c>
      <c r="BE95" s="100">
        <v>3057.8463025769602</v>
      </c>
      <c r="BF95" s="100">
        <v>3.4914364561974689</v>
      </c>
      <c r="BG95" s="100">
        <v>1147.9843067977279</v>
      </c>
      <c r="BH95" s="100">
        <v>7.5719566121776056</v>
      </c>
      <c r="BI95" s="100">
        <v>2489.6593340839968</v>
      </c>
      <c r="BJ95" s="100">
        <v>7.7652146945713794</v>
      </c>
      <c r="BK95" s="100">
        <v>2553.2025915750696</v>
      </c>
      <c r="BL95" s="100">
        <v>7.2556077102448979</v>
      </c>
      <c r="BM95" s="100">
        <v>2385.6438151285224</v>
      </c>
      <c r="BN95" s="100">
        <v>0.59914983111202469</v>
      </c>
      <c r="BO95" s="100">
        <v>197.00046446963373</v>
      </c>
      <c r="BP95" s="100">
        <v>9.2909393565920499</v>
      </c>
      <c r="BQ95" s="100">
        <v>3054.8608604474662</v>
      </c>
      <c r="BR95" s="100">
        <v>8</v>
      </c>
      <c r="BS95" s="100">
        <v>2630.4</v>
      </c>
      <c r="BT95" s="100">
        <v>9.2352809945203624</v>
      </c>
      <c r="BU95" s="100">
        <v>3036.5603909982951</v>
      </c>
      <c r="BV95" s="100">
        <v>8.3126185280339548</v>
      </c>
      <c r="BW95" s="100">
        <v>2733.1889720175645</v>
      </c>
      <c r="BX95" s="100">
        <v>7.4411811021782155</v>
      </c>
      <c r="BY95" s="100">
        <v>2446.6603463961974</v>
      </c>
      <c r="BZ95" s="100">
        <v>0.72727249025151097</v>
      </c>
      <c r="CA95" s="100">
        <v>239.12719479469681</v>
      </c>
      <c r="CB95" s="100">
        <v>7.2216687843071217</v>
      </c>
      <c r="CC95" s="100">
        <v>2374.4846962801817</v>
      </c>
      <c r="CD95" s="100">
        <v>10</v>
      </c>
      <c r="CE95" s="100">
        <v>3288</v>
      </c>
      <c r="CF95" s="100">
        <v>6.5794071470125086</v>
      </c>
      <c r="CG95" s="100">
        <v>2163.309069937713</v>
      </c>
      <c r="CH95" s="100">
        <v>6.8568516521092429</v>
      </c>
      <c r="CI95" s="100">
        <v>2254.5328232135194</v>
      </c>
      <c r="CJ95" s="100">
        <v>6.8192685811003351</v>
      </c>
      <c r="CK95" s="100">
        <v>2242.1755094657901</v>
      </c>
      <c r="CL95" s="100">
        <v>7.785341525984447</v>
      </c>
      <c r="CM95" s="100">
        <v>2559.8202937436863</v>
      </c>
      <c r="CN95" s="100">
        <v>6.9681649325727388</v>
      </c>
      <c r="CO95" s="100">
        <v>2291.1326298299168</v>
      </c>
      <c r="CP95" s="100">
        <v>0.65513199523099608</v>
      </c>
      <c r="CQ95" s="100">
        <v>215.40740003195151</v>
      </c>
      <c r="CR95" s="100">
        <v>12.222700832412331</v>
      </c>
      <c r="CS95" s="100">
        <v>4018.8240336971744</v>
      </c>
      <c r="CT95" s="100">
        <v>2.7364876588697187</v>
      </c>
      <c r="CU95" s="100">
        <v>899.75714223636351</v>
      </c>
    </row>
    <row r="96" spans="2:99">
      <c r="C96" s="99" t="s">
        <v>262</v>
      </c>
      <c r="D96" s="100">
        <v>8.2371453140318778</v>
      </c>
      <c r="E96" s="100">
        <v>5723.1685641893482</v>
      </c>
      <c r="F96" s="100">
        <v>6.0956745378458566</v>
      </c>
      <c r="G96" s="100">
        <v>4235.2746688953011</v>
      </c>
      <c r="H96" s="100">
        <v>7.414068023584738</v>
      </c>
      <c r="I96" s="100">
        <v>5151.2944627866755</v>
      </c>
      <c r="J96" s="100">
        <v>7.2305579038343399</v>
      </c>
      <c r="K96" s="100">
        <v>5023.7916315840994</v>
      </c>
      <c r="L96" s="100">
        <v>8.0331394840655843</v>
      </c>
      <c r="M96" s="100">
        <v>5581.4253135287672</v>
      </c>
      <c r="N96" s="100">
        <v>0.748444629005665</v>
      </c>
      <c r="O96" s="100">
        <v>520.01932823313598</v>
      </c>
      <c r="P96" s="100">
        <v>10.290480577731081</v>
      </c>
      <c r="Q96" s="100">
        <v>7149.8259054075552</v>
      </c>
      <c r="R96" s="100">
        <v>2.2810486036024757</v>
      </c>
      <c r="S96" s="100">
        <v>1584.872569783</v>
      </c>
      <c r="T96" s="100">
        <v>10.357775676904438</v>
      </c>
      <c r="U96" s="100">
        <v>7196.582540313203</v>
      </c>
      <c r="V96" s="100">
        <v>2.3718344123122499</v>
      </c>
      <c r="W96" s="100">
        <v>1647.9505496745512</v>
      </c>
      <c r="X96" s="100">
        <v>11.322778328683022</v>
      </c>
      <c r="Y96" s="100">
        <v>7867.0663827689632</v>
      </c>
      <c r="Z96" s="100">
        <v>6</v>
      </c>
      <c r="AA96" s="100">
        <v>4168.7999999999993</v>
      </c>
      <c r="AB96" s="100">
        <v>10.363546789838933</v>
      </c>
      <c r="AC96" s="100">
        <v>7200.5923095800899</v>
      </c>
      <c r="AD96" s="100">
        <v>0.59112619774047281</v>
      </c>
      <c r="AE96" s="100">
        <v>410.7144821900805</v>
      </c>
      <c r="AF96" s="100">
        <v>10.27001725157927</v>
      </c>
      <c r="AG96" s="100">
        <v>7135.6079863972764</v>
      </c>
      <c r="AH96" s="100">
        <v>6</v>
      </c>
      <c r="AI96" s="100">
        <v>4168.7999999999993</v>
      </c>
      <c r="AJ96" s="100">
        <v>8.5021209232210584</v>
      </c>
      <c r="AK96" s="100">
        <v>5907.2736174539914</v>
      </c>
      <c r="AL96" s="100">
        <v>8.5090477437678214</v>
      </c>
      <c r="AM96" s="100">
        <v>5912.0863723698822</v>
      </c>
      <c r="AN96" s="100">
        <v>7.1425629604957042</v>
      </c>
      <c r="AO96" s="100">
        <v>4962.6527449524147</v>
      </c>
      <c r="AP96" s="100">
        <v>8.4273148105540461</v>
      </c>
      <c r="AQ96" s="100">
        <v>5855.2983303729507</v>
      </c>
      <c r="AR96" s="100">
        <v>6.5628540577389582</v>
      </c>
      <c r="AS96" s="100">
        <v>4559.8709993170278</v>
      </c>
      <c r="AT96" s="100">
        <v>6.4101046264501358</v>
      </c>
      <c r="AU96" s="100">
        <v>4453.7406944575541</v>
      </c>
      <c r="AV96" s="100">
        <v>6.7986068460222038</v>
      </c>
      <c r="AW96" s="100">
        <v>4723.6720366162272</v>
      </c>
      <c r="AX96" s="100">
        <v>6.5220750737757323</v>
      </c>
      <c r="AY96" s="100">
        <v>4531.5377612593784</v>
      </c>
      <c r="AZ96" s="100">
        <v>6.9129565697535824</v>
      </c>
      <c r="BA96" s="100">
        <v>4803.1222246647885</v>
      </c>
      <c r="BB96" s="100">
        <v>0.53033617091334784</v>
      </c>
      <c r="BC96" s="100">
        <v>368.47757155059406</v>
      </c>
      <c r="BD96" s="100">
        <v>8.2700172515792705</v>
      </c>
      <c r="BE96" s="100">
        <v>5746.0079863972769</v>
      </c>
      <c r="BF96" s="100">
        <v>3.2261937254641544</v>
      </c>
      <c r="BG96" s="100">
        <v>2241.5594004524942</v>
      </c>
      <c r="BH96" s="100">
        <v>6.9399452838597293</v>
      </c>
      <c r="BI96" s="100">
        <v>4821.8739832257397</v>
      </c>
      <c r="BJ96" s="100">
        <v>8.4135704999826455</v>
      </c>
      <c r="BK96" s="100">
        <v>5845.7487833879413</v>
      </c>
      <c r="BL96" s="100">
        <v>6.5939180467774232</v>
      </c>
      <c r="BM96" s="100">
        <v>4581.4542589009534</v>
      </c>
      <c r="BN96" s="100">
        <v>0.65307683952555873</v>
      </c>
      <c r="BO96" s="100">
        <v>453.75778810235818</v>
      </c>
      <c r="BP96" s="100">
        <v>9.2909393565920499</v>
      </c>
      <c r="BQ96" s="100">
        <v>6455.3446649601556</v>
      </c>
      <c r="BR96" s="100">
        <v>8</v>
      </c>
      <c r="BS96" s="100">
        <v>5558.4</v>
      </c>
      <c r="BT96" s="100">
        <v>9.2352809945203624</v>
      </c>
      <c r="BU96" s="100">
        <v>6416.673234992747</v>
      </c>
      <c r="BV96" s="100">
        <v>8.3126185280339548</v>
      </c>
      <c r="BW96" s="100">
        <v>5775.607353277991</v>
      </c>
      <c r="BX96" s="100">
        <v>5.8888161105056316</v>
      </c>
      <c r="BY96" s="100">
        <v>4091.5494335793123</v>
      </c>
      <c r="BZ96" s="100">
        <v>0.61720806975632392</v>
      </c>
      <c r="CA96" s="100">
        <v>428.83616686669382</v>
      </c>
      <c r="CB96" s="100">
        <v>7.2660025411685458</v>
      </c>
      <c r="CC96" s="100">
        <v>5048.4185656039053</v>
      </c>
      <c r="CD96" s="100">
        <v>11</v>
      </c>
      <c r="CE96" s="100">
        <v>7642.7999999999993</v>
      </c>
      <c r="CF96" s="100">
        <v>7.5193224537285817</v>
      </c>
      <c r="CG96" s="100">
        <v>5224.4252408506181</v>
      </c>
      <c r="CH96" s="100">
        <v>6.7348110100988796</v>
      </c>
      <c r="CI96" s="100">
        <v>4679.3466898167017</v>
      </c>
      <c r="CJ96" s="100">
        <v>6.7096241049509802</v>
      </c>
      <c r="CK96" s="100">
        <v>4661.8468281199412</v>
      </c>
      <c r="CL96" s="100">
        <v>7.785341525984447</v>
      </c>
      <c r="CM96" s="100">
        <v>5409.2552922539935</v>
      </c>
      <c r="CN96" s="100">
        <v>5.5570195574565515</v>
      </c>
      <c r="CO96" s="100">
        <v>3861.0171885208119</v>
      </c>
      <c r="CP96" s="100">
        <v>0.5901737649675699</v>
      </c>
      <c r="CQ96" s="100">
        <v>410.05273189946752</v>
      </c>
      <c r="CR96" s="100">
        <v>11.222700832412331</v>
      </c>
      <c r="CS96" s="100">
        <v>7797.5325383600866</v>
      </c>
      <c r="CT96" s="100">
        <v>2.7222684464800895</v>
      </c>
      <c r="CU96" s="100">
        <v>1891.4321166143661</v>
      </c>
    </row>
    <row r="97" spans="2:99">
      <c r="C97" s="99" t="s">
        <v>263</v>
      </c>
      <c r="D97" s="100">
        <v>8.2371453140318778</v>
      </c>
      <c r="E97" s="100">
        <v>3232.2558212261088</v>
      </c>
      <c r="F97" s="100">
        <v>6.9814129176704913</v>
      </c>
      <c r="G97" s="100">
        <v>2739.5064288939006</v>
      </c>
      <c r="H97" s="100">
        <v>7.4167301953772027</v>
      </c>
      <c r="I97" s="100">
        <v>2910.3249286660143</v>
      </c>
      <c r="J97" s="100">
        <v>7.8181117944844916</v>
      </c>
      <c r="K97" s="100">
        <v>3067.8270681557142</v>
      </c>
      <c r="L97" s="100">
        <v>7.3925850963627218</v>
      </c>
      <c r="M97" s="100">
        <v>2900.8503918127317</v>
      </c>
      <c r="N97" s="100">
        <v>0.68621612798529596</v>
      </c>
      <c r="O97" s="100">
        <v>269.27120862143011</v>
      </c>
      <c r="P97" s="100">
        <v>11.326790649947467</v>
      </c>
      <c r="Q97" s="100">
        <v>4444.6326510393856</v>
      </c>
      <c r="R97" s="100">
        <v>2.5344984484471951</v>
      </c>
      <c r="S97" s="100">
        <v>994.53719117067931</v>
      </c>
      <c r="T97" s="100">
        <v>11.527497636517491</v>
      </c>
      <c r="U97" s="100">
        <v>4523.390072569463</v>
      </c>
      <c r="V97" s="100">
        <v>2.3718344123122499</v>
      </c>
      <c r="W97" s="100">
        <v>930.70782339132677</v>
      </c>
      <c r="X97" s="100">
        <v>11.443030904017842</v>
      </c>
      <c r="Y97" s="100">
        <v>4490.2453267366009</v>
      </c>
      <c r="Z97" s="100">
        <v>7</v>
      </c>
      <c r="AA97" s="100">
        <v>2746.7999999999997</v>
      </c>
      <c r="AB97" s="100">
        <v>9.5663508829282478</v>
      </c>
      <c r="AC97" s="100">
        <v>3753.836086461044</v>
      </c>
      <c r="AD97" s="100">
        <v>0.65044738147839432</v>
      </c>
      <c r="AE97" s="100">
        <v>255.23555249212191</v>
      </c>
      <c r="AF97" s="100">
        <v>11.330021085263551</v>
      </c>
      <c r="AG97" s="100">
        <v>4445.9002738574172</v>
      </c>
      <c r="AH97" s="100">
        <v>7</v>
      </c>
      <c r="AI97" s="100">
        <v>2746.7999999999997</v>
      </c>
      <c r="AJ97" s="100">
        <v>8.5021209232210584</v>
      </c>
      <c r="AK97" s="100">
        <v>3336.232250271943</v>
      </c>
      <c r="AL97" s="100">
        <v>9.1374886182941051</v>
      </c>
      <c r="AM97" s="100">
        <v>3585.5505338186067</v>
      </c>
      <c r="AN97" s="100">
        <v>8.3515886429773118</v>
      </c>
      <c r="AO97" s="100">
        <v>3277.1633835042971</v>
      </c>
      <c r="AP97" s="100">
        <v>7.5722782289375044</v>
      </c>
      <c r="AQ97" s="100">
        <v>2971.3619770350765</v>
      </c>
      <c r="AR97" s="100">
        <v>7.6913973867797836</v>
      </c>
      <c r="AS97" s="100">
        <v>3018.104334572387</v>
      </c>
      <c r="AT97" s="100">
        <v>7.7418681915752741</v>
      </c>
      <c r="AU97" s="100">
        <v>3037.9090783741372</v>
      </c>
      <c r="AV97" s="100">
        <v>6.6631733365653076</v>
      </c>
      <c r="AW97" s="100">
        <v>2614.6292172682265</v>
      </c>
      <c r="AX97" s="100">
        <v>6.4602221396045794</v>
      </c>
      <c r="AY97" s="100">
        <v>2534.9911675808366</v>
      </c>
      <c r="AZ97" s="100">
        <v>6.7075544269851735</v>
      </c>
      <c r="BA97" s="100">
        <v>2632.0443571489818</v>
      </c>
      <c r="BB97" s="100">
        <v>0.61743478455867284</v>
      </c>
      <c r="BC97" s="100">
        <v>242.2814094608232</v>
      </c>
      <c r="BD97" s="100">
        <v>9.2400153347371283</v>
      </c>
      <c r="BE97" s="100">
        <v>3625.7820173508489</v>
      </c>
      <c r="BF97" s="100">
        <v>3.4914364561974689</v>
      </c>
      <c r="BG97" s="100">
        <v>1370.0396654118867</v>
      </c>
      <c r="BH97" s="100">
        <v>8.2469800277362548</v>
      </c>
      <c r="BI97" s="100">
        <v>3236.1149628837061</v>
      </c>
      <c r="BJ97" s="100">
        <v>7.8828305039943105</v>
      </c>
      <c r="BK97" s="100">
        <v>3093.2226897673672</v>
      </c>
      <c r="BL97" s="100">
        <v>7.1373894612414768</v>
      </c>
      <c r="BM97" s="100">
        <v>2800.7116245911552</v>
      </c>
      <c r="BN97" s="100">
        <v>0.59981124650793027</v>
      </c>
      <c r="BO97" s="100">
        <v>235.36593312971183</v>
      </c>
      <c r="BP97" s="100">
        <v>9.2909393565920499</v>
      </c>
      <c r="BQ97" s="100">
        <v>3645.7646035267203</v>
      </c>
      <c r="BR97" s="100">
        <v>9</v>
      </c>
      <c r="BS97" s="100">
        <v>3531.6</v>
      </c>
      <c r="BT97" s="100">
        <v>8.4656742449769968</v>
      </c>
      <c r="BU97" s="100">
        <v>3321.9305737289733</v>
      </c>
      <c r="BV97" s="100">
        <v>7.6436314838993633</v>
      </c>
      <c r="BW97" s="100">
        <v>2999.3609942821099</v>
      </c>
      <c r="BX97" s="100">
        <v>6.6034125495675298</v>
      </c>
      <c r="BY97" s="100">
        <v>2591.1790844502984</v>
      </c>
      <c r="BZ97" s="100">
        <v>0.67224028000391733</v>
      </c>
      <c r="CA97" s="100">
        <v>263.78708587353714</v>
      </c>
      <c r="CB97" s="100">
        <v>8.2216687843071217</v>
      </c>
      <c r="CC97" s="100">
        <v>3226.1828309621142</v>
      </c>
      <c r="CD97" s="100">
        <v>10</v>
      </c>
      <c r="CE97" s="100">
        <v>3924</v>
      </c>
      <c r="CF97" s="100">
        <v>7.5193224537285817</v>
      </c>
      <c r="CG97" s="100">
        <v>2950.5821308430955</v>
      </c>
      <c r="CH97" s="100">
        <v>7.5509237012267345</v>
      </c>
      <c r="CI97" s="100">
        <v>2962.9824603613706</v>
      </c>
      <c r="CJ97" s="100">
        <v>6.8192685811003351</v>
      </c>
      <c r="CK97" s="100">
        <v>2675.8809912237712</v>
      </c>
      <c r="CL97" s="100">
        <v>7.6786191118197911</v>
      </c>
      <c r="CM97" s="100">
        <v>3013.0901394780858</v>
      </c>
      <c r="CN97" s="100">
        <v>6.1951239585303286</v>
      </c>
      <c r="CO97" s="100">
        <v>2430.9666413273007</v>
      </c>
      <c r="CP97" s="100">
        <v>0.5901737649675699</v>
      </c>
      <c r="CQ97" s="100">
        <v>231.58418537327441</v>
      </c>
      <c r="CR97" s="100">
        <v>11.222700832412331</v>
      </c>
      <c r="CS97" s="100">
        <v>4403.7878066385983</v>
      </c>
      <c r="CT97" s="100">
        <v>2.7080492340904598</v>
      </c>
      <c r="CU97" s="100">
        <v>1062.6385194570964</v>
      </c>
    </row>
    <row r="98" spans="2:99">
      <c r="C98" s="99" t="s">
        <v>264</v>
      </c>
      <c r="D98" s="100">
        <v>7.6073494741020395</v>
      </c>
      <c r="E98" s="100">
        <v>3998.4228835880322</v>
      </c>
      <c r="F98" s="100">
        <v>6.2092369689568772</v>
      </c>
      <c r="G98" s="100">
        <v>3263.5749508837348</v>
      </c>
      <c r="H98" s="100">
        <v>7.4167301953772027</v>
      </c>
      <c r="I98" s="100">
        <v>3898.2333906902577</v>
      </c>
      <c r="J98" s="100">
        <v>7.1346247654990052</v>
      </c>
      <c r="K98" s="100">
        <v>3749.9587767462772</v>
      </c>
      <c r="L98" s="100">
        <v>6.6533265867264486</v>
      </c>
      <c r="M98" s="100">
        <v>3496.9884539834216</v>
      </c>
      <c r="N98" s="100">
        <v>0.74674201224442849</v>
      </c>
      <c r="O98" s="100">
        <v>392.48760163567164</v>
      </c>
      <c r="P98" s="100">
        <v>10.326790649947467</v>
      </c>
      <c r="Q98" s="100">
        <v>5427.761165612389</v>
      </c>
      <c r="R98" s="100">
        <v>2.5344984484471951</v>
      </c>
      <c r="S98" s="100">
        <v>1332.1323845038457</v>
      </c>
      <c r="T98" s="100">
        <v>9.3577756769044385</v>
      </c>
      <c r="U98" s="100">
        <v>4918.4468957809731</v>
      </c>
      <c r="V98" s="100">
        <v>2.6353715692358333</v>
      </c>
      <c r="W98" s="100">
        <v>1385.1512967903541</v>
      </c>
      <c r="X98" s="100">
        <v>11.322778328683022</v>
      </c>
      <c r="Y98" s="100">
        <v>5951.2522895557968</v>
      </c>
      <c r="Z98" s="100">
        <v>7</v>
      </c>
      <c r="AA98" s="100">
        <v>3679.2000000000003</v>
      </c>
      <c r="AB98" s="100">
        <v>10.363546789838933</v>
      </c>
      <c r="AC98" s="100">
        <v>5447.0801927393431</v>
      </c>
      <c r="AD98" s="100">
        <v>0.65044738147839432</v>
      </c>
      <c r="AE98" s="100">
        <v>341.87514370504408</v>
      </c>
      <c r="AF98" s="100">
        <v>11.300019168421411</v>
      </c>
      <c r="AG98" s="100">
        <v>5939.2900749222936</v>
      </c>
      <c r="AH98" s="100">
        <v>6</v>
      </c>
      <c r="AI98" s="100">
        <v>3153.6000000000004</v>
      </c>
      <c r="AJ98" s="100">
        <v>9.3523330155431665</v>
      </c>
      <c r="AK98" s="100">
        <v>4915.5862329694883</v>
      </c>
      <c r="AL98" s="100">
        <v>7.8770298306616677</v>
      </c>
      <c r="AM98" s="100">
        <v>4140.166878995773</v>
      </c>
      <c r="AN98" s="100">
        <v>7.747075801736508</v>
      </c>
      <c r="AO98" s="100">
        <v>4071.863041392709</v>
      </c>
      <c r="AP98" s="100">
        <v>8.3042638049426607</v>
      </c>
      <c r="AQ98" s="100">
        <v>4364.7210558778625</v>
      </c>
      <c r="AR98" s="100">
        <v>7.1654647811149879</v>
      </c>
      <c r="AS98" s="100">
        <v>3766.168288954038</v>
      </c>
      <c r="AT98" s="100">
        <v>7.0815853693599227</v>
      </c>
      <c r="AU98" s="100">
        <v>3722.0812701355753</v>
      </c>
      <c r="AV98" s="100">
        <v>6.7230326695130804</v>
      </c>
      <c r="AW98" s="100">
        <v>3533.6259710960753</v>
      </c>
      <c r="AX98" s="100">
        <v>6.516920662594802</v>
      </c>
      <c r="AY98" s="100">
        <v>3425.2935002598279</v>
      </c>
      <c r="AZ98" s="100">
        <v>6.8102554983693766</v>
      </c>
      <c r="BA98" s="100">
        <v>3579.4702899429444</v>
      </c>
      <c r="BB98" s="100">
        <v>0.61743478455867284</v>
      </c>
      <c r="BC98" s="100">
        <v>324.52372276403844</v>
      </c>
      <c r="BD98" s="100">
        <v>8.2700172515792705</v>
      </c>
      <c r="BE98" s="100">
        <v>4346.721067430065</v>
      </c>
      <c r="BF98" s="100">
        <v>3.0652248450827457</v>
      </c>
      <c r="BG98" s="100">
        <v>1611.0821785754913</v>
      </c>
      <c r="BH98" s="100">
        <v>6.8969331966189555</v>
      </c>
      <c r="BI98" s="100">
        <v>3625.028088142923</v>
      </c>
      <c r="BJ98" s="100">
        <v>8.5359816978705503</v>
      </c>
      <c r="BK98" s="100">
        <v>4486.5119804007618</v>
      </c>
      <c r="BL98" s="100">
        <v>6.4756997977740021</v>
      </c>
      <c r="BM98" s="100">
        <v>3403.6278137100157</v>
      </c>
      <c r="BN98" s="100">
        <v>0.70700384793909288</v>
      </c>
      <c r="BO98" s="100">
        <v>371.60122247678726</v>
      </c>
      <c r="BP98" s="100">
        <v>9.2909393565920499</v>
      </c>
      <c r="BQ98" s="100">
        <v>4883.3177258247815</v>
      </c>
      <c r="BR98" s="100">
        <v>9</v>
      </c>
      <c r="BS98" s="100">
        <v>4730.4000000000005</v>
      </c>
      <c r="BT98" s="100">
        <v>7.6960674954336339</v>
      </c>
      <c r="BU98" s="100">
        <v>4045.053075599918</v>
      </c>
      <c r="BV98" s="100">
        <v>8.3126185280339548</v>
      </c>
      <c r="BW98" s="100">
        <v>4369.1122983346468</v>
      </c>
      <c r="BX98" s="100">
        <v>6.6034125495675298</v>
      </c>
      <c r="BY98" s="100">
        <v>3470.7536360526938</v>
      </c>
      <c r="BZ98" s="100">
        <v>0.61918369592845623</v>
      </c>
      <c r="CA98" s="100">
        <v>325.44295057999659</v>
      </c>
      <c r="CB98" s="100">
        <v>8.2216687843071217</v>
      </c>
      <c r="CC98" s="100">
        <v>4321.3091130318235</v>
      </c>
      <c r="CD98" s="100">
        <v>10</v>
      </c>
      <c r="CE98" s="100">
        <v>5256</v>
      </c>
      <c r="CF98" s="100">
        <v>6.5794071470125086</v>
      </c>
      <c r="CG98" s="100">
        <v>3458.1363964697748</v>
      </c>
      <c r="CH98" s="100">
        <v>7.4899033802215529</v>
      </c>
      <c r="CI98" s="100">
        <v>3936.6932166444485</v>
      </c>
      <c r="CJ98" s="100">
        <v>6.7096241049509802</v>
      </c>
      <c r="CK98" s="100">
        <v>3526.5784295622352</v>
      </c>
      <c r="CL98" s="100">
        <v>8.3685063932397039</v>
      </c>
      <c r="CM98" s="100">
        <v>4398.4869602867884</v>
      </c>
      <c r="CN98" s="100">
        <v>6.200522041625856</v>
      </c>
      <c r="CO98" s="100">
        <v>3258.9943850785498</v>
      </c>
      <c r="CP98" s="100">
        <v>0.65513199523099608</v>
      </c>
      <c r="CQ98" s="100">
        <v>344.33737669341156</v>
      </c>
      <c r="CR98" s="100">
        <v>11.259817637814384</v>
      </c>
      <c r="CS98" s="100">
        <v>5918.1601504352411</v>
      </c>
      <c r="CT98" s="100">
        <v>2.4355932995263347</v>
      </c>
      <c r="CU98" s="100">
        <v>1280.1478382310415</v>
      </c>
    </row>
    <row r="99" spans="2:99">
      <c r="C99" s="99" t="s">
        <v>265</v>
      </c>
      <c r="D99" s="100">
        <v>5.5237918872057188</v>
      </c>
      <c r="E99" s="100">
        <v>23246.325778116545</v>
      </c>
      <c r="F99" s="100">
        <v>4.4377602093076076</v>
      </c>
      <c r="G99" s="100">
        <v>18675.870064850133</v>
      </c>
      <c r="H99" s="100">
        <v>5.2797863750337015</v>
      </c>
      <c r="I99" s="100">
        <v>22219.452980691829</v>
      </c>
      <c r="J99" s="100">
        <v>5.3719630935485512</v>
      </c>
      <c r="K99" s="100">
        <v>22607.369482889721</v>
      </c>
      <c r="L99" s="100">
        <v>5.4390513467915484</v>
      </c>
      <c r="M99" s="100">
        <v>22889.703687837551</v>
      </c>
      <c r="N99" s="100">
        <v>0.4407073574262928</v>
      </c>
      <c r="O99" s="100">
        <v>1854.6728429928105</v>
      </c>
      <c r="P99" s="100">
        <v>8.217860433298311</v>
      </c>
      <c r="Q99" s="100">
        <v>34584.043847492612</v>
      </c>
      <c r="R99" s="100">
        <v>2.027598758757756</v>
      </c>
      <c r="S99" s="100">
        <v>8532.9466163561392</v>
      </c>
      <c r="T99" s="100">
        <v>7.1880537172913828</v>
      </c>
      <c r="U99" s="100">
        <v>30250.205263849053</v>
      </c>
      <c r="V99" s="100">
        <v>1.8447600984650834</v>
      </c>
      <c r="W99" s="100">
        <v>7763.4883983804566</v>
      </c>
      <c r="X99" s="100">
        <v>7.9620206026785612</v>
      </c>
      <c r="Y99" s="100">
        <v>33507.367504312453</v>
      </c>
      <c r="Z99" s="100">
        <v>4</v>
      </c>
      <c r="AA99" s="100">
        <v>16833.599999999999</v>
      </c>
      <c r="AB99" s="100">
        <v>7.1747631621961858</v>
      </c>
      <c r="AC99" s="100">
        <v>30194.273291786427</v>
      </c>
      <c r="AD99" s="100">
        <v>0.41524828616545123</v>
      </c>
      <c r="AE99" s="100">
        <v>1747.5308874986847</v>
      </c>
      <c r="AF99" s="100">
        <v>7.2700172515792696</v>
      </c>
      <c r="AG99" s="100">
        <v>30595.140601546194</v>
      </c>
      <c r="AH99" s="100">
        <v>4</v>
      </c>
      <c r="AI99" s="100">
        <v>16833.599999999999</v>
      </c>
      <c r="AJ99" s="100">
        <v>6.8016967385768483</v>
      </c>
      <c r="AK99" s="100">
        <v>28624.260554626806</v>
      </c>
      <c r="AL99" s="100">
        <v>5.8527801740537129</v>
      </c>
      <c r="AM99" s="100">
        <v>24630.840084487641</v>
      </c>
      <c r="AN99" s="100">
        <v>5.2466334882022263</v>
      </c>
      <c r="AO99" s="100">
        <v>22079.932371750248</v>
      </c>
      <c r="AP99" s="100">
        <v>5.9852560713158054</v>
      </c>
      <c r="AQ99" s="100">
        <v>25188.351650525434</v>
      </c>
      <c r="AR99" s="100">
        <v>4.6783437698996302</v>
      </c>
      <c r="AS99" s="100">
        <v>19688.341921245603</v>
      </c>
      <c r="AT99" s="100">
        <v>4.9303621048000572</v>
      </c>
      <c r="AU99" s="100">
        <v>20748.93588184056</v>
      </c>
      <c r="AV99" s="100">
        <v>5.0109289008237399</v>
      </c>
      <c r="AW99" s="100">
        <v>21087.993186226624</v>
      </c>
      <c r="AX99" s="100">
        <v>4.7580399579972674</v>
      </c>
      <c r="AY99" s="100">
        <v>20023.735359235699</v>
      </c>
      <c r="AZ99" s="100">
        <v>5.5509054700797078</v>
      </c>
      <c r="BA99" s="100">
        <v>23360.430580283439</v>
      </c>
      <c r="BB99" s="100">
        <v>0.3550325880453552</v>
      </c>
      <c r="BC99" s="100">
        <v>1494.1191435300727</v>
      </c>
      <c r="BD99" s="100">
        <v>7.2400153347371283</v>
      </c>
      <c r="BE99" s="100">
        <v>30468.880534707729</v>
      </c>
      <c r="BF99" s="100">
        <v>2.3499810930735081</v>
      </c>
      <c r="BG99" s="100">
        <v>9889.6604320905499</v>
      </c>
      <c r="BH99" s="100">
        <v>5.4294974431314973</v>
      </c>
      <c r="BI99" s="100">
        <v>22849.497039674592</v>
      </c>
      <c r="BJ99" s="100">
        <v>6.2092945225781202</v>
      </c>
      <c r="BK99" s="100">
        <v>26131.19506881776</v>
      </c>
      <c r="BL99" s="100">
        <v>5.0341022218356324</v>
      </c>
      <c r="BM99" s="100">
        <v>21185.515790373072</v>
      </c>
      <c r="BN99" s="100">
        <v>0.48997298349314544</v>
      </c>
      <c r="BO99" s="100">
        <v>2062.0023037325532</v>
      </c>
      <c r="BP99" s="100">
        <v>7.2586127614151543</v>
      </c>
      <c r="BQ99" s="100">
        <v>30547.145945139531</v>
      </c>
      <c r="BR99" s="100">
        <v>7</v>
      </c>
      <c r="BS99" s="100">
        <v>29458.799999999996</v>
      </c>
      <c r="BT99" s="100">
        <v>6.1568539963469071</v>
      </c>
      <c r="BU99" s="100">
        <v>25910.504358226321</v>
      </c>
      <c r="BV99" s="100">
        <v>5.7903555697818812</v>
      </c>
      <c r="BW99" s="100">
        <v>24368.132379870065</v>
      </c>
      <c r="BX99" s="100">
        <v>4.8047033307973699</v>
      </c>
      <c r="BY99" s="100">
        <v>20220.113497327649</v>
      </c>
      <c r="BZ99" s="100">
        <v>0.4511236259274769</v>
      </c>
      <c r="CA99" s="100">
        <v>1898.5086673531937</v>
      </c>
      <c r="CB99" s="100">
        <v>6.2216687843071217</v>
      </c>
      <c r="CC99" s="100">
        <v>26183.270911878088</v>
      </c>
      <c r="CD99" s="100">
        <v>8</v>
      </c>
      <c r="CE99" s="100">
        <v>33667.199999999997</v>
      </c>
      <c r="CF99" s="100">
        <v>5.6394918402964365</v>
      </c>
      <c r="CG99" s="100">
        <v>23733.23746070352</v>
      </c>
      <c r="CH99" s="100">
        <v>5.2856465908587147</v>
      </c>
      <c r="CI99" s="100">
        <v>22244.115112969812</v>
      </c>
      <c r="CJ99" s="100">
        <v>4.6558235302162441</v>
      </c>
      <c r="CK99" s="100">
        <v>19593.567744562039</v>
      </c>
      <c r="CL99" s="100">
        <v>5.385854207865175</v>
      </c>
      <c r="CM99" s="100">
        <v>22665.828848379799</v>
      </c>
      <c r="CN99" s="100">
        <v>4.8973228240006712</v>
      </c>
      <c r="CO99" s="100">
        <v>20609.893372524424</v>
      </c>
      <c r="CP99" s="100">
        <v>0.45946449121261262</v>
      </c>
      <c r="CQ99" s="100">
        <v>1933.6103648191588</v>
      </c>
      <c r="CR99" s="100">
        <v>8.1855840270102753</v>
      </c>
      <c r="CS99" s="100">
        <v>34448.211819270036</v>
      </c>
      <c r="CT99" s="100">
        <v>2.1204797277933207</v>
      </c>
      <c r="CU99" s="100">
        <v>8923.8268864454094</v>
      </c>
    </row>
    <row r="100" spans="2:99">
      <c r="C100" s="99" t="s">
        <v>266</v>
      </c>
      <c r="D100" s="100">
        <v>8.8669411539617151</v>
      </c>
      <c r="E100" s="100">
        <v>2872.8889338835957</v>
      </c>
      <c r="F100" s="100">
        <v>6.9814129176704913</v>
      </c>
      <c r="G100" s="100">
        <v>2261.977785325239</v>
      </c>
      <c r="H100" s="100">
        <v>7.2676242975949226</v>
      </c>
      <c r="I100" s="100">
        <v>2354.7102724207548</v>
      </c>
      <c r="J100" s="100">
        <v>7.326491042169673</v>
      </c>
      <c r="K100" s="100">
        <v>2373.7830976629739</v>
      </c>
      <c r="L100" s="100">
        <v>8.646960457580116</v>
      </c>
      <c r="M100" s="100">
        <v>2801.6151882559575</v>
      </c>
      <c r="N100" s="100">
        <v>0.68791874474653236</v>
      </c>
      <c r="O100" s="100">
        <v>222.88567329787648</v>
      </c>
      <c r="P100" s="100">
        <v>11.290480577731081</v>
      </c>
      <c r="Q100" s="100">
        <v>3658.1157071848702</v>
      </c>
      <c r="R100" s="100">
        <v>2.5344984484471951</v>
      </c>
      <c r="S100" s="100">
        <v>821.17749729689126</v>
      </c>
      <c r="T100" s="100">
        <v>10.357775676904438</v>
      </c>
      <c r="U100" s="100">
        <v>3355.9193193170381</v>
      </c>
      <c r="V100" s="100">
        <v>2.4868481729299625</v>
      </c>
      <c r="W100" s="100">
        <v>805.73880802930785</v>
      </c>
      <c r="X100" s="100">
        <v>12.322778328683022</v>
      </c>
      <c r="Y100" s="100">
        <v>3992.5801784932992</v>
      </c>
      <c r="Z100" s="100">
        <v>7</v>
      </c>
      <c r="AA100" s="100">
        <v>2268</v>
      </c>
      <c r="AB100" s="100">
        <v>9.5663508829282478</v>
      </c>
      <c r="AC100" s="100">
        <v>3099.497686068752</v>
      </c>
      <c r="AD100" s="100">
        <v>0.65044738147839432</v>
      </c>
      <c r="AE100" s="100">
        <v>210.74495159899976</v>
      </c>
      <c r="AF100" s="100">
        <v>11.300019168421411</v>
      </c>
      <c r="AG100" s="100">
        <v>3661.2062105685372</v>
      </c>
      <c r="AH100" s="100">
        <v>6</v>
      </c>
      <c r="AI100" s="100">
        <v>1944</v>
      </c>
      <c r="AJ100" s="100">
        <v>9.3523330155431665</v>
      </c>
      <c r="AK100" s="100">
        <v>3030.1558970359861</v>
      </c>
      <c r="AL100" s="100">
        <v>8.5054707051879532</v>
      </c>
      <c r="AM100" s="100">
        <v>2755.7725084808967</v>
      </c>
      <c r="AN100" s="100">
        <v>8.3515886429773118</v>
      </c>
      <c r="AO100" s="100">
        <v>2705.9147203246489</v>
      </c>
      <c r="AP100" s="100">
        <v>7.6953292345488915</v>
      </c>
      <c r="AQ100" s="100">
        <v>2493.2866719938406</v>
      </c>
      <c r="AR100" s="100">
        <v>7.7680755044910192</v>
      </c>
      <c r="AS100" s="100">
        <v>2516.8564634550903</v>
      </c>
      <c r="AT100" s="100">
        <v>7.8674513067113381</v>
      </c>
      <c r="AU100" s="100">
        <v>2549.0542233744736</v>
      </c>
      <c r="AV100" s="100">
        <v>6.6631733365653076</v>
      </c>
      <c r="AW100" s="100">
        <v>2158.8681610471594</v>
      </c>
      <c r="AX100" s="100">
        <v>6.3440532773296896</v>
      </c>
      <c r="AY100" s="100">
        <v>2055.4732618548196</v>
      </c>
      <c r="AZ100" s="100">
        <v>7.4912810482063152</v>
      </c>
      <c r="BA100" s="100">
        <v>2427.1750596188463</v>
      </c>
      <c r="BB100" s="100">
        <v>0.61743478455867284</v>
      </c>
      <c r="BC100" s="100">
        <v>200.04887019700999</v>
      </c>
      <c r="BD100" s="100">
        <v>9.2400153347371283</v>
      </c>
      <c r="BE100" s="100">
        <v>2993.7649684548296</v>
      </c>
      <c r="BF100" s="100">
        <v>3.504850529562586</v>
      </c>
      <c r="BG100" s="100">
        <v>1135.5715715782778</v>
      </c>
      <c r="BH100" s="100">
        <v>6.8969331966189555</v>
      </c>
      <c r="BI100" s="100">
        <v>2234.6063557045418</v>
      </c>
      <c r="BJ100" s="100">
        <v>8.4183658884476191</v>
      </c>
      <c r="BK100" s="100">
        <v>2727.5505478570285</v>
      </c>
      <c r="BL100" s="100">
        <v>6.5939180467774232</v>
      </c>
      <c r="BM100" s="100">
        <v>2136.4294471558851</v>
      </c>
      <c r="BN100" s="100">
        <v>0.70634243254318729</v>
      </c>
      <c r="BO100" s="100">
        <v>228.85494814399269</v>
      </c>
      <c r="BP100" s="100">
        <v>8.2909393565920499</v>
      </c>
      <c r="BQ100" s="100">
        <v>2686.2643515358241</v>
      </c>
      <c r="BR100" s="100">
        <v>9</v>
      </c>
      <c r="BS100" s="100">
        <v>2916</v>
      </c>
      <c r="BT100" s="100">
        <v>9.2352809945203624</v>
      </c>
      <c r="BU100" s="100">
        <v>2992.2310422245973</v>
      </c>
      <c r="BV100" s="100">
        <v>8.3126185280339548</v>
      </c>
      <c r="BW100" s="100">
        <v>2693.2884030830014</v>
      </c>
      <c r="BX100" s="100">
        <v>6.6034125495675298</v>
      </c>
      <c r="BY100" s="100">
        <v>2139.5056660598798</v>
      </c>
      <c r="BZ100" s="100">
        <v>0.67322809308998366</v>
      </c>
      <c r="CA100" s="100">
        <v>218.1259021611547</v>
      </c>
      <c r="CB100" s="100">
        <v>8.2660025411685467</v>
      </c>
      <c r="CC100" s="100">
        <v>2678.184823338609</v>
      </c>
      <c r="CD100" s="100">
        <v>11</v>
      </c>
      <c r="CE100" s="100">
        <v>3564</v>
      </c>
      <c r="CF100" s="100">
        <v>6.5794071470125086</v>
      </c>
      <c r="CG100" s="100">
        <v>2131.7279156320528</v>
      </c>
      <c r="CH100" s="100">
        <v>7.4899033802215529</v>
      </c>
      <c r="CI100" s="100">
        <v>2426.7286951917831</v>
      </c>
      <c r="CJ100" s="100">
        <v>6.7096241049509802</v>
      </c>
      <c r="CK100" s="100">
        <v>2173.9182100041176</v>
      </c>
      <c r="CL100" s="100">
        <v>9.064337201653812</v>
      </c>
      <c r="CM100" s="100">
        <v>2936.845253335835</v>
      </c>
      <c r="CN100" s="100">
        <v>6.3192643653079097</v>
      </c>
      <c r="CO100" s="100">
        <v>2047.4416543597627</v>
      </c>
      <c r="CP100" s="100">
        <v>0.5901737649675699</v>
      </c>
      <c r="CQ100" s="100">
        <v>191.21629984949266</v>
      </c>
      <c r="CR100" s="100">
        <v>12.259817637814384</v>
      </c>
      <c r="CS100" s="100">
        <v>3972.1809146518603</v>
      </c>
      <c r="CT100" s="100">
        <v>2.7222684464800895</v>
      </c>
      <c r="CU100" s="100">
        <v>882.01497665954901</v>
      </c>
    </row>
    <row r="101" spans="2:99">
      <c r="C101" s="99" t="s">
        <v>267</v>
      </c>
      <c r="D101" s="100">
        <v>8.7698561204083116</v>
      </c>
      <c r="E101" s="100">
        <v>6345.8678887274546</v>
      </c>
      <c r="F101" s="100">
        <v>6.0956745378458566</v>
      </c>
      <c r="G101" s="100">
        <v>4410.8300955852619</v>
      </c>
      <c r="H101" s="100">
        <v>6.4241423199928231</v>
      </c>
      <c r="I101" s="100">
        <v>4648.5093827468072</v>
      </c>
      <c r="J101" s="100">
        <v>7.1346247654990052</v>
      </c>
      <c r="K101" s="100">
        <v>5162.6144803150801</v>
      </c>
      <c r="L101" s="100">
        <v>7.9077019479438446</v>
      </c>
      <c r="M101" s="100">
        <v>5722.0131295321662</v>
      </c>
      <c r="N101" s="100">
        <v>0.62739286048739984</v>
      </c>
      <c r="O101" s="100">
        <v>453.98147384868253</v>
      </c>
      <c r="P101" s="100">
        <v>11.326790649947467</v>
      </c>
      <c r="Q101" s="100">
        <v>8196.0657143019871</v>
      </c>
      <c r="R101" s="100">
        <v>2.5344984484471951</v>
      </c>
      <c r="S101" s="100">
        <v>1833.9630772963903</v>
      </c>
      <c r="T101" s="100">
        <v>10.357775676904438</v>
      </c>
      <c r="U101" s="100">
        <v>7494.8864798080522</v>
      </c>
      <c r="V101" s="100">
        <v>2.2118096399446081</v>
      </c>
      <c r="W101" s="100">
        <v>1600.4654554639185</v>
      </c>
      <c r="X101" s="100">
        <v>11.322778328683022</v>
      </c>
      <c r="Y101" s="100">
        <v>8193.1623986350351</v>
      </c>
      <c r="Z101" s="100">
        <v>6</v>
      </c>
      <c r="AA101" s="100">
        <v>4341.6000000000004</v>
      </c>
      <c r="AB101" s="100">
        <v>9.5663508829282478</v>
      </c>
      <c r="AC101" s="100">
        <v>6922.2114988868807</v>
      </c>
      <c r="AD101" s="100">
        <v>0.59321183737921601</v>
      </c>
      <c r="AE101" s="100">
        <v>429.24808552760072</v>
      </c>
      <c r="AF101" s="100">
        <v>11.27001725157927</v>
      </c>
      <c r="AG101" s="100">
        <v>8154.9844832427607</v>
      </c>
      <c r="AH101" s="100">
        <v>6</v>
      </c>
      <c r="AI101" s="100">
        <v>4341.6000000000004</v>
      </c>
      <c r="AJ101" s="100">
        <v>10.202545107865273</v>
      </c>
      <c r="AK101" s="100">
        <v>7382.5616400513118</v>
      </c>
      <c r="AL101" s="100">
        <v>7.880606869241535</v>
      </c>
      <c r="AM101" s="100">
        <v>5702.4071305831749</v>
      </c>
      <c r="AN101" s="100">
        <v>7.6652544469972561</v>
      </c>
      <c r="AO101" s="100">
        <v>5546.5781178472143</v>
      </c>
      <c r="AP101" s="100">
        <v>8.4273148105540461</v>
      </c>
      <c r="AQ101" s="100">
        <v>6098.0049969169077</v>
      </c>
      <c r="AR101" s="100">
        <v>7.0887866634037531</v>
      </c>
      <c r="AS101" s="100">
        <v>5129.4460296389561</v>
      </c>
      <c r="AT101" s="100">
        <v>6.9616012145710764</v>
      </c>
      <c r="AU101" s="100">
        <v>5037.4146388636309</v>
      </c>
      <c r="AV101" s="100">
        <v>5.7693343639660757</v>
      </c>
      <c r="AW101" s="100">
        <v>4174.6903457658527</v>
      </c>
      <c r="AX101" s="100">
        <v>6.400751800319914</v>
      </c>
      <c r="AY101" s="100">
        <v>4631.58400271149</v>
      </c>
      <c r="AZ101" s="100">
        <v>7.3885799768221103</v>
      </c>
      <c r="BA101" s="100">
        <v>5346.3764712284792</v>
      </c>
      <c r="BB101" s="100">
        <v>0.53033617091334784</v>
      </c>
      <c r="BC101" s="100">
        <v>383.75125327289851</v>
      </c>
      <c r="BD101" s="100">
        <v>9.2400153347371283</v>
      </c>
      <c r="BE101" s="100">
        <v>6686.0750962157863</v>
      </c>
      <c r="BF101" s="100">
        <v>3.504850529562586</v>
      </c>
      <c r="BG101" s="100">
        <v>2536.1098431914875</v>
      </c>
      <c r="BH101" s="100">
        <v>7.6893455345477628</v>
      </c>
      <c r="BI101" s="100">
        <v>5564.0104287987615</v>
      </c>
      <c r="BJ101" s="100">
        <v>8.2959546905597161</v>
      </c>
      <c r="BK101" s="100">
        <v>6002.9528140890106</v>
      </c>
      <c r="BL101" s="100">
        <v>6.4756997977740021</v>
      </c>
      <c r="BM101" s="100">
        <v>4685.8163736692677</v>
      </c>
      <c r="BN101" s="100">
        <v>0.70634243254318729</v>
      </c>
      <c r="BO101" s="100">
        <v>511.10938418825032</v>
      </c>
      <c r="BP101" s="100">
        <v>8.3232659517689438</v>
      </c>
      <c r="BQ101" s="100">
        <v>6022.7152427000083</v>
      </c>
      <c r="BR101" s="100">
        <v>9</v>
      </c>
      <c r="BS101" s="100">
        <v>6512.4000000000005</v>
      </c>
      <c r="BT101" s="100">
        <v>9.2352809945203624</v>
      </c>
      <c r="BU101" s="100">
        <v>6682.6493276349347</v>
      </c>
      <c r="BV101" s="100">
        <v>7.7204740930425082</v>
      </c>
      <c r="BW101" s="100">
        <v>5586.535053725559</v>
      </c>
      <c r="BX101" s="100">
        <v>6.6034125495675298</v>
      </c>
      <c r="BY101" s="100">
        <v>4778.2293208670644</v>
      </c>
      <c r="BZ101" s="100">
        <v>0.56217585950873028</v>
      </c>
      <c r="CA101" s="100">
        <v>406.79045194051724</v>
      </c>
      <c r="CB101" s="100">
        <v>8.2216687843071217</v>
      </c>
      <c r="CC101" s="100">
        <v>5949.1995323246338</v>
      </c>
      <c r="CD101" s="100">
        <v>10</v>
      </c>
      <c r="CE101" s="100">
        <v>7236</v>
      </c>
      <c r="CF101" s="100">
        <v>7.5193224537285817</v>
      </c>
      <c r="CG101" s="100">
        <v>5440.9817275180021</v>
      </c>
      <c r="CH101" s="100">
        <v>6.7348110100988796</v>
      </c>
      <c r="CI101" s="100">
        <v>4873.3092469075491</v>
      </c>
      <c r="CJ101" s="100">
        <v>6.2077647069549924</v>
      </c>
      <c r="CK101" s="100">
        <v>4491.9385419526325</v>
      </c>
      <c r="CL101" s="100">
        <v>7.6786191118197911</v>
      </c>
      <c r="CM101" s="100">
        <v>5556.2487893128009</v>
      </c>
      <c r="CN101" s="100">
        <v>6.3246624484034362</v>
      </c>
      <c r="CO101" s="100">
        <v>4576.5257476647266</v>
      </c>
      <c r="CP101" s="100">
        <v>0.59096657819567477</v>
      </c>
      <c r="CQ101" s="100">
        <v>427.62341598239027</v>
      </c>
      <c r="CR101" s="100">
        <v>11.259817637814384</v>
      </c>
      <c r="CS101" s="100">
        <v>8147.6040427224889</v>
      </c>
      <c r="CT101" s="100">
        <v>2.7222684464800895</v>
      </c>
      <c r="CU101" s="100">
        <v>1969.8334478729928</v>
      </c>
    </row>
    <row r="102" spans="2:99">
      <c r="C102" s="99" t="s">
        <v>268</v>
      </c>
      <c r="D102" s="100">
        <v>7.510264440548637</v>
      </c>
      <c r="E102" s="100">
        <v>3992.4565765956554</v>
      </c>
      <c r="F102" s="100">
        <v>6.0956745378458566</v>
      </c>
      <c r="G102" s="100">
        <v>3240.4605843188574</v>
      </c>
      <c r="H102" s="100">
        <v>7.414068023584738</v>
      </c>
      <c r="I102" s="100">
        <v>3941.3185613376468</v>
      </c>
      <c r="J102" s="100">
        <v>7.9140449328198246</v>
      </c>
      <c r="K102" s="100">
        <v>4207.1062862870185</v>
      </c>
      <c r="L102" s="100">
        <v>8.646960457580116</v>
      </c>
      <c r="M102" s="100">
        <v>4596.7241792495897</v>
      </c>
      <c r="N102" s="100">
        <v>0.68791874474653236</v>
      </c>
      <c r="O102" s="100">
        <v>365.69760470725663</v>
      </c>
      <c r="P102" s="100">
        <v>10.290480577731081</v>
      </c>
      <c r="Q102" s="100">
        <v>5470.4194751218429</v>
      </c>
      <c r="R102" s="100">
        <v>2.2810486036024757</v>
      </c>
      <c r="S102" s="100">
        <v>1212.6054376750762</v>
      </c>
      <c r="T102" s="100">
        <v>11.527497636517491</v>
      </c>
      <c r="U102" s="100">
        <v>6128.0177435726991</v>
      </c>
      <c r="V102" s="100">
        <v>2.1082972553886665</v>
      </c>
      <c r="W102" s="100">
        <v>1120.7708209646153</v>
      </c>
      <c r="X102" s="100">
        <v>10.322778328683022</v>
      </c>
      <c r="Y102" s="100">
        <v>5487.588959527895</v>
      </c>
      <c r="Z102" s="100">
        <v>7</v>
      </c>
      <c r="AA102" s="100">
        <v>3721.2000000000003</v>
      </c>
      <c r="AB102" s="100">
        <v>9.5663508829282478</v>
      </c>
      <c r="AC102" s="100">
        <v>5085.4721293646571</v>
      </c>
      <c r="AD102" s="100">
        <v>0.64836174183965123</v>
      </c>
      <c r="AE102" s="100">
        <v>344.66910196195863</v>
      </c>
      <c r="AF102" s="100">
        <v>10.330021085263551</v>
      </c>
      <c r="AG102" s="100">
        <v>5491.4392089261037</v>
      </c>
      <c r="AH102" s="100">
        <v>7</v>
      </c>
      <c r="AI102" s="100">
        <v>3721.2000000000003</v>
      </c>
      <c r="AJ102" s="100">
        <v>9.3523330155431665</v>
      </c>
      <c r="AK102" s="100">
        <v>4971.7002310627477</v>
      </c>
      <c r="AL102" s="100">
        <v>7.7774502220111064</v>
      </c>
      <c r="AM102" s="100">
        <v>4134.4925380211043</v>
      </c>
      <c r="AN102" s="100">
        <v>8.35187343989322</v>
      </c>
      <c r="AO102" s="100">
        <v>4439.8559206472355</v>
      </c>
      <c r="AP102" s="100">
        <v>8.4273148105540461</v>
      </c>
      <c r="AQ102" s="100">
        <v>4479.9605532905307</v>
      </c>
      <c r="AR102" s="100">
        <v>6.4861759400277226</v>
      </c>
      <c r="AS102" s="100">
        <v>3448.0511297187377</v>
      </c>
      <c r="AT102" s="100">
        <v>7.7418681915752741</v>
      </c>
      <c r="AU102" s="100">
        <v>4115.5771306414163</v>
      </c>
      <c r="AV102" s="100">
        <v>5.9047678734229718</v>
      </c>
      <c r="AW102" s="100">
        <v>3138.9746015116521</v>
      </c>
      <c r="AX102" s="100">
        <v>6.4110606226817737</v>
      </c>
      <c r="AY102" s="100">
        <v>3408.119827017631</v>
      </c>
      <c r="AZ102" s="100">
        <v>6.9129565697535824</v>
      </c>
      <c r="BA102" s="100">
        <v>3674.9277124810046</v>
      </c>
      <c r="BB102" s="100">
        <v>0.61854114013601535</v>
      </c>
      <c r="BC102" s="100">
        <v>328.81647009630575</v>
      </c>
      <c r="BD102" s="100">
        <v>9.2700172515792705</v>
      </c>
      <c r="BE102" s="100">
        <v>4927.9411709395408</v>
      </c>
      <c r="BF102" s="100">
        <v>3.4914364561974689</v>
      </c>
      <c r="BG102" s="100">
        <v>1856.0476201145746</v>
      </c>
      <c r="BH102" s="100">
        <v>6.9399452838597293</v>
      </c>
      <c r="BI102" s="100">
        <v>3689.2749128998321</v>
      </c>
      <c r="BJ102" s="100">
        <v>7.7556239176414357</v>
      </c>
      <c r="BK102" s="100">
        <v>4122.8896746181872</v>
      </c>
      <c r="BL102" s="100">
        <v>6.5939180467774232</v>
      </c>
      <c r="BM102" s="100">
        <v>3505.3268336668784</v>
      </c>
      <c r="BN102" s="100">
        <v>0.65307683952555873</v>
      </c>
      <c r="BO102" s="100">
        <v>347.17564789178704</v>
      </c>
      <c r="BP102" s="100">
        <v>9.2909393565920499</v>
      </c>
      <c r="BQ102" s="100">
        <v>4939.063361964334</v>
      </c>
      <c r="BR102" s="100">
        <v>9</v>
      </c>
      <c r="BS102" s="100">
        <v>4784.4000000000005</v>
      </c>
      <c r="BT102" s="100">
        <v>9.2352809945203624</v>
      </c>
      <c r="BU102" s="100">
        <v>4909.4753766870244</v>
      </c>
      <c r="BV102" s="100">
        <v>7.6436314838993633</v>
      </c>
      <c r="BW102" s="100">
        <v>4063.3544968409019</v>
      </c>
      <c r="BX102" s="100">
        <v>6.6034125495675298</v>
      </c>
      <c r="BY102" s="100">
        <v>3510.3741113500992</v>
      </c>
      <c r="BZ102" s="100">
        <v>0.61720806975632392</v>
      </c>
      <c r="CA102" s="100">
        <v>328.10780988246182</v>
      </c>
      <c r="CB102" s="100">
        <v>8.2660025411685467</v>
      </c>
      <c r="CC102" s="100">
        <v>4394.2069508852001</v>
      </c>
      <c r="CD102" s="100">
        <v>10</v>
      </c>
      <c r="CE102" s="100">
        <v>5316</v>
      </c>
      <c r="CF102" s="100">
        <v>7.5193224537285817</v>
      </c>
      <c r="CG102" s="100">
        <v>3997.2718164021144</v>
      </c>
      <c r="CH102" s="100">
        <v>7.4899033802215529</v>
      </c>
      <c r="CI102" s="100">
        <v>3981.6326369257777</v>
      </c>
      <c r="CJ102" s="100">
        <v>6.7645215128427756</v>
      </c>
      <c r="CK102" s="100">
        <v>3596.0196362272195</v>
      </c>
      <c r="CL102" s="100">
        <v>8.3718496271739387</v>
      </c>
      <c r="CM102" s="100">
        <v>4450.4752618056664</v>
      </c>
      <c r="CN102" s="100">
        <v>6.3192643653079097</v>
      </c>
      <c r="CO102" s="100">
        <v>3359.320936597685</v>
      </c>
      <c r="CP102" s="100">
        <v>0.5901737649675699</v>
      </c>
      <c r="CQ102" s="100">
        <v>313.73637345676019</v>
      </c>
      <c r="CR102" s="100">
        <v>12.222700832412331</v>
      </c>
      <c r="CS102" s="100">
        <v>6497.5877625103949</v>
      </c>
      <c r="CT102" s="100">
        <v>2.7222684464800895</v>
      </c>
      <c r="CU102" s="100">
        <v>1447.1579061488155</v>
      </c>
    </row>
    <row r="103" spans="2:99">
      <c r="C103" s="99" t="s">
        <v>269</v>
      </c>
      <c r="D103" s="100">
        <v>8.1400602804784761</v>
      </c>
      <c r="E103" s="100">
        <v>4796.1235172579172</v>
      </c>
      <c r="F103" s="100">
        <v>6.2092369689568772</v>
      </c>
      <c r="G103" s="100">
        <v>3658.4824221093918</v>
      </c>
      <c r="H103" s="100">
        <v>7.2649621258024588</v>
      </c>
      <c r="I103" s="100">
        <v>4280.5156845228084</v>
      </c>
      <c r="J103" s="100">
        <v>7.1346247654990052</v>
      </c>
      <c r="K103" s="100">
        <v>4203.7209118320134</v>
      </c>
      <c r="L103" s="100">
        <v>6.6533265867264486</v>
      </c>
      <c r="M103" s="100">
        <v>3920.1400248992231</v>
      </c>
      <c r="N103" s="100">
        <v>0.62739286048739984</v>
      </c>
      <c r="O103" s="100">
        <v>369.65987339917592</v>
      </c>
      <c r="P103" s="100">
        <v>10.326790649947467</v>
      </c>
      <c r="Q103" s="100">
        <v>6084.5450509490474</v>
      </c>
      <c r="R103" s="100">
        <v>2.5344984484471951</v>
      </c>
      <c r="S103" s="100">
        <v>1493.3264858250873</v>
      </c>
      <c r="T103" s="100">
        <v>10.357775676904438</v>
      </c>
      <c r="U103" s="100">
        <v>6102.8014288320946</v>
      </c>
      <c r="V103" s="100">
        <v>2.475346796868191</v>
      </c>
      <c r="W103" s="100">
        <v>1458.474332714738</v>
      </c>
      <c r="X103" s="100">
        <v>10.322778328683022</v>
      </c>
      <c r="Y103" s="100">
        <v>6082.1809912600356</v>
      </c>
      <c r="Z103" s="100">
        <v>6</v>
      </c>
      <c r="AA103" s="100">
        <v>3535.2</v>
      </c>
      <c r="AB103" s="100">
        <v>10.363546789838933</v>
      </c>
      <c r="AC103" s="100">
        <v>6106.2017685730989</v>
      </c>
      <c r="AD103" s="100">
        <v>0.58904055810172951</v>
      </c>
      <c r="AE103" s="100">
        <v>347.06269683353901</v>
      </c>
      <c r="AF103" s="100">
        <v>10.300019168421411</v>
      </c>
      <c r="AG103" s="100">
        <v>6068.7712940338943</v>
      </c>
      <c r="AH103" s="100">
        <v>6</v>
      </c>
      <c r="AI103" s="100">
        <v>3535.2</v>
      </c>
      <c r="AJ103" s="100">
        <v>10.202545107865273</v>
      </c>
      <c r="AK103" s="100">
        <v>6011.3395775542185</v>
      </c>
      <c r="AL103" s="100">
        <v>7.9801864778920955</v>
      </c>
      <c r="AM103" s="100">
        <v>4701.9258727740225</v>
      </c>
      <c r="AN103" s="100">
        <v>8.3513038460614073</v>
      </c>
      <c r="AO103" s="100">
        <v>4920.5882260993803</v>
      </c>
      <c r="AP103" s="100">
        <v>8.4273148105540461</v>
      </c>
      <c r="AQ103" s="100">
        <v>4965.3738863784438</v>
      </c>
      <c r="AR103" s="100">
        <v>6.5628540577389582</v>
      </c>
      <c r="AS103" s="100">
        <v>3866.8336108197936</v>
      </c>
      <c r="AT103" s="100">
        <v>7.0703874486654854</v>
      </c>
      <c r="AU103" s="100">
        <v>4165.8722847537038</v>
      </c>
      <c r="AV103" s="100">
        <v>6.7986068460222038</v>
      </c>
      <c r="AW103" s="100">
        <v>4005.7391536762821</v>
      </c>
      <c r="AX103" s="100">
        <v>6.5220750737757323</v>
      </c>
      <c r="AY103" s="100">
        <v>3842.8066334686609</v>
      </c>
      <c r="AZ103" s="100">
        <v>7.3885799768221103</v>
      </c>
      <c r="BA103" s="100">
        <v>4353.3513223435866</v>
      </c>
      <c r="BB103" s="100">
        <v>0.53033617091334784</v>
      </c>
      <c r="BC103" s="100">
        <v>312.47407190214449</v>
      </c>
      <c r="BD103" s="100">
        <v>9.2700172515792705</v>
      </c>
      <c r="BE103" s="100">
        <v>5461.8941646305057</v>
      </c>
      <c r="BF103" s="100">
        <v>3.4914364561974689</v>
      </c>
      <c r="BG103" s="100">
        <v>2057.1543599915485</v>
      </c>
      <c r="BH103" s="100">
        <v>7.6149686994183794</v>
      </c>
      <c r="BI103" s="100">
        <v>4486.7395576973086</v>
      </c>
      <c r="BJ103" s="100">
        <v>7.7604193061064075</v>
      </c>
      <c r="BK103" s="100">
        <v>4572.4390551578945</v>
      </c>
      <c r="BL103" s="100">
        <v>6.7121362957808426</v>
      </c>
      <c r="BM103" s="100">
        <v>3954.7907054740722</v>
      </c>
      <c r="BN103" s="100">
        <v>0.59848841571611922</v>
      </c>
      <c r="BO103" s="100">
        <v>352.62937453993737</v>
      </c>
      <c r="BP103" s="100">
        <v>8.2909393565920499</v>
      </c>
      <c r="BQ103" s="100">
        <v>4885.0214689040349</v>
      </c>
      <c r="BR103" s="100">
        <v>9</v>
      </c>
      <c r="BS103" s="100">
        <v>5302.7999999999993</v>
      </c>
      <c r="BT103" s="100">
        <v>8.4656742449769968</v>
      </c>
      <c r="BU103" s="100">
        <v>4987.975265140446</v>
      </c>
      <c r="BV103" s="100">
        <v>7.6436314838993633</v>
      </c>
      <c r="BW103" s="100">
        <v>4503.6276703135045</v>
      </c>
      <c r="BX103" s="100">
        <v>6.7265846631163191</v>
      </c>
      <c r="BY103" s="100">
        <v>3963.3036835081348</v>
      </c>
      <c r="BZ103" s="100">
        <v>0.56217585950873028</v>
      </c>
      <c r="CA103" s="100">
        <v>331.23401642254385</v>
      </c>
      <c r="CB103" s="100">
        <v>8.2660025411685467</v>
      </c>
      <c r="CC103" s="100">
        <v>4870.3286972565074</v>
      </c>
      <c r="CD103" s="100">
        <v>11</v>
      </c>
      <c r="CE103" s="100">
        <v>6481.1999999999989</v>
      </c>
      <c r="CF103" s="100">
        <v>7.5193224537285817</v>
      </c>
      <c r="CG103" s="100">
        <v>4430.3847897368796</v>
      </c>
      <c r="CH103" s="100">
        <v>6.7958313311040612</v>
      </c>
      <c r="CI103" s="100">
        <v>4004.1038202865125</v>
      </c>
      <c r="CJ103" s="100">
        <v>6.0433731625480789</v>
      </c>
      <c r="CK103" s="100">
        <v>3560.7554673733275</v>
      </c>
      <c r="CL103" s="100">
        <v>7.6789905822569287</v>
      </c>
      <c r="CM103" s="100">
        <v>4524.4612510657817</v>
      </c>
      <c r="CN103" s="100">
        <v>6.200522041625856</v>
      </c>
      <c r="CO103" s="100">
        <v>3653.3475869259537</v>
      </c>
      <c r="CP103" s="100">
        <v>0.52521553470414373</v>
      </c>
      <c r="CQ103" s="100">
        <v>309.45699304768146</v>
      </c>
      <c r="CR103" s="100">
        <v>12.259817637814384</v>
      </c>
      <c r="CS103" s="100">
        <v>7223.4845522002342</v>
      </c>
      <c r="CT103" s="100">
        <v>2.4355932995263347</v>
      </c>
      <c r="CU103" s="100">
        <v>1435.0515720809162</v>
      </c>
    </row>
    <row r="104" spans="2:99">
      <c r="C104" s="99" t="s">
        <v>270</v>
      </c>
      <c r="D104" s="100">
        <v>8.7698561204083116</v>
      </c>
      <c r="E104" s="100">
        <v>5546.0570105462157</v>
      </c>
      <c r="F104" s="100">
        <v>6.0986973079073339</v>
      </c>
      <c r="G104" s="100">
        <v>3856.8161775205976</v>
      </c>
      <c r="H104" s="100">
        <v>7.414068023584738</v>
      </c>
      <c r="I104" s="100">
        <v>4688.6566181149883</v>
      </c>
      <c r="J104" s="100">
        <v>6.6430040131841883</v>
      </c>
      <c r="K104" s="100">
        <v>4201.0357379376801</v>
      </c>
      <c r="L104" s="100">
        <v>8.646960457580116</v>
      </c>
      <c r="M104" s="100">
        <v>5468.3377933736656</v>
      </c>
      <c r="N104" s="100">
        <v>0.748444629005665</v>
      </c>
      <c r="O104" s="100">
        <v>473.31638338318254</v>
      </c>
      <c r="P104" s="100">
        <v>11.326790649947467</v>
      </c>
      <c r="Q104" s="100">
        <v>7163.0624070267777</v>
      </c>
      <c r="R104" s="100">
        <v>2.5344984484471951</v>
      </c>
      <c r="S104" s="100">
        <v>1602.8168187980061</v>
      </c>
      <c r="T104" s="100">
        <v>10.357775676904438</v>
      </c>
      <c r="U104" s="100">
        <v>6550.257338074367</v>
      </c>
      <c r="V104" s="100">
        <v>2.1082972553886665</v>
      </c>
      <c r="W104" s="100">
        <v>1333.2871843077926</v>
      </c>
      <c r="X104" s="100">
        <v>11.322778328683022</v>
      </c>
      <c r="Y104" s="100">
        <v>7160.5250150591428</v>
      </c>
      <c r="Z104" s="100">
        <v>6</v>
      </c>
      <c r="AA104" s="100">
        <v>3794.3999999999996</v>
      </c>
      <c r="AB104" s="100">
        <v>8.7691549760175604</v>
      </c>
      <c r="AC104" s="100">
        <v>5545.6136068335054</v>
      </c>
      <c r="AD104" s="100">
        <v>0.59112619774047281</v>
      </c>
      <c r="AE104" s="100">
        <v>373.828207451075</v>
      </c>
      <c r="AF104" s="100">
        <v>9.2700172515792705</v>
      </c>
      <c r="AG104" s="100">
        <v>5862.3589098987304</v>
      </c>
      <c r="AH104" s="100">
        <v>6</v>
      </c>
      <c r="AI104" s="100">
        <v>3794.3999999999996</v>
      </c>
      <c r="AJ104" s="100">
        <v>9.3523330155431665</v>
      </c>
      <c r="AK104" s="100">
        <v>5914.4153990294981</v>
      </c>
      <c r="AL104" s="100">
        <v>7.880606869241535</v>
      </c>
      <c r="AM104" s="100">
        <v>4983.6957841083467</v>
      </c>
      <c r="AN104" s="100">
        <v>7.747075801736508</v>
      </c>
      <c r="AO104" s="100">
        <v>4899.2507370181675</v>
      </c>
      <c r="AP104" s="100">
        <v>7.5722782289375044</v>
      </c>
      <c r="AQ104" s="100">
        <v>4788.708751980078</v>
      </c>
      <c r="AR104" s="100">
        <v>7.0887866634037531</v>
      </c>
      <c r="AS104" s="100">
        <v>4482.9486859365334</v>
      </c>
      <c r="AT104" s="100">
        <v>7.2015695241487689</v>
      </c>
      <c r="AU104" s="100">
        <v>4554.2725670716809</v>
      </c>
      <c r="AV104" s="100">
        <v>6.6631733365653076</v>
      </c>
      <c r="AW104" s="100">
        <v>4213.7908180439008</v>
      </c>
      <c r="AX104" s="100">
        <v>6.5220750737757323</v>
      </c>
      <c r="AY104" s="100">
        <v>4124.5602766557731</v>
      </c>
      <c r="AZ104" s="100">
        <v>6.9129565697535824</v>
      </c>
      <c r="BA104" s="100">
        <v>4371.7537347121652</v>
      </c>
      <c r="BB104" s="100">
        <v>0.61854114013601535</v>
      </c>
      <c r="BC104" s="100">
        <v>391.16541702201607</v>
      </c>
      <c r="BD104" s="100">
        <v>9.2700172515792705</v>
      </c>
      <c r="BE104" s="100">
        <v>5862.3589098987304</v>
      </c>
      <c r="BF104" s="100">
        <v>3.4914364561974689</v>
      </c>
      <c r="BG104" s="100">
        <v>2207.9844148992793</v>
      </c>
      <c r="BH104" s="100">
        <v>7.5719566121776056</v>
      </c>
      <c r="BI104" s="100">
        <v>4788.505361541118</v>
      </c>
      <c r="BJ104" s="100">
        <v>8.9539012729009269</v>
      </c>
      <c r="BK104" s="100">
        <v>5662.4471649825464</v>
      </c>
      <c r="BL104" s="100">
        <v>6.4756997977740021</v>
      </c>
      <c r="BM104" s="100">
        <v>4095.2325521122789</v>
      </c>
      <c r="BN104" s="100">
        <v>0.59914983111202469</v>
      </c>
      <c r="BO104" s="100">
        <v>378.90235319524442</v>
      </c>
      <c r="BP104" s="100">
        <v>9.3232659517689438</v>
      </c>
      <c r="BQ104" s="100">
        <v>5896.0333878986794</v>
      </c>
      <c r="BR104" s="100">
        <v>8</v>
      </c>
      <c r="BS104" s="100">
        <v>5059.2</v>
      </c>
      <c r="BT104" s="100">
        <v>8.4656742449769968</v>
      </c>
      <c r="BU104" s="100">
        <v>5353.6923925234523</v>
      </c>
      <c r="BV104" s="100">
        <v>7.7204740930425082</v>
      </c>
      <c r="BW104" s="100">
        <v>4882.4278164400821</v>
      </c>
      <c r="BX104" s="100">
        <v>6.6034125495675298</v>
      </c>
      <c r="BY104" s="100">
        <v>4175.9980963465059</v>
      </c>
      <c r="BZ104" s="100">
        <v>0.67421590617604987</v>
      </c>
      <c r="CA104" s="100">
        <v>426.37413906573391</v>
      </c>
      <c r="CB104" s="100">
        <v>8.2216687843071217</v>
      </c>
      <c r="CC104" s="100">
        <v>5199.3833391958233</v>
      </c>
      <c r="CD104" s="100">
        <v>10</v>
      </c>
      <c r="CE104" s="100">
        <v>6324</v>
      </c>
      <c r="CF104" s="100">
        <v>6.5794071470125086</v>
      </c>
      <c r="CG104" s="100">
        <v>4160.8170797707107</v>
      </c>
      <c r="CH104" s="100">
        <v>6.9407204911749139</v>
      </c>
      <c r="CI104" s="100">
        <v>4389.311638619015</v>
      </c>
      <c r="CJ104" s="100">
        <v>6.0981202308056375</v>
      </c>
      <c r="CK104" s="100">
        <v>3856.4512339614848</v>
      </c>
      <c r="CL104" s="100">
        <v>8.2647557425721487</v>
      </c>
      <c r="CM104" s="100">
        <v>5226.6315316026266</v>
      </c>
      <c r="CN104" s="100">
        <v>6.200522041625856</v>
      </c>
      <c r="CO104" s="100">
        <v>3921.2101391241913</v>
      </c>
      <c r="CP104" s="100">
        <v>0.5901737649675699</v>
      </c>
      <c r="CQ104" s="100">
        <v>373.22588896549121</v>
      </c>
      <c r="CR104" s="100">
        <v>10.259817637814384</v>
      </c>
      <c r="CS104" s="100">
        <v>6488.3086741538164</v>
      </c>
      <c r="CT104" s="100">
        <v>2.4355932995263347</v>
      </c>
      <c r="CU104" s="100">
        <v>1540.2692026204541</v>
      </c>
    </row>
    <row r="105" spans="2:99">
      <c r="C105" s="99" t="s">
        <v>271</v>
      </c>
      <c r="D105" s="100">
        <v>8.8669411539617151</v>
      </c>
      <c r="E105" s="100">
        <v>4937.1128345258821</v>
      </c>
      <c r="F105" s="100">
        <v>6.2092369689568772</v>
      </c>
      <c r="G105" s="100">
        <v>3457.303144315189</v>
      </c>
      <c r="H105" s="100">
        <v>7.414068023584738</v>
      </c>
      <c r="I105" s="100">
        <v>4128.1530755319818</v>
      </c>
      <c r="J105" s="100">
        <v>7.8181117944844916</v>
      </c>
      <c r="K105" s="100">
        <v>4353.1246471689647</v>
      </c>
      <c r="L105" s="100">
        <v>7.9077019479438446</v>
      </c>
      <c r="M105" s="100">
        <v>4403.0084446151322</v>
      </c>
      <c r="N105" s="100">
        <v>0.68791874474653236</v>
      </c>
      <c r="O105" s="100">
        <v>383.03315707486917</v>
      </c>
      <c r="P105" s="100">
        <v>11.290480577731081</v>
      </c>
      <c r="Q105" s="100">
        <v>6286.5395856806654</v>
      </c>
      <c r="R105" s="100">
        <v>2.5344984484471951</v>
      </c>
      <c r="S105" s="100">
        <v>1411.2087360953981</v>
      </c>
      <c r="T105" s="100">
        <v>10.527497636517491</v>
      </c>
      <c r="U105" s="100">
        <v>5861.7106840129391</v>
      </c>
      <c r="V105" s="100">
        <v>2.1082972553886665</v>
      </c>
      <c r="W105" s="100">
        <v>1173.8999118004094</v>
      </c>
      <c r="X105" s="100">
        <v>10.322778328683022</v>
      </c>
      <c r="Y105" s="100">
        <v>5747.7229734107059</v>
      </c>
      <c r="Z105" s="100">
        <v>7</v>
      </c>
      <c r="AA105" s="100">
        <v>3897.5999999999995</v>
      </c>
      <c r="AB105" s="100">
        <v>9.5663508829282478</v>
      </c>
      <c r="AC105" s="100">
        <v>5326.5441716144478</v>
      </c>
      <c r="AD105" s="100">
        <v>0.59112619774047281</v>
      </c>
      <c r="AE105" s="100">
        <v>329.13906690189526</v>
      </c>
      <c r="AF105" s="100">
        <v>11.27001725157927</v>
      </c>
      <c r="AG105" s="100">
        <v>6275.1456056793377</v>
      </c>
      <c r="AH105" s="100">
        <v>6</v>
      </c>
      <c r="AI105" s="100">
        <v>3340.7999999999997</v>
      </c>
      <c r="AJ105" s="100">
        <v>10.202545107865273</v>
      </c>
      <c r="AK105" s="100">
        <v>5680.7771160593838</v>
      </c>
      <c r="AL105" s="100">
        <v>8.5054707051879532</v>
      </c>
      <c r="AM105" s="100">
        <v>4735.8460886486519</v>
      </c>
      <c r="AN105" s="100">
        <v>8.2697672882380608</v>
      </c>
      <c r="AO105" s="100">
        <v>4604.6064260909516</v>
      </c>
      <c r="AP105" s="100">
        <v>8.4273148105540461</v>
      </c>
      <c r="AQ105" s="100">
        <v>4692.3288865164923</v>
      </c>
      <c r="AR105" s="100">
        <v>6.5628540577389582</v>
      </c>
      <c r="AS105" s="100">
        <v>3654.1971393490517</v>
      </c>
      <c r="AT105" s="100">
        <v>6.9616012145710764</v>
      </c>
      <c r="AU105" s="100">
        <v>3876.2195562731749</v>
      </c>
      <c r="AV105" s="100">
        <v>6.040201382879868</v>
      </c>
      <c r="AW105" s="100">
        <v>3363.18412998751</v>
      </c>
      <c r="AX105" s="100">
        <v>6.5220750737757323</v>
      </c>
      <c r="AY105" s="100">
        <v>3631.4914010783273</v>
      </c>
      <c r="AZ105" s="100">
        <v>6.3346320913008496</v>
      </c>
      <c r="BA105" s="100">
        <v>3527.1231484363129</v>
      </c>
      <c r="BB105" s="100">
        <v>0.53033617091334784</v>
      </c>
      <c r="BC105" s="100">
        <v>295.29117996455204</v>
      </c>
      <c r="BD105" s="100">
        <v>8.2700172515792705</v>
      </c>
      <c r="BE105" s="100">
        <v>4604.7456056793371</v>
      </c>
      <c r="BF105" s="100">
        <v>3.7835073336610172</v>
      </c>
      <c r="BG105" s="100">
        <v>2106.656883382454</v>
      </c>
      <c r="BH105" s="100">
        <v>7.6149686994183794</v>
      </c>
      <c r="BI105" s="100">
        <v>4240.0145718361537</v>
      </c>
      <c r="BJ105" s="100">
        <v>8.949105884435955</v>
      </c>
      <c r="BK105" s="100">
        <v>4982.862156453939</v>
      </c>
      <c r="BL105" s="100">
        <v>6.4756997977740021</v>
      </c>
      <c r="BM105" s="100">
        <v>3605.6696474005639</v>
      </c>
      <c r="BN105" s="100">
        <v>0.65241542412965314</v>
      </c>
      <c r="BO105" s="100">
        <v>363.26490815539086</v>
      </c>
      <c r="BP105" s="100">
        <v>8.2909393565920499</v>
      </c>
      <c r="BQ105" s="100">
        <v>4616.395033750453</v>
      </c>
      <c r="BR105" s="100">
        <v>9</v>
      </c>
      <c r="BS105" s="100">
        <v>5011.2</v>
      </c>
      <c r="BT105" s="100">
        <v>9.2352809945203624</v>
      </c>
      <c r="BU105" s="100">
        <v>5142.2044577489378</v>
      </c>
      <c r="BV105" s="100">
        <v>7.7204740930425082</v>
      </c>
      <c r="BW105" s="100">
        <v>4298.7599750060681</v>
      </c>
      <c r="BX105" s="100">
        <v>6.6034125495675298</v>
      </c>
      <c r="BY105" s="100">
        <v>3676.7801075992002</v>
      </c>
      <c r="BZ105" s="100">
        <v>0.72826030333757719</v>
      </c>
      <c r="CA105" s="100">
        <v>405.49533689836295</v>
      </c>
      <c r="CB105" s="100">
        <v>8.2216687843071217</v>
      </c>
      <c r="CC105" s="100">
        <v>4577.8251791022049</v>
      </c>
      <c r="CD105" s="100">
        <v>11</v>
      </c>
      <c r="CE105" s="100">
        <v>6124.7999999999993</v>
      </c>
      <c r="CF105" s="100">
        <v>7.5193224537285817</v>
      </c>
      <c r="CG105" s="100">
        <v>4186.7587422360739</v>
      </c>
      <c r="CH105" s="100">
        <v>6.7958313311040612</v>
      </c>
      <c r="CI105" s="100">
        <v>3783.918885158741</v>
      </c>
      <c r="CJ105" s="100">
        <v>6.7096241049509802</v>
      </c>
      <c r="CK105" s="100">
        <v>3735.9187016367055</v>
      </c>
      <c r="CL105" s="100">
        <v>8.478200570901457</v>
      </c>
      <c r="CM105" s="100">
        <v>4720.6620778779306</v>
      </c>
      <c r="CN105" s="100">
        <v>5.6703637980430805</v>
      </c>
      <c r="CO105" s="100">
        <v>3157.2585627503868</v>
      </c>
      <c r="CP105" s="100">
        <v>0.59096657819567477</v>
      </c>
      <c r="CQ105" s="100">
        <v>329.05019073935171</v>
      </c>
      <c r="CR105" s="100">
        <v>12.222700832412331</v>
      </c>
      <c r="CS105" s="100">
        <v>6805.5998234871849</v>
      </c>
      <c r="CT105" s="100">
        <v>2.7222684464800895</v>
      </c>
      <c r="CU105" s="100">
        <v>1515.7590710001136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273</v>
      </c>
      <c r="E109" s="100">
        <f>SUM(L$6:L$19)+SUM(N$6:N$19)+SUM(P$6:P$19)+SUM(R$6:R$19)</f>
        <v>280.19390224668894</v>
      </c>
      <c r="F109" s="100">
        <f>SUM(T$6:T$19)+SUM(V$6:V$19)+SUM(X$6:X$19)+SUM(Z$6:Z$19)</f>
        <v>259.13453153973859</v>
      </c>
      <c r="G109" s="100">
        <f>SUM(AB$6:AB$19)+SUM(AD$6:AD$19)+SUM(AF$6:AF$19)+SUM(AH$6:AH$19)</f>
        <v>364.56065089125417</v>
      </c>
      <c r="H109" s="100">
        <f>SUM(AJ$6:AJ$19)+SUM(AL$6:AL$19)+SUM(AN$6:AN$19)+SUM(AP$6:AP$19)</f>
        <v>299.35118610146941</v>
      </c>
      <c r="I109" s="100">
        <f>SUM(AR$6:AR$19)+SUM(AT$6:AT$19)+SUM(AV$6:AV$19)+SUM(AX$6:AX$19)</f>
        <v>202.11668766993617</v>
      </c>
      <c r="J109" s="100">
        <f>SUM(AZ$6:AZ$19)+SUM(BB$6:BB$19)+SUM(BD$6:BD$19)+SUM(BF$6:BF$19)</f>
        <v>313.6696522439687</v>
      </c>
      <c r="K109" s="100">
        <f>SUM(BH$6:BH$19)+SUM(BJ$6:BJ$19)+SUM(BL$6:BL$19)+SUM(BN$6:BN$19)</f>
        <v>282.65029647999529</v>
      </c>
      <c r="L109" s="100">
        <f>SUM(BP$6:BP$19)+SUM(BR$6:BR$19)+SUM(BT$6:BT$19)+SUM(BV$6:BV$19)</f>
        <v>295.5066367123186</v>
      </c>
      <c r="M109" s="100">
        <f>SUM(BX$6:BX$19)+SUM(BZ$6:BZ$19)+SUM(CB$6:CB$19)+SUM(CD$6:CD$19)</f>
        <v>375.46348098249962</v>
      </c>
      <c r="N109" s="100">
        <f>SUM(CF$6:CF$19)+SUM(CH$6:CH$19)+SUM(CJ$6:CJ$19)+SUM(CL$6:CL$19)</f>
        <v>405.32537903850738</v>
      </c>
      <c r="O109" s="100">
        <f>SUM(CN$6:CN$19)+SUM(CP$6:CP$19)+SUM(CR$6:CR$19)+SUM(CT$6:CT$19)</f>
        <v>192.1018910953407</v>
      </c>
    </row>
    <row r="110" spans="2:99">
      <c r="C110" s="99" t="s">
        <v>127</v>
      </c>
      <c r="D110" s="100">
        <f>SUM(D$20:D$36)+SUM(F$20:F$36)+SUM(H$20:H$36)+SUM(J$20:J$36)</f>
        <v>536</v>
      </c>
      <c r="E110" s="100">
        <f>SUM(L$20:L$36)+SUM(N$20:N$36)+SUM(P$20:P$36)+SUM(R$20:R$36)</f>
        <v>435.18830936557504</v>
      </c>
      <c r="F110" s="100">
        <f>SUM(T$20:T$36)+SUM(V$20:V$36)+SUM(X$20:X$36)+SUM(Z$20:Z$36)</f>
        <v>422.84382229085071</v>
      </c>
      <c r="G110" s="100">
        <f>SUM(AB$20:AB$36)+SUM(AD$20:AD$36)+SUM(AF$20:AF$36)+SUM(AH$20:AH$36)</f>
        <v>435.62541788281254</v>
      </c>
      <c r="H110" s="100">
        <f>SUM(AJ$20:AJ$36)+SUM(AL$20:AL$36)+SUM(AN$20:AN$36)+SUM(AP$20:AP$36)</f>
        <v>521.34250569069195</v>
      </c>
      <c r="I110" s="100">
        <f>SUM(AR$20:AR$36)+SUM(AT$20:AT$36)+SUM(AV$20:AV$36)+SUM(AX$20:AX$36)</f>
        <v>260.50574096866404</v>
      </c>
      <c r="J110" s="100">
        <f>SUM(AZ$20:AZ$36)+SUM(BB$20:BB$36)+SUM(BD$20:BD$36)+SUM(BF$20:BF$36)</f>
        <v>368.56121477253799</v>
      </c>
      <c r="K110" s="100">
        <f>SUM(BH$20:BH$36)+SUM(BJ$20:BJ$36)+SUM(BL$20:BL$36)+SUM(BN$20:BN$36)</f>
        <v>378.76381197062432</v>
      </c>
      <c r="L110" s="100">
        <f>SUM(BP$20:BP$36)+SUM(BR$20:BR$36)+SUM(BT$20:BT$36)+SUM(BV$20:BV$36)</f>
        <v>339.10834183793457</v>
      </c>
      <c r="M110" s="100">
        <f>SUM(BX$20:BX$36)+SUM(BZ$20:BZ$36)+SUM(CB$20:CB$36)+SUM(CD$20:CD$36)</f>
        <v>459.09055712315001</v>
      </c>
      <c r="N110" s="100">
        <f>SUM(CF$20:CF$36)+SUM(CH$20:CH$36)+SUM(CJ$20:CJ$36)+SUM(CL$20:CL$36)</f>
        <v>590.29426109021347</v>
      </c>
      <c r="O110" s="100">
        <f>SUM(CN$20:CN$36)+SUM(CP$20:CP$36)+SUM(CR$20:CR$36)+SUM(CT$20:CT$36)</f>
        <v>224.64784465505252</v>
      </c>
    </row>
    <row r="111" spans="2:99">
      <c r="C111" s="99" t="s">
        <v>128</v>
      </c>
      <c r="D111" s="100">
        <f>SUM(D$37:D$48)+SUM(F$37:F$48)+SUM(H$37:H$48)+SUM(J$37:J$48)</f>
        <v>745</v>
      </c>
      <c r="E111" s="100">
        <f>SUM(L$37:L$48)+SUM(N$37:N$48)+SUM(P$37:P$48)+SUM(R$37:R$48)</f>
        <v>572.65339000059384</v>
      </c>
      <c r="F111" s="100">
        <f>SUM(T$37:T$48)+SUM(V$37:V$48)+SUM(X$37:X$48)+SUM(Z$37:Z$48)</f>
        <v>500.16949628195368</v>
      </c>
      <c r="G111" s="100">
        <f>SUM(AB$37:AB$48)+SUM(AD$37:AD$48)+SUM(AF$37:AF$48)+SUM(AH$37:AH$48)</f>
        <v>553.09847753145459</v>
      </c>
      <c r="H111" s="100">
        <f>SUM(AJ$37:AJ$48)+SUM(AL$37:AL$48)+SUM(AN$37:AN$48)+SUM(AP$37:AP$48)</f>
        <v>671.73352353708151</v>
      </c>
      <c r="I111" s="100">
        <f>SUM(AR$37:AR$48)+SUM(AT$37:AT$48)+SUM(AV$37:AV$48)+SUM(AX$37:AX$48)</f>
        <v>302.9813731885688</v>
      </c>
      <c r="J111" s="100">
        <f>SUM(AZ$37:AZ$48)+SUM(BB$37:BB$48)+SUM(BD$37:BD$48)+SUM(BF$37:BF$48)</f>
        <v>575.02481824634788</v>
      </c>
      <c r="K111" s="100">
        <f>SUM(BH$37:BH$48)+SUM(BJ$37:BJ$48)+SUM(BL$37:BL$48)+SUM(BN$37:BN$48)</f>
        <v>452.65745636003396</v>
      </c>
      <c r="L111" s="100">
        <f>SUM(BP$37:BP$48)+SUM(BR$37:BR$48)+SUM(BT$37:BT$48)+SUM(BV$37:BV$48)</f>
        <v>472.3963253195792</v>
      </c>
      <c r="M111" s="100">
        <f>SUM(BX$37:BX$48)+SUM(BZ$37:BZ$48)+SUM(CB$37:CB$48)+SUM(CD$37:CD$48)</f>
        <v>531.72441034192718</v>
      </c>
      <c r="N111" s="100">
        <f>SUM(CF$37:CF$48)+SUM(CH$37:CH$48)+SUM(CJ$37:CJ$48)+SUM(CL$37:CL$48)</f>
        <v>648.01914985397252</v>
      </c>
      <c r="O111" s="100">
        <f>SUM(CN$37:CN$48)+SUM(CP$37:CP$48)+SUM(CR$37:CR$48)+SUM(CT$37:CT$48)</f>
        <v>347.55855158741753</v>
      </c>
    </row>
    <row r="112" spans="2:99">
      <c r="C112" s="99" t="s">
        <v>129</v>
      </c>
      <c r="D112" s="100">
        <f>SUM(D$49:D$70)+SUM(F$49:F$70)+SUM(H$49:H$70)+SUM(J$49:J$70)</f>
        <v>650.35025072876874</v>
      </c>
      <c r="E112" s="100">
        <f>SUM(L$49:L$70)+SUM(N$49:N$70)+SUM(P$49:P$70)+SUM(R$49:R$70)</f>
        <v>428.88907291827041</v>
      </c>
      <c r="F112" s="100">
        <f>SUM(T$49:T$70)+SUM(V$49:V$70)+SUM(X$49:X$70)+SUM(Z$49:Z$70)</f>
        <v>663.26710528955846</v>
      </c>
      <c r="G112" s="100">
        <f>SUM(AB$49:AB$70)+SUM(AD$49:AD$70)+SUM(AF$49:AF$70)+SUM(AH$49:AH$70)</f>
        <v>452.80969174924411</v>
      </c>
      <c r="H112" s="100">
        <f>SUM(AJ$49:AJ$70)+SUM(AL$49:AL$70)+SUM(AN$49:AN$70)+SUM(AP$49:AP$70)</f>
        <v>554.80277410333213</v>
      </c>
      <c r="I112" s="100">
        <f>SUM(AR$49:AR$70)+SUM(AT$49:AT$70)+SUM(AV$49:AV$70)+SUM(AX$49:AX$70)</f>
        <v>405.04977632579903</v>
      </c>
      <c r="J112" s="100">
        <f>SUM(AZ$49:AZ$70)+SUM(BB$49:BB$70)+SUM(BD$49:BD$70)+SUM(BF$49:BF$70)</f>
        <v>500.11604893396316</v>
      </c>
      <c r="K112" s="100">
        <f>SUM(BH$49:BH$70)+SUM(BJ$49:BJ$70)+SUM(BL$49:BL$70)+SUM(BN$49:BN$70)</f>
        <v>446.79701236808398</v>
      </c>
      <c r="L112" s="100">
        <f>SUM(BP$49:BP$70)+SUM(BR$49:BR$70)+SUM(BT$49:BT$70)+SUM(BV$49:BV$70)</f>
        <v>516.14999192030052</v>
      </c>
      <c r="M112" s="100">
        <f>SUM(BX$49:BX$70)+SUM(BZ$49:BZ$70)+SUM(CB$49:CB$70)+SUM(CD$49:CD$70)</f>
        <v>541.18159286951936</v>
      </c>
      <c r="N112" s="100">
        <f>SUM(CF$49:CF$70)+SUM(CH$49:CH$70)+SUM(CJ$49:CJ$70)+SUM(CL$49:CL$70)</f>
        <v>690.75023554272934</v>
      </c>
      <c r="O112" s="100">
        <f>SUM(CN$49:CN$70)+SUM(CP$49:CP$70)+SUM(CR$49:CR$70)+SUM(CT$49:CT$70)</f>
        <v>338.02149861692033</v>
      </c>
    </row>
    <row r="113" spans="2:15">
      <c r="C113" s="99" t="s">
        <v>130</v>
      </c>
      <c r="D113" s="100">
        <f>SUM(D$71:D$86)+SUM(F$71:F$86)+SUM(H$71:H$86)+SUM(J$71:J$86)</f>
        <v>347.54680054560623</v>
      </c>
      <c r="E113" s="100">
        <f>SUM(L$71:L$86)+SUM(N$71:N$86)+SUM(P$71:P$86)+SUM(R$71:R$86)</f>
        <v>380.74594444219684</v>
      </c>
      <c r="F113" s="100">
        <f>SUM(T$71:T$86)+SUM(V$71:V$86)+SUM(X$71:X$86)+SUM(Z$71:Z$86)</f>
        <v>352.68315993071877</v>
      </c>
      <c r="G113" s="100">
        <f>SUM(AB$71:AB$86)+SUM(AD$71:AD$86)+SUM(AF$71:AF$86)+SUM(AH$71:AH$86)</f>
        <v>397.49641646828002</v>
      </c>
      <c r="H113" s="100">
        <f>SUM(AJ$71:AJ$86)+SUM(AL$71:AL$86)+SUM(AN$71:AN$86)+SUM(AP$71:AP$86)</f>
        <v>293.14984782394015</v>
      </c>
      <c r="I113" s="100">
        <f>SUM(AR$71:AR$86)+SUM(AT$71:AT$86)+SUM(AV$71:AV$86)+SUM(AX$71:AX$86)</f>
        <v>361.30657036948901</v>
      </c>
      <c r="J113" s="100">
        <f>SUM(AZ$71:AZ$86)+SUM(BB$71:BB$86)+SUM(BD$71:BD$86)+SUM(BF$71:BF$86)</f>
        <v>328.84871972882496</v>
      </c>
      <c r="K113" s="100">
        <f>SUM(BH$71:BH$86)+SUM(BJ$71:BJ$86)+SUM(BL$71:BL$86)+SUM(BN$71:BN$86)</f>
        <v>300.44405119662866</v>
      </c>
      <c r="L113" s="100">
        <f>SUM(BP$71:BP$86)+SUM(BR$71:BR$86)+SUM(BT$71:BT$86)+SUM(BV$71:BV$86)</f>
        <v>368.62276419715317</v>
      </c>
      <c r="M113" s="100">
        <f>SUM(BX$71:BX$86)+SUM(BZ$71:BZ$86)+SUM(CB$71:CB$86)+SUM(CD$71:CD$86)</f>
        <v>307.09068338734437</v>
      </c>
      <c r="N113" s="100">
        <f>SUM(CF$71:CF$86)+SUM(CH$71:CH$86)+SUM(CJ$71:CJ$86)+SUM(CL$71:CL$86)</f>
        <v>381.94387677530568</v>
      </c>
      <c r="O113" s="100">
        <f>SUM(CN$71:CN$86)+SUM(CP$71:CP$86)+SUM(CR$71:CR$86)+SUM(CT$71:CT$86)</f>
        <v>425.16460423593065</v>
      </c>
    </row>
    <row r="114" spans="2:15">
      <c r="C114" s="99" t="s">
        <v>131</v>
      </c>
      <c r="D114" s="100">
        <f>SUM(D$87:D$94)+SUM(F$87:F$94)+SUM(H$87:H$94)+SUM(J$87:J$94)</f>
        <v>147.46948148856313</v>
      </c>
      <c r="E114" s="100">
        <f>SUM(L$87:L$94)+SUM(N$87:N$94)+SUM(P$87:P$94)+SUM(R$87:R$94)</f>
        <v>112.0235547505888</v>
      </c>
      <c r="F114" s="100">
        <f>SUM(T$87:T$94)+SUM(V$87:V$94)+SUM(X$87:X$94)+SUM(Z$87:Z$94)</f>
        <v>174.90954310087926</v>
      </c>
      <c r="G114" s="100">
        <f>SUM(AB$87:AB$94)+SUM(AD$87:AD$94)+SUM(AF$87:AF$94)+SUM(AH$87:AH$94)</f>
        <v>126.49375351930748</v>
      </c>
      <c r="H114" s="100">
        <f>SUM(AJ$87:AJ$94)+SUM(AL$87:AL$94)+SUM(AN$87:AN$94)+SUM(AP$87:AP$94)</f>
        <v>124.29983812232908</v>
      </c>
      <c r="I114" s="100">
        <f>SUM(AR$87:AR$94)+SUM(AT$87:AT$94)+SUM(AV$87:AV$94)+SUM(AX$87:AX$94)</f>
        <v>156.45856210251492</v>
      </c>
      <c r="J114" s="100">
        <f>SUM(AZ$87:AZ$94)+SUM(BB$87:BB$94)+SUM(BD$87:BD$94)+SUM(BF$87:BF$94)</f>
        <v>96.950412877469816</v>
      </c>
      <c r="K114" s="100">
        <f>SUM(BH$87:BH$94)+SUM(BJ$87:BJ$94)+SUM(BL$87:BL$94)+SUM(BN$87:BN$94)</f>
        <v>106.31099682468643</v>
      </c>
      <c r="L114" s="100">
        <f>SUM(BP$87:BP$94)+SUM(BR$87:BR$94)+SUM(BT$87:BT$94)+SUM(BV$87:BV$94)</f>
        <v>158.75095842658391</v>
      </c>
      <c r="M114" s="100">
        <f>SUM(BX$87:BX$94)+SUM(BZ$87:BZ$94)+SUM(CB$87:CB$94)+SUM(CD$87:CD$94)</f>
        <v>140.68297565607307</v>
      </c>
      <c r="N114" s="100">
        <f>SUM(CF$87:CF$94)+SUM(CH$87:CH$94)+SUM(CJ$87:CJ$94)+SUM(CL$87:CL$94)</f>
        <v>154.50882031801115</v>
      </c>
      <c r="O114" s="100">
        <f>SUM(CN$87:CN$94)+SUM(CP$87:CP$94)+SUM(CR$87:CR$94)+SUM(CT$87:CT$94)</f>
        <v>106.92930464516462</v>
      </c>
    </row>
    <row r="115" spans="2:15">
      <c r="C115" s="99" t="s">
        <v>132</v>
      </c>
      <c r="D115" s="100">
        <f>SUM(D$95:D$105)+SUM(F$95:F$105)+SUM(H$95:H$105)+SUM(J$95:J$105)</f>
        <v>315.17620169272919</v>
      </c>
      <c r="E115" s="100">
        <f>SUM(L$95:L$105)+SUM(N$95:N$105)+SUM(P$95:P$105)+SUM(R$95:R$105)</f>
        <v>234.06913326938894</v>
      </c>
      <c r="F115" s="100">
        <f>SUM(T$95:T$105)+SUM(V$95:V$105)+SUM(X$95:X$105)+SUM(Z$95:Z$105)</f>
        <v>325.9148304465175</v>
      </c>
      <c r="G115" s="100">
        <f>SUM(AB$95:AB$105)+SUM(AD$95:AD$105)+SUM(AF$95:AF$105)+SUM(AH$95:AH$105)</f>
        <v>292.23458018313443</v>
      </c>
      <c r="H115" s="100">
        <f>SUM(AJ$95:AJ$105)+SUM(AL$95:AL$105)+SUM(AN$95:AN$105)+SUM(AP$95:AP$105)</f>
        <v>362.0691930754212</v>
      </c>
      <c r="I115" s="100">
        <f>SUM(AR$95:AR$105)+SUM(AT$95:AT$105)+SUM(AV$95:AV$105)+SUM(AX$95:AX$105)</f>
        <v>291.0228948916515</v>
      </c>
      <c r="J115" s="100">
        <f>SUM(AZ$95:AZ$105)+SUM(BB$95:BB$105)+SUM(BD$95:BD$105)+SUM(BF$95:BF$105)</f>
        <v>215.65171014772926</v>
      </c>
      <c r="K115" s="100">
        <f>SUM(BH$95:BH$105)+SUM(BJ$95:BJ$105)+SUM(BL$95:BL$105)+SUM(BN$95:BN$105)</f>
        <v>247.14231261333251</v>
      </c>
      <c r="L115" s="100">
        <f>SUM(BP$95:BP$105)+SUM(BR$95:BR$105)+SUM(BT$95:BT$105)+SUM(BV$95:BV$105)</f>
        <v>370.0274361242665</v>
      </c>
      <c r="M115" s="100">
        <f>SUM(BX$95:BX$105)+SUM(BZ$95:BZ$105)+SUM(CB$95:CB$105)+SUM(CD$95:CD$105)</f>
        <v>276.60515696163941</v>
      </c>
      <c r="N115" s="100">
        <f>SUM(CF$95:CF$105)+SUM(CH$95:CH$105)+SUM(CJ$95:CJ$105)+SUM(CL$95:CL$105)</f>
        <v>310.02524473580206</v>
      </c>
      <c r="O115" s="100">
        <f>SUM(CN$95:CN$105)+SUM(CP$95:CP$105)+SUM(CR$95:CR$105)+SUM(CT$95:CT$105)</f>
        <v>226.36181350198493</v>
      </c>
    </row>
    <row r="116" spans="2:15">
      <c r="C116" s="99" t="s">
        <v>278</v>
      </c>
      <c r="D116" s="100">
        <f t="shared" ref="D116:O116" si="0">SUM(D$109:D$115)</f>
        <v>3014.542734455667</v>
      </c>
      <c r="E116" s="100">
        <f t="shared" si="0"/>
        <v>2443.7633069933031</v>
      </c>
      <c r="F116" s="100">
        <f t="shared" si="0"/>
        <v>2698.9224888802169</v>
      </c>
      <c r="G116" s="100">
        <f t="shared" si="0"/>
        <v>2622.3189882254874</v>
      </c>
      <c r="H116" s="100">
        <f t="shared" si="0"/>
        <v>2826.7488684542654</v>
      </c>
      <c r="I116" s="100">
        <f t="shared" si="0"/>
        <v>1979.4416055166234</v>
      </c>
      <c r="J116" s="100">
        <f t="shared" si="0"/>
        <v>2398.8225769508417</v>
      </c>
      <c r="K116" s="100">
        <f t="shared" si="0"/>
        <v>2214.7659378133849</v>
      </c>
      <c r="L116" s="100">
        <f t="shared" si="0"/>
        <v>2520.5624545381365</v>
      </c>
      <c r="M116" s="100">
        <f t="shared" si="0"/>
        <v>2631.8388573221532</v>
      </c>
      <c r="N116" s="100">
        <f t="shared" si="0"/>
        <v>3180.8669673545419</v>
      </c>
      <c r="O116" s="100">
        <f t="shared" si="0"/>
        <v>1860.7855083378113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1474200</v>
      </c>
      <c r="E120" s="100">
        <f>E109*pricing!E33*2000</f>
        <v>1513047.0721321204</v>
      </c>
      <c r="F120" s="100">
        <f>F109*pricing!F33*2000</f>
        <v>1399326.4703145884</v>
      </c>
      <c r="G120" s="100">
        <f>G109*pricing!G33*2000</f>
        <v>1968627.5148127726</v>
      </c>
      <c r="H120" s="100">
        <f>H109*pricing!H33*2000</f>
        <v>1616496.4049479349</v>
      </c>
      <c r="I120" s="100">
        <f>I109*pricing!I33*2000</f>
        <v>1091430.1134176552</v>
      </c>
      <c r="J120" s="100">
        <f>J109*pricing!J33*2000</f>
        <v>1693816.1221174311</v>
      </c>
      <c r="K120" s="100">
        <f>K109*pricing!K33*2000</f>
        <v>1526311.6009919748</v>
      </c>
      <c r="L120" s="100">
        <f>L109*pricing!L33*2000</f>
        <v>1595735.8382465204</v>
      </c>
      <c r="M120" s="100">
        <f>M109*pricing!M33*2000</f>
        <v>2027502.797305498</v>
      </c>
      <c r="N120" s="100">
        <f>N109*pricing!N33*2000</f>
        <v>2188757.0468079397</v>
      </c>
      <c r="O120" s="100">
        <f>O109*pricing!O33*2000</f>
        <v>1037350.2119148399</v>
      </c>
    </row>
    <row r="121" spans="2:15">
      <c r="C121" s="99" t="s">
        <v>127</v>
      </c>
      <c r="D121" s="100">
        <f>D110*pricing!D34*2000</f>
        <v>2572799.9999999995</v>
      </c>
      <c r="E121" s="100">
        <f>E110*pricing!E34*2000</f>
        <v>2088903.8849547601</v>
      </c>
      <c r="F121" s="100">
        <f>F110*pricing!F34*2000</f>
        <v>2029650.3469960832</v>
      </c>
      <c r="G121" s="100">
        <f>G110*pricing!G34*2000</f>
        <v>2091002.0058375003</v>
      </c>
      <c r="H121" s="100">
        <f>H110*pricing!H34*2000</f>
        <v>2502444.0273153214</v>
      </c>
      <c r="I121" s="100">
        <f>I110*pricing!I34*2000</f>
        <v>1250427.5566495873</v>
      </c>
      <c r="J121" s="100">
        <f>J110*pricing!J34*2000</f>
        <v>1769093.8309081823</v>
      </c>
      <c r="K121" s="100">
        <f>K110*pricing!K34*2000</f>
        <v>1818066.2974589965</v>
      </c>
      <c r="L121" s="100">
        <f>L110*pricing!L34*2000</f>
        <v>1627720.0408220859</v>
      </c>
      <c r="M121" s="100">
        <f>M110*pricing!M34*2000</f>
        <v>2203634.6741911196</v>
      </c>
      <c r="N121" s="100">
        <f>N110*pricing!N34*2000</f>
        <v>2833412.4532330246</v>
      </c>
      <c r="O121" s="100">
        <f>O110*pricing!O34*2000</f>
        <v>1078309.6543442521</v>
      </c>
    </row>
    <row r="122" spans="2:15">
      <c r="C122" s="99" t="s">
        <v>128</v>
      </c>
      <c r="D122" s="100">
        <f>D111*pricing!D35*2000</f>
        <v>3426999.9999999995</v>
      </c>
      <c r="E122" s="100">
        <f>E111*pricing!E35*2000</f>
        <v>2634205.5940027316</v>
      </c>
      <c r="F122" s="100">
        <f>F111*pricing!F35*2000</f>
        <v>2300779.6828969866</v>
      </c>
      <c r="G122" s="100">
        <f>G111*pricing!G35*2000</f>
        <v>2544252.9966446911</v>
      </c>
      <c r="H122" s="100">
        <f>H111*pricing!H35*2000</f>
        <v>3089974.2082705749</v>
      </c>
      <c r="I122" s="100">
        <f>I111*pricing!I35*2000</f>
        <v>1393714.3166674164</v>
      </c>
      <c r="J122" s="100">
        <f>J111*pricing!J35*2000</f>
        <v>2645114.1639331998</v>
      </c>
      <c r="K122" s="100">
        <f>K111*pricing!K35*2000</f>
        <v>2082224.299256156</v>
      </c>
      <c r="L122" s="100">
        <f>L111*pricing!L35*2000</f>
        <v>2173023.096470064</v>
      </c>
      <c r="M122" s="100">
        <f>M111*pricing!M35*2000</f>
        <v>2445932.2875728649</v>
      </c>
      <c r="N122" s="100">
        <f>N111*pricing!N35*2000</f>
        <v>2980888.0893282737</v>
      </c>
      <c r="O122" s="100">
        <f>O111*pricing!O35*2000</f>
        <v>1598769.3373021204</v>
      </c>
    </row>
    <row r="123" spans="2:15">
      <c r="C123" s="99" t="s">
        <v>129</v>
      </c>
      <c r="D123" s="100">
        <f>D112*pricing!D36*2000</f>
        <v>3251751.2536438433</v>
      </c>
      <c r="E123" s="100">
        <f>E112*pricing!E36*2000</f>
        <v>2144445.3645913522</v>
      </c>
      <c r="F123" s="100">
        <f>F112*pricing!F36*2000</f>
        <v>3316335.5264477921</v>
      </c>
      <c r="G123" s="100">
        <f>G112*pricing!G36*2000</f>
        <v>2264048.4587462205</v>
      </c>
      <c r="H123" s="100">
        <f>H112*pricing!H36*2000</f>
        <v>2774013.8705166606</v>
      </c>
      <c r="I123" s="100">
        <f>I112*pricing!I36*2000</f>
        <v>2025248.8816289951</v>
      </c>
      <c r="J123" s="100">
        <f>J112*pricing!J36*2000</f>
        <v>2500580.244669816</v>
      </c>
      <c r="K123" s="100">
        <f>K112*pricing!K36*2000</f>
        <v>2233985.0618404197</v>
      </c>
      <c r="L123" s="100">
        <f>L112*pricing!L36*2000</f>
        <v>2580749.9596015029</v>
      </c>
      <c r="M123" s="100">
        <f>M112*pricing!M36*2000</f>
        <v>2705907.9643475972</v>
      </c>
      <c r="N123" s="100">
        <f>N112*pricing!N36*2000</f>
        <v>3453751.177713647</v>
      </c>
      <c r="O123" s="100">
        <f>O112*pricing!O36*2000</f>
        <v>1690107.4930846016</v>
      </c>
    </row>
    <row r="124" spans="2:15">
      <c r="C124" s="99" t="s">
        <v>130</v>
      </c>
      <c r="D124" s="100">
        <f>D113*pricing!D37*2000</f>
        <v>1807243.3628371526</v>
      </c>
      <c r="E124" s="100">
        <f>E113*pricing!E37*2000</f>
        <v>1979878.9110994237</v>
      </c>
      <c r="F124" s="100">
        <f>F113*pricing!F37*2000</f>
        <v>1833952.4316397377</v>
      </c>
      <c r="G124" s="100">
        <f>G113*pricing!G37*2000</f>
        <v>2066981.365635056</v>
      </c>
      <c r="H124" s="100">
        <f>H113*pricing!H37*2000</f>
        <v>1524379.2086844887</v>
      </c>
      <c r="I124" s="100">
        <f>I113*pricing!I37*2000</f>
        <v>1878794.165921343</v>
      </c>
      <c r="J124" s="100">
        <f>J113*pricing!J37*2000</f>
        <v>1710013.3425898899</v>
      </c>
      <c r="K124" s="100">
        <f>K113*pricing!K37*2000</f>
        <v>1562309.0662224691</v>
      </c>
      <c r="L124" s="100">
        <f>L113*pricing!L37*2000</f>
        <v>1916838.3738251966</v>
      </c>
      <c r="M124" s="100">
        <f>M113*pricing!M37*2000</f>
        <v>1596871.5536141908</v>
      </c>
      <c r="N124" s="100">
        <f>N113*pricing!N37*2000</f>
        <v>1986108.1592315896</v>
      </c>
      <c r="O124" s="100">
        <f>O113*pricing!O37*2000</f>
        <v>2210855.9420268391</v>
      </c>
    </row>
    <row r="125" spans="2:15">
      <c r="C125" s="99" t="s">
        <v>131</v>
      </c>
      <c r="D125" s="100">
        <f>D114*pricing!D38*2000</f>
        <v>825829.09633595357</v>
      </c>
      <c r="E125" s="100">
        <f>E114*pricing!E38*2000</f>
        <v>627331.90660329734</v>
      </c>
      <c r="F125" s="100">
        <f>F114*pricing!F38*2000</f>
        <v>979493.44136492384</v>
      </c>
      <c r="G125" s="100">
        <f>G114*pricing!G38*2000</f>
        <v>708365.01970812189</v>
      </c>
      <c r="H125" s="100">
        <f>H114*pricing!H38*2000</f>
        <v>696079.0934850428</v>
      </c>
      <c r="I125" s="100">
        <f>I114*pricing!I38*2000</f>
        <v>876167.94777408347</v>
      </c>
      <c r="J125" s="100">
        <f>J114*pricing!J38*2000</f>
        <v>542922.31211383094</v>
      </c>
      <c r="K125" s="100">
        <f>K114*pricing!K38*2000</f>
        <v>595341.58221824397</v>
      </c>
      <c r="L125" s="100">
        <f>L114*pricing!L38*2000</f>
        <v>889005.36718886986</v>
      </c>
      <c r="M125" s="100">
        <f>M114*pricing!M38*2000</f>
        <v>787824.66367400915</v>
      </c>
      <c r="N125" s="100">
        <f>N114*pricing!N38*2000</f>
        <v>865249.39378086245</v>
      </c>
      <c r="O125" s="100">
        <f>O114*pricing!O38*2000</f>
        <v>598804.10601292178</v>
      </c>
    </row>
    <row r="126" spans="2:15">
      <c r="C126" s="99" t="s">
        <v>132</v>
      </c>
      <c r="D126" s="100">
        <f>D115*pricing!D39*2000</f>
        <v>1638916.2488021918</v>
      </c>
      <c r="E126" s="100">
        <f>E115*pricing!E39*2000</f>
        <v>1217159.4930008226</v>
      </c>
      <c r="F126" s="100">
        <f>F115*pricing!F39*2000</f>
        <v>1694757.1183218912</v>
      </c>
      <c r="G126" s="100">
        <f>G115*pricing!G39*2000</f>
        <v>1519619.8169522991</v>
      </c>
      <c r="H126" s="100">
        <f>H115*pricing!H39*2000</f>
        <v>1882759.8039921902</v>
      </c>
      <c r="I126" s="100">
        <f>I115*pricing!I39*2000</f>
        <v>1513319.0534365878</v>
      </c>
      <c r="J126" s="100">
        <f>J115*pricing!J39*2000</f>
        <v>1121388.8927681921</v>
      </c>
      <c r="K126" s="100">
        <f>K115*pricing!K39*2000</f>
        <v>1285140.025589329</v>
      </c>
      <c r="L126" s="100">
        <f>L115*pricing!L39*2000</f>
        <v>1924142.6678461859</v>
      </c>
      <c r="M126" s="100">
        <f>M115*pricing!M39*2000</f>
        <v>1438346.816200525</v>
      </c>
      <c r="N126" s="100">
        <f>N115*pricing!N39*2000</f>
        <v>1612131.2726261709</v>
      </c>
      <c r="O126" s="100">
        <f>O115*pricing!O39*2000</f>
        <v>1177081.4302103217</v>
      </c>
    </row>
    <row r="127" spans="2:15">
      <c r="C127" s="99" t="s">
        <v>278</v>
      </c>
      <c r="D127" s="100">
        <f>SUM(D$120:D$126)</f>
        <v>14997739.961619141</v>
      </c>
      <c r="E127" s="100">
        <f t="shared" ref="E127:O127" si="1">SUM(E$120:E$126)</f>
        <v>12204972.226384509</v>
      </c>
      <c r="F127" s="100">
        <f t="shared" si="1"/>
        <v>13554295.017982004</v>
      </c>
      <c r="G127" s="100">
        <f t="shared" si="1"/>
        <v>13162897.178336661</v>
      </c>
      <c r="H127" s="100">
        <f t="shared" si="1"/>
        <v>14086146.617212214</v>
      </c>
      <c r="I127" s="100">
        <f t="shared" si="1"/>
        <v>10029102.035495669</v>
      </c>
      <c r="J127" s="100">
        <f t="shared" si="1"/>
        <v>11982928.909100544</v>
      </c>
      <c r="K127" s="100">
        <f t="shared" si="1"/>
        <v>11103377.93357759</v>
      </c>
      <c r="L127" s="100">
        <f t="shared" si="1"/>
        <v>12707215.344000425</v>
      </c>
      <c r="M127" s="100">
        <f t="shared" si="1"/>
        <v>13206020.756905803</v>
      </c>
      <c r="N127" s="100">
        <f t="shared" si="1"/>
        <v>15920297.592721509</v>
      </c>
      <c r="O127" s="100">
        <f t="shared" si="1"/>
        <v>9391278.1748958975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137822.40000000002</v>
      </c>
      <c r="E131" s="106">
        <f>SUM(M$6:M$19)+SUM(O$6:O$19)+SUM(Q$6:Q$19)+SUM(S$6:S$19)</f>
        <v>140448.90703910077</v>
      </c>
      <c r="F131" s="106">
        <f>SUM(U$6:U$19)+SUM(W$6:W$19)+SUM(Y$6:Y$19)+SUM(AA$6:AA$19)</f>
        <v>130312.27982026589</v>
      </c>
      <c r="G131" s="106">
        <f>SUM(AC$6:AC$19)+SUM(AE$6:AE$19)+SUM(AG$6:AG$19)+SUM(AI$6:AI$19)</f>
        <v>184074.04335723846</v>
      </c>
      <c r="H131" s="106">
        <f>SUM(AK$6:AK$19)+SUM(AM$6:AM$19)+SUM(AO$6:AO$19)+SUM(AQ$6:AQ$19)</f>
        <v>150811.04712713422</v>
      </c>
      <c r="I131" s="106">
        <f>SUM(AS$6:AS$19)+SUM(AU$6:AU$19)+SUM(AW$6:AW$19)+SUM(AY$6:AY$19)</f>
        <v>102504.83413815823</v>
      </c>
      <c r="J131" s="106">
        <f>SUM(BA$6:BA$19)+SUM(BC$6:BC$19)+SUM(BE$6:BE$19)+SUM(BG$6:BG$19)</f>
        <v>158742.98127044013</v>
      </c>
      <c r="K131" s="106">
        <f>SUM(BI$6:BI$19)+SUM(BK$6:BK$19)+SUM(BM$6:BM$19)+SUM(BO$6:BO$19)</f>
        <v>142761.75488929587</v>
      </c>
      <c r="L131" s="106">
        <f>SUM(BQ$6:BQ$19)+SUM(BS$6:BS$19)+SUM(BU$6:BU$19)+SUM(BW$6:BW$19)</f>
        <v>148494.75385307791</v>
      </c>
      <c r="M131" s="106">
        <f>SUM(BY$6:BY$19)+SUM(CA$6:CA$19)+SUM(CC$6:CC$19)+SUM(CE$6:CE$19)</f>
        <v>189244.07654047772</v>
      </c>
      <c r="N131" s="106">
        <f>SUM(CG$6:CG$19)+SUM(CI$6:CI$19)+SUM(CK$6:CK$19)+SUM(CM$6:CM$19)</f>
        <v>204049.42272805877</v>
      </c>
      <c r="O131" s="106">
        <f>SUM(CO$6:CO$19)+SUM(CQ$6:CQ$19)+SUM(CS$6:CS$19)+SUM(CU$6:CU$19)</f>
        <v>96404.965360437287</v>
      </c>
    </row>
    <row r="132" spans="2:15">
      <c r="C132" s="105" t="s">
        <v>127</v>
      </c>
      <c r="D132" s="106">
        <f>SUM(E$20:E$36)+SUM(G$20:G$36)+SUM(I$20:I$36)+SUM(K$20:K$36)</f>
        <v>227478</v>
      </c>
      <c r="E132" s="106">
        <f>SUM(M$20:M$36)+SUM(O$20:O$36)+SUM(Q$20:Q$36)+SUM(S$20:S$36)</f>
        <v>185112.07386107519</v>
      </c>
      <c r="F132" s="106">
        <f>SUM(U$20:U$36)+SUM(W$20:W$36)+SUM(Y$20:Y$36)+SUM(AA$20:AA$36)</f>
        <v>179395.24172325648</v>
      </c>
      <c r="G132" s="106">
        <f>SUM(AC$20:AC$36)+SUM(AE$20:AE$36)+SUM(AG$20:AG$36)+SUM(AI$20:AI$36)</f>
        <v>183792.00462492128</v>
      </c>
      <c r="H132" s="106">
        <f>SUM(AK$20:AK$36)+SUM(AM$20:AM$36)+SUM(AO$20:AO$36)+SUM(AQ$20:AQ$36)</f>
        <v>224656.54650991957</v>
      </c>
      <c r="I132" s="106">
        <f>SUM(AS$20:AS$36)+SUM(AU$20:AU$36)+SUM(AW$20:AW$36)+SUM(AY$20:AY$36)</f>
        <v>110153.8742611457</v>
      </c>
      <c r="J132" s="106">
        <f>SUM(BA$20:BA$36)+SUM(BC$20:BC$36)+SUM(BE$20:BE$36)+SUM(BG$20:BG$36)</f>
        <v>157186.73011881852</v>
      </c>
      <c r="K132" s="106">
        <f>SUM(BI$20:BI$36)+SUM(BK$20:BK$36)+SUM(BM$20:BM$36)+SUM(BO$20:BO$36)</f>
        <v>162410.12363550131</v>
      </c>
      <c r="L132" s="106">
        <f>SUM(BQ$20:BQ$36)+SUM(BS$20:BS$36)+SUM(BU$20:BU$36)+SUM(BW$20:BW$36)</f>
        <v>144655.97752468672</v>
      </c>
      <c r="M132" s="106">
        <f>SUM(BY$20:BY$36)+SUM(CA$20:CA$36)+SUM(CC$20:CC$36)+SUM(CE$20:CE$36)</f>
        <v>195452.86511573804</v>
      </c>
      <c r="N132" s="106">
        <f>SUM(CG$20:CG$36)+SUM(CI$20:CI$36)+SUM(CK$20:CK$36)+SUM(CM$20:CM$36)</f>
        <v>251252.34248414973</v>
      </c>
      <c r="O132" s="106">
        <f>SUM(CO$20:CO$36)+SUM(CQ$20:CQ$36)+SUM(CS$20:CS$36)+SUM(CU$20:CU$36)</f>
        <v>96204.831557918602</v>
      </c>
    </row>
    <row r="133" spans="2:15">
      <c r="C133" s="105" t="s">
        <v>128</v>
      </c>
      <c r="D133" s="106">
        <f>SUM(E$37:E$48)+SUM(G$37:G$48)+SUM(I$37:I$48)+SUM(K$37:K$48)</f>
        <v>777930</v>
      </c>
      <c r="E133" s="106">
        <f>SUM(M$37:M$48)+SUM(O$37:O$48)+SUM(Q$37:Q$48)+SUM(S$37:S$48)</f>
        <v>600222.75234500808</v>
      </c>
      <c r="F133" s="106">
        <f>SUM(U$37:U$48)+SUM(W$37:W$48)+SUM(Y$37:Y$48)+SUM(AA$37:AA$48)</f>
        <v>524212.87539024453</v>
      </c>
      <c r="G133" s="106">
        <f>SUM(AC$37:AC$48)+SUM(AE$37:AE$48)+SUM(AG$37:AG$48)+SUM(AI$37:AI$48)</f>
        <v>581187.08803806698</v>
      </c>
      <c r="H133" s="106">
        <f>SUM(AK$37:AK$48)+SUM(AM$37:AM$48)+SUM(AO$37:AO$48)+SUM(AQ$37:AQ$48)</f>
        <v>703432.64933228947</v>
      </c>
      <c r="I133" s="106">
        <f>SUM(AS$37:AS$48)+SUM(AU$37:AU$48)+SUM(AW$37:AW$48)+SUM(AY$37:AY$48)</f>
        <v>317664.34866435814</v>
      </c>
      <c r="J133" s="106">
        <f>SUM(BA$37:BA$48)+SUM(BC$37:BC$48)+SUM(BE$37:BE$48)+SUM(BG$37:BG$48)</f>
        <v>603202.14971687179</v>
      </c>
      <c r="K133" s="106">
        <f>SUM(BI$37:BI$48)+SUM(BK$37:BK$48)+SUM(BM$37:BM$48)+SUM(BO$37:BO$48)</f>
        <v>474911.70316398732</v>
      </c>
      <c r="L133" s="106">
        <f>SUM(BQ$37:BQ$48)+SUM(BS$37:BS$48)+SUM(BU$37:BU$48)+SUM(BW$37:BW$48)</f>
        <v>495128.79829671333</v>
      </c>
      <c r="M133" s="106">
        <f>SUM(BY$37:BY$48)+SUM(CA$37:CA$48)+SUM(CC$37:CC$48)+SUM(CE$37:CE$48)</f>
        <v>557529.02964147599</v>
      </c>
      <c r="N133" s="106">
        <f>SUM(CG$37:CG$48)+SUM(CI$37:CI$48)+SUM(CK$37:CK$48)+SUM(CM$37:CM$48)</f>
        <v>680461.02192779817</v>
      </c>
      <c r="O133" s="106">
        <f>SUM(CO$37:CO$48)+SUM(CQ$37:CQ$48)+SUM(CS$37:CS$48)+SUM(CU$37:CU$48)</f>
        <v>365755.54681409482</v>
      </c>
    </row>
    <row r="134" spans="2:15">
      <c r="C134" s="105" t="s">
        <v>129</v>
      </c>
      <c r="D134" s="106">
        <f>SUM(E$49:E$70)+SUM(G$49:G$70)+SUM(I$49:I$70)+SUM(K$49:K$70)</f>
        <v>537813.66776731564</v>
      </c>
      <c r="E134" s="106">
        <f>SUM(M$49:M$70)+SUM(O$49:O$70)+SUM(Q$49:Q$70)+SUM(S$49:S$70)</f>
        <v>353952.10715534317</v>
      </c>
      <c r="F134" s="106">
        <f>SUM(U$49:U$70)+SUM(W$49:W$70)+SUM(Y$49:Y$70)+SUM(AA$49:AA$70)</f>
        <v>559447.92698989436</v>
      </c>
      <c r="G134" s="106">
        <f>SUM(AC$49:AC$70)+SUM(AE$49:AE$70)+SUM(AG$49:AG$70)+SUM(AI$49:AI$70)</f>
        <v>380183.03154731647</v>
      </c>
      <c r="H134" s="106">
        <f>SUM(AK$49:AK$70)+SUM(AM$49:AM$70)+SUM(AO$49:AO$70)+SUM(AQ$49:AQ$70)</f>
        <v>461080.50735601131</v>
      </c>
      <c r="I134" s="106">
        <f>SUM(AS$49:AS$70)+SUM(AU$49:AU$70)+SUM(AW$49:AW$70)+SUM(AY$49:AY$70)</f>
        <v>353128.12301420257</v>
      </c>
      <c r="J134" s="106">
        <f>SUM(BA$49:BA$70)+SUM(BC$49:BC$70)+SUM(BE$49:BE$70)+SUM(BG$49:BG$70)</f>
        <v>416096.2270539442</v>
      </c>
      <c r="K134" s="106">
        <f>SUM(BI$49:BI$70)+SUM(BK$49:BK$70)+SUM(BM$49:BM$70)+SUM(BO$49:BO$70)</f>
        <v>373138.8357833132</v>
      </c>
      <c r="L134" s="106">
        <f>SUM(BQ$49:BQ$70)+SUM(BS$49:BS$70)+SUM(BU$49:BU$70)+SUM(BW$49:BW$70)</f>
        <v>441241.02089912549</v>
      </c>
      <c r="M134" s="106">
        <f>SUM(BY$49:BY$70)+SUM(CA$49:CA$70)+SUM(CC$49:CC$70)+SUM(CE$49:CE$70)</f>
        <v>454763.10875635175</v>
      </c>
      <c r="N134" s="106">
        <f>SUM(CG$49:CG$70)+SUM(CI$49:CI$70)+SUM(CK$49:CK$70)+SUM(CM$49:CM$70)</f>
        <v>570361.64014521777</v>
      </c>
      <c r="O134" s="106">
        <f>SUM(CO$49:CO$70)+SUM(CQ$49:CQ$70)+SUM(CS$49:CS$70)+SUM(CU$49:CU$70)</f>
        <v>291872.98496404709</v>
      </c>
    </row>
    <row r="135" spans="2:15">
      <c r="C135" s="105" t="s">
        <v>130</v>
      </c>
      <c r="D135" s="106">
        <f>SUM(E$71:E$86)+SUM(G$71:G$86)+SUM(I$71:I$86)+SUM(K$71:K$86)</f>
        <v>194811.70393770601</v>
      </c>
      <c r="E135" s="106">
        <f>SUM(M$71:M$86)+SUM(O$71:O$86)+SUM(Q$71:Q$86)+SUM(S$71:S$86)</f>
        <v>211722.54477057129</v>
      </c>
      <c r="F135" s="106">
        <f>SUM(U$71:U$86)+SUM(W$71:W$86)+SUM(Y$71:Y$86)+SUM(AA$71:AA$86)</f>
        <v>196443.2433249079</v>
      </c>
      <c r="G135" s="106">
        <f>SUM(AC$71:AC$86)+SUM(AE$71:AE$86)+SUM(AG$71:AG$86)+SUM(AI$71:AI$86)</f>
        <v>222229.32554119523</v>
      </c>
      <c r="H135" s="106">
        <f>SUM(AK$71:AK$86)+SUM(AM$71:AM$86)+SUM(AO$71:AO$86)+SUM(AQ$71:AQ$86)</f>
        <v>163657.5799717718</v>
      </c>
      <c r="I135" s="106">
        <f>SUM(AS$71:AS$86)+SUM(AU$71:AU$86)+SUM(AW$71:AW$86)+SUM(AY$71:AY$86)</f>
        <v>202581.03605466665</v>
      </c>
      <c r="J135" s="106">
        <f>SUM(BA$71:BA$86)+SUM(BC$71:BC$86)+SUM(BE$71:BE$86)+SUM(BG$71:BG$86)</f>
        <v>184598.0690611302</v>
      </c>
      <c r="K135" s="106">
        <f>SUM(BI$71:BI$86)+SUM(BK$71:BK$86)+SUM(BM$71:BM$86)+SUM(BO$71:BO$86)</f>
        <v>168284.68738914729</v>
      </c>
      <c r="L135" s="106">
        <f>SUM(BQ$71:BQ$86)+SUM(BS$71:BS$86)+SUM(BU$71:BU$86)+SUM(BW$71:BW$86)</f>
        <v>205773.82889736537</v>
      </c>
      <c r="M135" s="106">
        <f>SUM(BY$71:BY$86)+SUM(CA$71:CA$86)+SUM(CC$71:CC$86)+SUM(CE$71:CE$86)</f>
        <v>170121.80433493608</v>
      </c>
      <c r="N135" s="106">
        <f>SUM(CG$71:CG$86)+SUM(CI$71:CI$86)+SUM(CK$71:CK$86)+SUM(CM$71:CM$86)</f>
        <v>214242.83812680858</v>
      </c>
      <c r="O135" s="106">
        <f>SUM(CO$71:CO$86)+SUM(CQ$71:CQ$86)+SUM(CS$71:CS$86)+SUM(CU$71:CU$86)</f>
        <v>237382.03076449057</v>
      </c>
    </row>
    <row r="136" spans="2:15">
      <c r="C136" s="105" t="s">
        <v>131</v>
      </c>
      <c r="D136" s="106">
        <f>SUM(E$87:E$94)+SUM(G$87:G$94)+SUM(I$87:I$94)+SUM(K$87:K$94)</f>
        <v>147941.14635564166</v>
      </c>
      <c r="E136" s="106">
        <f>SUM(M$87:M$94)+SUM(O$87:O$94)+SUM(Q$87:Q$94)+SUM(S$87:S$94)</f>
        <v>112099.61498247387</v>
      </c>
      <c r="F136" s="106">
        <f>SUM(U$87:U$94)+SUM(W$87:W$94)+SUM(Y$87:Y$94)+SUM(AA$87:AA$94)</f>
        <v>175694.44018905147</v>
      </c>
      <c r="G136" s="106">
        <f>SUM(AC$87:AC$94)+SUM(AE$87:AE$94)+SUM(AG$87:AG$94)+SUM(AI$87:AI$94)</f>
        <v>127403.4710430798</v>
      </c>
      <c r="H136" s="106">
        <f>SUM(AK$87:AK$94)+SUM(AM$87:AM$94)+SUM(AO$87:AO$94)+SUM(AQ$87:AQ$94)</f>
        <v>124326.92390520671</v>
      </c>
      <c r="I136" s="106">
        <f>SUM(AS$87:AS$94)+SUM(AU$87:AU$94)+SUM(AW$87:AW$94)+SUM(AY$87:AY$94)</f>
        <v>157118.47404949774</v>
      </c>
      <c r="J136" s="106">
        <f>SUM(BA$87:BA$94)+SUM(BC$87:BC$94)+SUM(BE$87:BE$94)+SUM(BG$87:BG$94)</f>
        <v>97273.924103213169</v>
      </c>
      <c r="K136" s="106">
        <f>SUM(BI$87:BI$94)+SUM(BK$87:BK$94)+SUM(BM$87:BM$94)+SUM(BO$87:BO$94)</f>
        <v>106388.51224906254</v>
      </c>
      <c r="L136" s="106">
        <f>SUM(BQ$87:BQ$94)+SUM(BS$87:BS$94)+SUM(BU$87:BU$94)+SUM(BW$87:BW$94)</f>
        <v>159416.69456257689</v>
      </c>
      <c r="M136" s="106">
        <f>SUM(BY$87:BY$94)+SUM(CA$87:CA$94)+SUM(CC$87:CC$94)+SUM(CE$87:CE$94)</f>
        <v>141426.54224950323</v>
      </c>
      <c r="N136" s="106">
        <f>SUM(CG$87:CG$94)+SUM(CI$87:CI$94)+SUM(CK$87:CK$94)+SUM(CM$87:CM$94)</f>
        <v>155229.82015735985</v>
      </c>
      <c r="O136" s="106">
        <f>SUM(CO$87:CO$94)+SUM(CQ$87:CQ$94)+SUM(CS$87:CS$94)+SUM(CU$87:CU$94)</f>
        <v>107256.09173647645</v>
      </c>
    </row>
    <row r="137" spans="2:15">
      <c r="C137" s="105" t="s">
        <v>132</v>
      </c>
      <c r="D137" s="106">
        <f>SUM(E$95:E$105)+SUM(G$95:G$105)+SUM(I$95:I$105)+SUM(K$95:K$105)</f>
        <v>241848.64170654895</v>
      </c>
      <c r="E137" s="106">
        <f>SUM(M$95:M$105)+SUM(O$95:O$105)+SUM(Q$95:Q$105)+SUM(S$95:S$105)</f>
        <v>183310.54355734237</v>
      </c>
      <c r="F137" s="106">
        <f>SUM(U$95:U$105)+SUM(W$95:W$105)+SUM(Y$95:Y$105)+SUM(AA$95:AA$105)</f>
        <v>249026.82525047389</v>
      </c>
      <c r="G137" s="106">
        <f>SUM(AC$95:AC$105)+SUM(AE$95:AE$105)+SUM(AG$95:AG$105)+SUM(AI$95:AI$105)</f>
        <v>223719.10496410032</v>
      </c>
      <c r="H137" s="106">
        <f>SUM(AK$95:AK$105)+SUM(AM$95:AM$105)+SUM(AO$95:AO$105)+SUM(AQ$95:AQ$105)</f>
        <v>279592.58624477603</v>
      </c>
      <c r="I137" s="106">
        <f>SUM(AS$95:AS$105)+SUM(AU$95:AU$105)+SUM(AW$95:AW$105)+SUM(AY$95:AY$105)</f>
        <v>224620.6984806922</v>
      </c>
      <c r="J137" s="106">
        <f>SUM(BA$95:BA$105)+SUM(BC$95:BC$105)+SUM(BE$95:BE$105)+SUM(BG$95:BG$105)</f>
        <v>170957.20205265927</v>
      </c>
      <c r="K137" s="106">
        <f>SUM(BI$95:BI$105)+SUM(BK$95:BK$105)+SUM(BM$95:BM$105)+SUM(BO$95:BO$105)</f>
        <v>194048.2303138045</v>
      </c>
      <c r="L137" s="106">
        <f>SUM(BQ$95:BQ$105)+SUM(BS$95:BS$105)+SUM(BU$95:BU$105)+SUM(BW$95:BW$105)</f>
        <v>292199.87155534909</v>
      </c>
      <c r="M137" s="106">
        <f>SUM(BY$95:BY$105)+SUM(CA$95:CA$105)+SUM(CC$95:CC$105)+SUM(CE$95:CE$105)</f>
        <v>217983.07134523502</v>
      </c>
      <c r="N137" s="106">
        <f>SUM(CG$95:CG$105)+SUM(CI$95:CI$105)+SUM(CK$95:CK$105)+SUM(CM$95:CM$105)</f>
        <v>240991.16458942799</v>
      </c>
      <c r="O137" s="106">
        <f>SUM(CO$95:CO$105)+SUM(CQ$95:CQ$105)+SUM(CS$95:CS$105)+SUM(CU$95:CU$105)</f>
        <v>176815.58086305636</v>
      </c>
    </row>
    <row r="138" spans="2:15">
      <c r="C138" s="105" t="s">
        <v>278</v>
      </c>
      <c r="D138" s="100">
        <f t="shared" ref="D138:O138" si="2">SUM(D$131:D$137)</f>
        <v>2265645.5597672123</v>
      </c>
      <c r="E138" s="100">
        <f t="shared" si="2"/>
        <v>1786868.5437109149</v>
      </c>
      <c r="F138" s="100">
        <f t="shared" si="2"/>
        <v>2014532.8326880946</v>
      </c>
      <c r="G138" s="100">
        <f t="shared" si="2"/>
        <v>1902588.0691159186</v>
      </c>
      <c r="H138" s="100">
        <f t="shared" si="2"/>
        <v>2107557.8404471092</v>
      </c>
      <c r="I138" s="100">
        <f t="shared" si="2"/>
        <v>1467771.3886627215</v>
      </c>
      <c r="J138" s="100">
        <f t="shared" si="2"/>
        <v>1788057.2833770774</v>
      </c>
      <c r="K138" s="100">
        <f t="shared" si="2"/>
        <v>1621943.847424112</v>
      </c>
      <c r="L138" s="100">
        <f t="shared" si="2"/>
        <v>1886910.9455888947</v>
      </c>
      <c r="M138" s="100">
        <f t="shared" si="2"/>
        <v>1926520.4979837178</v>
      </c>
      <c r="N138" s="100">
        <f t="shared" si="2"/>
        <v>2316588.2501588208</v>
      </c>
      <c r="O138" s="100">
        <f t="shared" si="2"/>
        <v>1371692.0320605212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Alex</cp:lastModifiedBy>
  <dcterms:created xsi:type="dcterms:W3CDTF">2003-07-09T21:14:27Z</dcterms:created>
  <dcterms:modified xsi:type="dcterms:W3CDTF">2015-01-12T19:32:12Z</dcterms:modified>
</cp:coreProperties>
</file>